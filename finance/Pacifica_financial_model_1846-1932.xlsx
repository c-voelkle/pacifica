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1.xml" ContentType="application/vnd.openxmlformats-officedocument.spreadsheetml.comments+xml"/>
  <Override PartName="/xl/worksheets/sheet6.xml" ContentType="application/vnd.openxmlformats-officedocument.spreadsheetml.worksheet+xml"/>
  <Override PartName="/xl/comments2.xml" ContentType="application/vnd.openxmlformats-officedocument.spreadsheetml.comments+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comments4.xml" ContentType="application/vnd.openxmlformats-officedocument.spreadsheetml.comments+xml"/>
  <Override PartName="/xl/worksheets/sheet9.xml" ContentType="application/vnd.openxmlformats-officedocument.spreadsheetml.worksheet+xml"/>
  <Override PartName="/xl/comments5.xml" ContentType="application/vnd.openxmlformats-officedocument.spreadsheetml.comments+xml"/>
  <Override PartName="/xl/worksheets/sheet10.xml" ContentType="application/vnd.openxmlformats-officedocument.spreadsheetml.worksheet+xml"/>
  <Override PartName="/xl/comments6.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7.xml" ContentType="application/vnd.openxmlformats-officedocument.spreadsheetml.comments+xml"/>
  <Override PartName="/xl/worksheets/sheet14.xml" ContentType="application/vnd.openxmlformats-officedocument.spreadsheetml.worksheet+xml"/>
  <Override PartName="/xl/comments8.xml" ContentType="application/vnd.openxmlformats-officedocument.spreadsheetml.comments+xml"/>
  <Override PartName="/xl/worksheets/sheet15.xml" ContentType="application/vnd.openxmlformats-officedocument.spreadsheetml.worksheet+xml"/>
  <Override PartName="/xl/comments9.xml" ContentType="application/vnd.openxmlformats-officedocument.spreadsheetml.comments+xml"/>
  <Override PartName="/xl/worksheets/sheet16.xml" ContentType="application/vnd.openxmlformats-officedocument.spreadsheetml.worksheet+xml"/>
  <Override PartName="/xl/comments10.xml" ContentType="application/vnd.openxmlformats-officedocument.spreadsheetml.comments+xml"/>
  <Override PartName="/xl/worksheets/sheet17.xml" ContentType="application/vnd.openxmlformats-officedocument.spreadsheetml.worksheet+xml"/>
  <Override PartName="/xl/comments11.xml" ContentType="application/vnd.openxmlformats-officedocument.spreadsheetml.comments+xml"/>
  <Override PartName="/xl/worksheets/sheet18.xml" ContentType="application/vnd.openxmlformats-officedocument.spreadsheetml.worksheet+xml"/>
  <Override PartName="/xl/comments12.xml" ContentType="application/vnd.openxmlformats-officedocument.spreadsheetml.comments+xml"/>
  <Override PartName="/xl/worksheets/sheet19.xml" ContentType="application/vnd.openxmlformats-officedocument.spreadsheetml.worksheet+xml"/>
  <Override PartName="/xl/comments13.xml" ContentType="application/vnd.openxmlformats-officedocument.spreadsheetml.comments+xml"/>
  <Override PartName="/xl/worksheets/sheet20.xml" ContentType="application/vnd.openxmlformats-officedocument.spreadsheetml.worksheet+xml"/>
  <Override PartName="/xl/comments14.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15.xml" ContentType="application/vnd.openxmlformats-officedocument.spreadsheetml.comments+xml"/>
  <Override PartName="/xl/worksheets/sheet23.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225e6ddba9f4783" /></Relationships>
</file>

<file path=xl/workbook.xml><?xml version="1.0" encoding="utf-8"?>
<x:workbook xmlns:x="http://schemas.openxmlformats.org/spreadsheetml/2006/main">
  <x:sheets>
    <x:sheet xmlns:r="http://schemas.openxmlformats.org/officeDocument/2006/relationships" name="Start" sheetId="1" r:id="Rcfbf6a3c518f49b8"/>
    <x:sheet xmlns:r="http://schemas.openxmlformats.org/officeDocument/2006/relationships" name="Changes" sheetId="2" r:id="R7b9d6d00e3c246ad"/>
    <x:sheet xmlns:r="http://schemas.openxmlformats.org/officeDocument/2006/relationships" name="Levers" sheetId="3" r:id="Rc6862b68e6934542"/>
    <x:sheet xmlns:r="http://schemas.openxmlformats.org/officeDocument/2006/relationships" name="Events" sheetId="4" r:id="R3c8d1c2113324c8c"/>
    <x:sheet xmlns:r="http://schemas.openxmlformats.org/officeDocument/2006/relationships" name="Paths" sheetId="5" r:id="R876ffd4cb6814faa"/>
    <x:sheet xmlns:r="http://schemas.openxmlformats.org/officeDocument/2006/relationships" name="People" sheetId="6" r:id="Rf37f4232be5d4714"/>
    <x:sheet xmlns:r="http://schemas.openxmlformats.org/officeDocument/2006/relationships" name="Economy" sheetId="7" r:id="R84ced3888e014041"/>
    <x:sheet xmlns:r="http://schemas.openxmlformats.org/officeDocument/2006/relationships" name="Resources" sheetId="8" r:id="Rd1fd9045e8f84841"/>
    <x:sheet xmlns:r="http://schemas.openxmlformats.org/officeDocument/2006/relationships" name="Budget" sheetId="9" r:id="Rd2ae57cc23a24335"/>
    <x:sheet xmlns:r="http://schemas.openxmlformats.org/officeDocument/2006/relationships" name="Debt &amp; cash" sheetId="10" r:id="R74533659f239444c"/>
    <x:sheet xmlns:r="http://schemas.openxmlformats.org/officeDocument/2006/relationships" name="Loans" sheetId="11" r:id="R7a329fbd88ea4cb5"/>
    <x:sheet xmlns:r="http://schemas.openxmlformats.org/officeDocument/2006/relationships" name="Gold &amp; money" sheetId="12" r:id="Re78d34e19da74f39"/>
    <x:sheet xmlns:r="http://schemas.openxmlformats.org/officeDocument/2006/relationships" name="Abroad" sheetId="13" r:id="R91ba018be3c142fc"/>
    <x:sheet xmlns:r="http://schemas.openxmlformats.org/officeDocument/2006/relationships" name="Champions" sheetId="14" r:id="R60a010053b0d4518"/>
    <x:sheet xmlns:r="http://schemas.openxmlformats.org/officeDocument/2006/relationships" name="Labour" sheetId="15" r:id="Rcc3d2c79116f4141"/>
    <x:sheet xmlns:r="http://schemas.openxmlformats.org/officeDocument/2006/relationships" name="Navy plan" sheetId="16" r:id="R953e0a9724294a87"/>
    <x:sheet xmlns:r="http://schemas.openxmlformats.org/officeDocument/2006/relationships" name="Navy" sheetId="17" r:id="R9794000fd8434f01"/>
    <x:sheet xmlns:r="http://schemas.openxmlformats.org/officeDocument/2006/relationships" name="Japan" sheetId="18" r:id="R9c77ad7e399c4fbc"/>
    <x:sheet xmlns:r="http://schemas.openxmlformats.org/officeDocument/2006/relationships" name="Partners" sheetId="19" r:id="R4c3f75672fb34605"/>
    <x:sheet xmlns:r="http://schemas.openxmlformats.org/officeDocument/2006/relationships" name="Gulf" sheetId="20" r:id="R53d4544324854629"/>
    <x:sheet xmlns:r="http://schemas.openxmlformats.org/officeDocument/2006/relationships" name="World" sheetId="21" r:id="Rca899a1e34404035"/>
    <x:sheet xmlns:r="http://schemas.openxmlformats.org/officeDocument/2006/relationships" name="Checks" sheetId="22" r:id="Rcb916788cb3d45e9"/>
    <x:sheet xmlns:r="http://schemas.openxmlformats.org/officeDocument/2006/relationships" name="Japan rescue" sheetId="23" r:id="R9ce52d4f0dda4906"/>
  </x:sheets>
  <x:definedNames>
    <x:definedName name="case_sel">'Levers'!$E$4</x:definedName>
    <x:definedName name="pop_1846">'Levers'!$E$8</x:definedName>
    <x:definedName name="real_pc_1846">'Levers'!$E$9</x:definedName>
    <x:definedName name="prod_factor">'Levers'!$E$10</x:definedName>
    <x:definedName name="mig_scale">'Levers'!$E$11</x:definedName>
    <x:definedName name="dep_severity">'Levers'!$E$12</x:definedName>
    <x:definedName name="dep_asia">'Levers'!$E$13</x:definedName>
    <x:definedName name="assist_cost">'Levers'!$E$14</x:definedName>
    <x:definedName name="mining_va">'Levers'!$E$15</x:definedName>
    <x:definedName name="cust_coll">'Levers'!$E$17</x:definedName>
    <x:definedName name="roy_metal">'Levers'!$E$18</x:definedName>
    <x:definedName name="roy_oil">'Levers'!$E$19</x:definedName>
    <x:definedName name="canal_share">'Levers'!$E$20</x:definedName>
    <x:definedName name="canal_opcost">'Levers'!$E$21</x:definedName>
    <x:definedName name="fund_yield">'Levers'!$E$22</x:definedName>
    <x:definedName name="army_cost">'Levers'!$E$24</x:definedName>
    <x:definedName name="res_cost">'Levers'!$E$25</x:definedName>
    <x:definedName name="sailor_pay">'Levers'!$E$26</x:definedName>
    <x:definedName name="maint_rate">'Levers'!$E$27</x:definedName>
    <x:definedName name="navy_overhead">'Levers'!$E$28</x:definedName>
    <x:definedName name="oil_crew">'Levers'!$E$29</x:definedName>
    <x:definedName name="oil_fuel">'Levers'!$E$30</x:definedName>
    <x:definedName name="pac_quota">'Levers'!$E$31</x:definedName>
    <x:definedName name="opening_cash">'Levers'!$E$33</x:definedName>
    <x:definedName name="cash_target">'Levers'!$E$34</x:definedName>
    <x:definedName name="issue_price">'Levers'!$E$35</x:definedName>
    <x:definedName name="debt_amort">'Levers'!$E$36</x:definedName>
    <x:definedName name="repay_share">'Levers'!$E$37</x:definedName>
    <x:definedName name="mkt_capacity">'Levers'!$E$38</x:definedName>
    <x:definedName name="foreign_capacity">'Levers'!$E$39</x:definedName>
    <x:definedName name="cont_coupon">'Levers'!$E$41</x:definedName>
    <x:definedName name="cont_repay">'Levers'!$E$42</x:definedName>
    <x:definedName name="asia_coupon">'Levers'!$E$43</x:definedName>
    <x:definedName name="asia_repay">'Levers'!$E$44</x:definedName>
    <x:definedName name="rescue_coupon">'Levers'!$E$45</x:definedName>
    <x:definedName name="entente_total">'Levers'!$E$46</x:definedName>
    <x:definedName name="entente_public">'Levers'!$E$47</x:definedName>
    <x:definedName name="russia_writeoff">'Levers'!$E$48</x:definedName>
    <x:definedName name="union_vendor">'Levers'!$E$49</x:definedName>
    <x:definedName name="siberia_cost">'Levers'!$E$51</x:definedName>
    <x:definedName name="siberia_front">'Levers'!$E$52</x:definedName>
    <x:definedName name="union_rescue">'Levers'!$E$53</x:definedName>
    <x:definedName name="bank_recap">'Levers'!$E$54</x:definedName>
    <x:definedName name="cb_buy">'Levers'!$E$55</x:definedName>
    <x:definedName name="gold_retained">'Levers'!$E$57</x:definedName>
    <x:definedName name="conc_gold">'Levers'!$E$58</x:definedName>
    <x:definedName name="ext_gold">'Levers'!$E$59</x:definedName>
    <x:definedName name="money_ratio">'Levers'!$E$60</x:definedName>
    <x:definedName name="gold_cover">'Levers'!$E$61</x:definedName>
    <x:definedName name="gulf_on">'Levers'!$E$63</x:definedName>
    <x:definedName name="gulf_years_req">'Levers'!$E$64</x:definedName>
    <x:definedName name="gulf_year">'Levers'!$E$65</x:definedName>
    <x:definedName name="slump_price">'Levers'!$E$67</x:definedName>
    <x:definedName name="oil_compact">'Levers'!$E$68</x:definedName>
    <x:definedName name="compact_price">'Levers'!$E$69</x:definedName>
    <x:definedName name="compact_cut">'Levers'!$E$70</x:definedName>
    <x:definedName name="compact_year">'Levers'!$E$71</x:definedName>
    <x:definedName name="gulf_wage_dip">'Levers'!$E$72</x:definedName>
    <x:definedName name="gulf_glut_gdp">'Levers'!$E$73</x:definedName>
    <x:definedName name="debt_floor">'Levers'!$E$74</x:definedName>
    <x:definedName name="entente_private">'Levers'!$E$75</x:definedName>
    <x:definedName name="abroad_return">'Levers'!$E$76</x:definedName>
    <x:definedName name="abroad_repat">'Levers'!$E$77</x:definedName>
    <x:definedName name="abroad_loss">'Levers'!$E$78</x:definedName>
    <x:definedName name="abroad_slump">'Levers'!$E$79</x:definedName>
    <x:definedName name="abroad_tax">'Levers'!$E$80</x:definedName>
    <x:definedName name="dev_share">'Levers'!$E$82</x:definedName>
    <x:definedName name="dev_return">'Levers'!$E$83</x:definedName>
    <x:definedName name="dev_start">'Levers'!$E$84</x:definedName>
    <x:definedName name="dev_bonds">'Levers'!$E$85</x:definedName>
    <x:definedName name="reserve_buffer">'Levers'!$E$86</x:definedName>
    <x:definedName name="dev_cap">'Levers'!$E$87</x:definedName>
    <x:definedName name="dev_dep">'Levers'!$E$88</x:definedName>
    <x:definedName name="champ_scale">'Levers'!$E$90</x:definedName>
    <x:definedName name="champ_prem">'Levers'!$E$91</x:definedName>
    <x:definedName name="champ_spill">'Levers'!$E$92</x:definedName>
    <x:definedName name="chem_va">'Levers'!$E$93</x:definedName>
    <x:definedName name="elec_va">'Levers'!$E$94</x:definedName>
    <x:definedName name="roy_rate">'Levers'!$E$95</x:definedName>
    <x:definedName name="uw_fee">'Levers'!$E$96</x:definedName>
    <x:definedName name="oil_book">'Levers'!$E$97</x:definedName>
    <x:definedName name="ret_rail">'Levers'!$E$98</x:definedName>
    <x:definedName name="ret_tel">'Levers'!$E$99</x:definedName>
    <x:definedName name="ret_elec">'Levers'!$E$100</x:definedName>
    <x:definedName name="ret_auto">'Levers'!$E$101</x:definedName>
    <x:definedName name="ret_chem">'Levers'!$E$102</x:definedName>
    <x:definedName name="ret_steel">'Levers'!$E$103</x:definedName>
    <x:definedName name="champ_profit">'Levers'!$E$104</x:definedName>
    <x:definedName name="crown_charter">'Levers'!$E$105</x:definedName>
    <x:definedName name="crown_comp">'Levers'!$E$106</x:definedName>
    <x:definedName name="crown_payout">'Levers'!$E$107</x:definedName>
    <x:definedName name="crown_start">'Levers'!$E$108</x:definedName>
    <x:definedName name="mig_endo">'Levers'!$E$110</x:definedName>
    <x:definedName name="talent_start">'Levers'!$E$111</x:definedName>
    <x:definedName name="gap_base">'Levers'!$E$112</x:definedName>
    <x:definedName name="union_skill_share">'Levers'!$E$113</x:definedName>
    <x:definedName name="talent_rate_u">'Levers'!$E$114</x:definedName>
    <x:definedName name="talent_share_o">'Levers'!$E$115</x:definedName>
    <x:definedName name="entry_cap">'Levers'!$E$116</x:definedName>
    <x:definedName name="family_mult">'Levers'!$E$117</x:definedName>
    <x:definedName name="chain_rate">'Levers'!$E$118</x:definedName>
    <x:definedName name="skill_rel">'Levers'!$E$119</x:definedName>
    <x:definedName name="skill_spill">'Levers'!$E$120</x:definedName>
    <x:definedName name="skill_ret">'Levers'!$E$121</x:definedName>
    <x:definedName name="skill_base_share">'Levers'!$E$122</x:definedName>
    <x:definedName name="talent_champ">'Levers'!$E$123</x:definedName>
    <x:definedName name="lf_rate">'Levers'!$E$124</x:definedName>
    <x:definedName name="job_mult">'Levers'!$E$125</x:definedName>
    <x:definedName name="job_fill">'Levers'!$E$126</x:definedName>
    <x:definedName name="job_return">'Levers'!$E$127</x:definedName>
    <x:definedName name="job_family">'Levers'!$E$128</x:definedName>
    <x:definedName name="union_disp">'Levers'!$E$129</x:definedName>
    <x:definedName name="union_reabsorb">'Levers'!$E$130</x:definedName>
    <x:definedName name="pac_u_base">'Levers'!$E$131</x:definedName>
    <x:definedName name="pac_u_war">'Levers'!$E$132</x:definedName>
    <x:definedName name="okun">'Levers'!$E$133</x:definedName>
    <x:definedName name="talent_cost">'Levers'!$E$134</x:definedName>
    <x:definedName name="div_on">'Levers'!$E$136</x:definedName>
    <x:definedName name="div_start">'Levers'!$E$137</x:definedName>
    <x:definedName name="div_rate">'Levers'!$E$138</x:definedName>
    <x:definedName name="div_max">'Levers'!$E$139</x:definedName>
    <x:definedName name="div_rel">'Levers'!$E$140</x:definedName>
    <x:definedName name="div_assim">'Levers'!$E$141</x:definedName>
    <x:definedName name="union_nat">'Levers'!$E$142</x:definedName>
    <x:definedName name="bd_growth">'Levers'!$E$143</x:definedName>
    <x:definedName name="tg_k">'Levers'!$E$144</x:definedName>
    <x:definedName name="gw_union">'Levers'!$E$145</x:definedName>
    <x:definedName name="conv_beta">'Levers'!$E$147</x:definedName>
    <x:definedName name="conv_cap">'Levers'!$E$148</x:definedName>
    <x:definedName name="mkt_elast">'Levers'!$E$149</x:definedName>
    <x:definedName name="mkt_cap">'Levers'!$E$150</x:definedName>
    <x:definedName name="union_resp">'Levers'!$E$152</x:definedName>
    <x:definedName name="resp_start">'Levers'!$E$153</x:definedName>
    <x:definedName name="resp_full">'Levers'!$E$154</x:definedName>
    <x:definedName name="bd_keep">'Levers'!$E$155</x:definedName>
    <x:definedName name="eu_comp">'Levers'!$E$156</x:definedName>
    <x:definedName name="div_comp">'Levers'!$E$157</x:definedName>
    <x:definedName name="emu_g">'Levers'!$E$158</x:definedName>
    <x:definedName name="mkt_cut">'Levers'!$E$159</x:definedName>
    <x:definedName name="lic_cut">'Levers'!$E$160</x:definedName>
    <x:definedName name="tariff_cut">'Levers'!$E$161</x:definedName>
    <x:definedName name="talent_share_a">'Levers'!$E$162</x:definedName>
    <x:definedName name="gw_on">'Levers'!$E$164</x:definedName>
    <x:definedName name="gw_start">'Levers'!$E$165</x:definedName>
    <x:definedName name="gw_cover">'Levers'!$E$166</x:definedName>
    <x:definedName name="gw_gen">'Levers'!$E$167</x:definedName>
    <x:definedName name="gw_cap">'Levers'!$E$168</x:definedName>
    <x:definedName name="gw_adj">'Levers'!$E$169</x:definedName>
    <x:definedName name="gw_term">'Levers'!$E$170</x:definedName>
    <x:definedName name="gw_slump">'Levers'!$E$171</x:definedName>
    <x:definedName name="gw_conv">'Levers'!$E$172</x:definedName>
    <x:definedName name="gw_conv_family">'Levers'!$E$173</x:definedName>
    <x:definedName name="gw_asian">'Levers'!$E$174</x:definedName>
    <x:definedName name="gw_rel">'Levers'!$E$175</x:definedName>
    <x:definedName name="gw_wage_share">'Levers'!$E$176</x:definedName>
    <x:definedName name="gw_levy">'Levers'!$E$177</x:definedName>
    <x:definedName name="gw_remit">'Levers'!$E$178</x:definedName>
    <x:definedName name="gw_admin">'Levers'!$E$179</x:definedName>
    <x:definedName name="jp_uplift">'Levers'!$E$181</x:definedName>
    <x:definedName name="jp_coupon">'Levers'!$E$182</x:definedName>
    <x:definedName name="jp_foreign_repay">'Levers'!$E$183</x:definedName>
    <x:definedName name="cap_def">'Levers'!$E$185</x:definedName>
    <x:definedName name="cap_int">'Levers'!$E$186</x:definedName>
    <x:definedName name="cap_debt">'Levers'!$E$187</x:definedName>
  </x:definedNames>
</x:workbook>
</file>

<file path=xl/comments1.xml><?xml version="1.0" encoding="utf-8"?>
<x:comments xmlns:x="http://schemas.openxmlformats.org/spreadsheetml/2006/main">
  <x:authors>
    <x:author>Model</x:author>
  </x:authors>
  <x:commentList>
    <x:comment ref="B5" authorId="0">
      <x:text>
        <x:r>
          <x:t>Gold-dollar price level, 1913 = 1.00. Built from the US GDP deflator (Johnston &amp; Williamson, MeasuringWorth) restated on a gold basis for 1862-78, plus a California gold-rush premium of about +60% in 1849 fading out by 1856 (prices in San Francisco ran far above the East). Anchors: 1846: 0.74, 1848: 0.74, 1849: 1.18, 1850: 1.1, 1851: 1.02, 1852: 1.0, 1853: 0.99, 1854: 0.97, 1855: 0.95, 1857: 0.92, 1860: 0.88, 1862: 0.88, 1865: 0.95, 1870: 0.95, 1875: 0.88, 1880: 0.8, 1885: 0.74, 1890: 0.73, 1896: 0.68, 1900: 0.76, 1905: 0.82, 1910: 0.94, 1913: 1.0, 1914: 1.01, 1915: 1.04, 1916: 1.17, 1917: 1.42, 1918: 1.66, 1919: 1.83, 1920: 2.05, 1921: 1.7, 1922: 1.58, 1923: 1.62, 1924: 1.62, 1925: 1.65, 1926: 1.62, 1927: 1.58, 1928: 1.6, 1929: 1.6, 1930: 1.53, 1931: 1.37, 1932: 1.22</x:t>
        </x:r>
      </x:text>
    </x:comment>
    <x:comment ref="C5" authorId="0">
      <x:text>
        <x:r>
          <x:t>Births minus deaths per resident. Low in the male-heavy gold-rush years, rising as the women's and family programmes even out the sex ratio; 1918 influenza dip. Model estimate.</x:t>
        </x:r>
      </x:text>
    </x:comment>
    <x:comment ref="D5" authorId="0">
      <x:text>
        <x:r>
          <x:t>Residents who join Pacifica with territory: 1856 Hawaii (Confederation); 1862 Northwest, Arizona and New Mexico; 1863 Deseret, Idaho and Montana camps; 1864 Washoe retaken; 1865 Western Slope and SW Wyoming; 1867 Alaska and Baja. Sizes follow the 1860 census and the old model's interior sheet.</x:t>
        </x:r>
      </x:text>
    </x:comment>
    <x:comment ref="E5" authorId="0">
      <x:text>
        <x:r>
          <x:t>Gold rush 1848-55; Civil War deserters and Europeans; 1866-72 demobilized engineers and veterans (§13); 1873-87 laid-off Union workers after the Panic of 1873 (§13); from 1888 skilled and sponsored-family entry only (§25).</x:t>
        </x:r>
      </x:text>
    </x:comment>
    <x:comment ref="F5" authorId="0">
      <x:text>
        <x:r>
          <x:t>No exclusion act in Pacifica. 1868 treaty family-emigration article (§14); Hakka families lead (§15); the Asian family programme continues after 1888 (§25).</x:t>
        </x:r>
      </x:text>
    </x:comment>
    <x:comment ref="G5" authorId="0">
      <x:text>
        <x:r>
          <x:t>Wakamatsu colony 1869 (§15); emigration opens 1885; 1907 compact secures family immigration and civic equality (§26).</x:t>
        </x:r>
      </x:text>
    </x:comment>
    <x:comment ref="H5" authorId="0">
      <x:text>
        <x:r>
          <x:t>Reformers and families after 1876, mainly to Arizona and New Mexico; large flows once the insurgency ebbs (§15).</x:t>
        </x:r>
      </x:text>
    </x:comment>
    <x:comment ref="I5" authorId="0">
      <x:text>
        <x:r>
          <x:t>Share of arrivals who leave again; high in the gold rush.</x:t>
        </x:r>
      </x:text>
    </x:comment>
    <x:comment ref="J5" authorId="0">
      <x:text>
        <x:r>
          <x:t>Assisted passage for women and families from 1852; narrower after the 1888 selective-entry law.</x:t>
        </x:r>
      </x:text>
    </x:comment>
    <x:comment ref="K5" authorId="0">
      <x:text>
        <x:r>
          <x:t>Separate crown or protectorate (§15). Not part of core Pacifica's economy or budget.</x:t>
        </x:r>
      </x:text>
    </x:comment>
    <x:comment ref="L5" authorId="0">
      <x:text>
        <x:r>
          <x:t>Annual growth of real non-mining output per resident (held until the next anchor). Gold-rush services boom, Civil War, industrial programme, then slower growth after 1913. Stress case multiplies growth from 1896 by the productivity lever. Model estimate.</x:t>
        </x:r>
      </x:text>
    </x:comment>
    <x:comment ref="M5" authorId="0">
      <x:text>
        <x:r>
          <x:t>Output relative to trend in slump years: 1857, 1873-77, 1884-85, 1893-96, 1907-08, 1914, 1921-22 and 1930-32. The story case keeps 1932 about 14% below trend (the US fell about 27%), because Pacifica keeps its market open and its central bank acts. Stress case deepens 1930-32.</x:t>
        </x:r>
      </x:text>
    </x:comment>
    <x:comment ref="N5" authorId="0">
      <x:text>
        <x:r>
          <x:t>Old model 25-30%; falls as home industry grows.</x:t>
        </x:r>
      </x:text>
    </x:comment>
    <x:comment ref="O5" authorId="0">
      <x:text>
        <x:r>
          <x:t>8% under the Republic, 12% from the 1852 constitution (old model).</x:t>
        </x:r>
      </x:text>
    </x:comment>
    <x:comment ref="P5" authorId="0">
      <x:text>
        <x:r>
          <x:t>Rises with the 1855 Defense Law, the Civil War (9%), the 1915-20 war levies (10%) and the 1927 common taxes (§33).</x:t>
        </x:r>
      </x:text>
    </x:comment>
    <x:comment ref="Q5" authorId="0">
      <x:text>
        <x:r>
          <x:t>Old model: 85%, lower in the slump.</x:t>
        </x:r>
      </x:text>
    </x:comment>
    <x:comment ref="R5" authorId="0">
      <x:text>
        <x:r>
          <x:t>Telegraph, cable, power and railway dividends paid to the Treasury. Model estimate.</x:t>
        </x:r>
      </x:text>
    </x:comment>
    <x:comment ref="S5" authorId="0">
      <x:text>
        <x:r>
          <x:t>Opens 1901 (canon: about 1900-02). Historical Panama tolls were $27m in 1929.</x:t>
        </x:r>
      </x:text>
    </x:comment>
    <x:comment ref="T5" authorId="0">
      <x:text>
        <x:r>
          <x:t>Courts, schools, examinations, statistics, health.</x:t>
        </x:r>
      </x:text>
    </x:comment>
    <x:comment ref="U5" authorId="0">
      <x:text>
        <x:r>
          <x:t>Railways, irrigation, ports, power. Raised in 1930-32 to keep skills employed.</x:t>
        </x:r>
      </x:text>
    </x:comment>
    <x:comment ref="V5" authorId="0">
      <x:text>
        <x:r>
          <x:t>Polytechnic, institutes, testing stations, state works. The named oil, turbine and electrical programmes are added on top as Events.</x:t>
        </x:r>
      </x:text>
    </x:comment>
    <x:comment ref="W5" authorId="0">
      <x:text>
        <x:r>
          <x:t>1861: about 20,000 regulars rising to a wartime peak (§9). Siberian contingent is costed separately in Events.</x:t>
        </x:r>
      </x:text>
    </x:comment>
    <x:comment ref="X5" authorId="0">
      <x:text>
        <x:r>
          <x:t>About 90,000 trained reservists in 1861 (§9).</x:t>
        </x:r>
      </x:text>
    </x:comment>
    <x:comment ref="Y5" authorId="0">
      <x:text>
        <x:r>
          <x:t>Falls as Pacifica's credit improves after 1895.</x:t>
        </x:r>
      </x:text>
    </x:comment>
    <x:comment ref="Z5" authorId="0">
      <x:text>
        <x:r>
          <x:t>1923 funding: Britain's gold-dollar debt over 62 years at reduced interest (§30).</x:t>
        </x:r>
      </x:text>
    </x:comment>
    <x:comment ref="AA5" authorId="0">
      <x:text>
        <x:r>
          <x:t>None during the war years; 1/62 a year from 1923; moratorium 1931-32.</x:t>
        </x:r>
      </x:text>
    </x:comment>
    <x:comment ref="AB5" authorId="0">
      <x:text>
        <x:r>
          <x:t>Hoover's moratorium on war debts, June 1931 (§34).</x:t>
        </x:r>
      </x:text>
    </x:comment>
    <x:comment ref="AC5" authorId="0">
      <x:text>
        <x:r>
          <x:t>Years exempt from the 4% peacetime ceiling: 1861-65, 1870-71, 1914-22.</x:t>
        </x:r>
      </x:text>
    </x:comment>
    <x:comment ref="AD5" authorId="0">
      <x:text>
        <x:r>
          <x:t>Central-bank and treasury gold plus coin, rough historical totals. Used only for Pacifica's share.</x:t>
        </x:r>
      </x:text>
    </x:comment>
  </x:commentList>
</x:comments>
</file>

<file path=xl/comments2.xml><?xml version="1.0" encoding="utf-8"?>
<x:comments xmlns:x="http://schemas.openxmlformats.org/spreadsheetml/2006/main">
  <x:authors>
    <x:author>Model</x:author>
  </x:authors>
  <x:commentList>
    <x:comment ref="J5" authorId="0">
      <x:text>
        <x:r>
          <x:t>Skilled migrants, their families, relatives and workers for new jobs (Labour sheet, CR-020 B10).</x:t>
        </x:r>
      </x:text>
    </x:comment>
    <x:comment ref="N5" authorId="0">
      <x:text>
        <x:r>
          <x:t>Arrivals who stay plus their descendants (same natural increase as everyone).</x:t>
        </x:r>
      </x:text>
    </x:comment>
    <x:comment ref="S5" authorId="0">
      <x:text>
        <x:r>
          <x:t>The pool from which Hapa families grow (§15).</x:t>
        </x:r>
      </x:text>
    </x:comment>
  </x:commentList>
</x:comments>
</file>

<file path=xl/comments3.xml><?xml version="1.0" encoding="utf-8"?>
<x:comments xmlns:x="http://schemas.openxmlformats.org/spreadsheetml/2006/main">
  <x:authors>
    <x:author>Model</x:author>
  </x:authors>
  <x:commentList>
    <x:comment ref="D5" authorId="0">
      <x:text>
        <x:r>
          <x:t>Last year's development investment as a share of GDP, times its social return (CR-020 B8).</x:t>
        </x:r>
      </x:text>
    </x:comment>
    <x:comment ref="H5" authorId="0">
      <x:text>
        <x:r>
          <x:t>The Paths price level, except that from 1930 Pacifica suffers only part of the US price fall (Levers, CR-020).</x:t>
        </x:r>
      </x:text>
    </x:comment>
    <x:comment ref="L5" authorId="0">
      <x:text>
        <x:r>
          <x:t>CR-020 B11: guest workers, at a fraction of the average resident worker's output.</x:t>
        </x:r>
      </x:text>
    </x:comment>
    <x:comment ref="M5" authorId="0">
      <x:text>
        <x:r>
          <x:t>CR-020 B9: the industries the Polytechnic seeds, beyond what the trend path already holds (Champions sheet).</x:t>
        </x:r>
      </x:text>
    </x:comment>
    <x:comment ref="N5" authorId="0">
      <x:text>
        <x:r>
          <x:t>Zero unless the Gulf switch on Levers is on and the year has come.</x:t>
        </x:r>
      </x:text>
    </x:comment>
    <x:comment ref="O5" authorId="0">
      <x:text>
        <x:r>
          <x:t>California, Hawaii, the Northwest, the interior, Alaska and Baja, plus the Gulf once it joins. Excludes the Philippine crown, Formosa and all partners.</x:t>
        </x:r>
      </x:text>
    </x:comment>
    <x:comment ref="P5" authorId="0">
      <x:text>
        <x:r>
          <x:t>Everyone present, guest workers included, so their output does not flatter the figure.</x:t>
        </x:r>
      </x:text>
    </x:comment>
    <x:comment ref="Q5" authorId="0">
      <x:text>
        <x:r>
          <x:t>Historical US GDP per person, current dollars, gold basis for 1862-78 (MeasuringWorth). Used only as a benchmark: historical California ran at about 1.4x the US average in 1929, the whole West at about 1.25x.</x:t>
        </x:r>
      </x:text>
    </x:comment>
  </x:commentList>
</x:comments>
</file>

<file path=xl/comments4.xml><?xml version="1.0" encoding="utf-8"?>
<x:comments xmlns:x="http://schemas.openxmlformats.org/spreadsheetml/2006/main">
  <x:authors>
    <x:author>Model</x:author>
  </x:authors>
  <x:commentList>
    <x:comment ref="B5" authorId="0">
      <x:text>
        <x:r>
          <x:t>Historical California output (the spring 1848 find matches the historical timing).</x:t>
        </x:r>
      </x:text>
    </x:comment>
    <x:comment ref="C5" authorId="0">
      <x:text>
        <x:r>
          <x:t>Comstock (Washoe retaken 1863-64), Idaho and Montana camps, Utah silver, San Juan mines. Counted only once the territory is Pacifican.</x:t>
        </x:r>
      </x:text>
    </x:comment>
    <x:comment ref="D5" authorId="0">
      <x:text>
        <x:r>
          <x:t>Tonopah 1900-01, Goldfield 1902: historical Nevada output, Pacifican in this timeline (CR-021 H).</x:t>
        </x:r>
      </x:text>
    </x:comment>
    <x:comment ref="E5" authorId="0">
      <x:text>
        <x:r>
          <x:t>Juneau from 1880, Nome 1899, Fairbanks 1903 (historical Alaska).</x:t>
        </x:r>
      </x:text>
    </x:comment>
    <x:comment ref="F5" authorId="0">
      <x:text>
        <x:r>
          <x:t>Butte (Pacific side of the divide), Arizona, Bingham and Nevada copper, plus Hawaiian bauxite later. Historical values, rounded.</x:t>
        </x:r>
      </x:text>
    </x:comment>
    <x:comment ref="G5" authorId="0">
      <x:text>
        <x:r>
          <x:t>Unsan and other mines under the Pacifican guarantee; historically an American concession from 1897 (CR-021 H). Not Pacifican GDP.</x:t>
        </x:r>
      </x:text>
    </x:comment>
    <x:comment ref="H5" authorId="0">
      <x:text>
        <x:r>
          <x:t>Found 1926-28; worked with free labour and Pacifican dredges, not the Soviet camps of history (CR-021 H). Not Pacifican GDP.</x:t>
        </x:r>
      </x:text>
    </x:comment>
    <x:comment ref="I5" authorId="0">
      <x:text>
        <x:r>
          <x:t>Approved oil programme: Pico Canyon 1876; Los Angeles and Kern fields found about 1885-88 instead of 1892 and 1899, so output runs about seven years ahead of history until 1910, then follows history (300m barrels in 1929).</x:t>
        </x:r>
      </x:text>
    </x:comment>
    <x:comment ref="J5" authorId="0">
      <x:text>
        <x:r>
          <x:t>California crude at the well, gold dollars.</x:t>
        </x:r>
      </x:text>
    </x:comment>
    <x:comment ref="K5" authorId="0">
      <x:text>
        <x:r>
          <x:t>Cut under the oil compact from 1931 (Levers, CR-020).</x:t>
        </x:r>
      </x:text>
    </x:comment>
    <x:comment ref="O5" authorId="0">
      <x:text>
        <x:r>
          <x:t>Gross output less fuel, explosives and other bought inputs.</x:t>
        </x:r>
      </x:text>
    </x:comment>
    <x:comment ref="P5" authorId="0">
      <x:text>
        <x:r>
          <x:t>5% royalty, 90% collected.</x:t>
        </x:r>
      </x:text>
    </x:comment>
    <x:comment ref="R5" authorId="0">
      <x:text>
        <x:r>
          <x:t>Home output times the retained share, plus concession gold sold to the Reserve Bank. Feeds the Gold &amp; money sheet.</x:t>
        </x:r>
      </x:text>
    </x:comment>
  </x:commentList>
</x:comments>
</file>

<file path=xl/comments5.xml><?xml version="1.0" encoding="utf-8"?>
<x:comments xmlns:x="http://schemas.openxmlformats.org/spreadsheetml/2006/main">
  <x:authors>
    <x:author>Model</x:author>
  </x:authors>
  <x:commentList>
    <x:comment ref="AC5" authorId="0">
      <x:text>
        <x:r>
          <x:t>Compared with the 4% peacetime ceiling on Checks.</x:t>
        </x:r>
      </x:text>
    </x:comment>
  </x:commentList>
</x:comments>
</file>

<file path=xl/comments6.xml><?xml version="1.0" encoding="utf-8"?>
<x:comments xmlns:x="http://schemas.openxmlformats.org/spreadsheetml/2006/main">
  <x:authors>
    <x:author>Model</x:author>
  </x:authors>
  <x:commentList>
    <x:comment ref="I5" authorId="0">
      <x:text>
        <x:r>
          <x:t>CR-020 B8: the first call on any surplus. Productive public investment that raises output growth the following year (see Economy).</x:t>
        </x:r>
      </x:text>
    </x:comment>
    <x:comment ref="J5" authorId="0">
      <x:text>
        <x:r>
          <x:t>The Reserve Fund keeps a crisis buffer; the rest is invested by the Development Fund.</x:t>
        </x:r>
      </x:text>
    </x:comment>
    <x:comment ref="N5" authorId="0">
      <x:text>
        <x:r>
          <x:t>Surplus share + reserve above the buffer + development bonds + infrastructure Events marked Investment (cables, harbour works). Drives the growth boost on Economy.</x:t>
        </x:r>
      </x:text>
    </x:comment>
    <x:comment ref="O5" authorId="0">
      <x:text>
        <x:r>
          <x:t>Cumulative development investment less wear-out. For reference only.</x:t>
        </x:r>
      </x:text>
    </x:comment>
    <x:comment ref="Q5" authorId="0">
      <x:text>
        <x:r>
          <x:t>OPEN-020-06: from 1887 the Treasury keeps bonds in issue up to the standing-debt share of GDP, so the Reserve Bank has securities to work with. The proceeds go into the Reserve Fund.</x:t>
        </x:r>
      </x:text>
    </x:comment>
    <x:comment ref="S5" authorId="0">
      <x:text>
        <x:r>
          <x:t>Surpluses not used to repay debt are invested in partner and Union gold bonds. Drawn first when cash runs short. Model mechanism.</x:t>
        </x:r>
      </x:text>
    </x:comment>
    <x:comment ref="U5" authorId="0">
      <x:text>
        <x:r>
          <x:t>Negative means the state is a net creditor.</x:t>
        </x:r>
      </x:text>
    </x:comment>
    <x:comment ref="Y5" authorId="0">
      <x:text>
        <x:r>
          <x:t>New bonds less those bought by the Reserve Bank.</x:t>
        </x:r>
      </x:text>
    </x:comment>
  </x:commentList>
</x:comments>
</file>

<file path=xl/comments7.xml><?xml version="1.0" encoding="utf-8"?>
<x:comments xmlns:x="http://schemas.openxmlformats.org/spreadsheetml/2006/main">
  <x:authors>
    <x:author>Model</x:author>
  </x:authors>
  <x:commentList>
    <x:comment ref="B5" authorId="0">
      <x:text>
        <x:r>
          <x:t>Pacifican firms and savers buying factories, refineries, mills and bonds in Japan, China, the Philippines, the Gulf and Siberia (CR-020 B4). Model estimate.</x:t>
        </x:r>
      </x:text>
    </x:comment>
    <x:comment ref="G5" authorId="0">
      <x:text>
        <x:r>
          <x:t>Russia's default on its Entente share in 1918; defaults and write-downs in 1931-32.</x:t>
        </x:r>
      </x:text>
    </x:comment>
    <x:comment ref="N5" authorId="0">
      <x:text>
        <x:r>
          <x:t>Goes to the Budget sheet.</x:t>
        </x:r>
      </x:text>
    </x:comment>
    <x:comment ref="P5" authorId="0">
      <x:text>
        <x:r>
          <x:t>Less what guest workers send home.</x:t>
        </x:r>
      </x:text>
    </x:comment>
  </x:commentList>
</x:comments>
</file>

<file path=xl/comments8.xml><?xml version="1.0" encoding="utf-8"?>
<x:comments xmlns:x="http://schemas.openxmlformats.org/spreadsheetml/2006/main">
  <x:authors>
    <x:author>Model</x:author>
  </x:authors>
  <x:commentList>
    <x:comment ref="B5" authorId="0">
      <x:text>
        <x:r>
          <x:t>The champions' scale lever, raised by the extra talent the migration loop brings (B10) and by richer markets abroad (B15), less Union tariffs (B13).</x:t>
        </x:r>
      </x:text>
    </x:comment>
    <x:comment ref="C5" authorId="0">
      <x:text>
        <x:r>
          <x:t>The Polytechnic system (Berkeley, Pasadena, Honolulu, Seattle and the technical high schools). Model estimate.</x:t>
        </x:r>
      </x:text>
    </x:comment>
    <x:comment ref="D5" authorId="0">
      <x:text>
        <x:r>
          <x:t>Chairs, laboratories and citizenship offered to the best of Europe and Asia; the post-1918 exodus from central Europe. Model estimate.</x:t>
        </x:r>
      </x:text>
    </x:comment>
    <x:comment ref="F5" authorId="0">
      <x:text>
        <x:r>
          <x:t>The story path times the champions' effective scale: fewer in the stress case, more as talent migrants arrive.</x:t>
        </x:r>
      </x:text>
    </x:comment>
    <x:comment ref="H5" authorId="0">
      <x:text>
        <x:r>
          <x:t>US Patent Office grants / population.</x:t>
        </x:r>
      </x:text>
    </x:comment>
    <x:comment ref="L5" authorId="0">
      <x:text>
        <x:r>
          <x:t>Spindletop 1901, then Oklahoma and East Texas. Historical Texas, Louisiana and Oklahoma output, rounded.</x:t>
        </x:r>
      </x:text>
    </x:comment>
    <x:comment ref="M5" authorId="0">
      <x:text>
        <x:r>
          <x:t>Pacifican capital gets to Spindletop before Pittsburgh and New York; Standard Oil is shut out of the Gulf by its antitrust laws.</x:t>
        </x:r>
      </x:text>
    </x:comment>
    <x:comment ref="N5" authorId="0">
      <x:text>
        <x:r>
          <x:t>The 'oil for the lamps of China' trade that Standard Oil built historically, taken by the Pacifican trust from San Francisco.</x:t>
        </x:r>
      </x:text>
    </x:comment>
    <x:comment ref="P5" authorId="0">
      <x:text>
        <x:r>
          <x:t>The Gulf part becomes domestic (inside Gulf GDP) once the Gulf joins.</x:t>
        </x:r>
      </x:text>
    </x:comment>
    <x:comment ref="R5" authorId="0">
      <x:text>
        <x:r>
          <x:t>Utah and Washington coal, Eagle Mountain and Philippine ore, Pacific hydropower for electric furnaces. The Union made 57 Mt in 1929 historically.</x:t>
        </x:r>
      </x:text>
    </x:comment>
    <x:comment ref="U5" authorId="0">
      <x:text>
        <x:r>
          <x:t>The moving assembly line comes from the Polytechnic's production-engineering school in 1911. The world built 6.3m vehicles in 1929.</x:t>
        </x:r>
      </x:text>
    </x:comment>
    <x:comment ref="X5" authorId="0">
      <x:text>
        <x:r>
          <x:t>Rough historical world output; the war years reflect munitions.</x:t>
        </x:r>
      </x:text>
    </x:comment>
    <x:comment ref="Y5" authorId="0">
      <x:text>
        <x:r>
          <x:t>From Giant Powder's dynamite licence (San Francisco, 1867) to dyes, drugs and plastics.</x:t>
        </x:r>
      </x:text>
    </x:comment>
    <x:comment ref="AB5" authorId="0">
      <x:text>
        <x:r>
          <x:t>Less once the Union imposes compulsory licensing (CR-020 B13).</x:t>
        </x:r>
      </x:text>
    </x:comment>
    <x:comment ref="AE5" authorId="0">
      <x:text>
        <x:r>
          <x:t>Pacifica, Japan, Korea, China's treaty ports, the Philippines, Siam, the Gulf, Latin America's Pacific coast, Siberia, Persia's oil fields.</x:t>
        </x:r>
      </x:text>
    </x:comment>
    <x:comment ref="AG5" authorId="0">
      <x:text>
        <x:r>
          <x:t>Fees on equipment made by others to Pacifican patents.</x:t>
        </x:r>
      </x:text>
    </x:comment>
    <x:comment ref="AH5" authorId="0">
      <x:text>
        <x:r>
          <x:t>A Pacifican Western Union, the trans-Pacific cables, Federal Telegraph's arc radio (Palo Alto, 1909) and de Forest's amplifier.</x:t>
        </x:r>
      </x:text>
    </x:comment>
    <x:comment ref="AJ5" authorId="0">
      <x:text>
        <x:r>
          <x:t>The trans-Pacific liner conference, the canal route, Yangtze and coastal China.</x:t>
        </x:r>
      </x:text>
    </x:comment>
    <x:comment ref="AL5" authorId="0">
      <x:text>
        <x:r>
          <x:t>Japan's war loans of 1904-05, China, Russia, Latin America, the Entente, the 1924 German loan.</x:t>
        </x:r>
      </x:text>
    </x:comment>
    <x:comment ref="AN5" authorId="0">
      <x:text>
        <x:r>
          <x:t>Edison's patent trust has no force in Pacifica; sound patents from the electrical programme.</x:t>
        </x:r>
      </x:text>
    </x:comment>
    <x:comment ref="AO5" authorId="0">
      <x:text>
        <x:r>
          <x:t>Hawaiian bauxite and hydropower; Douglas, Lockheed and Boeing are Pacifican.</x:t>
        </x:r>
      </x:text>
    </x:comment>
    <x:comment ref="AQ5" authorId="0">
      <x:text>
        <x:r>
          <x:t>Only the champions' productivity premium over an average job, plus cluster spillovers: their workers are residents, already counted on Economy (CR-020 B10).</x:t>
        </x:r>
      </x:text>
    </x:comment>
    <x:comment ref="AS5" authorId="0">
      <x:text>
        <x:r>
          <x:t>China's trunk lines, Korea, Mexico's west coast, Central America, Peru and Chile, Siam, the Siberian lines after 1921.</x:t>
        </x:r>
      </x:text>
    </x:comment>
    <x:comment ref="AT5" authorId="0">
      <x:text>
        <x:r>
          <x:t>Chinese, Siamese and Latin American telegraph concessions; the cables to Asia and Australia.</x:t>
        </x:r>
      </x:text>
    </x:comment>
    <x:comment ref="AX5" authorId="0">
      <x:text>
        <x:r>
          <x:t>Philippine and Chilean ore, a share in Hanyang's mills, and from 1901 Carnegie Steel itself: Pacifica Steel, the first billion-dollar company (OPEN-020-13).</x:t>
        </x:r>
      </x:text>
    </x:comment>
    <x:comment ref="AZ5" authorId="0">
      <x:text>
        <x:r>
          <x:t>Oil, the yields on the other concessions, and royalties and licence fees. Goes to Abroad.</x:t>
        </x:r>
      </x:text>
    </x:comment>
    <x:comment ref="BB5" authorId="0">
      <x:text>
        <x:r>
          <x:t>Oil, rail and port concessions, telegraph and cable, power companies, shipping on the canal route: where the state grants something scarce.</x:t>
        </x:r>
      </x:text>
    </x:comment>
    <x:comment ref="BC5" authorId="0">
      <x:text>
        <x:r>
          <x:t>Steel, cars, chemicals, electrical equipment, film, aluminium and aircraft. Banking pays the Crown nothing: the Reserve Bank regulates it instead.</x:t>
        </x:r>
      </x:text>
    </x:comment>
    <x:comment ref="BD5" authorId="0">
      <x:text>
        <x:r>
          <x:t>OPEN-020-10 decided: 25% equity where the state grants a charter or concession, a golden share and 8% in competitive industries licensed Polytechnic patents. Goes to Budget.</x:t>
        </x:r>
      </x:text>
    </x:comment>
  </x:commentList>
</x:comments>
</file>

<file path=xl/comments9.xml><?xml version="1.0" encoding="utf-8"?>
<x:comments xmlns:x="http://schemas.openxmlformats.org/spreadsheetml/2006/main">
  <x:authors>
    <x:author>Model</x:author>
  </x:authors>
  <x:commentList>
    <x:comment ref="C5" authorId="0">
      <x:text>
        <x:r>
          <x:t>Residents and guest workers together.</x:t>
        </x:r>
      </x:text>
    </x:comment>
    <x:comment ref="D5" authorId="0">
      <x:text>
        <x:r>
          <x:t>Value added at home / (output per worker × the champions' productivity premium).</x:t>
        </x:r>
      </x:text>
    </x:comment>
    <x:comment ref="I5" authorId="0">
      <x:text>
        <x:r>
          <x:t>Residents' unemployment: a low frictional rate in a labour-short economy (lower again in war years), plus half the shortfall of output below trend (Okun's rule), less the jobs guest workers vacate when their permits are not renewed.</x:t>
        </x:r>
      </x:text>
    </x:comment>
    <x:comment ref="J5" authorId="0">
      <x:text>
        <x:r>
          <x:t>A share of the champion-related jobs, plus construction, docks, farms and domestic work; capped by the statutory quota.</x:t>
        </x:r>
      </x:text>
    </x:comment>
    <x:comment ref="K5" authorId="0">
      <x:text>
        <x:r>
          <x:t>After six years and a trade test, a permit can become residence; the family follows.</x:t>
        </x:r>
      </x:text>
    </x:comment>
    <x:comment ref="L5" authorId="0">
      <x:text>
        <x:r>
          <x:t>Permits adjust toward demand each year. In any slump a share is not renewed, in proportion to how far output falls below trend: the slump is partly exported.</x:t>
        </x:r>
      </x:text>
    </x:comment>
    <x:comment ref="M5" authorId="0">
      <x:text>
        <x:r>
          <x:t>New workers plus replacements for those whose contracts end.</x:t>
        </x:r>
      </x:text>
    </x:comment>
    <x:comment ref="Q5" authorId="0">
      <x:text>
        <x:r>
          <x:t>Singapore-style: employers pay a levy per permit, so a guest worker costs about as much as a resident. Goes to Budget.</x:t>
        </x:r>
      </x:text>
    </x:comment>
    <x:comment ref="R5" authorId="0">
      <x:text>
        <x:r>
          <x:t>Leaves national income (Abroad sheet).</x:t>
        </x:r>
      </x:text>
    </x:comment>
    <x:comment ref="S5" authorId="0">
      <x:text>
        <x:r>
          <x:t>CR-020 B13: after Whitney's single term, Roosevelt's 'national efficiency' campaign answers the brain drain from 1903; fully in force by 1910.</x:t>
        </x:r>
      </x:text>
    </x:comment>
    <x:comment ref="U5" authorId="0">
      <x:text>
        <x:r>
          <x:t>The People sheet's arrival paths were set when Pacifica led the US by about 1.5 times. Only the lead beyond that draws extra people.</x:t>
        </x:r>
      </x:text>
    </x:comment>
    <x:comment ref="V5" authorId="0">
      <x:text>
        <x:r>
          <x:t>The World sheet's Union, interpolated.</x:t>
        </x:r>
      </x:text>
    </x:comment>
    <x:comment ref="W5" authorId="0">
      <x:text>
        <x:r>
          <x:t>Engineers, chemists, doctors, skilled machinists and tradesmen.</x:t>
        </x:r>
      </x:text>
    </x:comment>
    <x:comment ref="X5" authorId="0">
      <x:text>
        <x:r>
          <x:t>Rough: about a tenth of the great European emigration, and the 1919-25 exodus from central Europe.</x:t>
        </x:r>
      </x:text>
    </x:comment>
    <x:comment ref="Y5" authorId="0">
      <x:text>
        <x:r>
          <x:t>Cut to a third once the Union responds: its own laboratories and chairs, scholarship bonds, taxing citizens abroad.</x:t>
        </x:r>
      </x:text>
    </x:comment>
    <x:comment ref="Z5" authorId="0">
      <x:text>
        <x:r>
          <x:t>The Union, three thousand miles closer to Europe, competes for the same scientists once it responds.</x:t>
        </x:r>
      </x:text>
    </x:comment>
    <x:comment ref="AA5" authorId="0">
      <x:text>
        <x:r>
          <x:t>Japanese and Chinese graduates (the Boxer indemnity scholarships), Koreans, Filipinos, Indians. Rough.</x:t>
        </x:r>
      </x:text>
    </x:comment>
    <x:comment ref="AB5" authorId="0">
      <x:text>
        <x:r>
          <x:t>CR-020 B13: Pacifica answers the Union's competition for Europeans by recruiting in Asia.</x:t>
        </x:r>
      </x:text>
    </x:comment>
    <x:comment ref="AC5" authorId="0">
      <x:text>
        <x:r>
          <x:t>The ceiling Pacifica sets: the Polytechnic, chairs, licences and housing it is ready to provide.</x:t>
        </x:r>
      </x:text>
    </x:comment>
    <x:comment ref="AI5" authorId="0">
      <x:text>
        <x:r>
          <x:t>Chain migration under the family programmes: brothers, parents, in-laws.</x:t>
        </x:r>
      </x:text>
    </x:comment>
    <x:comment ref="AJ5" authorId="0">
      <x:text>
        <x:r>
          <x:t>Last year's new champion-related jobs that natural growth and the baseline arrivals do not fill; in a slump some workers leave.</x:t>
        </x:r>
      </x:text>
    </x:comment>
    <x:comment ref="AL5" authorId="0">
      <x:text>
        <x:r>
          <x:t>Goes to the People sheet.</x:t>
        </x:r>
      </x:text>
    </x:comment>
    <x:comment ref="AO5" authorId="0">
      <x:text>
        <x:r>
          <x:t>Each talent migrant produces skill_rel times an average worker and raises others' output by skill_spill; less the dilution while diverted immigrants learn the language and trades. Goes to Economy.</x:t>
        </x:r>
      </x:text>
    </x:comment>
    <x:comment ref="AP5" authorId="0">
      <x:text>
        <x:r>
          <x:t>Extra skilled workers as a share of Pacifica's own skilled workforce, times an elasticity. Goes to Champions.</x:t>
        </x:r>
      </x:text>
    </x:comment>
    <x:comment ref="AQ5" authorId="0">
      <x:text>
        <x:r>
          <x:t>Historical Statistics of the US, series C89. Most of it went to the states the Union holds.</x:t>
        </x:r>
      </x:text>
    </x:comment>
    <x:comment ref="AR5" authorId="0">
      <x:text>
        <x:r>
          <x:t>Europeans bound for New York or Boston who sail for San Francisco instead, because Pacifica pays more. Goes to the People sheet.</x:t>
        </x:r>
      </x:text>
    </x:comment>
    <x:comment ref="AY5" authorId="0">
      <x:text>
        <x:r>
          <x:t>Contract workers from the Union's Midwest and Mountain states; their families stay home.</x:t>
        </x:r>
      </x:text>
    </x:comment>
    <x:comment ref="AZ5" authorId="0">
      <x:text>
        <x:r>
          <x:t>The Union keeps the richer Northeast and Midwest (World sheet's regional shares).</x:t>
        </x:r>
      </x:text>
    </x:comment>
    <x:comment ref="BB5" authorId="0">
      <x:text>
        <x:r>
          <x:t>The firms its emigrants would have founded and the ideas that compound: a growth loss proportional to the share of its skilled workers who have left.</x:t>
        </x:r>
      </x:text>
    </x:comment>
    <x:comment ref="BC5" authorId="0">
      <x:text>
        <x:r>
          <x:t>Lost Pacific markets, shipping, gold and the scale economies that went with them; it grows as Pacifica grows against the Union.</x:t>
        </x:r>
      </x:text>
    </x:comment>
    <x:comment ref="BD5" authorId="0">
      <x:text>
        <x:r>
          <x:t>CR-020 B13: a Union central bank after 1895, national laboratories, trusts kept whole as national champions.</x:t>
        </x:r>
      </x:text>
    </x:comment>
    <x:comment ref="BG5" authorId="0">
      <x:text>
        <x:r>
          <x:t>Above the average output that leaves with them as people (counted in the population).</x:t>
        </x:r>
      </x:text>
    </x:comment>
    <x:comment ref="BH5" authorId="0">
      <x:text>
        <x:r>
          <x:t>The share of the champions' business that Union firms held historically: Gulf and Asian oil, Asian rails and power, car exports, dyes. Less once Union tariffs and licensing bite.</x:t>
        </x:r>
      </x:text>
    </x:comment>
    <x:comment ref="BK5" authorId="0">
      <x:text>
        <x:r>
          <x:t>People who are still there × historical output per person × lost productivity × the crash, less the skill premium, business and guest workers that went west. Goes to the World sheet.</x:t>
        </x:r>
      </x:text>
    </x:comment>
    <x:comment ref="BO5" authorId="0">
      <x:text>
        <x:r>
          <x:t>Lebergott.</x:t>
        </x:r>
      </x:text>
    </x:comment>
  </x:commentList>
</x:comments>
</file>

<file path=xl/comments10.xml><?xml version="1.0" encoding="utf-8"?>
<x:comments xmlns:x="http://schemas.openxmlformats.org/spreadsheetml/2006/main">
  <x:authors>
    <x:author>Model</x:author>
  </x:authors>
  <x:commentList>
    <x:comment ref="B5" authorId="0">
      <x:text>
        <x:r>
          <x:t>Ericsson turret ships from 1862 (Columbia), more for the 1870 Gulf war. (Canon)</x:t>
        </x:r>
      </x:text>
    </x:comment>
    <x:comment ref="C5" authorId="0">
      <x:text>
        <x:r>
          <x:t>Wooden and iron steam cruisers for the ocean road, Manila and Vladivostok. (Canon)</x:t>
        </x:r>
      </x:text>
    </x:comment>
    <x:comment ref="D5" authorId="0">
      <x:text>
        <x:r>
          <x:t>Oil-fired light craft in the 1880s (oil programme from 1876). (Approved)</x:t>
        </x:r>
      </x:text>
    </x:comment>
    <x:comment ref="E5" authorId="0">
      <x:text>
        <x:r>
          <x:t>Water-tube boilers burning oil, early 1890s. (Approved)</x:t>
        </x:r>
      </x:text>
    </x:comment>
    <x:comment ref="F5" authorId="0">
      <x:text>
        <x:r>
          <x:t>Turbine programme from 1885: destroyers 1893-95. (Approved)</x:t>
        </x:r>
      </x:text>
    </x:comment>
    <x:comment ref="G5" authorId="0">
      <x:text>
        <x:r>
          <x:t>Turbine cruisers by 1898. (Approved)</x:t>
        </x:r>
      </x:text>
    </x:comment>
    <x:comment ref="H5" authorId="0">
      <x:text>
        <x:r>
          <x:t>All-big-gun turbine ships from 1903, three years before HMS Dreadnought. (Proposed)</x:t>
        </x:r>
      </x:text>
    </x:comment>
    <x:comment ref="I5" authorId="0">
      <x:text>
        <x:r>
          <x:t>Coastal and fleet submarines from 1900. (Proposed)</x:t>
        </x:r>
      </x:text>
    </x:comment>
    <x:comment ref="J5" authorId="0">
      <x:text>
        <x:r>
          <x:t>Naval aviation in the 1920s; first carrier converted 1922. (Proposed)</x:t>
        </x:r>
      </x:text>
    </x:comment>
    <x:comment ref="K5" authorId="0">
      <x:text>
        <x:r>
          <x:t>Anchors: 1855: $0.8m, 1862: $1.0m, 1870: $1.2m, 1880: $1.3m, 1890: $1.3m</x:t>
        </x:r>
      </x:text>
    </x:comment>
    <x:comment ref="L5" authorId="0">
      <x:text>
        <x:r>
          <x:t>Anchors: 1850: $0.4m, 1860: $0.5m, 1870: $0.8m, 1880: $1.0m, 1890: $1.0m</x:t>
        </x:r>
      </x:text>
    </x:comment>
    <x:comment ref="M5" authorId="0">
      <x:text>
        <x:r>
          <x:t>Anchors: 1880: $0.07m, 1890: $0.08m, 1900: $0.08m</x:t>
        </x:r>
      </x:text>
    </x:comment>
    <x:comment ref="N5" authorId="0">
      <x:text>
        <x:r>
          <x:t>Anchors: 1888: $1.6m, 1890: $1.8m, 1900: $1.9m, 1913: $2.4m, 1920: $4.5m, 1932: $3.5m</x:t>
        </x:r>
      </x:text>
    </x:comment>
    <x:comment ref="O5" authorId="0">
      <x:text>
        <x:r>
          <x:t>Anchors: 1893: $0.3m, 1900: $0.35m, 1905: $0.45m, 1910: $0.65m, 1913: $0.85m, 1917: $1.6m, 1920: $2.0m, 1925: $1.8m, 1932: $1.6m</x:t>
        </x:r>
      </x:text>
    </x:comment>
    <x:comment ref="P5" authorId="0">
      <x:text>
        <x:r>
          <x:t>Anchors: 1897: $2.5m, 1905: $3.5m, 1913: $5.0m, 1918: $9.0m, 1925: $10.0m, 1932: $9.0m</x:t>
        </x:r>
      </x:text>
    </x:comment>
    <x:comment ref="Q5" authorId="0">
      <x:text>
        <x:r>
          <x:t>Anchors: 1902: $6.0m, 1906: $8.0m, 1910: $11.0m, 1913: $14.0m, 1917: $20.0m, 1920: $30.0m, 1925: $28.0m, 1932: $25.0m</x:t>
        </x:r>
      </x:text>
    </x:comment>
    <x:comment ref="R5" authorId="0">
      <x:text>
        <x:r>
          <x:t>Anchors: 1899: $0.2m, 1910: $0.4m, 1917: $1.2m, 1925: $1.5m, 1932: $1.4m</x:t>
        </x:r>
      </x:text>
    </x:comment>
    <x:comment ref="S5" authorId="0">
      <x:text>
        <x:r>
          <x:t>Anchors: 1921: $15.0m, 1925: $22.0m, 1928: $25.0m, 1932: $25.0m</x:t>
        </x:r>
      </x:text>
    </x:comment>
    <x:comment ref="T5" authorId="0">
      <x:text>
        <x:r>
          <x:t>Japanese dreadnought-type ships, partly to Pacifican designs.</x:t>
        </x:r>
      </x:text>
    </x:comment>
    <x:comment ref="U5" authorId="0">
      <x:text>
        <x:r>
          <x:t>Dreadnought-type battleships and battlecruisers (historical to 1918). The 1919 limits bring Britain to parity with Pacifica + Japan by 1922: its 12-inch ships are scrapped or hulked in 1920-22, as under the real 1922 Washington treaty (§30).</x:t>
        </x:r>
      </x:text>
    </x:comment>
    <x:comment ref="V5" authorId="0">
      <x:text>
        <x:r>
          <x:t>Outside the 1919 limits until 1932. Smaller than the historical US Navy: Wilson's neutrality and the Coolidge-era lending boom put money into banks, not battleships. Proposed.</x:t>
        </x:r>
      </x:text>
    </x:comment>
    <x:comment ref="W5" authorId="0">
      <x:text>
        <x:r>
          <x:t>Undefeated Germany is limited below Pacifica + Japan in 1919 (§30), scrapping its oldest ships in 1920-22.</x:t>
        </x:r>
      </x:text>
    </x:comment>
  </x:commentList>
</x:comments>
</file>

<file path=xl/comments11.xml><?xml version="1.0" encoding="utf-8"?>
<x:comments xmlns:x="http://schemas.openxmlformats.org/spreadsheetml/2006/main">
  <x:authors>
    <x:author>Model</x:author>
  </x:authors>
  <x:commentList>
    <x:comment ref="B5" authorId="0">
      <x:text>
        <x:r>
          <x:t>Last year's fleet + ships completed − ships reaching the end of a 120-year service life.</x:t>
        </x:r>
      </x:text>
    </x:comment>
    <x:comment ref="C5" authorId="0">
      <x:text>
        <x:r>
          <x:t>Last year's fleet + ships completed − ships reaching the end of a 250-year service life.</x:t>
        </x:r>
      </x:text>
    </x:comment>
    <x:comment ref="D5" authorId="0">
      <x:text>
        <x:r>
          <x:t>Last year's fleet + ships completed − ships reaching the end of a 20-year service life.</x:t>
        </x:r>
      </x:text>
    </x:comment>
    <x:comment ref="E5" authorId="0">
      <x:text>
        <x:r>
          <x:t>Last year's fleet + ships completed − ships reaching the end of a 280-year service life.</x:t>
        </x:r>
      </x:text>
    </x:comment>
    <x:comment ref="F5" authorId="0">
      <x:text>
        <x:r>
          <x:t>Last year's fleet + ships completed − ships reaching the end of a 90-year service life.</x:t>
        </x:r>
      </x:text>
    </x:comment>
    <x:comment ref="G5" authorId="0">
      <x:text>
        <x:r>
          <x:t>Last year's fleet + ships completed − ships reaching the end of a 400-year service life.</x:t>
        </x:r>
      </x:text>
    </x:comment>
    <x:comment ref="H5" authorId="0">
      <x:text>
        <x:r>
          <x:t>Last year's fleet + ships completed − ships reaching the end of a 1000-year service life.</x:t>
        </x:r>
      </x:text>
    </x:comment>
    <x:comment ref="I5" authorId="0">
      <x:text>
        <x:r>
          <x:t>Last year's fleet + ships completed − ships reaching the end of a 30-year service life.</x:t>
        </x:r>
      </x:text>
    </x:comment>
    <x:comment ref="J5" authorId="0">
      <x:text>
        <x:r>
          <x:t>Last year's fleet + ships completed − ships reaching the end of a 1500-year service life.</x:t>
        </x:r>
      </x:text>
    </x:comment>
    <x:comment ref="L5" authorId="0">
      <x:text>
        <x:r>
          <x:t>Half of each ship's cost is paid in the year before it is completed, half in the year it is completed.</x:t>
        </x:r>
      </x:text>
    </x:comment>
    <x:comment ref="Q5" authorId="0">
      <x:text>
        <x:r>
          <x:t>5% a year of each ship's current replacement cost.</x:t>
        </x:r>
      </x:text>
    </x:comment>
    <x:comment ref="Y5" authorId="0">
      <x:text>
        <x:r>
          <x:t>Goes to the Budget sheet.</x:t>
        </x:r>
      </x:text>
    </x:comment>
    <x:comment ref="Z5" authorId="0">
      <x:text>
        <x:r>
          <x:t>Oil fuel cost in 1913 dollars at $0.60 a barrel. Canon check: a fleet of the 1895 size needs about a million barrels a year.</x:t>
        </x:r>
      </x:text>
    </x:comment>
  </x:commentList>
</x:comments>
</file>

<file path=xl/comments12.xml><?xml version="1.0" encoding="utf-8"?>
<x:comments xmlns:x="http://schemas.openxmlformats.org/spreadsheetml/2006/main">
  <x:authors>
    <x:author>Model</x:author>
  </x:authors>
  <x:commentList>
    <x:comment ref="B5" authorId="0">
      <x:text>
        <x:r>
          <x:t>Historical Japanese GNP (Ohkawa, LTES) converted to gold dollars: silver yen to 1896, then par $0.4985. Held at par in 1932 because the canon yen is supported through common finance (historically it fell to $0.28).</x:t>
        </x:r>
      </x:text>
    </x:comment>
    <x:comment ref="C5" authorId="0">
      <x:text>
        <x:r>
          <x:t>CR-020 B14: from the Partners sheet. Polytechnic branches, the treaty ports' schools, Pacifican capital, standards and markets.</x:t>
        </x:r>
      </x:text>
    </x:comment>
    <x:comment ref="I5" authorId="0">
      <x:text>
        <x:r>
          <x:t>Japan's own fleet. From 1927 it joins the common navy, whose cost is shared by quota.</x:t>
        </x:r>
      </x:text>
    </x:comment>
    <x:comment ref="K5" authorId="0">
      <x:text>
        <x:r>
          <x:t>1894-95 Korea war; 1898-99 Primorye war on land; 1904-05 Russian war (historical cost about $860m); 1914 Tsingtao; 1918-22 Japan's share of the Siberian coalition (old model). The permanent front from 1923 is added by formula.</x:t>
        </x:r>
      </x:text>
    </x:comment>
    <x:comment ref="M5" authorId="0">
      <x:text>
        <x:r>
          <x:t>1923 Kanto earthquake reconstruction (1923-26) and the 1927 bank crisis (Bank of Japan special loans were about $440m).</x:t>
        </x:r>
      </x:text>
    </x:comment>
    <x:comment ref="N5" authorId="0">
      <x:text>
        <x:r>
          <x:t>Scaled with Japan's larger economy: more capital in Tokyo to rebuild, larger banks to rescue (CR-020 B14).</x:t>
        </x:r>
      </x:text>
    </x:comment>
    <x:comment ref="S5" authorId="0">
      <x:text>
        <x:r>
          <x:t>Syndicated totals. The Pacifican Treasury's own part is in Events (Japan rows).</x:t>
        </x:r>
      </x:text>
    </x:comment>
    <x:comment ref="T5" authorId="0">
      <x:text>
        <x:r>
          <x:t>From 1923 scaled with the disasters it pays for.</x:t>
        </x:r>
      </x:text>
    </x:comment>
    <x:comment ref="U5" authorId="0">
      <x:text>
        <x:r>
          <x:t>§26: Russia pays an indemnity. Size and schedule are model estimates.</x:t>
        </x:r>
      </x:text>
    </x:comment>
    <x:comment ref="V5" authorId="0">
      <x:text>
        <x:r>
          <x:t>1876 commutation bonds for samurai stipends (historical, about ¥174m).</x:t>
        </x:r>
      </x:text>
    </x:comment>
  </x:commentList>
</x:comments>
</file>

<file path=xl/comments13.xml><?xml version="1.0" encoding="utf-8"?>
<x:comments xmlns:x="http://schemas.openxmlformats.org/spreadsheetml/2006/main">
  <x:authors>
    <x:author>Model</x:author>
  </x:authors>
  <x:commentList>
    <x:comment ref="B5" authorId="0">
      <x:text>
        <x:r>
          <x:t>Each partner closes a share of its gap to Pacifica each year: the conditional convergence of integrated economies (CR-020 B14).</x:t>
        </x:r>
      </x:text>
    </x:comment>
    <x:comment ref="E5" authorId="0">
      <x:text>
        <x:r>
          <x:t>Treaty 1858-60; Meiji 1868; the Japanese compact 1887; the 1895 and 1905 victories; the 1927 Pacific Concord. Literate, fast-learning: full weight.</x:t>
        </x:r>
      </x:text>
    </x:comment>
    <x:comment ref="M5" authorId="0">
      <x:text>
        <x:r>
          <x:t>The 1895 compact, the oil partnership from Spindletop, Polytechnic branches in Houston and New Orleans, the canal trade.</x:t>
        </x:r>
      </x:text>
    </x:comment>
    <x:comment ref="U5" authorId="0">
      <x:text>
        <x:r>
          <x:t>Crown from the 1870s; schools and the Manila Polytechnic, but low literacy at the start.</x:t>
        </x:r>
      </x:text>
    </x:comment>
    <x:comment ref="AC5" authorId="0">
      <x:text>
        <x:r>
          <x:t>From the Treaty of Harbin (1921): Siberian lines, Irkutsk's schools, Pacifican capital.</x:t>
        </x:r>
      </x:text>
    </x:comment>
    <x:comment ref="AK5" authorId="0">
      <x:text>
        <x:r>
          <x:t>Trading region, outside the order: the Customs Inspectorate, treaty-port schools, rail concessions, Pacifican backing of Sun, reunification after 1922. Civil war holds it back.</x:t>
        </x:r>
      </x:text>
    </x:comment>
    <x:comment ref="AS5" authorId="0">
      <x:text>
        <x:r>
          <x:t>Independent under the Pacifican guarantee (1887): schools, mines, railways.</x:t>
        </x:r>
      </x:text>
    </x:comment>
    <x:comment ref="BA5" authorId="0">
      <x:text>
        <x:r>
          <x:t>Siam, the Dutch Indies, Malaya, Indochina, Burma: Pacifican oil, power and shipping, but the colonial powers keep the gates.</x:t>
        </x:r>
      </x:text>
    </x:comment>
    <x:comment ref="BI5" authorId="0">
      <x:text>
        <x:r>
          <x:t>Mexico, Central America, Colombia, Ecuador, Peru, Bolivia, Chile: west-coast railways, power companies, nitrate and copper, the canal from 1901.</x:t>
        </x:r>
      </x:text>
    </x:comment>
    <x:comment ref="BQ5" authorId="0">
      <x:text>
        <x:r>
          <x:t>Persia, Mesopotamia, Arabia and the Gulf coast: the oil trust's concessions, power and the standard. Britain dominates the region.</x:t>
        </x:r>
      </x:text>
    </x:comment>
    <x:comment ref="BW5" authorId="0">
      <x:text>
        <x:r>
          <x:t>Each market's output against history, weighted by its share of the champions' business abroad: Japan 25%, China 15%, Mexico and Pacific South America 12%, the Gulf 10%, Southeast Asia 8%, the Philippines 7%, Siberia and the Middle East 5% each, Korea 3%; the rest of the world (10%) unchanged.</x:t>
        </x:r>
      </x:text>
    </x:comment>
    <x:comment ref="BX5" authorId="0">
      <x:text>
        <x:r>
          <x:t>CR-020 B15: richer customers buy more oil, cars, power plants, dyes, telegraph time and passages. Goes to Champions.</x:t>
        </x:r>
      </x:text>
    </x:comment>
  </x:commentList>
</x:comments>
</file>

<file path=xl/comments14.xml><?xml version="1.0" encoding="utf-8"?>
<x:comments xmlns:x="http://schemas.openxmlformats.org/spreadsheetml/2006/main">
  <x:authors>
    <x:author>Model</x:author>
  </x:authors>
  <x:commentList>
    <x:comment ref="B5" authorId="0">
      <x:text>
        <x:r>
          <x:t>Texas, Louisiana, Arkansas and Sequoyah (Indian Territory). Census figures, rounded.</x:t>
        </x:r>
      </x:text>
    </x:comment>
    <x:comment ref="C5" authorId="0">
      <x:text>
        <x:r>
          <x:t>Historical Texas, Louisiana, Arkansas and Oklahoma against the US average. The Partners sheet adds the catch-up from the partnership (CR-020 B14).</x:t>
        </x:r>
      </x:text>
    </x:comment>
    <x:comment ref="G5" authorId="0">
      <x:text>
        <x:r>
          <x:t>The weakest member is read as Pacifica's weakest former-territory state (a New Mexico-type member).</x:t>
        </x:r>
      </x:text>
    </x:comment>
    <x:comment ref="I5" authorId="0">
      <x:text>
        <x:r>
          <x:t>The weakest member is read as Pacifica's weakest former-territory state (a New Mexico-type member).</x:t>
        </x:r>
      </x:text>
    </x:comment>
    <x:comment ref="K5" authorId="0">
      <x:text>
        <x:r>
          <x:t>The weakest member is read as Pacifica's weakest former-territory state (a New Mexico-type member).</x:t>
        </x:r>
      </x:text>
    </x:comment>
    <x:comment ref="M5" authorId="0">
      <x:text>
        <x:r>
          <x:t>The weakest member is read as Pacifica's weakest former-territory state (a New Mexico-type member).</x:t>
        </x:r>
      </x:text>
    </x:comment>
    <x:comment ref="O5" authorId="0">
      <x:text>
        <x:r>
          <x:t>The weakest member is read as Pacifica's weakest former-territory state (a New Mexico-type member).</x:t>
        </x:r>
      </x:text>
    </x:comment>
    <x:comment ref="Q5" authorId="0">
      <x:text>
        <x:r>
          <x:t>Parity: Black (incl. tribal freedmen) infant mortality at most 1.05 times white, held for a generation (OPEN-020-02). No American state has ever come close.</x:t>
        </x:r>
      </x:text>
    </x:comment>
    <x:comment ref="S5" authorId="0">
      <x:text>
        <x:r>
          <x:t>Parity: Black and freedmen 20-year-olds pass the joint medical and literacy examination for the Defense Law at 95% or more of the white rate, held for a generation (OPEN-020-02).</x:t>
        </x:r>
      </x:text>
    </x:comment>
    <x:comment ref="T5" authorId="0">
      <x:text>
        <x:r>
          <x:t>Without an oil compact the 1930 East Texas glut cuts Gulf wages in 1931-33 (CR-020 B5). This is the value tested.</x:t>
        </x:r>
      </x:text>
    </x:comment>
    <x:comment ref="AF5" authorId="0">
      <x:text>
        <x:r>
          <x:t>OPEN-020-04: every measure held for a generation (25 years) before Pacifica will consider admission; it may ask for a second.</x:t>
        </x:r>
      </x:text>
    </x:comment>
  </x:commentList>
</x:comments>
</file>

<file path=xl/comments15.xml><?xml version="1.0" encoding="utf-8"?>
<x:comments xmlns:x="http://schemas.openxmlformats.org/spreadsheetml/2006/main">
  <x:authors>
    <x:author>Model</x:author>
  </x:authors>
  <x:commentList>
    <x:comment ref="F5" authorId="0">
      <x:text>
        <x:r>
          <x:t>The §25 ceilings are the regency's planning guides, so they are tested from 1887. Earlier values are shown for information.</x:t>
        </x:r>
      </x:text>
    </x:comment>
    <x:comment ref="L5" authorId="0">
      <x:text>
        <x:r>
          <x:t>Home market up to 6% of GDP a year plus what London and other markets will take.</x:t>
        </x:r>
      </x:text>
    </x:comment>
    <x:comment ref="M5" authorId="0">
      <x:text>
        <x:r>
          <x:t>The 40% cover rule applies once the Reserve Bank exists (1900).</x:t>
        </x:r>
      </x:text>
    </x:comment>
    <x:comment ref="P5" authorId="0">
      <x:text>
        <x:r>
          <x:t>§30: the 1919 limits count Pacifica + Japan at parity with Britain once Britain's scrapping is complete (1922).</x:t>
        </x:r>
      </x:text>
    </x:comment>
    <x:comment ref="R5" authorId="0">
      <x:text>
        <x:r>
          <x:t>The Gulf may join only after a generation (gulf_years_req) of passing every measure, the five general ones and both parity measures.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2">
    <x:numFmt numFmtId="164" formatCode="#,##0.##"/>
    <x:numFmt numFmtId="165" formatCode="0.0%"/>
    <x:numFmt numFmtId="166" formatCode="#,##0;(#,##0);&quot;-&quot;"/>
    <x:numFmt numFmtId="167" formatCode="0.000;(0.000);&quot;-&quot;"/>
    <x:numFmt numFmtId="168" formatCode="#,##0.0;(#,##0.0);&quot;-&quot;"/>
    <x:numFmt numFmtId="169" formatCode="0.0%;(0.0%);&quot;-&quot;"/>
    <x:numFmt numFmtId="170" formatCode="0.00%;(0.00%);&quot;-&quot;"/>
    <x:numFmt numFmtId="171" formatCode="0.00;(0.00);&quot;-&quot;"/>
    <x:numFmt numFmtId="172" formatCode="0.0"/>
    <x:numFmt numFmtId="200" formatCode="#,##0.00;(#,##0.00);&quot;-&quot;"/>
    <x:numFmt numFmtId="201" formatCode="0"/>
    <x:numFmt numFmtId="202" formatCode="&quot;Month &quot;0"/>
  </x:numFmts>
  <x:fonts count="24">
    <x:font>
      <x:sz val="11"/>
      <x:color theme="1"/>
      <x:name val="Calibri"/>
      <x:family val="2"/>
      <x:scheme val="minor"/>
    </x:font>
    <x:font>
      <x:b/>
      <x:sz val="15"/>
      <x:color rgb="FF12324A"/>
      <x:name val="Arial"/>
    </x:font>
    <x:font>
      <x:i/>
      <x:sz val="10"/>
      <x:color rgb="FF555555"/>
      <x:name val="Arial"/>
    </x:font>
    <x:font>
      <x:sz val="9"/>
      <x:color rgb="FF777777"/>
      <x:name val="Arial"/>
    </x:font>
    <x:font>
      <x:b/>
      <x:sz val="10"/>
      <x:name val="Arial"/>
    </x:font>
    <x:font>
      <x:b/>
      <x:sz val="12"/>
      <x:color rgb="FF0000FF"/>
      <x:name val="Arial"/>
    </x:font>
    <x:font>
      <x:b/>
      <x:sz val="9"/>
      <x:color rgb="FFFFFFFF"/>
      <x:name val="Arial"/>
    </x:font>
    <x:font>
      <x:b/>
      <x:sz val="9"/>
      <x:color rgb="FF12324A"/>
      <x:name val="Arial"/>
    </x:font>
    <x:font>
      <x:sz val="10"/>
      <x:name val="Arial"/>
    </x:font>
    <x:font>
      <x:sz val="10"/>
      <x:color rgb="FF0000FF"/>
      <x:name val="Arial"/>
    </x:font>
    <x:font>
      <x:sz val="9"/>
      <x:color rgb="FF444444"/>
      <x:name val="Arial"/>
    </x:font>
    <x:font>
      <x:sz val="10"/>
      <x:color rgb="FF008000"/>
      <x:name val="Arial"/>
    </x:font>
    <x:font>
      <x:b/>
      <x:sz val="18"/>
      <x:color rgb="FF12324A"/>
      <x:name val="Arial"/>
    </x:font>
    <x:font>
      <x:b/>
      <x:sz val="11"/>
      <x:color rgb="FFC00000"/>
      <x:name val="Arial"/>
    </x:font>
    <x:font>
      <x:u val="single"/>
      <x:sz val="10"/>
      <x:color rgb="FF0563C1"/>
      <x:name val="Arial"/>
    </x:font>
    <x:font>
      <x:sz val="10"/>
      <x:color rgb="FF202020"/>
      <x:name val="Arial"/>
      <x:family val="2"/>
      <x:scheme val="minor"/>
    </x:font>
    <x:font>
      <x:b/>
      <x:sz val="14"/>
      <x:color rgb="FF202020"/>
      <x:name val="Arial"/>
      <x:family val="2"/>
      <x:scheme val="minor"/>
    </x:font>
    <x:font>
      <x:i/>
      <x:sz val="10"/>
      <x:color rgb="FF202020"/>
      <x:name val="Arial"/>
      <x:family val="2"/>
      <x:scheme val="minor"/>
    </x:font>
    <x:font>
      <x:b/>
      <x:sz val="10"/>
      <x:color rgb="FF202020"/>
      <x:name val="Arial"/>
      <x:family val="2"/>
      <x:scheme val="minor"/>
    </x:font>
    <x:font>
      <x:sz val="10"/>
      <x:color rgb="FF0000FF"/>
      <x:name val="Arial"/>
      <x:family val="2"/>
      <x:scheme val="minor"/>
    </x:font>
    <x:font>
      <x:sz val="10"/>
      <x:color rgb="FF000000"/>
      <x:name val="Arial"/>
      <x:family val="2"/>
      <x:scheme val="minor"/>
    </x:font>
    <x:font>
      <x:b/>
      <x:sz val="10"/>
      <x:color rgb="FFFFFFFF"/>
      <x:name val="Arial"/>
      <x:family val="2"/>
      <x:scheme val="minor"/>
    </x:font>
    <x:font>
      <x:sz val="10"/>
      <x:color theme="1"/>
      <x:name val="Arial"/>
      <x:family val="2"/>
      <x:scheme val="minor"/>
    </x:font>
    <x:font>
      <x:b/>
      <x:sz val="11"/>
      <x:color rgb="FFFFFFFF"/>
      <x:name val="Calibri"/>
      <x:family val="2"/>
      <x:scheme val="minor"/>
    </x:font>
  </x:fonts>
  <x:fills count="10">
    <x:fill>
      <x:patternFill patternType="none"/>
    </x:fill>
    <x:fill>
      <x:patternFill patternType="gray125"/>
    </x:fill>
    <x:fill>
      <x:patternFill patternType="solid">
        <x:fgColor rgb="FFFFFF00"/>
      </x:patternFill>
    </x:fill>
    <x:fill>
      <x:patternFill patternType="solid">
        <x:fgColor rgb="FF1F4E6B"/>
      </x:patternFill>
    </x:fill>
    <x:fill>
      <x:patternFill patternType="solid">
        <x:fgColor rgb="FFD6E4EC"/>
      </x:patternFill>
    </x:fill>
    <x:fill>
      <x:patternFill patternType="solid">
        <x:fgColor rgb="FFFFF8DC"/>
      </x:patternFill>
    </x:fill>
    <x:fill>
      <x:patternFill patternType="solid">
        <x:fgColor rgb="FFEEF3F6"/>
      </x:patternFill>
    </x:fill>
    <x:fill>
      <x:patternFill patternType="solid">
        <x:fgColor rgb="FFFBE9E7"/>
      </x:patternFill>
    </x:fill>
    <x:fill>
      <x:patternFill patternType="solid">
        <x:fgColor rgb="FF17365D"/>
      </x:patternFill>
    </x:fill>
    <x:fill>
      <x:patternFill patternType="solid">
        <x:fgColor rgb="FFE5EAF0"/>
      </x:patternFill>
    </x:fill>
  </x:fills>
  <x:borders count="2">
    <x:border>
      <x:left/>
      <x:right/>
      <x:top/>
      <x:bottom/>
      <x:diagonal/>
    </x:border>
    <x:border>
      <x:bottom style="thin">
        <x:color rgb="FFC9D3DA"/>
      </x:bottom>
    </x:border>
  </x:borders>
  <x:cellStyleXfs count="1">
    <x:xf numFmtId="0" fontId="0" fillId="0" borderId="0"/>
  </x:cellStyleXfs>
  <x:cellXfs count="115">
    <x:xf numFmtId="0" fontId="0" fillId="0" borderId="0" xfId="0"/>
    <x:xf numFmtId="0" fontId="12" fillId="0" borderId="0" xfId="0"/>
    <x:xf numFmtId="0" fontId="2" fillId="0" borderId="0" xfId="0"/>
    <x:xf numFmtId="0" fontId="4" fillId="0" borderId="0" xfId="0"/>
    <x:xf numFmtId="0" fontId="13" fillId="0" borderId="0" xfId="0"/>
    <x:xf numFmtId="0" fontId="6" fillId="3" borderId="0" xfId="0" applyAlignment="1">
      <x:alignment horizontal="left"/>
    </x:xf>
    <x:xf numFmtId="0" fontId="6" fillId="3" borderId="0" xfId="0" applyAlignment="1">
      <x:alignment horizontal="center" vertical="center" wrapText="1"/>
    </x:xf>
    <x:xf numFmtId="0" fontId="7" fillId="4" borderId="0" xfId="0"/>
    <x:xf numFmtId="0" fontId="0" fillId="4" borderId="0" xfId="0"/>
    <x:xf numFmtId="0" fontId="8" fillId="0" borderId="0" xfId="0"/>
    <x:xf numFmtId="2" fontId="11" fillId="0" borderId="1" xfId="0"/>
    <x:xf numFmtId="9" fontId="11" fillId="0" borderId="1" xfId="0"/>
    <x:xf numFmtId="3" fontId="11" fillId="0" borderId="1" xfId="0"/>
    <x:xf numFmtId="172" fontId="11" fillId="0" borderId="1" xfId="0"/>
    <x:xf numFmtId="165" fontId="11" fillId="0" borderId="1" xfId="0"/>
    <x:xf numFmtId="1" fontId="11" fillId="0" borderId="1" xfId="0"/>
    <x:xf numFmtId="172" fontId="11" fillId="0" borderId="0" xfId="0"/>
    <x:xf numFmtId="0" fontId="14" fillId="0" borderId="0" xfId="0"/>
    <x:xf numFmtId="0" fontId="1" fillId="0" borderId="0" xfId="0"/>
    <x:xf numFmtId="0" fontId="3" fillId="0" borderId="0" xfId="0"/>
    <x:xf numFmtId="2" fontId="9" fillId="0" borderId="0" xfId="0"/>
    <x:xf numFmtId="2" fontId="11" fillId="0" borderId="0" xfId="0"/>
    <x:xf numFmtId="2" fontId="0" fillId="0" borderId="0" xfId="0"/>
    <x:xf numFmtId="0" fontId="10" fillId="0" borderId="0" xfId="0" applyAlignment="1">
      <x:alignment vertical="top" wrapText="1"/>
    </x:xf>
    <x:xf numFmtId="3" fontId="9" fillId="0" borderId="0" xfId="0"/>
    <x:xf numFmtId="3" fontId="11" fillId="0" borderId="0" xfId="0"/>
    <x:xf numFmtId="0" fontId="8" fillId="0" borderId="0" xfId="0" applyAlignment="1">
      <x:alignment vertical="top" wrapText="1"/>
    </x:xf>
    <x:xf numFmtId="0" fontId="5" fillId="2" borderId="0" xfId="0" applyAlignment="1">
      <x:alignment horizontal="center"/>
    </x:xf>
    <x:xf numFmtId="0" fontId="6" fillId="3" borderId="0" xfId="0" applyAlignment="1">
      <x:alignment vertical="center" wrapText="1"/>
    </x:xf>
    <x:xf numFmtId="164" fontId="9" fillId="5" borderId="0" xfId="0"/>
    <x:xf numFmtId="164" fontId="4" fillId="0" borderId="0" xfId="0"/>
    <x:xf numFmtId="2" fontId="9" fillId="2" borderId="0" xfId="0"/>
    <x:xf numFmtId="2" fontId="4" fillId="0" borderId="0" xfId="0"/>
    <x:xf numFmtId="165" fontId="9" fillId="5" borderId="0" xfId="0"/>
    <x:xf numFmtId="165" fontId="4" fillId="0" borderId="0" xfId="0"/>
    <x:xf numFmtId="2" fontId="9" fillId="5" borderId="0" xfId="0"/>
    <x:xf numFmtId="164" fontId="9" fillId="2" borderId="0" xfId="0"/>
    <x:xf numFmtId="165" fontId="9" fillId="2" borderId="0" xfId="0"/>
    <x:xf numFmtId="10" fontId="9" fillId="5" borderId="0" xfId="0"/>
    <x:xf numFmtId="10" fontId="4" fillId="0" borderId="0" xfId="0"/>
    <x:xf numFmtId="1" fontId="9" fillId="2" borderId="0" xfId="0"/>
    <x:xf numFmtId="1" fontId="4" fillId="0" borderId="0" xfId="0"/>
    <x:xf numFmtId="1" fontId="9" fillId="5" borderId="0" xfId="0"/>
    <x:xf numFmtId="10" fontId="9" fillId="2" borderId="0" xfId="0"/>
    <x:xf numFmtId="0" fontId="6" fillId="3" borderId="0" xfId="0"/>
    <x:xf numFmtId="166" fontId="9" fillId="0" borderId="0" xfId="0"/>
    <x:xf numFmtId="167" fontId="9" fillId="0" borderId="0" xfId="0"/>
    <x:xf numFmtId="166" fontId="8" fillId="0" borderId="0" xfId="0"/>
    <x:xf numFmtId="49" fontId="10" fillId="0" borderId="0" xfId="0"/>
    <x:xf numFmtId="49" fontId="10" fillId="0" borderId="0" xfId="0" applyAlignment="1">
      <x:alignment vertical="top" wrapText="1"/>
    </x:xf>
    <x:xf numFmtId="0" fontId="9" fillId="0" borderId="0" xfId="0"/>
    <x:xf numFmtId="0" fontId="8" fillId="0" borderId="0" xfId="0" applyAlignment="1"/>
    <x:xf numFmtId="168" fontId="9" fillId="0" borderId="0" xfId="0"/>
    <x:xf numFmtId="168" fontId="8" fillId="0" borderId="0" xfId="0"/>
    <x:xf numFmtId="0" fontId="10" fillId="0" borderId="0" xfId="0" applyAlignment="1"/>
    <x:xf numFmtId="168" fontId="0" fillId="0" borderId="0" xfId="0"/>
    <x:xf numFmtId="0" fontId="7" fillId="4" borderId="0" xfId="0" applyAlignment="1">
      <x:alignment horizontal="center"/>
    </x:xf>
    <x:xf numFmtId="0" fontId="6" fillId="3" borderId="0" xfId="0" applyAlignment="1">
      <x:alignment horizontal="center" vertical="center"/>
    </x:xf>
    <x:xf numFmtId="1" fontId="4" fillId="6" borderId="0" xfId="0"/>
    <x:xf numFmtId="169" fontId="9" fillId="0" borderId="0" xfId="0"/>
    <x:xf numFmtId="170" fontId="9" fillId="0" borderId="0" xfId="0"/>
    <x:xf numFmtId="1" fontId="4" fillId="7" borderId="0" xfId="0"/>
    <x:xf numFmtId="166" fontId="11" fillId="0" borderId="0" xfId="0"/>
    <x:xf numFmtId="169" fontId="8" fillId="0" borderId="0" xfId="0"/>
    <x:xf numFmtId="170" fontId="8" fillId="0" borderId="0" xfId="0"/>
    <x:xf numFmtId="167" fontId="8" fillId="0" borderId="0" xfId="0"/>
    <x:xf numFmtId="170" fontId="11" fillId="0" borderId="0" xfId="0"/>
    <x:xf numFmtId="171" fontId="8" fillId="0" borderId="0" xfId="0"/>
    <x:xf numFmtId="171" fontId="9" fillId="0" borderId="0" xfId="0"/>
    <x:xf numFmtId="168" fontId="11" fillId="0" borderId="0" xfId="0"/>
    <x:xf numFmtId="167" fontId="11" fillId="0" borderId="0" xfId="0"/>
    <x:xf numFmtId="1" fontId="6" fillId="3" borderId="0" xfId="0" applyAlignment="1">
      <x:alignment horizontal="center" vertical="center" wrapText="1"/>
    </x:xf>
    <x:xf numFmtId="0" fontId="10" fillId="0" borderId="0" xfId="0"/>
    <x:xf numFmtId="172" fontId="4" fillId="0" borderId="0" xfId="0"/>
    <x:xf numFmtId="172" fontId="8" fillId="0" borderId="0" xfId="0"/>
    <x:xf numFmtId="2" fontId="8" fillId="0" borderId="0" xfId="0"/>
    <x:xf numFmtId="172" fontId="9" fillId="0" borderId="0" xfId="0"/>
    <x:xf numFmtId="165" fontId="9" fillId="0" borderId="0" xfId="0"/>
    <x:xf numFmtId="165" fontId="11" fillId="0" borderId="0" xfId="0"/>
    <x:xf numFmtId="1" fontId="11" fillId="0" borderId="0" xfId="0"/>
    <x:xf numFmtId="49" fontId="8" fillId="0" borderId="0" xfId="0"/>
    <x:xf numFmtId="169" fontId="11" fillId="0" borderId="0" xfId="0"/>
    <x:xf numFmtId="0" fontId="15" fillId="0" borderId="0" xfId="0" applyNumberFormat="1" applyFont="1" applyFill="1" applyBorder="1"/>
    <x:xf numFmtId="0" fontId="16" fillId="0" borderId="0" xfId="0" applyNumberFormat="1" applyFont="1" applyFill="1" applyBorder="1"/>
    <x:xf numFmtId="0" fontId="17" fillId="0" borderId="0" xfId="0" applyNumberFormat="1" applyFont="1" applyFill="1" applyBorder="1"/>
    <x:xf numFmtId="0" fontId="18" fillId="0" borderId="0" xfId="0" applyNumberFormat="1" applyFont="1" applyFill="1" applyBorder="1"/>
    <x:xf numFmtId="200" fontId="15" fillId="0" borderId="0" xfId="0" applyNumberFormat="1" applyFont="1" applyFill="1" applyBorder="1"/>
    <x:xf numFmtId="200" fontId="19" fillId="0" borderId="0" xfId="0" applyNumberFormat="1" applyFont="1" applyFill="1" applyBorder="1"/>
    <x:xf numFmtId="200" fontId="20" fillId="0" borderId="0" xfId="0" applyNumberFormat="1" applyFont="1" applyFill="1" applyBorder="1"/>
    <x:xf numFmtId="165" fontId="19" fillId="0" borderId="0" xfId="0" applyNumberFormat="1" applyFont="1" applyFill="1" applyBorder="1"/>
    <x:xf numFmtId="165" fontId="20" fillId="0" borderId="0" xfId="0" applyNumberFormat="1" applyFont="1" applyFill="1" applyBorder="1"/>
    <x:xf numFmtId="201" fontId="19" fillId="0" borderId="0" xfId="0" applyNumberFormat="1" applyFont="1" applyFill="1" applyBorder="1"/>
    <x:xf numFmtId="201" fontId="20" fillId="0" borderId="0" xfId="0" applyNumberFormat="1" applyFont="1" applyFill="1" applyBorder="1"/>
    <x:xf numFmtId="0" fontId="15" fillId="0" borderId="0" xfId="0" applyNumberFormat="1" applyFont="1" applyFill="1" applyBorder="1" applyAlignment="1">
      <x:alignment wrapText="1"/>
    </x:xf>
    <x:xf numFmtId="165" fontId="15" fillId="0" borderId="0" xfId="0" applyNumberFormat="1" applyFont="1" applyFill="1" applyBorder="1"/>
    <x:xf numFmtId="0" fontId="15" fillId="8" borderId="0" xfId="0" applyNumberFormat="1" applyFont="1" applyFill="1" applyBorder="1"/>
    <x:xf numFmtId="0" fontId="21" fillId="8" borderId="0" xfId="0" applyNumberFormat="1" applyFont="1" applyFill="1" applyBorder="1"/>
    <x:xf numFmtId="0" fontId="21" fillId="8" borderId="0" xfId="0" applyNumberFormat="1" applyFont="1" applyFill="1" applyBorder="1" applyAlignment="1">
      <x:alignment wrapText="1"/>
    </x:xf>
    <x:xf numFmtId="200" fontId="15" fillId="8" borderId="0" xfId="0" applyNumberFormat="1" applyFont="1" applyFill="1" applyBorder="1"/>
    <x:xf numFmtId="200" fontId="21" fillId="8" borderId="0" xfId="0" applyNumberFormat="1" applyFont="1" applyFill="1" applyBorder="1"/>
    <x:xf numFmtId="200" fontId="21" fillId="8" borderId="0" xfId="0" applyNumberFormat="1" applyFont="1" applyFill="1" applyBorder="1" applyAlignment="1">
      <x:alignment wrapText="1"/>
    </x:xf>
    <x:xf numFmtId="0" fontId="15" fillId="9" borderId="0" xfId="0" applyNumberFormat="1" applyFont="1" applyFill="1" applyBorder="1"/>
    <x:xf numFmtId="0" fontId="18" fillId="9" borderId="0" xfId="0" applyNumberFormat="1" applyFont="1" applyFill="1" applyBorder="1"/>
    <x:xf numFmtId="200" fontId="15" fillId="9" borderId="0" xfId="0" applyNumberFormat="1" applyFont="1" applyFill="1" applyBorder="1"/>
    <x:xf numFmtId="168" fontId="15" fillId="0" borderId="0" xfId="0" applyNumberFormat="1" applyFont="1" applyFill="1" applyBorder="1"/>
    <x:xf numFmtId="202" fontId="15" fillId="0" borderId="0" xfId="0" applyNumberFormat="1" applyFont="1" applyFill="1" applyBorder="1"/>
    <x:xf numFmtId="201" fontId="15" fillId="0" borderId="0" xfId="0" applyNumberFormat="1" applyFont="1" applyFill="1" applyBorder="1"/>
    <x:xf numFmtId="0" fontId="19" fillId="0" borderId="0" xfId="0" applyNumberFormat="1" applyFont="1" applyFill="1" applyBorder="1"/>
    <x:xf numFmtId="0" fontId="22" fillId="0" borderId="0" xfId="0" applyNumberFormat="1" applyFont="1" applyFill="1" applyBorder="1"/>
    <x:xf numFmtId="0" fontId="22" fillId="8" borderId="0" xfId="0" applyNumberFormat="1" applyFont="1" applyFill="1" applyBorder="1"/>
    <x:xf numFmtId="168" fontId="22" fillId="0" borderId="0" xfId="0" applyNumberFormat="1" applyFont="1" applyFill="1" applyBorder="1"/>
    <x:xf numFmtId="0" fontId="0" fillId="8" borderId="0" xfId="0" applyNumberFormat="1" applyFont="1" applyFill="1" applyBorder="1"/>
    <x:xf numFmtId="0" fontId="23" fillId="8" borderId="0" xfId="0" applyNumberFormat="1" applyFont="1" applyFill="1" applyBorder="1"/>
    <x:xf numFmtId="0" fontId="23" fillId="8" borderId="0" xfId="0" applyNumberFormat="1" applyFont="1" applyFill="1" applyBorder="1" applyAlignment="1">
      <x:alignment wrapText="1"/>
    </x:xf>
    <x:xf numFmtId="168" fontId="0" fillId="0" borderId="0" xfId="0" applyNumberFormat="1" applyFont="1" applyFill="1" applyBorder="1"/>
  </x:cellXfs>
  <x:cellStyles count="1">
    <x:cellStyle name="Normal" xfId="0"/>
  </x:cellStyles>
  <x:dxfs count="8">
    <x:dxf>
      <x:fill>
        <x:patternFill>
          <x:bgColor rgb="00F8CBAD"/>
        </x:patternFill>
      </x:fill>
    </x:dxf>
    <x:dxf>
      <x:fill>
        <x:patternFill>
          <x:bgColor rgb="00E2EFDA"/>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9C0006"/>
      </x:font>
      <x:fill>
        <x:patternFill patternType="solid">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8ba40c05cf74359" /><Relationship Type="http://schemas.openxmlformats.org/officeDocument/2006/relationships/theme" Target="/xl/theme/theme1.xml" Id="R4a3fb4e674f24459" /><Relationship Type="http://schemas.openxmlformats.org/officeDocument/2006/relationships/sharedStrings" Target="/xl/sharedStrings.xml" Id="R63b5a5b507364329" /><Relationship Type="http://schemas.openxmlformats.org/officeDocument/2006/relationships/worksheet" Target="/xl/worksheets/sheet1.xml" Id="Rcfbf6a3c518f49b8" /><Relationship Type="http://schemas.openxmlformats.org/officeDocument/2006/relationships/worksheet" Target="/xl/worksheets/sheet2.xml" Id="R7b9d6d00e3c246ad" /><Relationship Type="http://schemas.openxmlformats.org/officeDocument/2006/relationships/worksheet" Target="/xl/worksheets/sheet3.xml" Id="Rc6862b68e6934542" /><Relationship Type="http://schemas.openxmlformats.org/officeDocument/2006/relationships/worksheet" Target="/xl/worksheets/sheet4.xml" Id="R3c8d1c2113324c8c" /><Relationship Type="http://schemas.openxmlformats.org/officeDocument/2006/relationships/worksheet" Target="/xl/worksheets/sheet5.xml" Id="R876ffd4cb6814faa" /><Relationship Type="http://schemas.openxmlformats.org/officeDocument/2006/relationships/worksheet" Target="/xl/worksheets/sheet6.xml" Id="Rf37f4232be5d4714" /><Relationship Type="http://schemas.openxmlformats.org/officeDocument/2006/relationships/worksheet" Target="/xl/worksheets/sheet7.xml" Id="R84ced3888e014041" /><Relationship Type="http://schemas.openxmlformats.org/officeDocument/2006/relationships/worksheet" Target="/xl/worksheets/sheet8.xml" Id="Rd1fd9045e8f84841" /><Relationship Type="http://schemas.openxmlformats.org/officeDocument/2006/relationships/worksheet" Target="/xl/worksheets/sheet9.xml" Id="Rd2ae57cc23a24335" /><Relationship Type="http://schemas.openxmlformats.org/officeDocument/2006/relationships/worksheet" Target="/xl/worksheets/sheet10.xml" Id="R74533659f239444c" /><Relationship Type="http://schemas.openxmlformats.org/officeDocument/2006/relationships/worksheet" Target="/xl/worksheets/sheet11.xml" Id="R7a329fbd88ea4cb5" /><Relationship Type="http://schemas.openxmlformats.org/officeDocument/2006/relationships/worksheet" Target="/xl/worksheets/sheet12.xml" Id="Re78d34e19da74f39" /><Relationship Type="http://schemas.openxmlformats.org/officeDocument/2006/relationships/worksheet" Target="/xl/worksheets/sheet13.xml" Id="R91ba018be3c142fc" /><Relationship Type="http://schemas.openxmlformats.org/officeDocument/2006/relationships/worksheet" Target="/xl/worksheets/sheet14.xml" Id="R60a010053b0d4518" /><Relationship Type="http://schemas.openxmlformats.org/officeDocument/2006/relationships/worksheet" Target="/xl/worksheets/sheet15.xml" Id="Rcc3d2c79116f4141" /><Relationship Type="http://schemas.openxmlformats.org/officeDocument/2006/relationships/worksheet" Target="/xl/worksheets/sheet16.xml" Id="R953e0a9724294a87" /><Relationship Type="http://schemas.openxmlformats.org/officeDocument/2006/relationships/worksheet" Target="/xl/worksheets/sheet17.xml" Id="R9794000fd8434f01" /><Relationship Type="http://schemas.openxmlformats.org/officeDocument/2006/relationships/worksheet" Target="/xl/worksheets/sheet18.xml" Id="R9c77ad7e399c4fbc" /><Relationship Type="http://schemas.openxmlformats.org/officeDocument/2006/relationships/worksheet" Target="/xl/worksheets/sheet19.xml" Id="R4c3f75672fb34605" /><Relationship Type="http://schemas.openxmlformats.org/officeDocument/2006/relationships/worksheet" Target="/xl/worksheets/sheet20.xml" Id="R53d4544324854629" /><Relationship Type="http://schemas.openxmlformats.org/officeDocument/2006/relationships/worksheet" Target="/xl/worksheets/sheet21.xml" Id="Rca899a1e34404035" /><Relationship Type="http://schemas.openxmlformats.org/officeDocument/2006/relationships/worksheet" Target="/xl/worksheets/sheet22.xml" Id="Rcb916788cb3d45e9" /><Relationship Type="http://schemas.openxmlformats.org/officeDocument/2006/relationships/worksheet" Target="/xl/worksheets/sheet23.xml" Id="R9ce52d4f0dda4906" /><Relationship Type="http://schemas.microsoft.com/office/2017/10/relationships/person" Target="/xl/persons/person.xml" Id="Rd5849d76adbc4550"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c1498ba0ed416c" /><Relationship Type="http://schemas.openxmlformats.org/officeDocument/2006/relationships/chart" Target="/xl/drawings/charts/chart2.xml" Id="R93d6ad413e054dd2" /><Relationship Type="http://schemas.openxmlformats.org/officeDocument/2006/relationships/chart" Target="/xl/drawings/charts/chart3.xml" Id="Rab9438fb92744f34" /><Relationship Type="http://schemas.openxmlformats.org/officeDocument/2006/relationships/chart" Target="/xl/drawings/charts/chart4.xml" Id="R16505e67d0d74f88" /></Relationships>
</file>

<file path=xl/drawings/charts/chart1.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t>Core GDP: Pacifica and Japan ($m)</a:t>
            </a:r>
          </a:p>
        </c:rich>
      </c:tx>
    </c:title>
    <c:plotArea>
      <c:lineChart>
        <c:grouping val="standard"/>
        <c:varyColors val="0"/>
        <c:ser>
          <c:idx val="0"/>
          <c:order val="0"/>
          <c:tx>
            <c:v>Pacifica</c:v>
          </c:tx>
          <c:spPr>
            <a:ln xmlns:a="http://schemas.openxmlformats.org/drawingml/2006/main" w="22000">
              <a:prstDash val="solid"/>
            </a:ln>
          </c:spPr>
          <c:marker>
            <c:symbol val="none"/>
            <c:spPr>
              <a:ln xmlns:a="http://schemas.openxmlformats.org/drawingml/2006/main">
                <a:prstDash val="solid"/>
              </a:ln>
            </c:spPr>
          </c:marker>
          <c:cat>
            <c:strRef>
              <c:f>'Economy'!$A$10:$A$92</c:f>
              <c:strCache>
                <c:ptCount val="0"/>
              </c:strCache>
            </c:strRef>
          </c:cat>
          <c:val>
            <c:numRef>
              <c:f>'Economy'!$O$10:$O$92</c:f>
              <c:numCache>
                <c:formatCode>General</c:formatCode>
                <c:ptCount val="0"/>
              </c:numCache>
            </c:numRef>
          </c:val>
          <c:smooth val="0"/>
        </c:ser>
        <c:ser>
          <c:idx val="1"/>
          <c:order val="1"/>
          <c:tx>
            <c:v>Japan</c:v>
          </c:tx>
          <c:spPr>
            <a:ln xmlns:a="http://schemas.openxmlformats.org/drawingml/2006/main" w="22000">
              <a:prstDash val="solid"/>
            </a:ln>
          </c:spPr>
          <c:marker>
            <c:symbol val="none"/>
            <c:spPr>
              <a:ln xmlns:a="http://schemas.openxmlformats.org/drawingml/2006/main">
                <a:prstDash val="solid"/>
              </a:ln>
            </c:spPr>
          </c:marker>
          <c:cat>
            <c:strRef>
              <c:f>'Economy'!$A$10:$A$92</c:f>
              <c:strCache>
                <c:ptCount val="0"/>
              </c:strCache>
            </c:strRef>
          </c:cat>
          <c:val>
            <c:numRef>
              <c:f>'Japan'!$D$10:$D$92</c:f>
              <c:numCache>
                <c:formatCode>General</c:formatCode>
                <c:ptCount val="0"/>
              </c:numCache>
            </c:numRef>
          </c:val>
          <c:smooth val="0"/>
        </c:ser>
        <c:axId val="10"/>
        <c:axId val="100"/>
      </c:lineChart>
      <c:catAx>
        <c:axId val="10"/>
        <c:scaling>
          <c:orientation val="minMax"/>
        </c:scaling>
        <c:delete val="0"/>
        <c:axPos val="l"/>
        <c:numFmt formatCode="General"/>
        <c:majorTickMark val="none"/>
        <c:minorTickMark val="none"/>
        <c:tickLblSkip val="10"/>
        <c:tickMarkSkip val="10"/>
        <c:crossAx val="100"/>
        <c:lblOffset val="100"/>
      </c:catAx>
      <c:valAx>
        <c:axId val="100"/>
        <c:scaling>
          <c:orientation val="minMax"/>
        </c:scaling>
        <c:delete val="0"/>
        <c:axPos val="l"/>
        <c:title>
          <c:tx>
            <c:rich>
              <a:bodyPr xmlns:a="http://schemas.openxmlformats.org/drawingml/2006/main"/>
              <a:lstStyle xmlns:a="http://schemas.openxmlformats.org/drawingml/2006/main"/>
              <a:p xmlns:a="http://schemas.openxmlformats.org/drawingml/2006/main">
                <a:pPr>
                  <a:buNone/>
                </a:pPr>
                <a:r>
                  <a:t>$m</a:t>
                </a:r>
              </a:p>
            </c:rich>
          </c:tx>
        </c:title>
        <c:numFmt formatCode="General"/>
        <c:majorTickMark val="none"/>
        <c:minorTickMark val="none"/>
        <c:crossAx val="10"/>
        <c:crossBetween val="between"/>
      </c:valAx>
    </c:plotArea>
    <c:legend>
      <c:legendPos val="b"/>
      <c:overlay val="0"/>
    </c:legend>
    <c:plotVisOnly val="1"/>
    <c:dispBlanksAs val="gap"/>
  </c:chart>
</c:chartSpace>
</file>

<file path=xl/drawings/charts/chart2.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t>Public debt and Reserve Fund / GDP</a:t>
            </a:r>
          </a:p>
        </c:rich>
      </c:tx>
    </c:title>
    <c:plotArea>
      <c:lineChart>
        <c:grouping val="standard"/>
        <c:varyColors val="0"/>
        <c:ser>
          <c:idx val="0"/>
          <c:order val="0"/>
          <c:tx>
            <c:v>Public debt / GDP</c:v>
          </c:tx>
          <c:spPr>
            <a:ln xmlns:a="http://schemas.openxmlformats.org/drawingml/2006/main" w="22000">
              <a:prstDash val="solid"/>
            </a:ln>
          </c:spPr>
          <c:marker>
            <c:symbol val="none"/>
            <c:spPr>
              <a:ln xmlns:a="http://schemas.openxmlformats.org/drawingml/2006/main">
                <a:prstDash val="solid"/>
              </a:ln>
            </c:spPr>
          </c:marker>
          <c:cat>
            <c:strRef>
              <c:f>'Debt &amp; cash'!$A$10:$A$92</c:f>
              <c:strCache>
                <c:ptCount val="0"/>
              </c:strCache>
            </c:strRef>
          </c:cat>
          <c:val>
            <c:numRef>
              <c:f>'Debt &amp; cash'!$V$10:$V$92</c:f>
              <c:numCache>
                <c:formatCode>General</c:formatCode>
                <c:ptCount val="0"/>
              </c:numCache>
            </c:numRef>
          </c:val>
          <c:smooth val="0"/>
        </c:ser>
        <c:ser>
          <c:idx val="1"/>
          <c:order val="1"/>
          <c:tx>
            <c:v>Reserve Fund / GDP</c:v>
          </c:tx>
          <c:spPr>
            <a:ln xmlns:a="http://schemas.openxmlformats.org/drawingml/2006/main" w="22000">
              <a:prstDash val="solid"/>
            </a:ln>
          </c:spPr>
          <c:marker>
            <c:symbol val="none"/>
            <c:spPr>
              <a:ln xmlns:a="http://schemas.openxmlformats.org/drawingml/2006/main">
                <a:prstDash val="solid"/>
              </a:ln>
            </c:spPr>
          </c:marker>
          <c:cat>
            <c:strRef>
              <c:f>'Debt &amp; cash'!$A$10:$A$92</c:f>
              <c:strCache>
                <c:ptCount val="0"/>
              </c:strCache>
            </c:strRef>
          </c:cat>
          <c:val>
            <c:numRef>
              <c:f>'Debt &amp; cash'!$X$10:$X$92</c:f>
              <c:numCache>
                <c:formatCode>General</c:formatCode>
                <c:ptCount val="0"/>
              </c:numCache>
            </c:numRef>
          </c:val>
          <c:smooth val="0"/>
        </c:ser>
        <c:axId val="10"/>
        <c:axId val="100"/>
      </c:lineChart>
      <c:catAx>
        <c:axId val="10"/>
        <c:scaling>
          <c:orientation val="minMax"/>
        </c:scaling>
        <c:delete val="0"/>
        <c:axPos val="l"/>
        <c:numFmt formatCode="General"/>
        <c:majorTickMark val="none"/>
        <c:minorTickMark val="none"/>
        <c:tickLblSkip val="10"/>
        <c:tickMarkSkip val="10"/>
        <c:crossAx val="100"/>
        <c:lblOffset val="100"/>
      </c:catAx>
      <c:valAx>
        <c:axId val="100"/>
        <c:scaling>
          <c:orientation val="minMax"/>
        </c:scaling>
        <c:delete val="0"/>
        <c:axPos val="l"/>
        <c:title>
          <c:tx>
            <c:rich>
              <a:bodyPr xmlns:a="http://schemas.openxmlformats.org/drawingml/2006/main"/>
              <a:lstStyle xmlns:a="http://schemas.openxmlformats.org/drawingml/2006/main"/>
              <a:p xmlns:a="http://schemas.openxmlformats.org/drawingml/2006/main">
                <a:pPr>
                  <a:buNone/>
                </a:pPr>
                <a:r>
                  <a:t>share of GDP</a:t>
                </a:r>
              </a:p>
            </c:rich>
          </c:tx>
        </c:title>
        <c:numFmt formatCode="General"/>
        <c:majorTickMark val="none"/>
        <c:minorTickMark val="none"/>
        <c:crossAx val="10"/>
        <c:crossBetween val="between"/>
      </c:valAx>
    </c:plotArea>
    <c:legend>
      <c:legendPos val="b"/>
      <c:overlay val="0"/>
    </c:legend>
    <c:plotVisOnly val="1"/>
    <c:dispBlanksAs val="gap"/>
  </c:chart>
</c:chartSpace>
</file>

<file path=xl/drawings/charts/chart3.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t>Capital ships: Pacifica + Japan vs Britain and the Union</a:t>
            </a:r>
          </a:p>
        </c:rich>
      </c:tx>
    </c:title>
    <c:plotArea>
      <c:lineChart>
        <c:grouping val="standard"/>
        <c:varyColors val="0"/>
        <c:ser>
          <c:idx val="0"/>
          <c:order val="0"/>
          <c:tx>
            <c:v>Pacifica + Japan</c:v>
          </c:tx>
          <c:spPr>
            <a:ln xmlns:a="http://schemas.openxmlformats.org/drawingml/2006/main" w="22000">
              <a:prstDash val="solid"/>
            </a:ln>
          </c:spPr>
          <c:marker>
            <c:symbol val="none"/>
            <c:spPr>
              <a:ln xmlns:a="http://schemas.openxmlformats.org/drawingml/2006/main">
                <a:prstDash val="solid"/>
              </a:ln>
            </c:spPr>
          </c:marker>
          <c:cat>
            <c:strRef>
              <c:f>'Navy'!$A$10:$A$92</c:f>
              <c:strCache>
                <c:ptCount val="0"/>
              </c:strCache>
            </c:strRef>
          </c:cat>
          <c:val>
            <c:numRef>
              <c:f>'Navy'!$AB$10:$AB$92</c:f>
              <c:numCache>
                <c:formatCode>General</c:formatCode>
                <c:ptCount val="0"/>
              </c:numCache>
            </c:numRef>
          </c:val>
          <c:smooth val="0"/>
        </c:ser>
        <c:ser>
          <c:idx val="1"/>
          <c:order val="1"/>
          <c:tx>
            <c:v>Britain</c:v>
          </c:tx>
          <c:spPr>
            <a:ln xmlns:a="http://schemas.openxmlformats.org/drawingml/2006/main" w="22000">
              <a:prstDash val="solid"/>
            </a:ln>
          </c:spPr>
          <c:marker>
            <c:symbol val="none"/>
            <c:spPr>
              <a:ln xmlns:a="http://schemas.openxmlformats.org/drawingml/2006/main">
                <a:prstDash val="solid"/>
              </a:ln>
            </c:spPr>
          </c:marker>
          <c:cat>
            <c:strRef>
              <c:f>'Navy'!$A$10:$A$92</c:f>
              <c:strCache>
                <c:ptCount val="0"/>
              </c:strCache>
            </c:strRef>
          </c:cat>
          <c:val>
            <c:numRef>
              <c:f>'Navy'!$AC$10:$AC$92</c:f>
              <c:numCache>
                <c:formatCode>General</c:formatCode>
                <c:ptCount val="0"/>
              </c:numCache>
            </c:numRef>
          </c:val>
          <c:smooth val="0"/>
        </c:ser>
        <c:ser>
          <c:idx val="2"/>
          <c:order val="2"/>
          <c:tx>
            <c:v>Union</c:v>
          </c:tx>
          <c:spPr>
            <a:ln xmlns:a="http://schemas.openxmlformats.org/drawingml/2006/main" w="22000">
              <a:prstDash val="solid"/>
            </a:ln>
          </c:spPr>
          <c:marker>
            <c:symbol val="none"/>
            <c:spPr>
              <a:ln xmlns:a="http://schemas.openxmlformats.org/drawingml/2006/main">
                <a:prstDash val="solid"/>
              </a:ln>
            </c:spPr>
          </c:marker>
          <c:cat>
            <c:strRef>
              <c:f>'Navy'!$A$10:$A$92</c:f>
              <c:strCache>
                <c:ptCount val="0"/>
              </c:strCache>
            </c:strRef>
          </c:cat>
          <c:val>
            <c:numRef>
              <c:f>'Navy'!$AD$10:$AD$92</c:f>
              <c:numCache>
                <c:formatCode>General</c:formatCode>
                <c:ptCount val="0"/>
              </c:numCache>
            </c:numRef>
          </c:val>
          <c:smooth val="0"/>
        </c:ser>
        <c:axId val="10"/>
        <c:axId val="100"/>
      </c:lineChart>
      <c:catAx>
        <c:axId val="10"/>
        <c:scaling>
          <c:orientation val="minMax"/>
        </c:scaling>
        <c:delete val="0"/>
        <c:axPos val="l"/>
        <c:numFmt formatCode="General"/>
        <c:majorTickMark val="none"/>
        <c:minorTickMark val="none"/>
        <c:tickLblSkip val="10"/>
        <c:tickMarkSkip val="10"/>
        <c:crossAx val="100"/>
        <c:lblOffset val="100"/>
      </c:catAx>
      <c:valAx>
        <c:axId val="100"/>
        <c:scaling>
          <c:orientation val="minMax"/>
        </c:scaling>
        <c:delete val="0"/>
        <c:axPos val="l"/>
        <c:title>
          <c:tx>
            <c:rich>
              <a:bodyPr xmlns:a="http://schemas.openxmlformats.org/drawingml/2006/main"/>
              <a:lstStyle xmlns:a="http://schemas.openxmlformats.org/drawingml/2006/main"/>
              <a:p xmlns:a="http://schemas.openxmlformats.org/drawingml/2006/main">
                <a:pPr>
                  <a:buNone/>
                </a:pPr>
                <a:r>
                  <a:t>ships</a:t>
                </a:r>
              </a:p>
            </c:rich>
          </c:tx>
        </c:title>
        <c:numFmt formatCode="General"/>
        <c:majorTickMark val="none"/>
        <c:minorTickMark val="none"/>
        <c:crossAx val="10"/>
        <c:crossBetween val="between"/>
      </c:valAx>
    </c:plotArea>
    <c:legend>
      <c:legendPos val="b"/>
      <c:overlay val="0"/>
    </c:legend>
    <c:plotVisOnly val="1"/>
    <c:dispBlanksAs val="gap"/>
  </c:chart>
</c:chartSpace>
</file>

<file path=xl/drawings/charts/chart4.xml><?xml version="1.0" encoding="utf-8"?>
<c:chartSpace xmlns:c="http://schemas.openxmlformats.org/drawingml/2006/chart">
  <c:lang val="en-US"/>
  <c:style val="2"/>
  <c:chart>
    <c:title>
      <c:tx>
        <c:rich>
          <a:bodyPr xmlns:a="http://schemas.openxmlformats.org/drawingml/2006/main"/>
          <a:lstStyle xmlns:a="http://schemas.openxmlformats.org/drawingml/2006/main"/>
          <a:p xmlns:a="http://schemas.openxmlformats.org/drawingml/2006/main">
            <a:r>
              <a:t>Pacifica's navy bill ($m)</a:t>
            </a:r>
          </a:p>
        </c:rich>
      </c:tx>
    </c:title>
    <c:plotArea>
      <c:lineChart>
        <c:grouping val="standard"/>
        <c:varyColors val="0"/>
        <c:ser>
          <c:idx val="0"/>
          <c:order val="0"/>
          <c:tx>
            <c:v>Navy bill</c:v>
          </c:tx>
          <c:spPr>
            <a:ln xmlns:a="http://schemas.openxmlformats.org/drawingml/2006/main" w="22000">
              <a:prstDash val="solid"/>
            </a:ln>
          </c:spPr>
          <c:marker>
            <c:symbol val="none"/>
            <c:spPr>
              <a:ln xmlns:a="http://schemas.openxmlformats.org/drawingml/2006/main">
                <a:prstDash val="solid"/>
              </a:ln>
            </c:spPr>
          </c:marker>
          <c:cat>
            <c:strRef>
              <c:f>'Navy'!$A$10:$A$92</c:f>
              <c:strCache>
                <c:ptCount val="0"/>
              </c:strCache>
            </c:strRef>
          </c:cat>
          <c:val>
            <c:numRef>
              <c:f>'Navy'!$Y$10:$Y$92</c:f>
              <c:numCache>
                <c:formatCode>General</c:formatCode>
                <c:ptCount val="0"/>
              </c:numCache>
            </c:numRef>
          </c:val>
          <c:smooth val="0"/>
        </c:ser>
        <c:axId val="10"/>
        <c:axId val="100"/>
      </c:lineChart>
      <c:catAx>
        <c:axId val="10"/>
        <c:scaling>
          <c:orientation val="minMax"/>
        </c:scaling>
        <c:delete val="0"/>
        <c:axPos val="l"/>
        <c:numFmt formatCode="General"/>
        <c:majorTickMark val="none"/>
        <c:minorTickMark val="none"/>
        <c:tickLblSkip val="10"/>
        <c:tickMarkSkip val="10"/>
        <c:crossAx val="100"/>
        <c:lblOffset val="100"/>
      </c:catAx>
      <c:valAx>
        <c:axId val="100"/>
        <c:scaling>
          <c:orientation val="minMax"/>
        </c:scaling>
        <c:delete val="0"/>
        <c:axPos val="l"/>
        <c:title>
          <c:tx>
            <c:rich>
              <a:bodyPr xmlns:a="http://schemas.openxmlformats.org/drawingml/2006/main"/>
              <a:lstStyle xmlns:a="http://schemas.openxmlformats.org/drawingml/2006/main"/>
              <a:p xmlns:a="http://schemas.openxmlformats.org/drawingml/2006/main">
                <a:pPr>
                  <a:buNone/>
                </a:pPr>
                <a:r>
                  <a:t>$m</a:t>
                </a:r>
              </a:p>
            </c:rich>
          </c:tx>
        </c:title>
        <c:numFmt formatCode="General"/>
        <c:majorTickMark val="none"/>
        <c:minorTickMark val="none"/>
        <c:crossAx val="10"/>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dr:oneCellAnchor>
    <xdr:from>
      <xdr:col>1</xdr:col>
      <xdr:colOff>0</xdr:colOff>
      <xdr:row>83</xdr:row>
      <xdr:rowOff>0</xdr:rowOff>
    </xdr:from>
    <xdr:ext cx="6120000" cy="270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c1498ba0ed416c"/>
        </a:graphicData>
      </a:graphic>
    </xdr:graphicFrame>
    <xdr:clientData/>
  </xdr:oneCellAnchor>
  <xdr:oneCellAnchor>
    <xdr:from>
      <xdr:col>7</xdr:col>
      <xdr:colOff>0</xdr:colOff>
      <xdr:row>83</xdr:row>
      <xdr:rowOff>0</xdr:rowOff>
    </xdr:from>
    <xdr:ext cx="6120000" cy="2700000"/>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3d6ad413e054dd2"/>
        </a:graphicData>
      </a:graphic>
    </xdr:graphicFrame>
    <xdr:clientData/>
  </xdr:oneCellAnchor>
  <xdr:oneCellAnchor>
    <xdr:from>
      <xdr:col>1</xdr:col>
      <xdr:colOff>0</xdr:colOff>
      <xdr:row>99</xdr:row>
      <xdr:rowOff>0</xdr:rowOff>
    </xdr:from>
    <xdr:ext cx="6120000" cy="2700000"/>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b9438fb92744f34"/>
        </a:graphicData>
      </a:graphic>
    </xdr:graphicFrame>
    <xdr:clientData/>
  </xdr:oneCellAnchor>
  <xdr:oneCellAnchor>
    <xdr:from>
      <xdr:col>7</xdr:col>
      <xdr:colOff>0</xdr:colOff>
      <xdr:row>99</xdr:row>
      <xdr:rowOff>0</xdr:rowOff>
    </xdr:from>
    <xdr:ext cx="6120000" cy="2700000"/>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6505e67d0d74f88"/>
        </a:graphicData>
      </a:graphic>
    </xdr:graphicFrame>
    <xdr:clientData/>
  </xdr:oneCellAnchor>
</xdr:wsDr>
</file>

<file path=xl/persons/person.xml><?xml version="1.0" encoding="utf-8"?>
<xltc:personList xmlns:xltc="http://schemas.microsoft.com/office/spreadsheetml/2018/threadedcomments">
  <xltc:person displayName="Model" id="{89B55A48-BE64-1A19-5723-5CC64364524E}"/>
  <xltc:person displayName="Model" id="{27556D11-8BDE-212C-3881-848CE9F773F9}"/>
  <xltc:person displayName="Model" id="{7577B426-A9F9-3517-34B0-1C416570175A}"/>
  <xltc:person displayName="Model" id="{B52E890A-7855-6A8B-85C9-F14598C210BB}"/>
  <xltc:person displayName="Model" id="{0E476C7A-149D-073F-CF54-BB394ED09181}"/>
  <xltc:person displayName="Model" id="{888A063E-38FD-81C8-875A-94C097C11929}"/>
  <xltc:person displayName="Model" id="{DEC5E276-AB42-1245-8ACE-3983C1736EBA}"/>
  <xltc:person displayName="Model" id="{0E11DBB5-30E5-9498-F4C8-F86A4F5FC140}"/>
  <xltc:person displayName="Model" id="{BFFE8086-EE54-EF53-6725-D0503C264F90}"/>
  <xltc:person displayName="Model" id="{9B63E9C4-B7AF-C0B2-10E5-C1D272C5BB99}"/>
  <xltc:person displayName="Model" id="{BF908F4D-9953-DED9-156D-363AB01C49CB}"/>
  <xltc:person displayName="Model" id="{50863358-C9E9-91BB-6F9B-D13B78B9DCCD}"/>
  <xltc:person displayName="Model" id="{0E6CFBC6-B104-4397-BD85-C8143106B77B}"/>
  <xltc:person displayName="Model" id="{772C34C2-83A8-716B-3598-296ACEF475CC}"/>
  <xltc:person displayName="Model" id="{64E1CF3A-5486-7A9A-9AAE-227D84C459D7}"/>
</xltc: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Levers'!A1" TargetMode="External" Id="R7ad915d0cda34e23" /><Relationship Type="http://schemas.openxmlformats.org/officeDocument/2006/relationships/hyperlink" Target="#'Events'!A1" TargetMode="External" Id="R99134f33dfe34d0b" /><Relationship Type="http://schemas.openxmlformats.org/officeDocument/2006/relationships/hyperlink" Target="#'Paths'!A1" TargetMode="External" Id="R009c575a83e2442e" /><Relationship Type="http://schemas.openxmlformats.org/officeDocument/2006/relationships/hyperlink" Target="#'People'!A1" TargetMode="External" Id="R82bc1ca8a7444c83" /><Relationship Type="http://schemas.openxmlformats.org/officeDocument/2006/relationships/hyperlink" Target="#'Economy'!A1" TargetMode="External" Id="R18cf058eae364e65" /><Relationship Type="http://schemas.openxmlformats.org/officeDocument/2006/relationships/hyperlink" Target="#'Resources'!A1" TargetMode="External" Id="R0c9c44f1464f4dad" /><Relationship Type="http://schemas.openxmlformats.org/officeDocument/2006/relationships/hyperlink" Target="#'Budget'!A1" TargetMode="External" Id="R848299cdec5040a6" /><Relationship Type="http://schemas.openxmlformats.org/officeDocument/2006/relationships/hyperlink" Target="#'Debt &amp; cash'!A1" TargetMode="External" Id="R36f64132585c4757" /><Relationship Type="http://schemas.openxmlformats.org/officeDocument/2006/relationships/hyperlink" Target="#'Loans'!A1" TargetMode="External" Id="R410ff32377d94b3f" /><Relationship Type="http://schemas.openxmlformats.org/officeDocument/2006/relationships/hyperlink" Target="#'Gold &amp; money'!A1" TargetMode="External" Id="R71b6ccd6a539405c" /><Relationship Type="http://schemas.openxmlformats.org/officeDocument/2006/relationships/hyperlink" Target="#'Navy plan'!A1" TargetMode="External" Id="Rf7e72e7888d04c99" /><Relationship Type="http://schemas.openxmlformats.org/officeDocument/2006/relationships/hyperlink" Target="#'Navy'!A1" TargetMode="External" Id="R9a72cc886c6e4aac" /><Relationship Type="http://schemas.openxmlformats.org/officeDocument/2006/relationships/hyperlink" Target="#'Japan'!A1" TargetMode="External" Id="R3d8dab4d3d884c56" /><Relationship Type="http://schemas.openxmlformats.org/officeDocument/2006/relationships/hyperlink" Target="#'Partners'!A1" TargetMode="External" Id="Re2bd081d91c84a96" /><Relationship Type="http://schemas.openxmlformats.org/officeDocument/2006/relationships/hyperlink" Target="#'Abroad'!A1" TargetMode="External" Id="Ra05e8b07b2634856" /><Relationship Type="http://schemas.openxmlformats.org/officeDocument/2006/relationships/hyperlink" Target="#'Labour'!A1" TargetMode="External" Id="R60fe56262ece4d49" /><Relationship Type="http://schemas.openxmlformats.org/officeDocument/2006/relationships/hyperlink" Target="#'Champions'!A1" TargetMode="External" Id="R756b244c12534e59" /><Relationship Type="http://schemas.openxmlformats.org/officeDocument/2006/relationships/hyperlink" Target="#'Gulf'!A1" TargetMode="External" Id="Rc2719ff28eb04134" /><Relationship Type="http://schemas.openxmlformats.org/officeDocument/2006/relationships/hyperlink" Target="#'World'!A1" TargetMode="External" Id="Rb72e308053924816" /><Relationship Type="http://schemas.openxmlformats.org/officeDocument/2006/relationships/hyperlink" Target="#'Checks'!A1" TargetMode="External" Id="Rcb35ae04f0a8405b" /><Relationship Type="http://schemas.openxmlformats.org/officeDocument/2006/relationships/hyperlink" Target="#'Changes'!A1" TargetMode="External" Id="R2bfb45a9b4b14791" /><Relationship Type="http://schemas.openxmlformats.org/officeDocument/2006/relationships/drawing" Target="/xl/drawings/drawing1.xml" Id="R0c1e3cf54af74dea" /></Relationships>
</file>

<file path=xl/worksheets/_rels/sheet5.xml.rels>&#65279;<?xml version="1.0" encoding="utf-8"?><Relationships xmlns="http://schemas.openxmlformats.org/package/2006/relationships"><Relationship Type="http://schemas.openxmlformats.org/officeDocument/2006/relationships/comments" Target="/xl/comments1.xml" Id="R67235d34bd0e4067" /><Relationship Type="http://schemas.openxmlformats.org/officeDocument/2006/relationships/vmlDrawing" Target="/xl/drawings/vmldrawing.vml" Id="Rf103c9140e44401f" /></Relationships>
</file>

<file path=xl/worksheets/_rels/sheet6.xml.rels>&#65279;<?xml version="1.0" encoding="utf-8"?><Relationships xmlns="http://schemas.openxmlformats.org/package/2006/relationships"><Relationship Type="http://schemas.openxmlformats.org/officeDocument/2006/relationships/comments" Target="/xl/comments2.xml" Id="Rd03436e0c15242e2" /><Relationship Type="http://schemas.openxmlformats.org/officeDocument/2006/relationships/vmlDrawing" Target="/xl/drawings/vmldrawing2.vml" Id="R63f0a24164b646ff" /></Relationships>
</file>

<file path=xl/worksheets/_rels/sheet7.xml.rels>&#65279;<?xml version="1.0" encoding="utf-8"?><Relationships xmlns="http://schemas.openxmlformats.org/package/2006/relationships"><Relationship Type="http://schemas.openxmlformats.org/officeDocument/2006/relationships/comments" Target="/xl/comments3.xml" Id="R8d1d17af81db4c34" /><Relationship Type="http://schemas.openxmlformats.org/officeDocument/2006/relationships/vmlDrawing" Target="/xl/drawings/vmldrawing3.vml" Id="R9556f2db4cb64f8d" /></Relationships>
</file>

<file path=xl/worksheets/_rels/sheet8.xml.rels>&#65279;<?xml version="1.0" encoding="utf-8"?><Relationships xmlns="http://schemas.openxmlformats.org/package/2006/relationships"><Relationship Type="http://schemas.openxmlformats.org/officeDocument/2006/relationships/comments" Target="/xl/comments4.xml" Id="R1477ba458f674fd0" /><Relationship Type="http://schemas.openxmlformats.org/officeDocument/2006/relationships/vmlDrawing" Target="/xl/drawings/vmldrawing4.vml" Id="R70aba36413a041c7" /></Relationships>
</file>

<file path=xl/worksheets/_rels/sheet9.xml.rels>&#65279;<?xml version="1.0" encoding="utf-8"?><Relationships xmlns="http://schemas.openxmlformats.org/package/2006/relationships"><Relationship Type="http://schemas.openxmlformats.org/officeDocument/2006/relationships/comments" Target="/xl/comments5.xml" Id="Ra76573353dee4a8e" /><Relationship Type="http://schemas.openxmlformats.org/officeDocument/2006/relationships/vmlDrawing" Target="/xl/drawings/vmldrawing5.vml" Id="Rc42490613f5a4b79" /></Relationships>
</file>

<file path=xl/worksheets/_rels/sheet10.xml.rels>&#65279;<?xml version="1.0" encoding="utf-8"?><Relationships xmlns="http://schemas.openxmlformats.org/package/2006/relationships"><Relationship Type="http://schemas.openxmlformats.org/officeDocument/2006/relationships/comments" Target="/xl/comments6.xml" Id="Rdf5b936d4d4042c4" /><Relationship Type="http://schemas.openxmlformats.org/officeDocument/2006/relationships/vmlDrawing" Target="/xl/drawings/vmldrawing6.vml" Id="Rb1524995cb3843e5" /></Relationships>
</file>

<file path=xl/worksheets/_rels/sheet13.xml.rels>&#65279;<?xml version="1.0" encoding="utf-8"?><Relationships xmlns="http://schemas.openxmlformats.org/package/2006/relationships"><Relationship Type="http://schemas.openxmlformats.org/officeDocument/2006/relationships/comments" Target="/xl/comments7.xml" Id="R22d116f9bd204827" /><Relationship Type="http://schemas.openxmlformats.org/officeDocument/2006/relationships/vmlDrawing" Target="/xl/drawings/vmldrawing7.vml" Id="R54d29eb409294fa5" /></Relationships>
</file>

<file path=xl/worksheets/_rels/sheet14.xml.rels>&#65279;<?xml version="1.0" encoding="utf-8"?><Relationships xmlns="http://schemas.openxmlformats.org/package/2006/relationships"><Relationship Type="http://schemas.openxmlformats.org/officeDocument/2006/relationships/comments" Target="/xl/comments8.xml" Id="R2613e85d9c5e4eb3" /><Relationship Type="http://schemas.openxmlformats.org/officeDocument/2006/relationships/vmlDrawing" Target="/xl/drawings/vmldrawing8.vml" Id="Rd0b91d1d26ea4c29" /></Relationships>
</file>

<file path=xl/worksheets/_rels/sheet15.xml.rels>&#65279;<?xml version="1.0" encoding="utf-8"?><Relationships xmlns="http://schemas.openxmlformats.org/package/2006/relationships"><Relationship Type="http://schemas.openxmlformats.org/officeDocument/2006/relationships/comments" Target="/xl/comments9.xml" Id="R905300e721034157" /><Relationship Type="http://schemas.openxmlformats.org/officeDocument/2006/relationships/vmlDrawing" Target="/xl/drawings/vmldrawing9.vml" Id="Rd67b2ab894cf43da" /></Relationships>
</file>

<file path=xl/worksheets/_rels/sheet16.xml.rels>&#65279;<?xml version="1.0" encoding="utf-8"?><Relationships xmlns="http://schemas.openxmlformats.org/package/2006/relationships"><Relationship Type="http://schemas.openxmlformats.org/officeDocument/2006/relationships/comments" Target="/xl/comments10.xml" Id="R6e95e63005494988" /><Relationship Type="http://schemas.openxmlformats.org/officeDocument/2006/relationships/vmlDrawing" Target="/xl/drawings/vmldrawing10.vml" Id="R730481b85b7941af" /></Relationships>
</file>

<file path=xl/worksheets/_rels/sheet17.xml.rels>&#65279;<?xml version="1.0" encoding="utf-8"?><Relationships xmlns="http://schemas.openxmlformats.org/package/2006/relationships"><Relationship Type="http://schemas.openxmlformats.org/officeDocument/2006/relationships/comments" Target="/xl/comments11.xml" Id="Rd2f91cbcc06f4c38" /><Relationship Type="http://schemas.openxmlformats.org/officeDocument/2006/relationships/vmlDrawing" Target="/xl/drawings/vmldrawing11.vml" Id="Rd9095eab8e2a4638" /></Relationships>
</file>

<file path=xl/worksheets/_rels/sheet18.xml.rels>&#65279;<?xml version="1.0" encoding="utf-8"?><Relationships xmlns="http://schemas.openxmlformats.org/package/2006/relationships"><Relationship Type="http://schemas.openxmlformats.org/officeDocument/2006/relationships/comments" Target="/xl/comments12.xml" Id="Rda7eb5ef1bba4e30" /><Relationship Type="http://schemas.openxmlformats.org/officeDocument/2006/relationships/vmlDrawing" Target="/xl/drawings/vmldrawing12.vml" Id="Rc77e39abef724d7c" /></Relationships>
</file>

<file path=xl/worksheets/_rels/sheet19.xml.rels>&#65279;<?xml version="1.0" encoding="utf-8"?><Relationships xmlns="http://schemas.openxmlformats.org/package/2006/relationships"><Relationship Type="http://schemas.openxmlformats.org/officeDocument/2006/relationships/comments" Target="/xl/comments13.xml" Id="Rdd4125e83f05499b" /><Relationship Type="http://schemas.openxmlformats.org/officeDocument/2006/relationships/vmlDrawing" Target="/xl/drawings/vmldrawing13.vml" Id="Rf2595326212a4b46" /></Relationships>
</file>

<file path=xl/worksheets/_rels/sheet20.xml.rels>&#65279;<?xml version="1.0" encoding="utf-8"?><Relationships xmlns="http://schemas.openxmlformats.org/package/2006/relationships"><Relationship Type="http://schemas.openxmlformats.org/officeDocument/2006/relationships/comments" Target="/xl/comments14.xml" Id="R56c1b20fdf124a0d" /><Relationship Type="http://schemas.openxmlformats.org/officeDocument/2006/relationships/vmlDrawing" Target="/xl/drawings/vmldrawing14.vml" Id="Rc431de11c9b64e5c" /></Relationships>
</file>

<file path=xl/worksheets/_rels/sheet22.xml.rels>&#65279;<?xml version="1.0" encoding="utf-8"?><Relationships xmlns="http://schemas.openxmlformats.org/package/2006/relationships"><Relationship Type="http://schemas.openxmlformats.org/officeDocument/2006/relationships/comments" Target="/xl/comments15.xml" Id="R8d27150722ef4daf" /><Relationship Type="http://schemas.openxmlformats.org/officeDocument/2006/relationships/vmlDrawing" Target="/xl/drawings/vmldrawing15.vml" Id="R190cb55d1c5847d8" /></Relationships>
</file>

<file path=xl/worksheets/sheet1.xml><?xml version="1.0" encoding="utf-8"?>
<x:worksheet xmlns:x="http://schemas.openxmlformats.org/spreadsheetml/2006/main">
  <x:sheetPr>
    <x:tabColor rgb="FF1F4E6B"/>
  </x:sheetPr>
  <x:sheetViews>
    <x:sheetView showGridLines="0" workbookViewId="0"/>
  </x:sheetViews>
  <x:sheetFormatPr baseColWidth="8" defaultRowHeight="15"/>
  <x:cols>
    <x:col min="1" max="1" width="2" customWidth="1"/>
    <x:col min="2" max="2" width="40" customWidth="1"/>
    <x:col min="3" max="3" width="10.5" customWidth="1"/>
    <x:col min="4" max="4" width="10.5" customWidth="1"/>
    <x:col min="5" max="5" width="10.5" customWidth="1"/>
    <x:col min="6" max="6" width="10.5" customWidth="1"/>
    <x:col min="7" max="7" width="10.5" customWidth="1"/>
    <x:col min="8" max="8" width="10.5" customWidth="1"/>
    <x:col min="9" max="9" width="10.5" customWidth="1"/>
    <x:col min="10" max="10" width="10.5" customWidth="1"/>
    <x:col min="11" max="11" width="10.5" customWidth="1"/>
    <x:col min="12" max="12" width="10.5" customWidth="1"/>
  </x:cols>
  <x:sheetData>
    <x:row r="1">
      <x:c r="B1" s="1" t="inlineStr">
        <x:is>
          <x:t xml:space="preserve">Pacifica: the financial model, 1846-1932</x:t>
        </x:is>
      </x:c>
    </x:row>
    <x:row r="2">
      <x:c r="B2" s="2" t="inlineStr">
        <x:is>
          <x:t xml:space="preserve">Rebuilt from the master storyline of 18 October 2026: every canon event with a cost, the approved oil, turbine and electrical programmes, a real fleet, Japan's own budget and a world comparison.</x:t>
        </x:is>
      </x:c>
    </x:row>
    <x:row r="4">
      <x:c r="B4" s="3" t="inlineStr">
        <x:is>
          <x:t xml:space="preserve">Case in use</x:t>
        </x:is>
      </x:c>
      <x:c r="C4" s="4" t="str">
        <x:f>Levers!F4</x:f>
        <x:v>Story case</x:v>
      </x:c>
      <x:c r="E4" s="2" t="inlineStr">
        <x:is>
          <x:t xml:space="preserve">Change it on Levers, cell E4 (1 = Story, 2 = Stress).</x:t>
        </x:is>
      </x:c>
    </x:row>
    <x:row r="5">
      <x:c r="B5" s="3" t="inlineStr">
        <x:is>
          <x:t xml:space="preserve">Problems found by Checks, all years</x:t>
        </x:is>
      </x:c>
      <x:c r="C5" s="4" t="n">
        <x:f>SUM(Checks!S6:S92)</x:f>
        <x:v>0</x:v>
      </x:c>
      <x:c r="E5" s="2" t="inlineStr">
        <x:is>
          <x:t xml:space="preserve">Zero means every year passes the arithmetic, the canon ceilings and the story checks.</x:t>
        </x:is>
      </x:c>
    </x:row>
    <x:row r="7">
      <x:c r="B7" s="5" t="inlineStr">
        <x:is>
          <x:t xml:space="preserve">Key results</x:t>
        </x:is>
      </x:c>
      <x:c r="C7" s="6" t="n">
        <x:v>1850</x:v>
      </x:c>
      <x:c r="D7" s="6" t="n">
        <x:v>1865</x:v>
      </x:c>
      <x:c r="E7" s="6" t="n">
        <x:v>1880</x:v>
      </x:c>
      <x:c r="F7" s="6" t="n">
        <x:v>1895</x:v>
      </x:c>
      <x:c r="G7" s="6" t="n">
        <x:v>1905</x:v>
      </x:c>
      <x:c r="H7" s="6" t="n">
        <x:v>1913</x:v>
      </x:c>
      <x:c r="I7" s="6" t="n">
        <x:v>1918</x:v>
      </x:c>
      <x:c r="J7" s="6" t="n">
        <x:v>1922</x:v>
      </x:c>
      <x:c r="K7" s="6" t="n">
        <x:v>1929</x:v>
      </x:c>
      <x:c r="L7" s="6" t="n">
        <x:v>1932</x:v>
      </x:c>
    </x:row>
    <x:row r="8">
      <x:c r="B8" s="7" t="inlineStr">
        <x:is>
          <x:t xml:space="preserve">People and economy</x:t>
        </x:is>
      </x:c>
      <x:c r="C8" s="8" t="n"/>
      <x:c r="D8" s="8" t="n"/>
      <x:c r="E8" s="8" t="n"/>
      <x:c r="F8" s="8" t="n"/>
      <x:c r="G8" s="8" t="n"/>
      <x:c r="H8" s="8" t="n"/>
      <x:c r="I8" s="8" t="n"/>
      <x:c r="J8" s="8" t="n"/>
      <x:c r="K8" s="8" t="n"/>
      <x:c r="L8" s="8" t="n"/>
    </x:row>
    <x:row r="9">
      <x:c r="B9" s="9" t="inlineStr">
        <x:is>
          <x:t xml:space="preserve">Residents (millions)</x:t>
        </x:is>
      </x:c>
      <x:c r="C9" s="10" t="n">
        <x:f>INDEX(People!$W$6:$W$92,MATCH(C$7,People!$A$6:$A$92,0))/1000000</x:f>
        <x:v>0.270599130883072</x:v>
      </x:c>
      <x:c r="D9" s="10" t="n">
        <x:f>INDEX(People!$W$6:$W$92,MATCH(D$7,People!$A$6:$A$92,0))/1000000</x:f>
        <x:v>1.218700187173475</x:v>
      </x:c>
      <x:c r="E9" s="10" t="n">
        <x:f>INDEX(People!$W$6:$W$92,MATCH(E$7,People!$A$6:$A$92,0))/1000000</x:f>
        <x:v>3.2525628557945274</x:v>
      </x:c>
      <x:c r="F9" s="10" t="n">
        <x:f>INDEX(People!$W$6:$W$92,MATCH(F$7,People!$A$6:$A$92,0))/1000000</x:f>
        <x:v>6.5154422288129386</x:v>
      </x:c>
      <x:c r="G9" s="10" t="n">
        <x:f>INDEX(People!$W$6:$W$92,MATCH(G$7,People!$A$6:$A$92,0))/1000000</x:f>
        <x:v>10.558808809571643</x:v>
      </x:c>
      <x:c r="H9" s="10" t="n">
        <x:f>INDEX(People!$W$6:$W$92,MATCH(H$7,People!$A$6:$A$92,0))/1000000</x:f>
        <x:v>15.178403095534504</x:v>
      </x:c>
      <x:c r="I9" s="10" t="n">
        <x:f>INDEX(People!$W$6:$W$92,MATCH(I$7,People!$A$6:$A$92,0))/1000000</x:f>
        <x:v>17.518931597680844</x:v>
      </x:c>
      <x:c r="J9" s="10" t="n">
        <x:f>INDEX(People!$W$6:$W$92,MATCH(J$7,People!$A$6:$A$92,0))/1000000</x:f>
        <x:v>20.115584550682254</x:v>
      </x:c>
      <x:c r="K9" s="10" t="n">
        <x:f>INDEX(People!$W$6:$W$92,MATCH(K$7,People!$A$6:$A$92,0))/1000000</x:f>
        <x:v>25.43071670727078</x:v>
      </x:c>
      <x:c r="L9" s="10" t="n">
        <x:f>INDEX(People!$W$6:$W$92,MATCH(L$7,People!$A$6:$A$92,0))/1000000</x:f>
        <x:v>27.22578740053043</x:v>
      </x:c>
    </x:row>
    <x:row r="10">
      <x:c r="B10" s="9" t="inlineStr">
        <x:is>
          <x:t xml:space="preserve">Asian-origin share of residents</x:t>
        </x:is>
      </x:c>
      <x:c r="C10" s="11" t="n">
        <x:f>INDEX(People!$S$6:$S$92,MATCH(C$7,People!$A$6:$A$92,0))</x:f>
        <x:v>0.011447664262227628</x:v>
      </x:c>
      <x:c r="D10" s="11" t="n">
        <x:f>INDEX(People!$S$6:$S$92,MATCH(D$7,People!$A$6:$A$92,0))</x:f>
        <x:v>0.07574544571870158</x:v>
      </x:c>
      <x:c r="E10" s="11" t="n">
        <x:f>INDEX(People!$S$6:$S$92,MATCH(E$7,People!$A$6:$A$92,0))</x:f>
        <x:v>0.1221266067111678</x:v>
      </x:c>
      <x:c r="F10" s="11" t="n">
        <x:f>INDEX(People!$S$6:$S$92,MATCH(F$7,People!$A$6:$A$92,0))</x:f>
        <x:v>0.14610086777148437</x:v>
      </x:c>
      <x:c r="G10" s="11" t="n">
        <x:f>INDEX(People!$S$6:$S$92,MATCH(G$7,People!$A$6:$A$92,0))</x:f>
        <x:v>0.155711231555214</x:v>
      </x:c>
      <x:c r="H10" s="11" t="n">
        <x:f>INDEX(People!$S$6:$S$92,MATCH(H$7,People!$A$6:$A$92,0))</x:f>
        <x:v>0.16441832449871635</x:v>
      </x:c>
      <x:c r="I10" s="11" t="n">
        <x:f>INDEX(People!$S$6:$S$92,MATCH(I$7,People!$A$6:$A$92,0))</x:f>
        <x:v>0.17209882070071747</x:v>
      </x:c>
      <x:c r="J10" s="11" t="n">
        <x:f>INDEX(People!$S$6:$S$92,MATCH(J$7,People!$A$6:$A$92,0))</x:f>
        <x:v>0.18106954759779625</x:v>
      </x:c>
      <x:c r="K10" s="11" t="n">
        <x:f>INDEX(People!$S$6:$S$92,MATCH(K$7,People!$A$6:$A$92,0))</x:f>
        <x:v>0.19436568115048344</x:v>
      </x:c>
      <x:c r="L10" s="11" t="n">
        <x:f>INDEX(People!$S$6:$S$92,MATCH(L$7,People!$A$6:$A$92,0))</x:f>
        <x:v>0.2000818618148611</x:v>
      </x:c>
    </x:row>
    <x:row r="11">
      <x:c r="B11" s="9" t="inlineStr">
        <x:is>
          <x:t xml:space="preserve">Guest workers present (thousands)</x:t>
        </x:is>
      </x:c>
      <x:c r="C11" s="12" t="n">
        <x:f>INDEX(Labour!$L$6:$L$92,MATCH(C$7,Labour!$A$6:$A$92,0))/1000</x:f>
        <x:v>0</x:v>
      </x:c>
      <x:c r="D11" s="12" t="n">
        <x:f>INDEX(Labour!$L$6:$L$92,MATCH(D$7,Labour!$A$6:$A$92,0))/1000</x:f>
        <x:v>0</x:v>
      </x:c>
      <x:c r="E11" s="12" t="n">
        <x:f>INDEX(Labour!$L$6:$L$92,MATCH(E$7,Labour!$A$6:$A$92,0))/1000</x:f>
        <x:v>0</x:v>
      </x:c>
      <x:c r="F11" s="12" t="n">
        <x:f>INDEX(Labour!$L$6:$L$92,MATCH(F$7,Labour!$A$6:$A$92,0))/1000</x:f>
        <x:v>208.06765835865073</x:v>
      </x:c>
      <x:c r="G11" s="12" t="n">
        <x:f>INDEX(Labour!$L$6:$L$92,MATCH(G$7,Labour!$A$6:$A$92,0))/1000</x:f>
        <x:v>408.39794494850935</x:v>
      </x:c>
      <x:c r="H11" s="12" t="n">
        <x:f>INDEX(Labour!$L$6:$L$92,MATCH(H$7,Labour!$A$6:$A$92,0))/1000</x:f>
        <x:v>594.3806084904302</x:v>
      </x:c>
      <x:c r="I11" s="12" t="n">
        <x:f>INDEX(Labour!$L$6:$L$92,MATCH(I$7,Labour!$A$6:$A$92,0))/1000</x:f>
        <x:v>782.7986980057238</x:v>
      </x:c>
      <x:c r="J11" s="12" t="n">
        <x:f>INDEX(Labour!$L$6:$L$92,MATCH(J$7,Labour!$A$6:$A$92,0))/1000</x:f>
        <x:v>747.4044758563651</x:v>
      </x:c>
      <x:c r="K11" s="12" t="n">
        <x:f>INDEX(Labour!$L$6:$L$92,MATCH(K$7,Labour!$A$6:$A$92,0))/1000</x:f>
        <x:v>1176.4898943892356</x:v>
      </x:c>
      <x:c r="L11" s="12" t="n">
        <x:f>INDEX(Labour!$L$6:$L$92,MATCH(L$7,Labour!$A$6:$A$92,0))/1000</x:f>
        <x:v>854.3813160149089</x:v>
      </x:c>
    </x:row>
    <x:row r="12">
      <x:c r="B12" s="9" t="inlineStr">
        <x:is>
          <x:t xml:space="preserve">Core GDP ($bn)</x:t>
        </x:is>
      </x:c>
      <x:c r="C12" s="10" t="n">
        <x:f>INDEX(Economy!$O$6:$O$92,MATCH(C$7,Economy!$A$6:$A$92,0))/1000</x:f>
        <x:v>0.07733803255275296</x:v>
      </x:c>
      <x:c r="D12" s="10" t="n">
        <x:f>INDEX(Economy!$O$6:$O$92,MATCH(D$7,Economy!$A$6:$A$92,0))/1000</x:f>
        <x:v>0.3431588001402528</x:v>
      </x:c>
      <x:c r="E12" s="10" t="n">
        <x:f>INDEX(Economy!$O$6:$O$92,MATCH(E$7,Economy!$A$6:$A$92,0))/1000</x:f>
        <x:v>0.9784772749308585</x:v>
      </x:c>
      <x:c r="F12" s="10" t="n">
        <x:f>INDEX(Economy!$O$6:$O$92,MATCH(F$7,Economy!$A$6:$A$92,0))/1000</x:f>
        <x:v>2.5124224653681386</x:v>
      </x:c>
      <x:c r="G12" s="10" t="n">
        <x:f>INDEX(Economy!$O$6:$O$92,MATCH(G$7,Economy!$A$6:$A$92,0))/1000</x:f>
        <x:v>6.338171389780103</x:v>
      </x:c>
      <x:c r="H12" s="10" t="n">
        <x:f>INDEX(Economy!$O$6:$O$92,MATCH(H$7,Economy!$A$6:$A$92,0))/1000</x:f>
        <x:v>13.236367352670444</x:v>
      </x:c>
      <x:c r="I12" s="10" t="n">
        <x:f>INDEX(Economy!$O$6:$O$92,MATCH(I$7,Economy!$A$6:$A$92,0))/1000</x:f>
        <x:v>27.707504725484384</x:v>
      </x:c>
      <x:c r="J12" s="10" t="n">
        <x:f>INDEX(Economy!$O$6:$O$92,MATCH(J$7,Economy!$A$6:$A$92,0))/1000</x:f>
        <x:v>31.31945905760658</x:v>
      </x:c>
      <x:c r="K12" s="10" t="n">
        <x:f>INDEX(Economy!$O$6:$O$92,MATCH(K$7,Economy!$A$6:$A$92,0))/1000</x:f>
        <x:v>50.54824095734033</x:v>
      </x:c>
      <x:c r="L12" s="10" t="n">
        <x:f>INDEX(Economy!$O$6:$O$92,MATCH(L$7,Economy!$A$6:$A$92,0))/1000</x:f>
        <x:v>39.30556253422824</x:v>
      </x:c>
    </x:row>
    <x:row r="13">
      <x:c r="B13" s="9" t="inlineStr">
        <x:is>
          <x:t xml:space="preserve">GDP per resident vs the US</x:t>
        </x:is>
      </x:c>
      <x:c r="C13" s="10" t="n">
        <x:f>INDEX(Economy!$R$6:$R$92,MATCH(C$7,Economy!$A$6:$A$92,0))</x:f>
        <x:v>2.9231097591609</x:v>
      </x:c>
      <x:c r="D13" s="10" t="n">
        <x:f>INDEX(Economy!$R$6:$R$92,MATCH(D$7,Economy!$A$6:$A$92,0))</x:f>
        <x:v>1.924545894645782</x:v>
      </x:c>
      <x:c r="E13" s="10" t="n">
        <x:f>INDEX(Economy!$R$6:$R$92,MATCH(E$7,Economy!$A$6:$A$92,0))</x:f>
        <x:v>1.486118652991646</x:v>
      </x:c>
      <x:c r="F13" s="10" t="n">
        <x:f>INDEX(Economy!$R$6:$R$92,MATCH(F$7,Economy!$A$6:$A$92,0))</x:f>
        <x:v>1.9085011151425575</x:v>
      </x:c>
      <x:c r="G13" s="10" t="n">
        <x:f>INDEX(Economy!$R$6:$R$92,MATCH(G$7,Economy!$A$6:$A$92,0))</x:f>
        <x:v>2.0430869951270565</x:v>
      </x:c>
      <x:c r="H13" s="10" t="n">
        <x:f>INDEX(Economy!$R$6:$R$92,MATCH(H$7,Economy!$A$6:$A$92,0))</x:f>
        <x:v>2.12464457942249</x:v>
      </x:c>
      <x:c r="I13" s="10" t="n">
        <x:f>INDEX(Economy!$R$6:$R$92,MATCH(I$7,Economy!$A$6:$A$92,0))</x:f>
        <x:v>2.06632267278682</x:v>
      </x:c>
      <x:c r="J13" s="10" t="n">
        <x:f>INDEX(Economy!$R$6:$R$92,MATCH(J$7,Economy!$A$6:$A$92,0))</x:f>
        <x:v>2.245993073620113</x:v>
      </x:c>
      <x:c r="K13" s="10" t="n">
        <x:f>INDEX(Economy!$R$6:$R$92,MATCH(K$7,Economy!$A$6:$A$92,0))</x:f>
        <x:v>2.2452524915843926</x:v>
      </x:c>
      <x:c r="L13" s="10" t="n">
        <x:f>INDEX(Economy!$R$6:$R$92,MATCH(L$7,Economy!$A$6:$A$92,0))</x:f>
        <x:v>2.9727506480157215</x:v>
      </x:c>
    </x:row>
    <x:row r="14">
      <x:c r="B14" s="9" t="inlineStr">
        <x:is>
          <x:t xml:space="preserve">Development Fund investment ($m)</x:t>
        </x:is>
      </x:c>
      <x:c r="C14" s="12" t="n">
        <x:f>INDEX('Debt &amp; cash'!$N$6:$N$92,MATCH(C$7,'Debt &amp; cash'!$A$6:$A$92,0))</x:f>
        <x:v>0</x:v>
      </x:c>
      <x:c r="D14" s="12" t="n">
        <x:f>INDEX('Debt &amp; cash'!$N$6:$N$92,MATCH(D$7,'Debt &amp; cash'!$A$6:$A$92,0))</x:f>
        <x:v>0</x:v>
      </x:c>
      <x:c r="E14" s="12" t="n">
        <x:f>INDEX('Debt &amp; cash'!$N$6:$N$92,MATCH(E$7,'Debt &amp; cash'!$A$6:$A$92,0))</x:f>
        <x:v>12.821818479737418</x:v>
      </x:c>
      <x:c r="F14" s="12" t="n">
        <x:f>INDEX('Debt &amp; cash'!$N$6:$N$92,MATCH(F$7,'Debt &amp; cash'!$A$6:$A$92,0))</x:f>
        <x:v>3.3152384448410146</x:v>
      </x:c>
      <x:c r="G14" s="12" t="n">
        <x:f>INDEX('Debt &amp; cash'!$N$6:$N$92,MATCH(G$7,'Debt &amp; cash'!$A$6:$A$92,0))</x:f>
        <x:v>128.06925423774243</x:v>
      </x:c>
      <x:c r="H14" s="12" t="n">
        <x:f>INDEX('Debt &amp; cash'!$N$6:$N$92,MATCH(H$7,'Debt &amp; cash'!$A$6:$A$92,0))</x:f>
        <x:v>276.8559281371704</x:v>
      </x:c>
      <x:c r="I14" s="12" t="n">
        <x:f>INDEX('Debt &amp; cash'!$N$6:$N$92,MATCH(I$7,'Debt &amp; cash'!$A$6:$A$92,0))</x:f>
        <x:v>353.03884579803</x:v>
      </x:c>
      <x:c r="J14" s="12" t="n">
        <x:f>INDEX('Debt &amp; cash'!$N$6:$N$92,MATCH(J$7,'Debt &amp; cash'!$A$6:$A$92,0))</x:f>
        <x:v>494.10298307516376</x:v>
      </x:c>
      <x:c r="K14" s="12" t="n">
        <x:f>INDEX('Debt &amp; cash'!$N$6:$N$92,MATCH(K$7,'Debt &amp; cash'!$A$6:$A$92,0))</x:f>
        <x:v>1454.1885786464472</x:v>
      </x:c>
      <x:c r="L14" s="12" t="n">
        <x:f>INDEX('Debt &amp; cash'!$N$6:$N$92,MATCH(L$7,'Debt &amp; cash'!$A$6:$A$92,0))</x:f>
        <x:v>83.63813007345256</x:v>
      </x:c>
    </x:row>
    <x:row r="15">
      <x:c r="B15" s="9" t="inlineStr">
        <x:is>
          <x:t xml:space="preserve">Oil output (m barrels)</x:t>
        </x:is>
      </x:c>
      <x:c r="C15" s="12" t="n">
        <x:f>INDEX(Resources!$K$6:$K$92,MATCH(C$7,Resources!$A$6:$A$92,0))</x:f>
        <x:v>0</x:v>
      </x:c>
      <x:c r="D15" s="12" t="n">
        <x:f>INDEX(Resources!$K$6:$K$92,MATCH(D$7,Resources!$A$6:$A$92,0))</x:f>
        <x:v>0</x:v>
      </x:c>
      <x:c r="E15" s="12" t="n">
        <x:f>INDEX(Resources!$K$6:$K$92,MATCH(E$7,Resources!$A$6:$A$92,0))</x:f>
        <x:v>0.05</x:v>
      </x:c>
      <x:c r="F15" s="12" t="n">
        <x:f>INDEX(Resources!$K$6:$K$92,MATCH(F$7,Resources!$A$6:$A$92,0))</x:f>
        <x:v>10</x:v>
      </x:c>
      <x:c r="G15" s="12" t="n">
        <x:f>INDEX(Resources!$K$6:$K$92,MATCH(G$7,Resources!$A$6:$A$92,0))</x:f>
        <x:v>50</x:v>
      </x:c>
      <x:c r="H15" s="12" t="n">
        <x:f>INDEX(Resources!$K$6:$K$92,MATCH(H$7,Resources!$A$6:$A$92,0))</x:f>
        <x:v>100</x:v>
      </x:c>
      <x:c r="I15" s="12" t="n">
        <x:f>INDEX(Resources!$K$6:$K$92,MATCH(I$7,Resources!$A$6:$A$92,0))</x:f>
        <x:v>105</x:v>
      </x:c>
      <x:c r="J15" s="12" t="n">
        <x:f>INDEX(Resources!$K$6:$K$92,MATCH(J$7,Resources!$A$6:$A$92,0))</x:f>
        <x:v>150</x:v>
      </x:c>
      <x:c r="K15" s="12" t="n">
        <x:f>INDEX(Resources!$K$6:$K$92,MATCH(K$7,Resources!$A$6:$A$92,0))</x:f>
        <x:v>300</x:v>
      </x:c>
      <x:c r="L15" s="12" t="n">
        <x:f>INDEX(Resources!$K$6:$K$92,MATCH(L$7,Resources!$A$6:$A$92,0))</x:f>
        <x:v>153</x:v>
      </x:c>
    </x:row>
    <x:row r="16">
      <x:c r="B16" s="9" t="inlineStr">
        <x:is>
          <x:t xml:space="preserve">National champions at home ($m)</x:t>
        </x:is>
      </x:c>
      <x:c r="C16" s="12" t="n">
        <x:f>INDEX(Champions!$AP$6:$AP$92,MATCH(C$7,Champions!$A$6:$A$92,0))</x:f>
        <x:v>0</x:v>
      </x:c>
      <x:c r="D16" s="12" t="n">
        <x:f>INDEX(Champions!$AP$6:$AP$92,MATCH(D$7,Champions!$A$6:$A$92,0))</x:f>
        <x:v>2.0008665431112083</x:v>
      </x:c>
      <x:c r="E16" s="12" t="n">
        <x:f>INDEX(Champions!$AP$6:$AP$92,MATCH(E$7,Champions!$A$6:$A$92,0))</x:f>
        <x:v>22.827414379888246</x:v>
      </x:c>
      <x:c r="F16" s="12" t="n">
        <x:f>INDEX(Champions!$AP$6:$AP$92,MATCH(F$7,Champions!$A$6:$A$92,0))</x:f>
        <x:v>124.85448801341853</x:v>
      </x:c>
      <x:c r="G16" s="12" t="n">
        <x:f>INDEX(Champions!$AP$6:$AP$92,MATCH(G$7,Champions!$A$6:$A$92,0))</x:f>
        <x:v>358.4664067282944</x:v>
      </x:c>
      <x:c r="H16" s="12" t="n">
        <x:f>INDEX(Champions!$AP$6:$AP$92,MATCH(H$7,Champions!$A$6:$A$92,0))</x:f>
        <x:v>734.2093494880852</x:v>
      </x:c>
      <x:c r="I16" s="12" t="n">
        <x:f>INDEX(Champions!$AP$6:$AP$92,MATCH(I$7,Champions!$A$6:$A$92,0))</x:f>
        <x:v>1792.0772781391668</x:v>
      </x:c>
      <x:c r="J16" s="12" t="n">
        <x:f>INDEX(Champions!$AP$6:$AP$92,MATCH(J$7,Champions!$A$6:$A$92,0))</x:f>
        <x:v>2147.429327872731</x:v>
      </x:c>
      <x:c r="K16" s="12" t="n">
        <x:f>INDEX(Champions!$AP$6:$AP$92,MATCH(K$7,Champions!$A$6:$A$92,0))</x:f>
        <x:v>4161.202223746623</x:v>
      </x:c>
      <x:c r="L16" s="12" t="n">
        <x:f>INDEX(Champions!$AP$6:$AP$92,MATCH(L$7,Champions!$A$6:$A$92,0))</x:f>
        <x:v>2570.482820593923</x:v>
      </x:c>
    </x:row>
    <x:row r="17">
      <x:c r="B17" s="9" t="inlineStr">
        <x:is>
          <x:t xml:space="preserve">Champions' assets abroad ($m)</x:t>
        </x:is>
      </x:c>
      <x:c r="C17" s="12" t="n">
        <x:f>INDEX(Champions!$AY$6:$AY$92,MATCH(C$7,Champions!$A$6:$A$92,0))</x:f>
        <x:v>0</x:v>
      </x:c>
      <x:c r="D17" s="12" t="n">
        <x:f>INDEX(Champions!$AY$6:$AY$92,MATCH(D$7,Champions!$A$6:$A$92,0))</x:f>
        <x:v>0</x:v>
      </x:c>
      <x:c r="E17" s="12" t="n">
        <x:f>INDEX(Champions!$AY$6:$AY$92,MATCH(E$7,Champions!$A$6:$A$92,0))</x:f>
        <x:v>46.24828014213128</x:v>
      </x:c>
      <x:c r="F17" s="12" t="n">
        <x:f>INDEX(Champions!$AY$6:$AY$92,MATCH(F$7,Champions!$A$6:$A$92,0))</x:f>
        <x:v>324.31491230034845</x:v>
      </x:c>
      <x:c r="G17" s="12" t="n">
        <x:f>INDEX(Champions!$AY$6:$AY$92,MATCH(G$7,Champions!$A$6:$A$92,0))</x:f>
        <x:v>1778.4413445063476</x:v>
      </x:c>
      <x:c r="H17" s="12" t="n">
        <x:f>INDEX(Champions!$AY$6:$AY$92,MATCH(H$7,Champions!$A$6:$A$92,0))</x:f>
        <x:v>3079.467529877497</x:v>
      </x:c>
      <x:c r="I17" s="12" t="n">
        <x:f>INDEX(Champions!$AY$6:$AY$92,MATCH(I$7,Champions!$A$6:$A$92,0))</x:f>
        <x:v>4520.515559207417</x:v>
      </x:c>
      <x:c r="J17" s="12" t="n">
        <x:f>INDEX(Champions!$AY$6:$AY$92,MATCH(J$7,Champions!$A$6:$A$92,0))</x:f>
        <x:v>6486.764810676179</x:v>
      </x:c>
      <x:c r="K17" s="12" t="n">
        <x:f>INDEX(Champions!$AY$6:$AY$92,MATCH(K$7,Champions!$A$6:$A$92,0))</x:f>
        <x:v>11517.97348267195</x:v>
      </x:c>
      <x:c r="L17" s="12" t="n">
        <x:f>INDEX(Champions!$AY$6:$AY$92,MATCH(L$7,Champions!$A$6:$A$92,0))</x:f>
        <x:v>9667.041404844224</x:v>
      </x:c>
    </x:row>
    <x:row r="18">
      <x:c r="B18" s="9" t="inlineStr">
        <x:is>
          <x:t xml:space="preserve">Patents per resident vs the US</x:t>
        </x:is>
      </x:c>
      <x:c r="C18" s="13" t="n">
        <x:f>INDEX(Champions!$I$6:$I$92,MATCH(C$7,Champions!$A$6:$A$92,0))</x:f>
        <x:v>0</x:v>
      </x:c>
      <x:c r="D18" s="13" t="n">
        <x:f>INDEX(Champions!$I$6:$I$92,MATCH(D$7,Champions!$A$6:$A$92,0))</x:f>
        <x:v>0.4353171512388817</x:v>
      </x:c>
      <x:c r="E18" s="13" t="n">
        <x:f>INDEX(Champions!$I$6:$I$92,MATCH(E$7,Champions!$A$6:$A$92,0))</x:f>
        <x:v>1.2528628244721915</x:v>
      </x:c>
      <x:c r="F18" s="13" t="n">
        <x:f>INDEX(Champions!$I$6:$I$92,MATCH(F$7,Champions!$A$6:$A$92,0))</x:f>
        <x:v>1.7314111840955242</x:v>
      </x:c>
      <x:c r="G18" s="13" t="n">
        <x:f>INDEX(Champions!$I$6:$I$92,MATCH(G$7,Champions!$A$6:$A$92,0))</x:f>
        <x:v>2.1501183642434043</x:v>
      </x:c>
      <x:c r="H18" s="13" t="n">
        <x:f>INDEX(Champions!$I$6:$I$92,MATCH(H$7,Champions!$A$6:$A$92,0))</x:f>
        <x:v>2.00654080929538</x:v>
      </x:c>
      <x:c r="I18" s="13" t="n">
        <x:f>INDEX(Champions!$I$6:$I$92,MATCH(I$7,Champions!$A$6:$A$92,0))</x:f>
        <x:v>2.0777697631201035</x:v>
      </x:c>
      <x:c r="J18" s="13" t="n">
        <x:f>INDEX(Champions!$I$6:$I$92,MATCH(J$7,Champions!$A$6:$A$92,0))</x:f>
        <x:v>2.158144629860175</x:v>
      </x:c>
      <x:c r="K18" s="13" t="n">
        <x:f>INDEX(Champions!$I$6:$I$92,MATCH(K$7,Champions!$A$6:$A$92,0))</x:f>
        <x:v>2.231194639449473</x:v>
      </x:c>
      <x:c r="L18" s="13" t="n">
        <x:f>INDEX(Champions!$I$6:$I$92,MATCH(L$7,Champions!$A$6:$A$92,0))</x:f>
        <x:v>1.6514305817117765</x:v>
      </x:c>
    </x:row>
    <x:row r="19">
      <x:c r="B19" s="9" t="inlineStr">
        <x:is>
          <x:t xml:space="preserve">Extra arrivals drawn by the lead</x:t>
        </x:is>
      </x:c>
      <x:c r="C19" s="12" t="n">
        <x:f>INDEX(Labour!$AL$6:$AL$92,MATCH(C$7,Labour!$A$6:$A$92,0))</x:f>
        <x:v>0</x:v>
      </x:c>
      <x:c r="D19" s="12" t="n">
        <x:f>INDEX(Labour!$AL$6:$AL$92,MATCH(D$7,Labour!$A$6:$A$92,0))</x:f>
        <x:v>0</x:v>
      </x:c>
      <x:c r="E19" s="12" t="n">
        <x:f>INDEX(Labour!$AL$6:$AL$92,MATCH(E$7,Labour!$A$6:$A$92,0))</x:f>
        <x:v>8680.100794745842</x:v>
      </x:c>
      <x:c r="F19" s="12" t="n">
        <x:f>INDEX(Labour!$AL$6:$AL$92,MATCH(F$7,Labour!$A$6:$A$92,0))</x:f>
        <x:v>87021.46999098174</x:v>
      </x:c>
      <x:c r="G19" s="12" t="n">
        <x:f>INDEX(Labour!$AL$6:$AL$92,MATCH(G$7,Labour!$A$6:$A$92,0))</x:f>
        <x:v>240484.3179936686</x:v>
      </x:c>
      <x:c r="H19" s="12" t="n">
        <x:f>INDEX(Labour!$AL$6:$AL$92,MATCH(H$7,Labour!$A$6:$A$92,0))</x:f>
        <x:v>263847.1010880204</x:v>
      </x:c>
      <x:c r="I19" s="12" t="n">
        <x:f>INDEX(Labour!$AL$6:$AL$92,MATCH(I$7,Labour!$A$6:$A$92,0))</x:f>
        <x:v>124993.54724878988</x:v>
      </x:c>
      <x:c r="J19" s="12" t="n">
        <x:f>INDEX(Labour!$AL$6:$AL$92,MATCH(J$7,Labour!$A$6:$A$92,0))</x:f>
        <x:v>275822.8118783446</x:v>
      </x:c>
      <x:c r="K19" s="12" t="n">
        <x:f>INDEX(Labour!$AL$6:$AL$92,MATCH(K$7,Labour!$A$6:$A$92,0))</x:f>
        <x:v>281636.1099163099</x:v>
      </x:c>
      <x:c r="L19" s="12" t="n">
        <x:f>INDEX(Labour!$AL$6:$AL$92,MATCH(L$7,Labour!$A$6:$A$92,0))</x:f>
        <x:v>239444.31855730087</x:v>
      </x:c>
    </x:row>
    <x:row r="20">
      <x:c r="B20" s="9" t="inlineStr">
        <x:is>
          <x:t xml:space="preserve">Champion-related jobs / labour force</x:t>
        </x:is>
      </x:c>
      <x:c r="C20" s="11" t="n">
        <x:f>INDEX(Labour!$G$6:$G$92,MATCH(C$7,Labour!$A$6:$A$92,0))</x:f>
        <x:v>0</x:v>
      </x:c>
      <x:c r="D20" s="11" t="n">
        <x:f>INDEX(Labour!$G$6:$G$92,MATCH(D$7,Labour!$A$6:$A$92,0))</x:f>
        <x:v>0.005506801195084598</x:v>
      </x:c>
      <x:c r="E20" s="11" t="n">
        <x:f>INDEX(Labour!$G$6:$G$92,MATCH(E$7,Labour!$A$6:$A$92,0))</x:f>
        <x:v>0.02203344445954568</x:v>
      </x:c>
      <x:c r="F20" s="11" t="n">
        <x:f>INDEX(Labour!$G$6:$G$92,MATCH(F$7,Labour!$A$6:$A$92,0))</x:f>
        <x:v>0.05058176880933769</x:v>
      </x:c>
      <x:c r="G20" s="11" t="n">
        <x:f>INDEX(Labour!$G$6:$G$92,MATCH(G$7,Labour!$A$6:$A$92,0))</x:f>
        <x:v>0.05846273211763273</x:v>
      </x:c>
      <x:c r="H20" s="11" t="n">
        <x:f>INDEX(Labour!$G$6:$G$92,MATCH(H$7,Labour!$A$6:$A$92,0))</x:f>
        <x:v>0.057375098362305275</x:v>
      </x:c>
      <x:c r="I20" s="11" t="n">
        <x:f>INDEX(Labour!$G$6:$G$92,MATCH(I$7,Labour!$A$6:$A$92,0))</x:f>
        <x:v>0.06763332445998597</x:v>
      </x:c>
      <x:c r="J20" s="11" t="n">
        <x:f>INDEX(Labour!$G$6:$G$92,MATCH(J$7,Labour!$A$6:$A$92,0))</x:f>
        <x:v>0.07058811702712102</x:v>
      </x:c>
      <x:c r="K20" s="11" t="n">
        <x:f>INDEX(Labour!$G$6:$G$92,MATCH(K$7,Labour!$A$6:$A$92,0))</x:f>
        <x:v>0.08644814065989581</x:v>
      </x:c>
      <x:c r="L20" s="11" t="n">
        <x:f>INDEX(Labour!$G$6:$G$92,MATCH(L$7,Labour!$A$6:$A$92,0))</x:f>
        <x:v>0.06643103758054658</x:v>
      </x:c>
    </x:row>
    <x:row r="21">
      <x:c r="B21" s="9" t="inlineStr">
        <x:is>
          <x:t xml:space="preserve">Union output lost to Pacifica</x:t>
        </x:is>
      </x:c>
      <x:c r="C21" s="14" t="n">
        <x:f>INDEX(Labour!$BL$6:$BL$92,MATCH(C$7,Labour!$A$6:$A$92,0))</x:f>
        <x:v>0.00023406163395667257</x:v>
      </x:c>
      <x:c r="D21" s="14" t="n">
        <x:f>INDEX(Labour!$BL$6:$BL$92,MATCH(D$7,Labour!$A$6:$A$92,0))</x:f>
        <x:v>0.002767839888836665</x:v>
      </x:c>
      <x:c r="E21" s="14" t="n">
        <x:f>INDEX(Labour!$BL$6:$BL$92,MATCH(E$7,Labour!$A$6:$A$92,0))</x:f>
        <x:v>0.008035310669094353</x:v>
      </x:c>
      <x:c r="F21" s="14" t="n">
        <x:f>INDEX(Labour!$BL$6:$BL$92,MATCH(F$7,Labour!$A$6:$A$92,0))</x:f>
        <x:v>0.030352549209361368</x:v>
      </x:c>
      <x:c r="G21" s="14" t="n">
        <x:f>INDEX(Labour!$BL$6:$BL$92,MATCH(G$7,Labour!$A$6:$A$92,0))</x:f>
        <x:v>0.0679053216711879</x:v>
      </x:c>
      <x:c r="H21" s="14" t="n">
        <x:f>INDEX(Labour!$BL$6:$BL$92,MATCH(H$7,Labour!$A$6:$A$92,0))</x:f>
        <x:v>0.09156989352956768</x:v>
      </x:c>
      <x:c r="I21" s="14" t="n">
        <x:f>INDEX(Labour!$BL$6:$BL$92,MATCH(I$7,Labour!$A$6:$A$92,0))</x:f>
        <x:v>0.10505534027375985</x:v>
      </x:c>
      <x:c r="J21" s="14" t="n">
        <x:f>INDEX(Labour!$BL$6:$BL$92,MATCH(J$7,Labour!$A$6:$A$92,0))</x:f>
        <x:v>0.11683233636177603</x:v>
      </x:c>
      <x:c r="K21" s="14" t="n">
        <x:f>INDEX(Labour!$BL$6:$BL$92,MATCH(K$7,Labour!$A$6:$A$92,0))</x:f>
        <x:v>0.14137012220131673</x:v>
      </x:c>
      <x:c r="L21" s="14" t="n">
        <x:f>INDEX(Labour!$BL$6:$BL$92,MATCH(L$7,Labour!$A$6:$A$92,0))</x:f>
        <x:v>0.2254024852669485</x:v>
      </x:c>
    </x:row>
    <x:row r="22">
      <x:c r="B22" s="9" t="inlineStr">
        <x:is>
          <x:t xml:space="preserve">Union population (m)</x:t>
        </x:is>
      </x:c>
      <x:c r="C22" s="13" t="n">
        <x:f>INDEX(Labour!$AX$6:$AX$92,MATCH(C$7,Labour!$A$6:$A$92,0))</x:f>
        <x:v>16.87</x:v>
      </x:c>
      <x:c r="D22" s="13" t="n">
        <x:f>INDEX(Labour!$AX$6:$AX$92,MATCH(D$7,Labour!$A$6:$A$92,0))</x:f>
        <x:v>25</x:v>
      </x:c>
      <x:c r="E22" s="13" t="n">
        <x:f>INDEX(Labour!$AX$6:$AX$92,MATCH(E$7,Labour!$A$6:$A$92,0))</x:f>
        <x:v>39.99397895251941</x:v>
      </x:c>
      <x:c r="F22" s="13" t="n">
        <x:f>INDEX(Labour!$AX$6:$AX$92,MATCH(F$7,Labour!$A$6:$A$92,0))</x:f>
        <x:v>54.33089478178955</x:v>
      </x:c>
      <x:c r="G22" s="13" t="n">
        <x:f>INDEX(Labour!$AX$6:$AX$92,MATCH(G$7,Labour!$A$6:$A$92,0))</x:f>
        <x:v>64.40068202501708</x:v>
      </x:c>
      <x:c r="H22" s="13" t="n">
        <x:f>INDEX(Labour!$AX$6:$AX$92,MATCH(H$7,Labour!$A$6:$A$92,0))</x:f>
        <x:v>73.42495314998793</x:v>
      </x:c>
      <x:c r="I22" s="13" t="n">
        <x:f>INDEX(Labour!$AX$6:$AX$92,MATCH(I$7,Labour!$A$6:$A$92,0))</x:f>
        <x:v>77.09894106115206</x:v>
      </x:c>
      <x:c r="J22" s="13" t="n">
        <x:f>INDEX(Labour!$AX$6:$AX$92,MATCH(J$7,Labour!$A$6:$A$92,0))</x:f>
        <x:v>80.2390546261156</x:v>
      </x:c>
      <x:c r="K22" s="13" t="n">
        <x:f>INDEX(Labour!$AX$6:$AX$92,MATCH(K$7,Labour!$A$6:$A$92,0))</x:f>
        <x:v>86.13586872484262</x:v>
      </x:c>
      <x:c r="L22" s="13" t="n">
        <x:f>INDEX(Labour!$AX$6:$AX$92,MATCH(L$7,Labour!$A$6:$A$92,0))</x:f>
        <x:v>88.01456441932655</x:v>
      </x:c>
    </x:row>
    <x:row r="23">
      <x:c r="B23" s="9" t="inlineStr">
        <x:is>
          <x:t xml:space="preserve">Income from abroad ($m)</x:t>
        </x:is>
      </x:c>
      <x:c r="C23" s="12" t="n">
        <x:f>INDEX(Abroad!$M$6:$M$92,MATCH(C$7,Abroad!$A$6:$A$92,0))</x:f>
        <x:v>0.016255235193572082</x:v>
      </x:c>
      <x:c r="D23" s="12" t="n">
        <x:f>INDEX(Abroad!$M$6:$M$92,MATCH(D$7,Abroad!$A$6:$A$92,0))</x:f>
        <x:v>0.25746898162443654</x:v>
      </x:c>
      <x:c r="E23" s="12" t="n">
        <x:f>INDEX(Abroad!$M$6:$M$92,MATCH(E$7,Abroad!$A$6:$A$92,0))</x:f>
        <x:v>6.034581971344474</x:v>
      </x:c>
      <x:c r="F23" s="12" t="n">
        <x:f>INDEX(Abroad!$M$6:$M$92,MATCH(F$7,Abroad!$A$6:$A$92,0))</x:f>
        <x:v>34.03810841215388</x:v>
      </x:c>
      <x:c r="G23" s="12" t="n">
        <x:f>INDEX(Abroad!$M$6:$M$92,MATCH(G$7,Abroad!$A$6:$A$92,0))</x:f>
        <x:v>180.6003945237283</x:v>
      </x:c>
      <x:c r="H23" s="12" t="n">
        <x:f>INDEX(Abroad!$M$6:$M$92,MATCH(H$7,Abroad!$A$6:$A$92,0))</x:f>
        <x:v>355.05588804281683</x:v>
      </x:c>
      <x:c r="I23" s="12" t="n">
        <x:f>INDEX(Abroad!$M$6:$M$92,MATCH(I$7,Abroad!$A$6:$A$92,0))</x:f>
        <x:v>674.045681824087</x:v>
      </x:c>
      <x:c r="J23" s="12" t="n">
        <x:f>INDEX(Abroad!$M$6:$M$92,MATCH(J$7,Abroad!$A$6:$A$92,0))</x:f>
        <x:v>1087.8650549337826</x:v>
      </x:c>
      <x:c r="K23" s="12" t="n">
        <x:f>INDEX(Abroad!$M$6:$M$92,MATCH(K$7,Abroad!$A$6:$A$92,0))</x:f>
        <x:v>2036.6297621211734</x:v>
      </x:c>
      <x:c r="L23" s="12" t="n">
        <x:f>INDEX(Abroad!$M$6:$M$92,MATCH(L$7,Abroad!$A$6:$A$92,0))</x:f>
        <x:v>1331.2996074008536</x:v>
      </x:c>
    </x:row>
    <x:row r="24">
      <x:c r="B24" s="9" t="inlineStr">
        <x:is>
          <x:t xml:space="preserve">National income ($bn)</x:t>
        </x:is>
      </x:c>
      <x:c r="C24" s="10" t="n">
        <x:f>INDEX(Abroad!$P$6:$P$92,MATCH(C$7,Abroad!$A$6:$A$92,0))/1000</x:f>
        <x:v>0.07735428778794652</x:v>
      </x:c>
      <x:c r="D24" s="10" t="n">
        <x:f>INDEX(Abroad!$P$6:$P$92,MATCH(D$7,Abroad!$A$6:$A$92,0))/1000</x:f>
        <x:v>0.3434162691218772</x:v>
      </x:c>
      <x:c r="E24" s="10" t="n">
        <x:f>INDEX(Abroad!$P$6:$P$92,MATCH(E$7,Abroad!$A$6:$A$92,0))/1000</x:f>
        <x:v>0.9845118569022029</x:v>
      </x:c>
      <x:c r="F24" s="10" t="n">
        <x:f>INDEX(Abroad!$P$6:$P$92,MATCH(F$7,Abroad!$A$6:$A$92,0))/1000</x:f>
        <x:v>2.52928833500272</x:v>
      </x:c>
      <x:c r="G24" s="10" t="n">
        <x:f>INDEX(Abroad!$P$6:$P$92,MATCH(G$7,Abroad!$A$6:$A$92,0))/1000</x:f>
        <x:v>6.466757703224581</x:v>
      </x:c>
      <x:c r="H24" s="10" t="n">
        <x:f>INDEX(Abroad!$P$6:$P$92,MATCH(H$7,Abroad!$A$6:$A$92,0))/1000</x:f>
        <x:v>13.481264963073867</x:v>
      </x:c>
      <x:c r="I24" s="10" t="n">
        <x:f>INDEX(Abroad!$P$6:$P$92,MATCH(I$7,Abroad!$A$6:$A$92,0))/1000</x:f>
        <x:v>28.12524234523047</x:v>
      </x:c>
      <x:c r="J24" s="10" t="n">
        <x:f>INDEX(Abroad!$P$6:$P$92,MATCH(J$7,Abroad!$A$6:$A$92,0))/1000</x:f>
        <x:v>32.161015546513575</x:v>
      </x:c>
      <x:c r="K24" s="10" t="n">
        <x:f>INDEX(Abroad!$P$6:$P$92,MATCH(K$7,Abroad!$A$6:$A$92,0))/1000</x:f>
        <x:v>52.10244164543255</x:v>
      </x:c>
      <x:c r="L24" s="10" t="n">
        <x:f>INDEX(Abroad!$P$6:$P$92,MATCH(L$7,Abroad!$A$6:$A$92,0))/1000</x:f>
        <x:v>40.37351112839913</x:v>
      </x:c>
    </x:row>
    <x:row r="25">
      <x:c r="B25" s="7" t="inlineStr">
        <x:is>
          <x:t xml:space="preserve">Treasury</x:t>
        </x:is>
      </x:c>
      <x:c r="C25" s="8" t="n"/>
      <x:c r="D25" s="8" t="n"/>
      <x:c r="E25" s="8" t="n"/>
      <x:c r="F25" s="8" t="n"/>
      <x:c r="G25" s="8" t="n"/>
      <x:c r="H25" s="8" t="n"/>
      <x:c r="I25" s="8" t="n"/>
      <x:c r="J25" s="8" t="n"/>
      <x:c r="K25" s="8" t="n"/>
      <x:c r="L25" s="8" t="n"/>
    </x:row>
    <x:row r="26">
      <x:c r="B26" s="9" t="inlineStr">
        <x:is>
          <x:t xml:space="preserve">Receipts ($m)</x:t>
        </x:is>
      </x:c>
      <x:c r="C26" s="12" t="n">
        <x:f>INDEX(Budget!$M$6:$M$92,MATCH(C$7,Budget!$A$6:$A$92,0))</x:f>
        <x:v>6.929794829480926</x:v>
      </x:c>
      <x:c r="D26" s="12" t="n">
        <x:f>INDEX(Budget!$M$6:$M$92,MATCH(D$7,Budget!$A$6:$A$92,0))</x:f>
        <x:v>44.20690318475688</x:v>
      </x:c>
      <x:c r="E26" s="12" t="n">
        <x:f>INDEX(Budget!$M$6:$M$92,MATCH(E$7,Budget!$A$6:$A$92,0))</x:f>
        <x:v>117.81110516586611</x:v>
      </x:c>
      <x:c r="F26" s="12" t="n">
        <x:f>INDEX(Budget!$M$6:$M$92,MATCH(F$7,Budget!$A$6:$A$92,0))</x:f>
        <x:v>273.39765046065787</x:v>
      </x:c>
      <x:c r="G26" s="12" t="n">
        <x:f>INDEX(Budget!$M$6:$M$92,MATCH(G$7,Budget!$A$6:$A$92,0))</x:f>
        <x:v>650.7660759145173</x:v>
      </x:c>
      <x:c r="H26" s="12" t="n">
        <x:f>INDEX(Budget!$M$6:$M$92,MATCH(H$7,Budget!$A$6:$A$92,0))</x:f>
        <x:v>1328.1128195977694</x:v>
      </x:c>
      <x:c r="I26" s="12" t="n">
        <x:f>INDEX(Budget!$M$6:$M$92,MATCH(I$7,Budget!$A$6:$A$92,0))</x:f>
        <x:v>3294.975151527824</x:v>
      </x:c>
      <x:c r="J26" s="12" t="n">
        <x:f>INDEX(Budget!$M$6:$M$92,MATCH(J$7,Budget!$A$6:$A$92,0))</x:f>
        <x:v>3345.6673865170324</x:v>
      </x:c>
      <x:c r="K26" s="12" t="n">
        <x:f>INDEX(Budget!$M$6:$M$92,MATCH(K$7,Budget!$A$6:$A$92,0))</x:f>
        <x:v>5627.638817601482</x:v>
      </x:c>
      <x:c r="L26" s="12" t="n">
        <x:f>INDEX(Budget!$M$6:$M$92,MATCH(L$7,Budget!$A$6:$A$92,0))</x:f>
        <x:v>3894.96170456865</x:v>
      </x:c>
    </x:row>
    <x:row r="27">
      <x:c r="B27" s="9" t="inlineStr">
        <x:is>
          <x:t xml:space="preserve">Crown share dividends ($m)</x:t>
        </x:is>
      </x:c>
      <x:c r="C27" s="12" t="n">
        <x:f>INDEX(Budget!$K$6:$K$92,MATCH(C$7,Budget!$A$6:$A$92,0))</x:f>
        <x:v>0</x:v>
      </x:c>
      <x:c r="D27" s="12" t="n">
        <x:f>INDEX(Budget!$K$6:$K$92,MATCH(D$7,Budget!$A$6:$A$92,0))</x:f>
        <x:v>0</x:v>
      </x:c>
      <x:c r="E27" s="12" t="n">
        <x:f>INDEX(Budget!$K$6:$K$92,MATCH(E$7,Budget!$A$6:$A$92,0))</x:f>
        <x:v>0.8654362900402096</x:v>
      </x:c>
      <x:c r="F27" s="12" t="n">
        <x:f>INDEX(Budget!$K$6:$K$92,MATCH(F$7,Budget!$A$6:$A$92,0))</x:f>
        <x:v>4.9227556110021125</x:v>
      </x:c>
      <x:c r="G27" s="12" t="n">
        <x:f>INDEX(Budget!$K$6:$K$92,MATCH(G$7,Budget!$A$6:$A$92,0))</x:f>
        <x:v>17.96132254729606</x:v>
      </x:c>
      <x:c r="H27" s="12" t="n">
        <x:f>INDEX(Budget!$K$6:$K$92,MATCH(H$7,Budget!$A$6:$A$92,0))</x:f>
        <x:v>34.84663775398178</x:v>
      </x:c>
      <x:c r="I27" s="12" t="n">
        <x:f>INDEX(Budget!$K$6:$K$92,MATCH(I$7,Budget!$A$6:$A$92,0))</x:f>
        <x:v>66.73189721608327</x:v>
      </x:c>
      <x:c r="J27" s="12" t="n">
        <x:f>INDEX(Budget!$K$6:$K$92,MATCH(J$7,Budget!$A$6:$A$92,0))</x:f>
        <x:v>94.13509256121955</x:v>
      </x:c>
      <x:c r="K27" s="12" t="n">
        <x:f>INDEX(Budget!$K$6:$K$92,MATCH(K$7,Budget!$A$6:$A$92,0))</x:f>
        <x:v>169.81800971179146</x:v>
      </x:c>
      <x:c r="L27" s="12" t="n">
        <x:f>INDEX(Budget!$K$6:$K$92,MATCH(L$7,Budget!$A$6:$A$92,0))</x:f>
        <x:v>104.1544293089892</x:v>
      </x:c>
    </x:row>
    <x:row r="28">
      <x:c r="B28" s="9" t="inlineStr">
        <x:is>
          <x:t xml:space="preserve">Guest-worker levy ($m)</x:t>
        </x:is>
      </x:c>
      <x:c r="C28" s="12" t="n">
        <x:f>INDEX(Budget!$J$6:$J$92,MATCH(C$7,Budget!$A$6:$A$92,0))</x:f>
        <x:v>0</x:v>
      </x:c>
      <x:c r="D28" s="12" t="n">
        <x:f>INDEX(Budget!$J$6:$J$92,MATCH(D$7,Budget!$A$6:$A$92,0))</x:f>
        <x:v>0</x:v>
      </x:c>
      <x:c r="E28" s="12" t="n">
        <x:f>INDEX(Budget!$J$6:$J$92,MATCH(E$7,Budget!$A$6:$A$92,0))</x:f>
        <x:v>0</x:v>
      </x:c>
      <x:c r="F28" s="12" t="n">
        <x:f>INDEX(Budget!$J$6:$J$92,MATCH(F$7,Budget!$A$6:$A$92,0))</x:f>
        <x:v>17.17223877757251</x:v>
      </x:c>
      <x:c r="G28" s="12" t="n">
        <x:f>INDEX(Budget!$J$6:$J$92,MATCH(G$7,Budget!$A$6:$A$92,0))</x:f>
        <x:v>52.01408107925097</x:v>
      </x:c>
      <x:c r="H28" s="12" t="n">
        <x:f>INDEX(Budget!$J$6:$J$92,MATCH(H$7,Budget!$A$6:$A$92,0))</x:f>
        <x:v>110.15827763939268</x:v>
      </x:c>
      <x:c r="I28" s="12" t="n">
        <x:f>INDEX(Budget!$J$6:$J$92,MATCH(I$7,Budget!$A$6:$A$92,0))</x:f>
        <x:v>256.30806207800373</x:v>
      </x:c>
      <x:c r="J28" s="12" t="n">
        <x:f>INDEX(Budget!$J$6:$J$92,MATCH(J$7,Budget!$A$6:$A$92,0))</x:f>
        <x:v>246.30856602679094</x:v>
      </x:c>
      <x:c r="K28" s="12" t="n">
        <x:f>INDEX(Budget!$J$6:$J$92,MATCH(K$7,Budget!$A$6:$A$92,0))</x:f>
        <x:v>482.4290740289572</x:v>
      </x:c>
      <x:c r="L28" s="12" t="n">
        <x:f>INDEX(Budget!$J$6:$J$92,MATCH(L$7,Budget!$A$6:$A$92,0))</x:f>
        <x:v>263.3510132299662</x:v>
      </x:c>
    </x:row>
    <x:row r="29">
      <x:c r="B29" s="9" t="inlineStr">
        <x:is>
          <x:t xml:space="preserve">Spending ($m)</x:t>
        </x:is>
      </x:c>
      <x:c r="C29" s="12" t="n">
        <x:f>INDEX(Budget!$Y$6:$Y$92,MATCH(C$7,Budget!$A$6:$A$92,0))</x:f>
        <x:v>6.100264321258021</x:v>
      </x:c>
      <x:c r="D29" s="12" t="n">
        <x:f>INDEX(Budget!$Y$6:$Y$92,MATCH(D$7,Budget!$A$6:$A$92,0))</x:f>
        <x:v>51.455348255562065</x:v>
      </x:c>
      <x:c r="E29" s="12" t="n">
        <x:f>INDEX(Budget!$Y$6:$Y$92,MATCH(E$7,Budget!$A$6:$A$92,0))</x:f>
        <x:v>100.53711675332428</x:v>
      </x:c>
      <x:c r="F29" s="12" t="n">
        <x:f>INDEX(Budget!$Y$6:$Y$92,MATCH(F$7,Budget!$A$6:$A$92,0))</x:f>
        <x:v>226.38327813050816</x:v>
      </x:c>
      <x:c r="G29" s="12" t="n">
        <x:f>INDEX(Budget!$Y$6:$Y$92,MATCH(G$7,Budget!$A$6:$A$92,0))</x:f>
        <x:v>506.2385847427289</x:v>
      </x:c>
      <x:c r="H29" s="12" t="n">
        <x:f>INDEX(Budget!$Y$6:$Y$92,MATCH(H$7,Budget!$A$6:$A$92,0))</x:f>
        <x:v>1072.326620440028</x:v>
      </x:c>
      <x:c r="I29" s="12" t="n">
        <x:f>INDEX(Budget!$Y$6:$Y$92,MATCH(I$7,Budget!$A$6:$A$92,0))</x:f>
        <x:v>2535.354133387182</x:v>
      </x:c>
      <x:c r="J29" s="12" t="n">
        <x:f>INDEX(Budget!$Y$6:$Y$92,MATCH(J$7,Budget!$A$6:$A$92,0))</x:f>
        <x:v>2728.090159463165</x:v>
      </x:c>
      <x:c r="K29" s="12" t="n">
        <x:f>INDEX(Budget!$Y$6:$Y$92,MATCH(K$7,Budget!$A$6:$A$92,0))</x:f>
        <x:v>4220.371622643443</x:v>
      </x:c>
      <x:c r="L29" s="12" t="n">
        <x:f>INDEX(Budget!$Y$6:$Y$92,MATCH(L$7,Budget!$A$6:$A$92,0))</x:f>
        <x:v>3736.078974827959</x:v>
      </x:c>
    </x:row>
    <x:row r="30">
      <x:c r="B30" s="9" t="inlineStr">
        <x:is>
          <x:t xml:space="preserve">Defence &amp; overseas / GDP</x:t>
        </x:is>
      </x:c>
      <x:c r="C30" s="14" t="n">
        <x:f>INDEX(Budget!$AC$6:$AC$92,MATCH(C$7,Budget!$A$6:$A$92,0))</x:f>
        <x:v>0.01578783374360015</x:v>
      </x:c>
      <x:c r="D30" s="14" t="n">
        <x:f>INDEX(Budget!$AC$6:$AC$92,MATCH(D$7,Budget!$A$6:$A$92,0))</x:f>
        <x:v>0.07799389084313482</x:v>
      </x:c>
      <x:c r="E30" s="14" t="n">
        <x:f>INDEX(Budget!$AC$6:$AC$92,MATCH(E$7,Budget!$A$6:$A$92,0))</x:f>
        <x:v>0.020849375374038765</x:v>
      </x:c>
      <x:c r="F30" s="14" t="n">
        <x:f>INDEX(Budget!$AC$6:$AC$92,MATCH(F$7,Budget!$A$6:$A$92,0))</x:f>
        <x:v>0.009620546776339346</x:v>
      </x:c>
      <x:c r="G30" s="14" t="n">
        <x:f>INDEX(Budget!$AC$6:$AC$92,MATCH(G$7,Budget!$A$6:$A$92,0))</x:f>
        <x:v>0.008215663603537643</x:v>
      </x:c>
      <x:c r="H30" s="14" t="n">
        <x:f>INDEX(Budget!$AC$6:$AC$92,MATCH(H$7,Budget!$A$6:$A$92,0))</x:f>
        <x:v>0.007726882102540452</x:v>
      </x:c>
      <x:c r="I30" s="14" t="n">
        <x:f>INDEX(Budget!$AC$6:$AC$92,MATCH(I$7,Budget!$A$6:$A$92,0))</x:f>
        <x:v>0.014835373902216809</x:v>
      </x:c>
      <x:c r="J30" s="14" t="n">
        <x:f>INDEX(Budget!$AC$6:$AC$92,MATCH(J$7,Budget!$A$6:$A$92,0))</x:f>
        <x:v>0.01136392808845654</x:v>
      </x:c>
      <x:c r="K30" s="14" t="n">
        <x:f>INDEX(Budget!$AC$6:$AC$92,MATCH(K$7,Budget!$A$6:$A$92,0))</x:f>
        <x:v>0.005844566146709778</x:v>
      </x:c>
      <x:c r="L30" s="14" t="n">
        <x:f>INDEX(Budget!$AC$6:$AC$92,MATCH(L$7,Budget!$A$6:$A$92,0))</x:f>
        <x:v>0.006617133908298785</x:v>
      </x:c>
    </x:row>
    <x:row r="31">
      <x:c r="B31" s="9" t="inlineStr">
        <x:is>
          <x:t xml:space="preserve">Public debt ($m)</x:t>
        </x:is>
      </x:c>
      <x:c r="C31" s="12" t="n">
        <x:f>INDEX('Debt &amp; cash'!$R$6:$R$92,MATCH(C$7,'Debt &amp; cash'!$A$6:$A$92,0))</x:f>
        <x:v>14.699721531501824</x:v>
      </x:c>
      <x:c r="D31" s="12" t="n">
        <x:f>INDEX('Debt &amp; cash'!$R$6:$R$92,MATCH(D$7,'Debt &amp; cash'!$A$6:$A$92,0))</x:f>
        <x:v>91.19329590334368</x:v>
      </x:c>
      <x:c r="E31" s="12" t="n">
        <x:f>INDEX('Debt &amp; cash'!$R$6:$R$92,MATCH(E$7,'Debt &amp; cash'!$A$6:$A$92,0))</x:f>
        <x:v>101.06121319165216</x:v>
      </x:c>
      <x:c r="F31" s="12" t="n">
        <x:f>INDEX('Debt &amp; cash'!$R$6:$R$92,MATCH(F$7,'Debt &amp; cash'!$A$6:$A$92,0))</x:f>
        <x:v>125.62112326840693</x:v>
      </x:c>
      <x:c r="G31" s="12" t="n">
        <x:f>INDEX('Debt &amp; cash'!$R$6:$R$92,MATCH(G$7,'Debt &amp; cash'!$A$6:$A$92,0))</x:f>
        <x:v>316.90856948900523</x:v>
      </x:c>
      <x:c r="H31" s="12" t="n">
        <x:f>INDEX('Debt &amp; cash'!$R$6:$R$92,MATCH(H$7,'Debt &amp; cash'!$A$6:$A$92,0))</x:f>
        <x:v>661.8183676335223</x:v>
      </x:c>
      <x:c r="I31" s="12" t="n">
        <x:f>INDEX('Debt &amp; cash'!$R$6:$R$92,MATCH(I$7,'Debt &amp; cash'!$A$6:$A$92,0))</x:f>
        <x:v>1385.3752362742193</x:v>
      </x:c>
      <x:c r="J31" s="12" t="n">
        <x:f>INDEX('Debt &amp; cash'!$R$6:$R$92,MATCH(J$7,'Debt &amp; cash'!$A$6:$A$92,0))</x:f>
        <x:v>1565.972952880329</x:v>
      </x:c>
      <x:c r="K31" s="12" t="n">
        <x:f>INDEX('Debt &amp; cash'!$R$6:$R$92,MATCH(K$7,'Debt &amp; cash'!$A$6:$A$92,0))</x:f>
        <x:v>2527.412047867017</x:v>
      </x:c>
      <x:c r="L31" s="12" t="n">
        <x:f>INDEX('Debt &amp; cash'!$R$6:$R$92,MATCH(L$7,'Debt &amp; cash'!$A$6:$A$92,0))</x:f>
        <x:v>2170.3172453793145</x:v>
      </x:c>
    </x:row>
    <x:row r="32">
      <x:c r="B32" s="9" t="inlineStr">
        <x:is>
          <x:t xml:space="preserve">Debt / GDP</x:t>
        </x:is>
      </x:c>
      <x:c r="C32" s="14" t="n">
        <x:f>INDEX('Debt &amp; cash'!$V$6:$V$92,MATCH(C$7,'Debt &amp; cash'!$A$6:$A$92,0))</x:f>
        <x:v>0.1900710561970272</x:v>
      </x:c>
      <x:c r="D32" s="14" t="n">
        <x:f>INDEX('Debt &amp; cash'!$V$6:$V$92,MATCH(D$7,'Debt &amp; cash'!$A$6:$A$92,0))</x:f>
        <x:v>0.26574663352964273</x:v>
      </x:c>
      <x:c r="E32" s="14" t="n">
        <x:f>INDEX('Debt &amp; cash'!$V$6:$V$92,MATCH(E$7,'Debt &amp; cash'!$A$6:$A$92,0))</x:f>
        <x:v>0.10328416998626093</x:v>
      </x:c>
      <x:c r="F32" s="14" t="n">
        <x:f>INDEX('Debt &amp; cash'!$V$6:$V$92,MATCH(F$7,'Debt &amp; cash'!$A$6:$A$92,0))</x:f>
        <x:v>0.05</x:v>
      </x:c>
      <x:c r="G32" s="14" t="n">
        <x:f>INDEX('Debt &amp; cash'!$V$6:$V$92,MATCH(G$7,'Debt &amp; cash'!$A$6:$A$92,0))</x:f>
        <x:v>0.05000000000000001</x:v>
      </x:c>
      <x:c r="H32" s="14" t="n">
        <x:f>INDEX('Debt &amp; cash'!$V$6:$V$92,MATCH(H$7,'Debt &amp; cash'!$A$6:$A$92,0))</x:f>
        <x:v>0.05</x:v>
      </x:c>
      <x:c r="I32" s="14" t="n">
        <x:f>INDEX('Debt &amp; cash'!$V$6:$V$92,MATCH(I$7,'Debt &amp; cash'!$A$6:$A$92,0))</x:f>
        <x:v>0.05</x:v>
      </x:c>
      <x:c r="J32" s="14" t="n">
        <x:f>INDEX('Debt &amp; cash'!$V$6:$V$92,MATCH(J$7,'Debt &amp; cash'!$A$6:$A$92,0))</x:f>
        <x:v>0.05</x:v>
      </x:c>
      <x:c r="K32" s="14" t="n">
        <x:f>INDEX('Debt &amp; cash'!$V$6:$V$92,MATCH(K$7,'Debt &amp; cash'!$A$6:$A$92,0))</x:f>
        <x:v>0.05</x:v>
      </x:c>
      <x:c r="L32" s="14" t="n">
        <x:f>INDEX('Debt &amp; cash'!$V$6:$V$92,MATCH(L$7,'Debt &amp; cash'!$A$6:$A$92,0))</x:f>
        <x:v>0.055216542022248113</x:v>
      </x:c>
    </x:row>
    <x:row r="33">
      <x:c r="B33" s="9" t="inlineStr">
        <x:is>
          <x:t xml:space="preserve">Treasury Reserve Fund ($m)</x:t>
        </x:is>
      </x:c>
      <x:c r="C33" s="12" t="n">
        <x:f>INDEX('Debt &amp; cash'!$S$6:$S$92,MATCH(C$7,'Debt &amp; cash'!$A$6:$A$92,0))</x:f>
        <x:v>0.07999243505795367</x:v>
      </x:c>
      <x:c r="D33" s="12" t="n">
        <x:f>INDEX('Debt &amp; cash'!$S$6:$S$92,MATCH(D$7,'Debt &amp; cash'!$A$6:$A$92,0))</x:f>
        <x:v>0</x:v>
      </x:c>
      <x:c r="E33" s="12" t="n">
        <x:f>INDEX('Debt &amp; cash'!$S$6:$S$92,MATCH(E$7,'Debt &amp; cash'!$A$6:$A$92,0))</x:f>
        <x:v>8.955412859384268</x:v>
      </x:c>
      <x:c r="F33" s="12" t="n">
        <x:f>INDEX('Debt &amp; cash'!$S$6:$S$92,MATCH(F$7,'Debt &amp; cash'!$A$6:$A$92,0))</x:f>
        <x:v>0</x:v>
      </x:c>
      <x:c r="G33" s="12" t="n">
        <x:f>INDEX('Debt &amp; cash'!$S$6:$S$92,MATCH(G$7,'Debt &amp; cash'!$A$6:$A$92,0))</x:f>
        <x:v>35.29650391804781</x:v>
      </x:c>
      <x:c r="H33" s="12" t="n">
        <x:f>INDEX('Debt &amp; cash'!$S$6:$S$92,MATCH(H$7,'Debt &amp; cash'!$A$6:$A$92,0))</x:f>
        <x:v>122.41344573968372</x:v>
      </x:c>
      <x:c r="I33" s="12" t="n">
        <x:f>INDEX('Debt &amp; cash'!$S$6:$S$92,MATCH(I$7,'Debt &amp; cash'!$A$6:$A$92,0))</x:f>
        <x:v>154.8740181913182</x:v>
      </x:c>
      <x:c r="J33" s="12" t="n">
        <x:f>INDEX('Debt &amp; cash'!$S$6:$S$92,MATCH(J$7,'Debt &amp; cash'!$A$6:$A$92,0))</x:f>
        <x:v>346.99201932425945</x:v>
      </x:c>
      <x:c r="K33" s="12" t="n">
        <x:f>INDEX('Debt &amp; cash'!$S$6:$S$92,MATCH(K$7,'Debt &amp; cash'!$A$6:$A$92,0))</x:f>
        <x:v>759.0694297607213</x:v>
      </x:c>
      <x:c r="L33" s="12" t="n">
        <x:f>INDEX('Debt &amp; cash'!$S$6:$S$92,MATCH(L$7,'Debt &amp; cash'!$A$6:$A$92,0))</x:f>
        <x:v>852.7070245744562</x:v>
      </x:c>
    </x:row>
    <x:row r="34">
      <x:c r="B34" s="9" t="inlineStr">
        <x:is>
          <x:t xml:space="preserve">Loans abroad outstanding ($m)</x:t>
        </x:is>
      </x:c>
      <x:c r="C34" s="12" t="n">
        <x:f>INDEX(Loans!$X$6:$X$92,MATCH(C$7,Loans!$A$6:$A$92,0))</x:f>
        <x:v>0</x:v>
      </x:c>
      <x:c r="D34" s="12" t="n">
        <x:f>INDEX(Loans!$X$6:$X$92,MATCH(D$7,Loans!$A$6:$A$92,0))</x:f>
        <x:v>0</x:v>
      </x:c>
      <x:c r="E34" s="12" t="n">
        <x:f>INDEX(Loans!$X$6:$X$92,MATCH(E$7,Loans!$A$6:$A$92,0))</x:f>
        <x:v>34.84089794324953</x:v>
      </x:c>
      <x:c r="F34" s="12" t="n">
        <x:f>INDEX(Loans!$X$6:$X$92,MATCH(F$7,Loans!$A$6:$A$92,0))</x:f>
        <x:v>116.56700404861637</x:v>
      </x:c>
      <x:c r="G34" s="12" t="n">
        <x:f>INDEX(Loans!$X$6:$X$92,MATCH(G$7,Loans!$A$6:$A$92,0))</x:f>
        <x:v>192.21123588174223</x:v>
      </x:c>
      <x:c r="H34" s="12" t="n">
        <x:f>INDEX(Loans!$X$6:$X$92,MATCH(H$7,Loans!$A$6:$A$92,0))</x:f>
        <x:v>138.92724660466757</x:v>
      </x:c>
      <x:c r="I34" s="12" t="n">
        <x:f>INDEX(Loans!$X$6:$X$92,MATCH(I$7,Loans!$A$6:$A$92,0))</x:f>
        <x:v>1626.4952376278593</x:v>
      </x:c>
      <x:c r="J34" s="12" t="n">
        <x:f>INDEX(Loans!$X$6:$X$92,MATCH(J$7,Loans!$A$6:$A$92,0))</x:f>
        <x:v>1671.3100885202464</x:v>
      </x:c>
      <x:c r="K34" s="12" t="n">
        <x:f>INDEX(Loans!$X$6:$X$92,MATCH(K$7,Loans!$A$6:$A$92,0))</x:f>
        <x:v>1640.0681164476703</x:v>
      </x:c>
      <x:c r="L34" s="12" t="n">
        <x:f>INDEX(Loans!$X$6:$X$92,MATCH(L$7,Loans!$A$6:$A$92,0))</x:f>
        <x:v>1899.835891187207</x:v>
      </x:c>
    </x:row>
    <x:row r="35">
      <x:c r="B35" s="9" t="inlineStr">
        <x:is>
          <x:t xml:space="preserve">Monetary gold ($m)</x:t>
        </x:is>
      </x:c>
      <x:c r="C35" s="12" t="n">
        <x:f>INDEX('Gold &amp; money'!$F$6:$F$92,MATCH(C$7,'Gold &amp; money'!$A$6:$A$92,0))</x:f>
        <x:v>18.354676065105508</x:v>
      </x:c>
      <x:c r="D35" s="12" t="n">
        <x:f>INDEX('Gold &amp; money'!$F$6:$F$92,MATCH(D$7,'Gold &amp; money'!$A$6:$A$92,0))</x:f>
        <x:v>187.52404389476797</x:v>
      </x:c>
      <x:c r="E35" s="12" t="n">
        <x:f>INDEX('Gold &amp; money'!$F$6:$F$92,MATCH(E$7,'Gold &amp; money'!$A$6:$A$92,0))</x:f>
        <x:v>271.6750631987746</x:v>
      </x:c>
      <x:c r="F35" s="12" t="n">
        <x:f>INDEX('Gold &amp; money'!$F$6:$F$92,MATCH(F$7,'Gold &amp; money'!$A$6:$A$92,0))</x:f>
        <x:v>337.18528645519774</x:v>
      </x:c>
      <x:c r="G35" s="12" t="n">
        <x:f>INDEX('Gold &amp; money'!$F$6:$F$92,MATCH(G$7,'Gold &amp; money'!$A$6:$A$92,0))</x:f>
        <x:v>514.6936217184366</x:v>
      </x:c>
      <x:c r="H35" s="12" t="n">
        <x:f>INDEX('Gold &amp; money'!$F$6:$F$92,MATCH(H$7,'Gold &amp; money'!$A$6:$A$92,0))</x:f>
        <x:v>814.9852853289736</x:v>
      </x:c>
      <x:c r="I35" s="12" t="n">
        <x:f>INDEX('Gold &amp; money'!$F$6:$F$92,MATCH(I$7,'Gold &amp; money'!$A$6:$A$92,0))</x:f>
        <x:v>1092.3870123574025</x:v>
      </x:c>
      <x:c r="J35" s="12" t="n">
        <x:f>INDEX('Gold &amp; money'!$F$6:$F$92,MATCH(J$7,'Gold &amp; money'!$A$6:$A$92,0))</x:f>
        <x:v>1399.7994302135783</x:v>
      </x:c>
      <x:c r="K35" s="12" t="n">
        <x:f>INDEX('Gold &amp; money'!$F$6:$F$92,MATCH(K$7,'Gold &amp; money'!$A$6:$A$92,0))</x:f>
        <x:v>1824.7456956484107</x:v>
      </x:c>
      <x:c r="L35" s="12" t="n">
        <x:f>INDEX('Gold &amp; money'!$F$6:$F$92,MATCH(L$7,'Gold &amp; money'!$A$6:$A$92,0))</x:f>
        <x:v>1728.9502959121166</x:v>
      </x:c>
    </x:row>
    <x:row r="36">
      <x:c r="B36" s="7" t="inlineStr">
        <x:is>
          <x:t xml:space="preserve">Navy</x:t>
        </x:is>
      </x:c>
      <x:c r="C36" s="8" t="n"/>
      <x:c r="D36" s="8" t="n"/>
      <x:c r="E36" s="8" t="n"/>
      <x:c r="F36" s="8" t="n"/>
      <x:c r="G36" s="8" t="n"/>
      <x:c r="H36" s="8" t="n"/>
      <x:c r="I36" s="8" t="n"/>
      <x:c r="J36" s="8" t="n"/>
      <x:c r="K36" s="8" t="n"/>
      <x:c r="L36" s="8" t="n"/>
    </x:row>
    <x:row r="37">
      <x:c r="B37" s="9" t="inlineStr">
        <x:is>
          <x:t xml:space="preserve">Pacifica's navy bill ($m)</x:t>
        </x:is>
      </x:c>
      <x:c r="C37" s="12" t="n">
        <x:f>INDEX(Navy!$Y$6:$Y$92,MATCH(C$7,Navy!$A$6:$A$92,0))</x:f>
        <x:v>0</x:v>
      </x:c>
      <x:c r="D37" s="12" t="n">
        <x:f>INDEX(Navy!$Y$6:$Y$92,MATCH(D$7,Navy!$A$6:$A$92,0))</x:f>
        <x:v>3.77429</x:v>
      </x:c>
      <x:c r="E37" s="12" t="n">
        <x:f>INDEX(Navy!$Y$6:$Y$92,MATCH(E$7,Navy!$A$6:$A$92,0))</x:f>
        <x:v>7.7606399999999995</x:v>
      </x:c>
      <x:c r="F37" s="12" t="n">
        <x:f>INDEX(Navy!$Y$6:$Y$92,MATCH(F$7,Navy!$A$6:$A$92,0))</x:f>
        <x:v>8.81411885</x:v>
      </x:c>
      <x:c r="G37" s="12" t="n">
        <x:f>INDEX(Navy!$Y$6:$Y$92,MATCH(G$7,Navy!$A$6:$A$92,0))</x:f>
        <x:v>28.711684</x:v>
      </x:c>
      <x:c r="H37" s="12" t="n">
        <x:f>INDEX(Navy!$Y$6:$Y$92,MATCH(H$7,Navy!$A$6:$A$92,0))</x:f>
        <x:v>74.37585</x:v>
      </x:c>
      <x:c r="I37" s="12" t="n">
        <x:f>INDEX(Navy!$Y$6:$Y$92,MATCH(I$7,Navy!$A$6:$A$92,0))</x:f>
        <x:v>152.3803925</x:v>
      </x:c>
      <x:c r="J37" s="12" t="n">
        <x:f>INDEX(Navy!$Y$6:$Y$92,MATCH(J$7,Navy!$A$6:$A$92,0))</x:f>
        <x:v>145.28468049999998</x:v>
      </x:c>
      <x:c r="K37" s="12" t="n">
        <x:f>INDEX(Navy!$Y$6:$Y$92,MATCH(K$7,Navy!$A$6:$A$92,0))</x:f>
        <x:v>183.352537875</x:v>
      </x:c>
      <x:c r="L37" s="12" t="n">
        <x:f>INDEX(Navy!$Y$6:$Y$92,MATCH(L$7,Navy!$A$6:$A$92,0))</x:f>
        <x:v>163.22577063</x:v>
      </x:c>
    </x:row>
    <x:row r="38">
      <x:c r="B38" s="9" t="inlineStr">
        <x:is>
          <x:t xml:space="preserve">Ships in service</x:t>
        </x:is>
      </x:c>
      <x:c r="C38" s="12" t="n">
        <x:f>INDEX(Navy!$K$6:$K$92,MATCH(C$7,Navy!$A$6:$A$92,0))</x:f>
        <x:v>0</x:v>
      </x:c>
      <x:c r="D38" s="12" t="n">
        <x:f>INDEX(Navy!$K$6:$K$92,MATCH(D$7,Navy!$A$6:$A$92,0))</x:f>
        <x:v>12</x:v>
      </x:c>
      <x:c r="E38" s="12" t="n">
        <x:f>INDEX(Navy!$K$6:$K$92,MATCH(E$7,Navy!$A$6:$A$92,0))</x:f>
        <x:v>25</x:v>
      </x:c>
      <x:c r="F38" s="12" t="n">
        <x:f>INDEX(Navy!$K$6:$K$92,MATCH(F$7,Navy!$A$6:$A$92,0))</x:f>
        <x:v>49</x:v>
      </x:c>
      <x:c r="G38" s="12" t="n">
        <x:f>INDEX(Navy!$K$6:$K$92,MATCH(G$7,Navy!$A$6:$A$92,0))</x:f>
        <x:v>68</x:v>
      </x:c>
      <x:c r="H38" s="12" t="n">
        <x:f>INDEX(Navy!$K$6:$K$92,MATCH(H$7,Navy!$A$6:$A$92,0))</x:f>
        <x:v>115</x:v>
      </x:c>
      <x:c r="I38" s="12" t="n">
        <x:f>INDEX(Navy!$K$6:$K$92,MATCH(I$7,Navy!$A$6:$A$92,0))</x:f>
        <x:v>183</x:v>
      </x:c>
      <x:c r="J38" s="12" t="n">
        <x:f>INDEX(Navy!$K$6:$K$92,MATCH(J$7,Navy!$A$6:$A$92,0))</x:f>
        <x:v>180</x:v>
      </x:c>
      <x:c r="K38" s="12" t="n">
        <x:f>INDEX(Navy!$K$6:$K$92,MATCH(K$7,Navy!$A$6:$A$92,0))</x:f>
        <x:v>178</x:v>
      </x:c>
      <x:c r="L38" s="12" t="n">
        <x:f>INDEX(Navy!$K$6:$K$92,MATCH(L$7,Navy!$A$6:$A$92,0))</x:f>
        <x:v>162</x:v>
      </x:c>
    </x:row>
    <x:row r="39">
      <x:c r="B39" s="9" t="inlineStr">
        <x:is>
          <x:t xml:space="preserve">Capital ships: Pacifica</x:t>
        </x:is>
      </x:c>
      <x:c r="C39" s="15" t="n">
        <x:f>INDEX(Navy!$AA$6:$AA$92,MATCH(C$7,Navy!$A$6:$A$92,0))</x:f>
        <x:v>0</x:v>
      </x:c>
      <x:c r="D39" s="15" t="n">
        <x:f>INDEX(Navy!$AA$6:$AA$92,MATCH(D$7,Navy!$A$6:$A$92,0))</x:f>
        <x:v>0</x:v>
      </x:c>
      <x:c r="E39" s="15" t="n">
        <x:f>INDEX(Navy!$AA$6:$AA$92,MATCH(E$7,Navy!$A$6:$A$92,0))</x:f>
        <x:v>0</x:v>
      </x:c>
      <x:c r="F39" s="15" t="n">
        <x:f>INDEX(Navy!$AA$6:$AA$92,MATCH(F$7,Navy!$A$6:$A$92,0))</x:f>
        <x:v>0</x:v>
      </x:c>
      <x:c r="G39" s="15" t="n">
        <x:f>INDEX(Navy!$AA$6:$AA$92,MATCH(G$7,Navy!$A$6:$A$92,0))</x:f>
        <x:v>2</x:v>
      </x:c>
      <x:c r="H39" s="15" t="n">
        <x:f>INDEX(Navy!$AA$6:$AA$92,MATCH(H$7,Navy!$A$6:$A$92,0))</x:f>
        <x:v>9</x:v>
      </x:c>
      <x:c r="I39" s="15" t="n">
        <x:f>INDEX(Navy!$AA$6:$AA$92,MATCH(I$7,Navy!$A$6:$A$92,0))</x:f>
        <x:v>14</x:v>
      </x:c>
      <x:c r="J39" s="15" t="n">
        <x:f>INDEX(Navy!$AA$6:$AA$92,MATCH(J$7,Navy!$A$6:$A$92,0))</x:f>
        <x:v>14</x:v>
      </x:c>
      <x:c r="K39" s="15" t="n">
        <x:f>INDEX(Navy!$AA$6:$AA$92,MATCH(K$7,Navy!$A$6:$A$92,0))</x:f>
        <x:v>14</x:v>
      </x:c>
      <x:c r="L39" s="15" t="n">
        <x:f>INDEX(Navy!$AA$6:$AA$92,MATCH(L$7,Navy!$A$6:$A$92,0))</x:f>
        <x:v>14</x:v>
      </x:c>
    </x:row>
    <x:row r="40">
      <x:c r="B40" s="9" t="inlineStr">
        <x:is>
          <x:t xml:space="preserve">Capital ships: Pacifica + Japan / Britain</x:t>
        </x:is>
      </x:c>
      <x:c r="C40" s="10" t="n">
        <x:f>INDEX(Navy!$AE$6:$AE$92,MATCH(C$7,Navy!$A$6:$A$92,0))</x:f>
        <x:v>0</x:v>
      </x:c>
      <x:c r="D40" s="10" t="n">
        <x:f>INDEX(Navy!$AE$6:$AE$92,MATCH(D$7,Navy!$A$6:$A$92,0))</x:f>
        <x:v>0</x:v>
      </x:c>
      <x:c r="E40" s="10" t="n">
        <x:f>INDEX(Navy!$AE$6:$AE$92,MATCH(E$7,Navy!$A$6:$A$92,0))</x:f>
        <x:v>0</x:v>
      </x:c>
      <x:c r="F40" s="10" t="n">
        <x:f>INDEX(Navy!$AE$6:$AE$92,MATCH(F$7,Navy!$A$6:$A$92,0))</x:f>
        <x:v>0</x:v>
      </x:c>
      <x:c r="G40" s="10" t="n">
        <x:f>INDEX(Navy!$AE$6:$AE$92,MATCH(G$7,Navy!$A$6:$A$92,0))</x:f>
        <x:v>0</x:v>
      </x:c>
      <x:c r="H40" s="10" t="n">
        <x:f>INDEX(Navy!$AE$6:$AE$92,MATCH(H$7,Navy!$A$6:$A$92,0))</x:f>
        <x:v>0.5909090909090909</x:v>
      </x:c>
      <x:c r="I40" s="10" t="n">
        <x:f>INDEX(Navy!$AE$6:$AE$92,MATCH(I$7,Navy!$A$6:$A$92,0))</x:f>
        <x:v>0.5238095238095238</x:v>
      </x:c>
      <x:c r="J40" s="10" t="n">
        <x:f>INDEX(Navy!$AE$6:$AE$92,MATCH(J$7,Navy!$A$6:$A$92,0))</x:f>
        <x:v>1</x:v>
      </x:c>
      <x:c r="K40" s="10" t="n">
        <x:f>INDEX(Navy!$AE$6:$AE$92,MATCH(K$7,Navy!$A$6:$A$92,0))</x:f>
        <x:v>1</x:v>
      </x:c>
      <x:c r="L40" s="10" t="n">
        <x:f>INDEX(Navy!$AE$6:$AE$92,MATCH(L$7,Navy!$A$6:$A$92,0))</x:f>
        <x:v>1</x:v>
      </x:c>
    </x:row>
    <x:row r="41">
      <x:c r="B41" s="9" t="inlineStr">
        <x:is>
          <x:t xml:space="preserve">Sailors saved by oil firing</x:t>
        </x:is>
      </x:c>
      <x:c r="C41" s="12" t="n">
        <x:f>INDEX(Navy!$O$6:$O$92,MATCH(C$7,Navy!$A$6:$A$92,0))</x:f>
        <x:v>0</x:v>
      </x:c>
      <x:c r="D41" s="12" t="n">
        <x:f>INDEX(Navy!$O$6:$O$92,MATCH(D$7,Navy!$A$6:$A$92,0))</x:f>
        <x:v>0</x:v>
      </x:c>
      <x:c r="E41" s="12" t="n">
        <x:f>INDEX(Navy!$O$6:$O$92,MATCH(E$7,Navy!$A$6:$A$92,0))</x:f>
        <x:v>0</x:v>
      </x:c>
      <x:c r="F41" s="12" t="n">
        <x:f>INDEX(Navy!$O$6:$O$92,MATCH(F$7,Navy!$A$6:$A$92,0))</x:f>
        <x:v>747.4358974358975</x:v>
      </x:c>
      <x:c r="G41" s="12" t="n">
        <x:f>INDEX(Navy!$O$6:$O$92,MATCH(G$7,Navy!$A$6:$A$92,0))</x:f>
        <x:v>3111.0256410256425</x:v>
      </x:c>
      <x:c r="H41" s="12" t="n">
        <x:f>INDEX(Navy!$O$6:$O$92,MATCH(H$7,Navy!$A$6:$A$92,0))</x:f>
        <x:v>6611.282051282051</x:v>
      </x:c>
      <x:c r="I41" s="12" t="n">
        <x:f>INDEX(Navy!$O$6:$O$92,MATCH(I$7,Navy!$A$6:$A$92,0))</x:f>
        <x:v>9632.051282051281</x:v>
      </x:c>
      <x:c r="J41" s="12" t="n">
        <x:f>INDEX(Navy!$O$6:$O$92,MATCH(J$7,Navy!$A$6:$A$92,0))</x:f>
        <x:v>9691.282051282047</x:v>
      </x:c>
      <x:c r="K41" s="12" t="n">
        <x:f>INDEX(Navy!$O$6:$O$92,MATCH(K$7,Navy!$A$6:$A$92,0))</x:f>
        <x:v>10193.333333333328</x:v>
      </x:c>
      <x:c r="L41" s="12" t="n">
        <x:f>INDEX(Navy!$O$6:$O$92,MATCH(L$7,Navy!$A$6:$A$92,0))</x:f>
        <x:v>10438.717948717953</x:v>
      </x:c>
    </x:row>
    <x:row r="42">
      <x:c r="B42" s="7" t="inlineStr">
        <x:is>
          <x:t xml:space="preserve">Japan</x:t>
        </x:is>
      </x:c>
      <x:c r="C42" s="8" t="n"/>
      <x:c r="D42" s="8" t="n"/>
      <x:c r="E42" s="8" t="n"/>
      <x:c r="F42" s="8" t="n"/>
      <x:c r="G42" s="8" t="n"/>
      <x:c r="H42" s="8" t="n"/>
      <x:c r="I42" s="8" t="n"/>
      <x:c r="J42" s="8" t="n"/>
      <x:c r="K42" s="8" t="n"/>
      <x:c r="L42" s="8" t="n"/>
    </x:row>
    <x:row r="43">
      <x:c r="B43" s="9" t="inlineStr">
        <x:is>
          <x:t xml:space="preserve">Japan GDP ($bn)</x:t>
        </x:is>
      </x:c>
      <x:c r="C43" s="10" t="n">
        <x:f>INDEX(Japan!$D$6:$D$92,MATCH(C$7,Japan!$A$6:$A$92,0))/1000</x:f>
        <x:v>0</x:v>
      </x:c>
      <x:c r="D43" s="10" t="n">
        <x:f>INDEX(Japan!$D$6:$D$92,MATCH(D$7,Japan!$A$6:$A$92,0))/1000</x:f>
        <x:v>0</x:v>
      </x:c>
      <x:c r="E43" s="10" t="n">
        <x:f>INDEX(Japan!$D$6:$D$92,MATCH(E$7,Japan!$A$6:$A$92,0))/1000</x:f>
        <x:v>0.681369409664653</x:v>
      </x:c>
      <x:c r="F43" s="10" t="n">
        <x:f>INDEX(Japan!$D$6:$D$92,MATCH(F$7,Japan!$A$6:$A$92,0))/1000</x:f>
        <x:v>1.160171574123204</x:v>
      </x:c>
      <x:c r="G43" s="10" t="n">
        <x:f>INDEX(Japan!$D$6:$D$92,MATCH(G$7,Japan!$A$6:$A$92,0))/1000</x:f>
        <x:v>2.6016876608971784</x:v>
      </x:c>
      <x:c r="H43" s="10" t="n">
        <x:f>INDEX(Japan!$D$6:$D$92,MATCH(H$7,Japan!$A$6:$A$92,0))/1000</x:f>
        <x:v>4.840050183749647</x:v>
      </x:c>
      <x:c r="I43" s="10" t="n">
        <x:f>INDEX(Japan!$D$6:$D$92,MATCH(I$7,Japan!$A$6:$A$92,0))/1000</x:f>
        <x:v>12.707980991587611</x:v>
      </x:c>
      <x:c r="J43" s="10" t="n">
        <x:f>INDEX(Japan!$D$6:$D$92,MATCH(J$7,Japan!$A$6:$A$92,0))/1000</x:f>
        <x:v>17.31931031474724</x:v>
      </x:c>
      <x:c r="K43" s="10" t="n">
        <x:f>INDEX(Japan!$D$6:$D$92,MATCH(K$7,Japan!$A$6:$A$92,0))/1000</x:f>
        <x:v>20.54118843029949</x:v>
      </x:c>
      <x:c r="L43" s="10" t="n">
        <x:f>INDEX(Japan!$D$6:$D$92,MATCH(L$7,Japan!$A$6:$A$92,0))/1000</x:f>
        <x:v>17.265390431674696</x:v>
      </x:c>
    </x:row>
    <x:row r="44">
      <x:c r="B44" s="9" t="inlineStr">
        <x:is>
          <x:t xml:space="preserve">Japan output per person vs the US</x:t>
        </x:is>
      </x:c>
      <x:c r="C44" s="10" t="n">
        <x:f>INDEX(Partners!$J$6:$J$92,MATCH(C$7,Partners!$A$6:$A$92,0))</x:f>
        <x:v>0</x:v>
      </x:c>
      <x:c r="D44" s="10" t="n">
        <x:f>INDEX(Partners!$J$6:$J$92,MATCH(D$7,Partners!$A$6:$A$92,0))</x:f>
        <x:v>0</x:v>
      </x:c>
      <x:c r="E44" s="10" t="n">
        <x:f>INDEX(Partners!$J$6:$J$92,MATCH(E$7,Partners!$A$6:$A$92,0))</x:f>
        <x:v>0.08950312758310384</x:v>
      </x:c>
      <x:c r="F44" s="10" t="n">
        <x:f>INDEX(Partners!$J$6:$J$92,MATCH(F$7,Partners!$A$6:$A$92,0))</x:f>
        <x:v>0.13811566358609573</x:v>
      </x:c>
      <x:c r="G44" s="10" t="n">
        <x:f>INDEX(Partners!$J$6:$J$92,MATCH(G$7,Partners!$A$6:$A$92,0))</x:f>
        <x:v>0.19165427818232017</x:v>
      </x:c>
      <x:c r="H44" s="10" t="n">
        <x:f>INDEX(Partners!$J$6:$J$92,MATCH(H$7,Partners!$A$6:$A$92,0))</x:f>
        <x:v>0.23411403672019543</x:v>
      </x:c>
      <x:c r="I44" s="10" t="n">
        <x:f>INDEX(Partners!$J$6:$J$92,MATCH(I$7,Partners!$A$6:$A$92,0))</x:f>
        <x:v>0.31502902375531644</x:v>
      </x:c>
      <x:c r="J44" s="10" t="n">
        <x:f>INDEX(Partners!$J$6:$J$92,MATCH(J$7,Partners!$A$6:$A$92,0))</x:f>
        <x:v>0.4416433846415008</x:v>
      </x:c>
      <x:c r="K44" s="10" t="n">
        <x:f>INDEX(Partners!$J$6:$J$92,MATCH(K$7,Partners!$A$6:$A$92,0))</x:f>
        <x:v>0.3765812367484529</x:v>
      </x:c>
      <x:c r="L44" s="10" t="n">
        <x:f>INDEX(Partners!$J$6:$J$92,MATCH(L$7,Partners!$A$6:$A$92,0))</x:f>
        <x:v>0.5462624794875308</x:v>
      </x:c>
    </x:row>
    <x:row r="45">
      <x:c r="B45" s="9" t="inlineStr">
        <x:is>
          <x:t xml:space="preserve">Partners' output vs history</x:t>
        </x:is>
      </x:c>
      <x:c r="C45" s="10" t="n">
        <x:f>INDEX(Partners!$CA$6:$CA$92,MATCH(C$7,Partners!$A$6:$A$92,0))</x:f>
        <x:v>0</x:v>
      </x:c>
      <x:c r="D45" s="10" t="n">
        <x:f>INDEX(Partners!$CA$6:$CA$92,MATCH(D$7,Partners!$A$6:$A$92,0))</x:f>
        <x:v>0</x:v>
      </x:c>
      <x:c r="E45" s="10" t="n">
        <x:f>INDEX(Partners!$CA$6:$CA$92,MATCH(E$7,Partners!$A$6:$A$92,0))</x:f>
        <x:v>1.1208294267640413</x:v>
      </x:c>
      <x:c r="F45" s="10" t="n">
        <x:f>INDEX(Partners!$CA$6:$CA$92,MATCH(F$7,Partners!$A$6:$A$92,0))</x:f>
        <x:v>1.3769810698928098</x:v>
      </x:c>
      <x:c r="G45" s="10" t="n">
        <x:f>INDEX(Partners!$CA$6:$CA$92,MATCH(G$7,Partners!$A$6:$A$92,0))</x:f>
        <x:v>1.392900207268221</x:v>
      </x:c>
      <x:c r="H45" s="10" t="n">
        <x:f>INDEX(Partners!$CA$6:$CA$92,MATCH(H$7,Partners!$A$6:$A$92,0))</x:f>
        <x:v>1.5498103418855877</x:v>
      </x:c>
      <x:c r="I45" s="10" t="n">
        <x:f>INDEX(Partners!$CA$6:$CA$92,MATCH(I$7,Partners!$A$6:$A$92,0))</x:f>
        <x:v>1.6953355010509663</x:v>
      </x:c>
      <x:c r="J45" s="10" t="n">
        <x:f>INDEX(Partners!$CA$6:$CA$92,MATCH(J$7,Partners!$A$6:$A$92,0))</x:f>
        <x:v>1.7863285274013465</x:v>
      </x:c>
      <x:c r="K45" s="10" t="n">
        <x:f>INDEX(Partners!$CA$6:$CA$92,MATCH(K$7,Partners!$A$6:$A$92,0))</x:f>
        <x:v>1.905382448831926</x:v>
      </x:c>
      <x:c r="L45" s="10" t="n">
        <x:f>INDEX(Partners!$CA$6:$CA$92,MATCH(L$7,Partners!$A$6:$A$92,0))</x:f>
        <x:v>2.086144242736708</x:v>
      </x:c>
    </x:row>
    <x:row r="46">
      <x:c r="B46" s="9" t="inlineStr">
        <x:is>
          <x:t xml:space="preserve">Champions' markets abroad vs history</x:t>
        </x:is>
      </x:c>
      <x:c r="C46" s="10" t="n">
        <x:f>INDEX(Partners!$BW$6:$BW$92,MATCH(C$7,Partners!$A$6:$A$92,0))</x:f>
        <x:v>1.0000000000000002</x:v>
      </x:c>
      <x:c r="D46" s="10" t="n">
        <x:f>INDEX(Partners!$BW$6:$BW$92,MATCH(D$7,Partners!$A$6:$A$92,0))</x:f>
        <x:v>1.0008665431112083</x:v>
      </x:c>
      <x:c r="E46" s="10" t="n">
        <x:f>INDEX(Partners!$BW$6:$BW$92,MATCH(E$7,Partners!$A$6:$A$92,0))</x:f>
        <x:v>1.0463840770854547</x:v>
      </x:c>
      <x:c r="F46" s="10" t="n">
        <x:f>INDEX(Partners!$BW$6:$BW$92,MATCH(F$7,Partners!$A$6:$A$92,0))</x:f>
        <x:v>1.151967350597297</x:v>
      </x:c>
      <x:c r="G46" s="10" t="n">
        <x:f>INDEX(Partners!$BW$6:$BW$92,MATCH(G$7,Partners!$A$6:$A$92,0))</x:f>
        <x:v>1.2571564029026283</x:v>
      </x:c>
      <x:c r="H46" s="10" t="n">
        <x:f>INDEX(Partners!$BW$6:$BW$92,MATCH(H$7,Partners!$A$6:$A$92,0))</x:f>
        <x:v>1.3674551507875832</x:v>
      </x:c>
      <x:c r="I46" s="10" t="n">
        <x:f>INDEX(Partners!$BW$6:$BW$92,MATCH(I$7,Partners!$A$6:$A$92,0))</x:f>
        <x:v>1.4478309980972122</x:v>
      </x:c>
      <x:c r="J46" s="10" t="n">
        <x:f>INDEX(Partners!$BW$6:$BW$92,MATCH(J$7,Partners!$A$6:$A$92,0))</x:f>
        <x:v>1.5171226441817878</x:v>
      </x:c>
      <x:c r="K46" s="10" t="n">
        <x:f>INDEX(Partners!$BW$6:$BW$92,MATCH(K$7,Partners!$A$6:$A$92,0))</x:f>
        <x:v>1.660368287210836</x:v>
      </x:c>
      <x:c r="L46" s="10" t="n">
        <x:f>INDEX(Partners!$BW$6:$BW$92,MATCH(L$7,Partners!$A$6:$A$92,0))</x:f>
        <x:v>1.7305646771432477</x:v>
      </x:c>
    </x:row>
    <x:row r="47">
      <x:c r="B47" s="9" t="inlineStr">
        <x:is>
          <x:t xml:space="preserve">Japan debt / GDP</x:t>
        </x:is>
      </x:c>
      <x:c r="C47" s="11" t="n">
        <x:f>INDEX(Japan!$AA$6:$AA$92,MATCH(C$7,Japan!$A$6:$A$92,0))</x:f>
        <x:v>0</x:v>
      </x:c>
      <x:c r="D47" s="11" t="n">
        <x:f>INDEX(Japan!$AA$6:$AA$92,MATCH(D$7,Japan!$A$6:$A$92,0))</x:f>
        <x:v>0</x:v>
      </x:c>
      <x:c r="E47" s="11" t="n">
        <x:f>INDEX(Japan!$AA$6:$AA$92,MATCH(E$7,Japan!$A$6:$A$92,0))</x:f>
        <x:v>0.17035332866861683</x:v>
      </x:c>
      <x:c r="F47" s="11" t="n">
        <x:f>INDEX(Japan!$AA$6:$AA$92,MATCH(F$7,Japan!$A$6:$A$92,0))</x:f>
        <x:v>0.14224237031750617</x:v>
      </x:c>
      <x:c r="G47" s="11" t="n">
        <x:f>INDEX(Japan!$AA$6:$AA$92,MATCH(G$7,Japan!$A$6:$A$92,0))</x:f>
        <x:v>0.43463711573643476</x:v>
      </x:c>
      <x:c r="H47" s="11" t="n">
        <x:f>INDEX(Japan!$AA$6:$AA$92,MATCH(H$7,Japan!$A$6:$A$92,0))</x:f>
        <x:v>0.11267051752832945</x:v>
      </x:c>
      <x:c r="I47" s="11" t="n">
        <x:f>INDEX(Japan!$AA$6:$AA$92,MATCH(I$7,Japan!$A$6:$A$92,0))</x:f>
        <x:v>0.023470398241565143</x:v>
      </x:c>
      <x:c r="J47" s="11" t="n">
        <x:f>INDEX(Japan!$AA$6:$AA$92,MATCH(J$7,Japan!$A$6:$A$92,0))</x:f>
        <x:v>0.015245910243575649</x:v>
      </x:c>
      <x:c r="K47" s="11" t="n">
        <x:f>INDEX(Japan!$AA$6:$AA$92,MATCH(K$7,Japan!$A$6:$A$92,0))</x:f>
        <x:v>0.04362418811857449</x:v>
      </x:c>
      <x:c r="L47" s="11" t="n">
        <x:f>INDEX(Japan!$AA$6:$AA$92,MATCH(L$7,Japan!$A$6:$A$92,0))</x:f>
        <x:v>0.032112732228409206</x:v>
      </x:c>
    </x:row>
    <x:row r="48">
      <x:c r="B48" s="7" t="inlineStr">
        <x:is>
          <x:t xml:space="preserve">Checks</x:t>
        </x:is>
      </x:c>
      <x:c r="C48" s="8" t="n"/>
      <x:c r="D48" s="8" t="n"/>
      <x:c r="E48" s="8" t="n"/>
      <x:c r="F48" s="8" t="n"/>
      <x:c r="G48" s="8" t="n"/>
      <x:c r="H48" s="8" t="n"/>
      <x:c r="I48" s="8" t="n"/>
      <x:c r="J48" s="8" t="n"/>
      <x:c r="K48" s="8" t="n"/>
      <x:c r="L48" s="8" t="n"/>
    </x:row>
    <x:row r="49">
      <x:c r="B49" s="9" t="inlineStr">
        <x:is>
          <x:t xml:space="preserve">Problems that year</x:t>
        </x:is>
      </x:c>
      <x:c r="C49" s="15" t="n">
        <x:f>INDEX(Checks!$S$6:$S$92,MATCH(C$7,Checks!$A$6:$A$92,0))</x:f>
        <x:v>0</x:v>
      </x:c>
      <x:c r="D49" s="15" t="n">
        <x:f>INDEX(Checks!$S$6:$S$92,MATCH(D$7,Checks!$A$6:$A$92,0))</x:f>
        <x:v>0</x:v>
      </x:c>
      <x:c r="E49" s="15" t="n">
        <x:f>INDEX(Checks!$S$6:$S$92,MATCH(E$7,Checks!$A$6:$A$92,0))</x:f>
        <x:v>0</x:v>
      </x:c>
      <x:c r="F49" s="15" t="n">
        <x:f>INDEX(Checks!$S$6:$S$92,MATCH(F$7,Checks!$A$6:$A$92,0))</x:f>
        <x:v>0</x:v>
      </x:c>
      <x:c r="G49" s="15" t="n">
        <x:f>INDEX(Checks!$S$6:$S$92,MATCH(G$7,Checks!$A$6:$A$92,0))</x:f>
        <x:v>0</x:v>
      </x:c>
      <x:c r="H49" s="15" t="n">
        <x:f>INDEX(Checks!$S$6:$S$92,MATCH(H$7,Checks!$A$6:$A$92,0))</x:f>
        <x:v>0</x:v>
      </x:c>
      <x:c r="I49" s="15" t="n">
        <x:f>INDEX(Checks!$S$6:$S$92,MATCH(I$7,Checks!$A$6:$A$92,0))</x:f>
        <x:v>0</x:v>
      </x:c>
      <x:c r="J49" s="15" t="n">
        <x:f>INDEX(Checks!$S$6:$S$92,MATCH(J$7,Checks!$A$6:$A$92,0))</x:f>
        <x:v>0</x:v>
      </x:c>
      <x:c r="K49" s="15" t="n">
        <x:f>INDEX(Checks!$S$6:$S$92,MATCH(K$7,Checks!$A$6:$A$92,0))</x:f>
        <x:v>0</x:v>
      </x:c>
      <x:c r="L49" s="15" t="n">
        <x:f>INDEX(Checks!$S$6:$S$92,MATCH(L$7,Checks!$A$6:$A$92,0))</x:f>
        <x:v>0</x:v>
      </x:c>
    </x:row>
    <x:row r="51">
      <x:c r="B51" s="7" t="inlineStr">
        <x:is>
          <x:t xml:space="preserve">World in 1929 and 1932 ($bn)</x:t>
        </x:is>
      </x:c>
      <x:c r="C51" s="8" t="n"/>
      <x:c r="D51" s="8" t="n"/>
      <x:c r="E51" s="8" t="n"/>
      <x:c r="F51" s="8" t="n"/>
    </x:row>
    <x:row r="52">
      <x:c r="C52" s="6" t="n">
        <x:v>1913</x:v>
      </x:c>
      <x:c r="D52" s="6" t="n">
        <x:v>1929</x:v>
      </x:c>
      <x:c r="E52" s="6" t="n">
        <x:v>1932</x:v>
      </x:c>
    </x:row>
    <x:row r="53">
      <x:c r="B53" s="9" t="inlineStr">
        <x:is>
          <x:t xml:space="preserve">Pacifica</x:t>
        </x:is>
      </x:c>
      <x:c r="C53" s="16" t="n">
        <x:f>World!E6</x:f>
        <x:v>13.236367352670444</x:v>
      </x:c>
      <x:c r="D53" s="16" t="n">
        <x:f>World!F6</x:f>
        <x:v>50.54824095734033</x:v>
      </x:c>
      <x:c r="E53" s="16" t="n">
        <x:f>World!G6</x:f>
        <x:v>39.30556253422824</x:v>
      </x:c>
    </x:row>
    <x:row r="54">
      <x:c r="B54" s="3" t="inlineStr">
        <x:is>
          <x:t xml:space="preserve">Pacifica + Japan</x:t>
        </x:is>
      </x:c>
      <x:c r="C54" s="16" t="n">
        <x:f>World!E8</x:f>
        <x:v>18.07641753642009</x:v>
      </x:c>
      <x:c r="D54" s="16" t="n">
        <x:f>World!F8</x:f>
        <x:v>71.08942938763983</x:v>
      </x:c>
      <x:c r="E54" s="16" t="n">
        <x:f>World!G8</x:f>
        <x:v>56.57095296590293</x:v>
      </x:c>
    </x:row>
    <x:row r="55">
      <x:c r="B55" s="3" t="inlineStr">
        <x:is>
          <x:t xml:space="preserve">The Pacific order</x:t>
        </x:is>
      </x:c>
      <x:c r="C55" s="16" t="n">
        <x:f>World!E12</x:f>
        <x:v>21.022337404214507</x:v>
      </x:c>
      <x:c r="D55" s="16" t="n">
        <x:f>World!F12</x:f>
        <x:v>82.768601135929</x:v>
      </x:c>
      <x:c r="E55" s="16" t="n">
        <x:f>World!G12</x:f>
        <x:v>64.14182737762826</x:v>
      </x:c>
    </x:row>
    <x:row r="56">
      <x:c r="B56" s="9" t="inlineStr">
        <x:is>
          <x:t xml:space="preserve">The Union</x:t>
        </x:is>
      </x:c>
      <x:c r="C56" s="16" t="n">
        <x:f>World!E13</x:f>
        <x:v>29.28086739301478</x:v>
      </x:c>
      <x:c r="D56" s="16" t="n">
        <x:f>World!F13</x:f>
        <x:v>71.37906698801169</x:v>
      </x:c>
      <x:c r="E56" s="16" t="n">
        <x:f>World!G13</x:f>
        <x:v>36.787734824098536</x:v>
      </x:c>
    </x:row>
    <x:row r="57">
      <x:c r="B57" s="9" t="inlineStr">
        <x:is>
          <x:t xml:space="preserve">Britain</x:t>
        </x:is>
      </x:c>
      <x:c r="C57" s="16" t="n">
        <x:f>World!E15</x:f>
        <x:v>12.2</x:v>
      </x:c>
      <x:c r="D57" s="16" t="n">
        <x:f>World!F15</x:f>
        <x:v>22.9</x:v>
      </x:c>
      <x:c r="E57" s="16" t="n">
        <x:f>World!G15</x:f>
        <x:v>15.3</x:v>
      </x:c>
    </x:row>
    <x:row r="58">
      <x:c r="B58" s="9" t="inlineStr">
        <x:is>
          <x:t xml:space="preserve">Germany</x:t>
        </x:is>
      </x:c>
      <x:c r="C58" s="16" t="n">
        <x:f>World!E16</x:f>
        <x:v>12.4</x:v>
      </x:c>
      <x:c r="D58" s="16" t="n">
        <x:f>World!F16</x:f>
        <x:v>23.3</x:v>
      </x:c>
      <x:c r="E58" s="16" t="n">
        <x:f>World!G16</x:f>
        <x:v>15.2</x:v>
      </x:c>
    </x:row>
    <x:row r="60">
      <x:c r="B60" s="7" t="inlineStr">
        <x:is>
          <x:t xml:space="preserve">How to read the workbook</x:t>
        </x:is>
      </x:c>
      <x:c r="C60" s="8" t="n"/>
      <x:c r="D60" s="8" t="n"/>
      <x:c r="E60" s="8" t="n"/>
      <x:c r="F60" s="8" t="n"/>
      <x:c r="G60" s="8" t="n"/>
      <x:c r="H60" s="8" t="n"/>
      <x:c r="I60" s="8" t="n"/>
      <x:c r="J60" s="8" t="n"/>
      <x:c r="K60" s="8" t="n"/>
      <x:c r="L60" s="8" t="n"/>
    </x:row>
    <x:row r="61">
      <x:c r="B61" s="17" t="inlineStr">
        <x:is>
          <x:t xml:space="preserve">Levers</x:t>
        </x:is>
      </x:c>
      <x:c r="C61" s="9" t="inlineStr">
        <x:is>
          <x:t xml:space="preserve">Every scalar assumption, story and stress values side by side, with canon status.</x:t>
        </x:is>
      </x:c>
    </x:row>
    <x:row r="62">
      <x:c r="B62" s="17" t="inlineStr">
        <x:is>
          <x:t xml:space="preserve">Events</x:t>
        </x:is>
      </x:c>
      <x:c r="C62" s="9" t="inlineStr">
        <x:is>
          <x:t xml:space="preserve">The story ledger: each dated commitment with its cost, category, canon status and section.</x:t>
        </x:is>
      </x:c>
    </x:row>
    <x:row r="63">
      <x:c r="B63" s="17" t="inlineStr">
        <x:is>
          <x:t xml:space="preserve">Paths</x:t>
        </x:is>
      </x:c>
      <x:c r="C63" s="9" t="inlineStr">
        <x:is>
          <x:t xml:space="preserve">Year-by-year inputs: prices, migration, growth, tax rates, army size, loan terms.</x:t>
        </x:is>
      </x:c>
    </x:row>
    <x:row r="64">
      <x:c r="B64" s="17" t="inlineStr">
        <x:is>
          <x:t xml:space="preserve">People</x:t>
        </x:is>
      </x:c>
      <x:c r="C64" s="9" t="inlineStr">
        <x:is>
          <x:t xml:space="preserve">Residents: births, territory and four migration streams; Asian-origin residents.</x:t>
        </x:is>
      </x:c>
    </x:row>
    <x:row r="65">
      <x:c r="B65" s="17" t="inlineStr">
        <x:is>
          <x:t xml:space="preserve">Economy</x:t>
        </x:is>
      </x:c>
      <x:c r="C65" s="9" t="inlineStr">
        <x:is>
          <x:t xml:space="preserve">GDP from residents, productivity, slumps, prices, mining and oil; benchmark against the US.</x:t>
        </x:is>
      </x:c>
    </x:row>
    <x:row r="66">
      <x:c r="B66" s="17" t="inlineStr">
        <x:is>
          <x:t xml:space="preserve">Resources</x:t>
        </x:is>
      </x:c>
      <x:c r="C66" s="9" t="inlineStr">
        <x:is>
          <x:t xml:space="preserve">Gold, metals and oil, and the royalties the state takes.</x:t>
        </x:is>
      </x:c>
    </x:row>
    <x:row r="67">
      <x:c r="B67" s="17" t="inlineStr">
        <x:is>
          <x:t xml:space="preserve">Budget</x:t>
        </x:is>
      </x:c>
      <x:c r="C67" s="9" t="inlineStr">
        <x:is>
          <x:t xml:space="preserve">Treasury receipts and spending.</x:t>
        </x:is>
      </x:c>
    </x:row>
    <x:row r="68">
      <x:c r="B68" s="17" t="inlineStr">
        <x:is>
          <x:t xml:space="preserve">Debt &amp; cash</x:t>
        </x:is>
      </x:c>
      <x:c r="C68" s="9" t="inlineStr">
        <x:is>
          <x:t xml:space="preserve">How each year is financed: cash, Reserve Fund, bonds.</x:t>
        </x:is>
      </x:c>
    </x:row>
    <x:row r="69">
      <x:c r="B69" s="17" t="inlineStr">
        <x:is>
          <x:t xml:space="preserve">Loans</x:t>
        </x:is>
      </x:c>
      <x:c r="C69" s="9" t="inlineStr">
        <x:is>
          <x:t xml:space="preserve">Public loans to the Union, the Confederacy, Japan, China and the Entente.</x:t>
        </x:is>
      </x:c>
    </x:row>
    <x:row r="70">
      <x:c r="B70" s="17" t="inlineStr">
        <x:is>
          <x:t xml:space="preserve">Gold &amp; money</x:t>
        </x:is>
      </x:c>
      <x:c r="C70" s="9" t="inlineStr">
        <x:is>
          <x:t xml:space="preserve">Monetary gold against the 40% cover rule.</x:t>
        </x:is>
      </x:c>
    </x:row>
    <x:row r="71">
      <x:c r="B71" s="17" t="inlineStr">
        <x:is>
          <x:t xml:space="preserve">Navy plan</x:t>
        </x:is>
      </x:c>
      <x:c r="C71" s="9" t="inlineStr">
        <x:is>
          <x:t xml:space="preserve">Ships completed each year and their unit costs: edit these to change the fleet.</x:t>
        </x:is>
      </x:c>
    </x:row>
    <x:row r="72">
      <x:c r="B72" s="17" t="inlineStr">
        <x:is>
          <x:t xml:space="preserve">Navy</x:t>
        </x:is>
      </x:c>
      <x:c r="C72" s="9" t="inlineStr">
        <x:is>
          <x:t xml:space="preserve">Fleet in service, cost, sailors and fuel saved by oil, capital-ship parity.</x:t>
        </x:is>
      </x:c>
    </x:row>
    <x:row r="73">
      <x:c r="B73" s="17" t="inlineStr">
        <x:is>
          <x:t xml:space="preserve">Japan</x:t>
        </x:is>
      </x:c>
      <x:c r="C73" s="9" t="inlineStr">
        <x:is>
          <x:t xml:space="preserve">Japan's budget, wars, earthquake and bank crisis, San Francisco credit.</x:t>
        </x:is>
      </x:c>
    </x:row>
    <x:row r="74">
      <x:c r="B74" s="17" t="inlineStr">
        <x:is>
          <x:t xml:space="preserve">Partners</x:t>
        </x:is>
      </x:c>
      <x:c r="C74" s="9" t="inlineStr">
        <x:is>
          <x:t xml:space="preserve">Japan, the Gulf, the Philippine crown, Siberia and the trading regions, each catching up with Pacifica as it integrates; the champions' markets.</x:t>
        </x:is>
      </x:c>
    </x:row>
    <x:row r="75">
      <x:c r="B75" s="17" t="inlineStr">
        <x:is>
          <x:t xml:space="preserve">Abroad</x:t>
        </x:is>
      </x:c>
      <x:c r="C75" s="9" t="inlineStr">
        <x:is>
          <x:t xml:space="preserve">Private investment abroad and the income it sends home (national income).</x:t>
        </x:is>
      </x:c>
    </x:row>
    <x:row r="76">
      <x:c r="B76" s="17" t="inlineStr">
        <x:is>
          <x:t xml:space="preserve">Labour</x:t>
        </x:is>
      </x:c>
      <x:c r="C76" s="9" t="inlineStr">
        <x:is>
          <x:t xml:space="preserve">The migration loop: skilled people drawn by Pacifica's lead, their families, jobs, unemployment, and what the Union loses.</x:t>
        </x:is>
      </x:c>
    </x:row>
    <x:row r="77">
      <x:c r="B77" s="17" t="inlineStr">
        <x:is>
          <x:t xml:space="preserve">Champions</x:t>
        </x:is>
      </x:c>
      <x:c r="C77" s="9" t="inlineStr">
        <x:is>
          <x:t xml:space="preserve">The Polytechnic's talent and the national champions: oil, steel, cars, chemicals, electrical, telecom, shipping, finance, film, aircraft.</x:t>
        </x:is>
      </x:c>
    </x:row>
    <x:row r="78">
      <x:c r="B78" s="17" t="inlineStr">
        <x:is>
          <x:t xml:space="preserve">Gulf</x:t>
        </x:is>
      </x:c>
      <x:c r="C78" s="9" t="inlineStr">
        <x:is>
          <x:t xml:space="preserve">The Gulf Republic's six admission indicators and what it adds if it joins (switch on Levers).</x:t>
        </x:is>
      </x:c>
    </x:row>
    <x:row r="79">
      <x:c r="B79" s="17" t="inlineStr">
        <x:is>
          <x:t xml:space="preserve">World</x:t>
        </x:is>
      </x:c>
      <x:c r="C79" s="9" t="inlineStr">
        <x:is>
          <x:t xml:space="preserve">Pacifica and the order against the Union, Britain and Germany.</x:t>
        </x:is>
      </x:c>
    </x:row>
    <x:row r="80">
      <x:c r="B80" s="17" t="inlineStr">
        <x:is>
          <x:t xml:space="preserve">Checks</x:t>
        </x:is>
      </x:c>
      <x:c r="C80" s="9" t="inlineStr">
        <x:is>
          <x:t xml:space="preserve">Each year tested against arithmetic, canon ceilings and story consistency.</x:t>
        </x:is>
      </x:c>
    </x:row>
    <x:row r="81">
      <x:c r="B81" s="17" t="inlineStr">
        <x:is>
          <x:t xml:space="preserve">Changes</x:t>
        </x:is>
      </x:c>
      <x:c r="C81" s="9" t="inlineStr">
        <x:is>
          <x:t xml:space="preserve">What differs from Sol's model and why.</x:t>
        </x:is>
      </x:c>
    </x:row>
    <x:row r="82">
      <x:c r="B82" s="2" t="inlineStr">
        <x:is>
          <x:t xml:space="preserve">Colours: blue = input you can change · black = formula · green = link to another sheet · yellow = the main levers. Years shaded red are war years.</x:t>
        </x:is>
      </x:c>
    </x:row>
    <x:row r="84">
      <x:c r="B84" t="str">
        <x:v>Japan's 1927 rescue</x:v>
      </x:c>
      <x:c r="C84" t="str">
        <x:v>See Japan rescue: bank capital, monthly FX, actual public/private funding and repayment through 1933.</x:v>
      </x:c>
    </x:row>
  </x:sheetData>
  <x:hyperlinks>
    <x:hyperlink xmlns:r="http://schemas.openxmlformats.org/officeDocument/2006/relationships" ref="B61" r:id="R7ad915d0cda34e23"/>
    <x:hyperlink xmlns:r="http://schemas.openxmlformats.org/officeDocument/2006/relationships" ref="B62" r:id="R99134f33dfe34d0b"/>
    <x:hyperlink xmlns:r="http://schemas.openxmlformats.org/officeDocument/2006/relationships" ref="B63" r:id="R009c575a83e2442e"/>
    <x:hyperlink xmlns:r="http://schemas.openxmlformats.org/officeDocument/2006/relationships" ref="B64" r:id="R82bc1ca8a7444c83"/>
    <x:hyperlink xmlns:r="http://schemas.openxmlformats.org/officeDocument/2006/relationships" ref="B65" r:id="R18cf058eae364e65"/>
    <x:hyperlink xmlns:r="http://schemas.openxmlformats.org/officeDocument/2006/relationships" ref="B66" r:id="R0c9c44f1464f4dad"/>
    <x:hyperlink xmlns:r="http://schemas.openxmlformats.org/officeDocument/2006/relationships" ref="B67" r:id="R848299cdec5040a6"/>
    <x:hyperlink xmlns:r="http://schemas.openxmlformats.org/officeDocument/2006/relationships" ref="B68" r:id="R36f64132585c4757"/>
    <x:hyperlink xmlns:r="http://schemas.openxmlformats.org/officeDocument/2006/relationships" ref="B69" r:id="R410ff32377d94b3f"/>
    <x:hyperlink xmlns:r="http://schemas.openxmlformats.org/officeDocument/2006/relationships" ref="B70" r:id="R71b6ccd6a539405c"/>
    <x:hyperlink xmlns:r="http://schemas.openxmlformats.org/officeDocument/2006/relationships" ref="B71" r:id="Rf7e72e7888d04c99"/>
    <x:hyperlink xmlns:r="http://schemas.openxmlformats.org/officeDocument/2006/relationships" ref="B72" r:id="R9a72cc886c6e4aac"/>
    <x:hyperlink xmlns:r="http://schemas.openxmlformats.org/officeDocument/2006/relationships" ref="B73" r:id="R3d8dab4d3d884c56"/>
    <x:hyperlink xmlns:r="http://schemas.openxmlformats.org/officeDocument/2006/relationships" ref="B74" r:id="Re2bd081d91c84a96"/>
    <x:hyperlink xmlns:r="http://schemas.openxmlformats.org/officeDocument/2006/relationships" ref="B75" r:id="Ra05e8b07b2634856"/>
    <x:hyperlink xmlns:r="http://schemas.openxmlformats.org/officeDocument/2006/relationships" ref="B76" r:id="R60fe56262ece4d49"/>
    <x:hyperlink xmlns:r="http://schemas.openxmlformats.org/officeDocument/2006/relationships" ref="B77" r:id="R756b244c12534e59"/>
    <x:hyperlink xmlns:r="http://schemas.openxmlformats.org/officeDocument/2006/relationships" ref="B78" r:id="Rc2719ff28eb04134"/>
    <x:hyperlink xmlns:r="http://schemas.openxmlformats.org/officeDocument/2006/relationships" ref="B79" r:id="Rb72e308053924816"/>
    <x:hyperlink xmlns:r="http://schemas.openxmlformats.org/officeDocument/2006/relationships" ref="B80" r:id="Rcb35ae04f0a8405b"/>
    <x:hyperlink xmlns:r="http://schemas.openxmlformats.org/officeDocument/2006/relationships" ref="B81" r:id="R2bfb45a9b4b14791"/>
  </x:hyperlinks>
  <x:pageMargins left="0.7" right="0.7" top="0.75" bottom="0.75" header="0.3" footer="0.3"/>
  <x:drawing xmlns:r="http://schemas.openxmlformats.org/officeDocument/2006/relationships" r:id="R0c1e3cf54af74dea"/>
</x:worksheet>
</file>

<file path=xl/worksheets/sheet2.xml><?xml version="1.0" encoding="utf-8"?>
<x:worksheet xmlns:x="http://schemas.openxmlformats.org/spreadsheetml/2006/main">
  <x:sheetPr>
    <x:tabColor rgb="FF1F4E6B"/>
  </x:sheetPr>
  <x:sheetViews>
    <x:sheetView showGridLines="0" workbookViewId="0"/>
  </x:sheetViews>
  <x:sheetFormatPr baseColWidth="8" defaultRowHeight="15"/>
  <x:cols>
    <x:col min="1" max="1" width="2" customWidth="1"/>
    <x:col min="2" max="2" width="34" customWidth="1"/>
    <x:col min="3" max="3" width="8" customWidth="1"/>
    <x:col min="4" max="4" width="14" customWidth="1"/>
    <x:col min="5" max="5" width="14" customWidth="1"/>
    <x:col min="6" max="6" width="10" customWidth="1"/>
    <x:col min="7" max="7" width="90" customWidth="1"/>
  </x:cols>
  <x:sheetData>
    <x:row r="1">
      <x:c r="A1" s="18" t="inlineStr">
        <x:is>
          <x:t xml:space="preserve">What changed from Sol's model</x:t>
        </x:is>
      </x:c>
    </x:row>
    <x:row r="2">
      <x:c r="A2" s="2" t="inlineStr">
        <x:is>
          <x:t xml:space="preserve">Sol's CR-018/CR-019 workbook (working case) against this model, with the reason for each difference.</x:t>
        </x:is>
      </x:c>
    </x:row>
    <x:row r="3">
      <x:c r="A3" s="19" t="inlineStr">
        <x:is>
          <x:t xml:space="preserve">Sol's values are typed in from Pacifica_CR018_CR019_financial_model_1846-1932.xlsx; this model's values are live.</x:t>
        </x:is>
      </x:c>
    </x:row>
    <x:row r="5">
      <x:c r="B5" s="6" t="inlineStr">
        <x:is>
          <x:t xml:space="preserve">Measure</x:t>
        </x:is>
      </x:c>
      <x:c r="C5" s="6" t="inlineStr">
        <x:is>
          <x:t xml:space="preserve">Year</x:t>
        </x:is>
      </x:c>
      <x:c r="D5" s="6" t="inlineStr">
        <x:is>
          <x:t xml:space="preserve">Sol's model</x:t>
        </x:is>
      </x:c>
      <x:c r="E5" s="6" t="inlineStr">
        <x:is>
          <x:t xml:space="preserve">This model</x:t>
        </x:is>
      </x:c>
      <x:c r="F5" s="6" t="inlineStr">
        <x:is>
          <x:t xml:space="preserve">Ratio</x:t>
        </x:is>
      </x:c>
      <x:c r="G5" s="6" t="inlineStr">
        <x:is>
          <x:t xml:space="preserve">Why it differs</x:t>
        </x:is>
      </x:c>
    </x:row>
    <x:row r="6">
      <x:c r="B6" s="9" t="inlineStr">
        <x:is>
          <x:t xml:space="preserve">Core residents (m)</x:t>
        </x:is>
      </x:c>
      <x:c r="C6" s="9" t="n">
        <x:v>1895</x:v>
      </x:c>
      <x:c r="D6" s="20" t="n">
        <x:v>6.01</x:v>
      </x:c>
      <x:c r="E6" s="21" t="n">
        <x:f>INDEX(People!$L$6:$L$92,MATCH(C6,People!$A$6:$A$92,0))/1000000</x:f>
        <x:v>6.5154422288129386</x:v>
      </x:c>
      <x:c r="F6" s="22" t="n">
        <x:f>IF(D6&lt;&gt;0,E6/D6,0)</x:f>
        <x:v>1.0841002044613874</x:v>
      </x:c>
      <x:c r="G6" s="23" t="inlineStr">
        <x:is>
          <x:t xml:space="preserve">Similar until 1895.</x:t>
        </x:is>
      </x:c>
    </x:row>
    <x:row r="7">
      <x:c r="B7" s="9" t="inlineStr">
        <x:is>
          <x:t xml:space="preserve">Core residents (m)</x:t>
        </x:is>
      </x:c>
      <x:c r="C7" s="9" t="n">
        <x:v>1913</x:v>
      </x:c>
      <x:c r="D7" s="20" t="n">
        <x:v>9.44</x:v>
      </x:c>
      <x:c r="E7" s="21" t="n">
        <x:f>INDEX(People!$L$6:$L$92,MATCH(C7,People!$A$6:$A$92,0))/1000000</x:f>
        <x:v>15.178403095534504</x:v>
      </x:c>
      <x:c r="F7" s="22" t="n">
        <x:f>IF(D7&lt;&gt;0,E7/D7,0)</x:f>
        <x:v>1.6078816838489942</x:v>
      </x:c>
      <x:c r="G7" s="23" t="inlineStr">
        <x:is>
          <x:t xml:space="preserve">No exclusion act, family programmes and skilled entry keep migration higher after 1888.</x:t>
        </x:is>
      </x:c>
    </x:row>
    <x:row r="8">
      <x:c r="B8" s="9" t="inlineStr">
        <x:is>
          <x:t xml:space="preserve">Core residents (m)</x:t>
        </x:is>
      </x:c>
      <x:c r="C8" s="9" t="n">
        <x:v>1929</x:v>
      </x:c>
      <x:c r="D8" s="20" t="n">
        <x:v>12.92</x:v>
      </x:c>
      <x:c r="E8" s="21" t="n">
        <x:f>INDEX(People!$L$6:$L$92,MATCH(C8,People!$A$6:$A$92,0))/1000000</x:f>
        <x:v>25.43071670727078</x:v>
      </x:c>
      <x:c r="F8" s="22" t="n">
        <x:f>IF(D8&lt;&gt;0,E8/D8,0)</x:f>
        <x:v>1.9683217265689457</x:v>
      </x:c>
      <x:c r="G8" s="23" t="inlineStr">
        <x:is>
          <x:t xml:space="preserve">Baseline arrivals, plus people drawn by Pacifica's lead: skilled migrants and families (B10), settled guest workers (B11), and Europeans who would have gone to the Union (B12).</x:t>
        </x:is>
      </x:c>
    </x:row>
    <x:row r="9">
      <x:c r="B9" s="9" t="inlineStr">
        <x:is>
          <x:t xml:space="preserve">Core GDP ($bn)</x:t>
        </x:is>
      </x:c>
      <x:c r="C9" s="9" t="n">
        <x:v>1895</x:v>
      </x:c>
      <x:c r="D9" s="20" t="n">
        <x:v>2.24</x:v>
      </x:c>
      <x:c r="E9" s="21" t="n">
        <x:f>INDEX(Economy!$O$6:$O$92,MATCH(C9,Economy!$A$6:$A$92,0))/1000</x:f>
        <x:v>2.5124224653681386</x:v>
      </x:c>
      <x:c r="F9" s="22" t="n">
        <x:f>IF(D9&lt;&gt;0,E9/D9,0)</x:f>
        <x:v>1.1216171720393475</x:v>
      </x:c>
      <x:c r="G9" s="23" t="inlineStr">
        <x:is>
          <x:t xml:space="preserve">Sol's per-resident output was higher early, lower late.</x:t>
        </x:is>
      </x:c>
    </x:row>
    <x:row r="10">
      <x:c r="B10" s="9" t="inlineStr">
        <x:is>
          <x:t xml:space="preserve">Core GDP ($bn)</x:t>
        </x:is>
      </x:c>
      <x:c r="C10" s="9" t="n">
        <x:v>1913</x:v>
      </x:c>
      <x:c r="D10" s="20" t="n">
        <x:v>5.62</x:v>
      </x:c>
      <x:c r="E10" s="21" t="n">
        <x:f>INDEX(Economy!$O$6:$O$92,MATCH(C10,Economy!$A$6:$A$92,0))/1000</x:f>
        <x:v>13.236367352670444</x:v>
      </x:c>
      <x:c r="F10" s="22" t="n">
        <x:f>IF(D10&lt;&gt;0,E10/D10,0)</x:f>
        <x:v>2.3552255075926056</x:v>
      </x:c>
      <x:c r="G10" s="23" t="inlineStr">
        <x:is>
          <x:t xml:space="preserve"/>
        </x:is>
      </x:c>
    </x:row>
    <x:row r="11">
      <x:c r="B11" s="9" t="inlineStr">
        <x:is>
          <x:t xml:space="preserve">Core GDP ($bn)</x:t>
        </x:is>
      </x:c>
      <x:c r="C11" s="9" t="n">
        <x:v>1929</x:v>
      </x:c>
      <x:c r="D11" s="20" t="n">
        <x:v>12.15</x:v>
      </x:c>
      <x:c r="E11" s="21" t="n">
        <x:f>INDEX(Economy!$O$6:$O$92,MATCH(C11,Economy!$A$6:$A$92,0))/1000</x:f>
        <x:v>50.54824095734033</x:v>
      </x:c>
      <x:c r="F11" s="22" t="n">
        <x:f>IF(D11&lt;&gt;0,E11/D11,0)</x:f>
        <x:v>4.160349049986858</x:v>
      </x:c>
      <x:c r="G11" s="23" t="inlineStr">
        <x:is>
          <x:t xml:space="preserve">Sol's 1929 economy was the historical American West (about 1.1x US output per person). This one is about 2x: the trend path near historical California, the national champions (B9), the extra talent (B10) and the Development Fund. Total GDP is also larger because there are more people.</x:t>
        </x:is>
      </x:c>
    </x:row>
    <x:row r="12">
      <x:c r="B12" s="9" t="inlineStr">
        <x:is>
          <x:t xml:space="preserve">Core GDP ($bn)</x:t>
        </x:is>
      </x:c>
      <x:c r="C12" s="9" t="n">
        <x:v>1932</x:v>
      </x:c>
      <x:c r="D12" s="20" t="n">
        <x:v>7.11</x:v>
      </x:c>
      <x:c r="E12" s="21" t="n">
        <x:f>INDEX(Economy!$O$6:$O$92,MATCH(C12,Economy!$A$6:$A$92,0))/1000</x:f>
        <x:v>39.30556253422824</x:v>
      </x:c>
      <x:c r="F12" s="22" t="n">
        <x:f>IF(D12&lt;&gt;0,E12/D12,0)</x:f>
        <x:v>5.528208513956152</x:v>
      </x:c>
      <x:c r="G12" s="23" t="inlineStr">
        <x:is>
          <x:t xml:space="preserve">Sol's slump was -41% in money terms, worse than the Union's. Here about -24%: Pacifica keeps its market open, lends its gold and its central bank acts (§34, CR-020).</x:t>
        </x:is>
      </x:c>
    </x:row>
    <x:row r="13">
      <x:c r="B13" s="9" t="inlineStr">
        <x:is>
          <x:t xml:space="preserve">Treasury receipts ($m)</x:t>
        </x:is>
      </x:c>
      <x:c r="C13" s="9" t="n">
        <x:v>1929</x:v>
      </x:c>
      <x:c r="D13" s="24" t="n">
        <x:v>1255</x:v>
      </x:c>
      <x:c r="E13" s="25" t="n">
        <x:f>INDEX(Budget!$M$6:$M$92,MATCH(C13,Budget!$A$6:$A$92,0))</x:f>
        <x:v>5627.638817601482</x:v>
      </x:c>
      <x:c r="F13" s="22" t="n">
        <x:f>IF(D13&lt;&gt;0,E13/D13,0)</x:f>
        <x:v>4.484174356654567</x:v>
      </x:c>
      <x:c r="G13" s="23" t="inlineStr">
        <x:is>
          <x:t xml:space="preserve"/>
        </x:is>
      </x:c>
    </x:row>
    <x:row r="14">
      <x:c r="B14" s="9" t="inlineStr">
        <x:is>
          <x:t xml:space="preserve">Navy ($m)</x:t>
        </x:is>
      </x:c>
      <x:c r="C14" s="9" t="n">
        <x:v>1913</x:v>
      </x:c>
      <x:c r="D14" s="24" t="n">
        <x:v>114.5</x:v>
      </x:c>
      <x:c r="E14" s="25" t="n">
        <x:f>INDEX(Navy!$Y$6:$Y$92,MATCH(C14,Navy!$A$6:$A$92,0))</x:f>
        <x:v>74.37585</x:v>
      </x:c>
      <x:c r="F14" s="22" t="n">
        <x:f>IF(D14&lt;&gt;0,E14/D14,0)</x:f>
        <x:v>0.6495707423580785</x:v>
      </x:c>
      <x:c r="G14" s="23" t="inlineStr">
        <x:is>
          <x:t xml:space="preserve">Sol's navy kept 24 seagoing hulls fixed from 1905 and added a flat allowance. Here the fleet is built ship by ship.</x:t>
        </x:is>
      </x:c>
    </x:row>
    <x:row r="15">
      <x:c r="B15" s="9" t="inlineStr">
        <x:is>
          <x:t xml:space="preserve">Navy ($m)</x:t>
        </x:is>
      </x:c>
      <x:c r="C15" s="9" t="n">
        <x:v>1929</x:v>
      </x:c>
      <x:c r="D15" s="24" t="n">
        <x:v>195</x:v>
      </x:c>
      <x:c r="E15" s="25" t="n">
        <x:f>INDEX(Navy!$Y$6:$Y$92,MATCH(C15,Navy!$A$6:$A$92,0))</x:f>
        <x:v>183.352537875</x:v>
      </x:c>
      <x:c r="F15" s="22" t="n">
        <x:f>IF(D15&lt;&gt;0,E15/D15,0)</x:f>
        <x:v>0.940269425</x:v>
      </x:c>
      <x:c r="G15" s="23" t="inlineStr">
        <x:is>
          <x:t xml:space="preserve">Includes Pacifica's 65% of the common navy from 1927.</x:t>
        </x:is>
      </x:c>
    </x:row>
    <x:row r="16">
      <x:c r="B16" s="9" t="inlineStr">
        <x:is>
          <x:t xml:space="preserve">Public debt ($m)</x:t>
        </x:is>
      </x:c>
      <x:c r="C16" s="9" t="n">
        <x:v>1932</x:v>
      </x:c>
      <x:c r="D16" s="24" t="n">
        <x:v>119.8</x:v>
      </x:c>
      <x:c r="E16" s="25" t="n">
        <x:f>INDEX('Debt &amp; cash'!$R$6:$R$92,MATCH(C16,'Debt &amp; cash'!$A$6:$A$92,0))</x:f>
        <x:v>2170.3172453793145</x:v>
      </x:c>
      <x:c r="F16" s="22" t="n">
        <x:f>IF(D16&lt;&gt;0,E16/D16,0)</x:f>
        <x:v>18.11617066259862</x:v>
      </x:c>
      <x:c r="G16" s="23" t="inlineStr">
        <x:is>
          <x:t xml:space="preserve">Here a standing debt of about 5% of GDP is kept for the Reserve Bank (OPEN-020-06), and the rescue is paid from the Reserve Fund.</x:t>
        </x:is>
      </x:c>
    </x:row>
    <x:row r="17">
      <x:c r="B17" s="9" t="inlineStr">
        <x:is>
          <x:t xml:space="preserve">Treasury cash ($m)</x:t>
        </x:is>
      </x:c>
      <x:c r="C17" s="9" t="n">
        <x:v>1929</x:v>
      </x:c>
      <x:c r="D17" s="24" t="n">
        <x:v>2326.7</x:v>
      </x:c>
      <x:c r="E17" s="25" t="n">
        <x:f>INDEX('Debt &amp; cash'!$M$6:$M$92,MATCH(C17,'Debt &amp; cash'!$A$6:$A$92,0))</x:f>
        <x:v>1406.9097044003704</x:v>
      </x:c>
      <x:c r="F17" s="22" t="n">
        <x:f>IF(D17&lt;&gt;0,E17/D17,0)</x:f>
        <x:v>0.6046803216574421</x:v>
      </x:c>
      <x:c r="G17" s="23" t="inlineStr">
        <x:is>
          <x:t xml:space="preserve">Sol's surpluses piled up as $2.3bn of idle cash. Here surpluses repay debt or go to the Reserve Fund.</x:t>
        </x:is>
      </x:c>
    </x:row>
    <x:row r="18">
      <x:c r="B18" s="9" t="inlineStr">
        <x:is>
          <x:t xml:space="preserve">Monetary gold ($m)</x:t>
        </x:is>
      </x:c>
      <x:c r="C18" s="9" t="n">
        <x:v>1932</x:v>
      </x:c>
      <x:c r="D18" s="24" t="n">
        <x:v>1355.5</x:v>
      </x:c>
      <x:c r="E18" s="25" t="n">
        <x:f>INDEX('Gold &amp; money'!$F$6:$F$92,MATCH(C18,'Gold &amp; money'!$A$6:$A$92,0))</x:f>
        <x:v>1728.9502959121166</x:v>
      </x:c>
      <x:c r="F18" s="22" t="n">
        <x:f>IF(D18&lt;&gt;0,E18/D18,0)</x:f>
        <x:v>1.275507411222513</x:v>
      </x:c>
      <x:c r="G18" s="23" t="inlineStr">
        <x:is>
          <x:t xml:space="preserve"/>
        </x:is>
      </x:c>
    </x:row>
    <x:row r="20">
      <x:c r="B20" s="7" t="inlineStr">
        <x:is>
          <x:t xml:space="preserve">Structural changes</x:t>
        </x:is>
      </x:c>
      <x:c r="C20" s="8" t="n"/>
      <x:c r="D20" s="8" t="n"/>
      <x:c r="E20" s="8" t="n"/>
      <x:c r="F20" s="8" t="n"/>
      <x:c r="G20" s="8" t="n"/>
    </x:row>
    <x:row r="21" ht="30" customHeight="1">
      <x:c r="B21" s="3" t="inlineStr">
        <x:is>
          <x:t xml:space="preserve">Fleet</x:t>
        </x:is>
      </x:c>
      <x:c r="C21" s="26" t="inlineStr">
        <x:is>
          <x:t xml:space="preserve">Nine ship classes with the canon technology dates: oil-fired torpedo boats in the 1880s, oil cruisers in the early 1890s, turbine destroyers 1893-95, turbine cruisers 1898, all-big-gun turbine capital ships from 1903 (proposed). HMS Dreadnought changes nothing for Pacifica's budget: there is no 1906 jump.</x:t>
        </x:is>
      </x:c>
    </x:row>
    <x:row r="22" ht="30" customHeight="1">
      <x:c r="B22" s="3" t="inlineStr">
        <x:is>
          <x:t xml:space="preserve">Oil</x:t>
        </x:is>
      </x:c>
      <x:c r="C22" s="26" t="inlineStr">
        <x:is>
          <x:t xml:space="preserve">Sol's model counted oil inside 'other minerals' with no royalty and no navy effect. Here the state takes a 1/8 royalty, the navy burns its own oil, and the sheets show sailors and fuel saved by oil firing.</x:t>
        </x:is>
      </x:c>
    </x:row>
    <x:row r="23" ht="30" customHeight="1">
      <x:c r="B23" s="3" t="inlineStr">
        <x:is>
          <x:t xml:space="preserve">Technology</x:t>
        </x:is>
      </x:c>
      <x:c r="C23" s="26" t="inlineStr">
        <x:is>
          <x:t xml:space="preserve">The approved oil (1876) and turbine (1885) programmes and the proposed electrical institute (1886) are costed Events, on top of a standing technical budget.</x:t>
        </x:is>
      </x:c>
    </x:row>
    <x:row r="24" ht="30" customHeight="1">
      <x:c r="B24" s="3" t="inlineStr">
        <x:is>
          <x:t xml:space="preserve">Japan</x:t>
        </x:is>
      </x:c>
      <x:c r="C24" s="26" t="str">
        <x:v>Japan has a conserved Treasury cash account. The 1927 panic combines bank losses, domestic withdrawals and a tested foreign-settlement shortage.</x:v>
      </x:c>
    </x:row>
    <x:row r="25" ht="30" customHeight="1">
      <x:c r="B25" s="3" t="inlineStr">
        <x:is>
          <x:t xml:space="preserve">Events</x:t>
        </x:is>
      </x:c>
      <x:c r="C25" s="26" t="inlineStr">
        <x:is>
          <x:t xml:space="preserve">One ledger lists every dated commitment with its canon status and section, so a story change is one row to edit.</x:t>
        </x:is>
      </x:c>
    </x:row>
    <x:row r="26" ht="30" customHeight="1">
      <x:c r="B26" s="3" t="inlineStr">
        <x:is>
          <x:t xml:space="preserve">Canal</x:t>
        </x:is>
      </x:c>
      <x:c r="C26" s="26" t="inlineStr">
        <x:is>
          <x:t xml:space="preserve">Owned by the state, as the regency's achievement (Sol's model: 20% public). Tolls from 1901.</x:t>
        </x:is>
      </x:c>
    </x:row>
    <x:row r="27" ht="30" customHeight="1">
      <x:c r="B27" s="3" t="inlineStr">
        <x:is>
          <x:t xml:space="preserve">World</x:t>
        </x:is>
      </x:c>
      <x:c r="C27" s="26" t="inlineStr">
        <x:is>
          <x:t xml:space="preserve">A new sheet sets Pacifica, Japan and the order against the Union, Britain and Germany.</x:t>
        </x:is>
      </x:c>
    </x:row>
    <x:row r="28" ht="30" customHeight="1">
      <x:c r="B28" s="3" t="inlineStr">
        <x:is>
          <x:t xml:space="preserve">Layout</x:t>
        </x:is>
      </x:c>
      <x:c r="C28" s="26" t="inlineStr">
        <x:is>
          <x:t xml:space="preserve">Years run down the page; inputs, events and results are separate; every heading has a definition.</x:t>
        </x:is>
      </x:c>
    </x:row>
    <x:row r="29" ht="30" customHeight="1">
      <x:c r="B29" s="3" t="inlineStr">
        <x:is>
          <x:t xml:space="preserve">CR-020</x:t>
        </x:is>
      </x:c>
      <x:c r="C29" s="26" t="inlineStr">
        <x:is>
          <x:t xml:space="preserve">Income from private investment abroad (national income), named export sectors, the Gulf admission switch, Pacifica's milder price fall in 1930-32, an oil compact with the Gulf, a standing public debt for the Reserve Bank, the Thalassia and islands programme as Events, a drag on the Union's output, and a Development Fund that invests most surpluses in productivity (B8). Each has a lever.</x:t>
        </x:is>
      </x:c>
    </x:row>
    <x:row r="30" ht="30" customHeight="1">
      <x:c r="B30" s="3" t="inlineStr">
        <x:is>
          <x:t xml:space="preserve">Champions</x:t>
        </x:is>
      </x:c>
      <x:c r="C30" s="26" t="inlineStr">
        <x:is>
          <x:t xml:space="preserve">CR-020 B9: a Champions sheet built bottom-up from world markets and Pacifica's share of each: the oil trust (Gulf refining and the Asian trade), steel, the assembly-line car industry, chemicals and drugs, electrical equipment on the Pacifican standard, telecom, shipping, San Francisco underwriting, film and aircraft. It adds to GDP, to income from abroad (concessions, plants, royalties) and to the Treasury (the Crown share), and takes a slice off the Union.</x:t>
        </x:is>
      </x:c>
    </x:row>
    <x:row r="31" ht="30" customHeight="1">
      <x:c r="B31" s="3" t="inlineStr">
        <x:is>
          <x:t xml:space="preserve">Labour</x:t>
        </x:is>
      </x:c>
      <x:c r="C31" s="26" t="inlineStr">
        <x:is>
          <x:t xml:space="preserve">CR-020 B10: migration answers Pacifica's lead. Skilled workers come from the Union, Europe and Asia up to a ceiling of entry places, with their families and later their relatives; workers come for new champion jobs and leave in a slump. The extra talent raises output per resident and the champions; the Union loses what its emigrants would have produced. Only the champions' productivity premium now adds to GDP, since their workers are residents.</x:t>
        </x:is>
      </x:c>
    </x:row>
    <x:row r="32" ht="30" customHeight="1">
      <x:c r="B32" s="3" t="inlineStr">
        <x:is>
          <x:t xml:space="preserve">The Union</x:t>
        </x:is>
      </x:c>
      <x:c r="C32" s="26" t="inlineStr">
        <x:is>
          <x:t xml:space="preserve">CR-020 B12: the Union is modelled year by year. Its historical output is reduced by the people who are not there (diverted immigrants, talent emigrants and their children), a compounding brain-drain drag, a compounding loss of Pacific trade and gold that grows with Pacifica, the champions' markets, Union citizens away as guest workers, and the 1930-32 German loan crash. This replaces the old fixed drag.</x:t>
        </x:is>
      </x:c>
    </x:row>
    <x:row r="33" ht="30" customHeight="1">
      <x:c r="B33" s="3" t="inlineStr">
        <x:is>
          <x:t xml:space="preserve">Union response</x:t>
        </x:is>
      </x:c>
      <x:c r="C33" s="26" t="inlineStr">
        <x:is>
          <x:t xml:space="preserve">CR-020 B13: from 1903 (Roosevelt, after Whitney's single term) the Union copies Pacifica and boxes it in: its brain drain falls to a third by 1910, it competes for Europe's scientists and emigrants, regains some growth, and taxes and licenses the champions. Pacifica recruits in Asia instead.</x:t>
        </x:is>
      </x:c>
    </x:row>
    <x:row r="34" ht="30" customHeight="1">
      <x:c r="B34" s="3" t="inlineStr">
        <x:is>
          <x:t xml:space="preserve">Partners</x:t>
        </x:is>
      </x:c>
      <x:c r="C34" s="26" t="inlineStr">
        <x:is>
          <x:t xml:space="preserve">CR-020 B14: Japan, the Gulf Republic, the Philippine crown and the Siberian Republic are modelled year by year. Each closes part of its log gap to Pacifica's output per person each year, in proportion to its integration with the order. Japan's disasters and San Francisco credit scale with its economy.</x:t>
        </x:is>
      </x:c>
    </x:row>
    <x:row r="35" ht="30" customHeight="1">
      <x:c r="B35" s="3" t="inlineStr">
        <x:is>
          <x:t xml:space="preserve">Markets</x:t>
        </x:is>
      </x:c>
      <x:c r="C35" s="26" t="inlineStr">
        <x:is>
          <x:t xml:space="preserve">CR-020 B15: the trading regions outside the order (China, Korea, Southeast Asia, Mexico and Pacific South America, the Persian Gulf and Middle East) catch up more slowly. The champions' markets abroad, weighted by their share of the champions' business, raise the champions by half of any rise.</x:t>
        </x:is>
      </x:c>
    </x:row>
    <x:row r="36" ht="30" customHeight="1">
      <x:c r="B36" s="3" t="inlineStr">
        <x:is>
          <x:t xml:space="preserve">Guest workers</x:t>
        </x:is>
      </x:c>
      <x:c r="C36" s="26" t="inlineStr">
        <x:is>
          <x:t xml:space="preserve">CR-020 B11: a Singapore-style permit programme from 1890 fills a share of the champions' jobs and construction, dock, farm and domestic work, up to a statutory quota. Employers pay a levy; guest workers pay income tax, send part of their wages home and some settle after six years. In 1930-32 permits are not renewed, which exports part of the slump. Per-person figures count them.</x:t>
        </x:is>
      </x:c>
    </x:row>
    <x:row r="37" ht="30" customHeight="1">
      <x:c r="B37" s="3" t="inlineStr">
        <x:is>
          <x:t xml:space="preserve">CR-021</x:t>
        </x:is>
      </x:c>
      <x:c r="C37" s="26" t="inlineStr">
        <x:is>
          <x:t xml:space="preserve">The capital and the cables: the Pearl Harbor works (1875-85), the San Francisco-Oahu cable (1879) and inter-island cables, the Pali railway tunnel and Kaneohe Bay channel (1876-82), Thalassia's three building phases (1876-1927) in the local Thalassian style and the island premium for running the government from it. The cables and harbour works are Investment Events: they count toward development investment and raise later output. Further gold: Goldfield and Tonopah in Nevada, and concession gold from Korea (Unsan) and Kolyma, most of it sold to the Reserve Bank. The Polytechnic of Formosa (1906) trains Chinese engineers and officials. The Formosan fee becomes an affair of the Concord from 1929, Thalassia's lease premiums go to the Hawaiian crown, and Hawaiian-medium and community schools are funded. All are Events.</x:t>
        </x:is>
      </x:c>
    </x:row>
    <x:row r="38" ht="30" customHeight="1">
      <x:c r="B38" s="3" t="inlineStr">
        <x:is>
          <x:t xml:space="preserve">Not carried over</x:t>
        </x:is>
      </x:c>
      <x:c r="C38" s="26" t="inlineStr">
        <x:is>
          <x:t xml:space="preserve">Sol's bank-by-bank balance sheets, Siberian rail and shipping tonnage tests and foreign settlement deposits. The Siberian campaign keeps Sol's $808m cost and the permanent front keeps his $80m a year.</x:t>
        </x:is>
      </x:c>
    </x:row>
    <x:row r="40">
      <x:c r="B40" t="str">
        <x:v>CR-022: Japan's 1927 rescue</x:v>
      </x:c>
      <x:c r="C40" t="str">
        <x:v>Treasury cash retained, bank capital and yen liquidity separated, monthly FX tested after all liquid reserves, and syndicate matched to actual drawings.</x:v>
      </x:c>
    </x:row>
    <x:row r="41">
      <x:c r="B41" t="str">
        <x:v>Loan terms</x:v>
      </x:c>
      <x:c r="C41" t="str">
        <x:v>Fixed facility ceiling, 1/3 public and 2/3 private, monthly first-year interest, equal principal 1929-1933; private money reroutes the existing overseas budget.</x:v>
      </x:c>
    </x:row>
    <x:row r="42">
      <x:c r="B42" t="str">
        <x:v>FX and gold</x:v>
      </x:c>
      <x:c r="C42" t="str">
        <x:v>Japanese import buffer is distinct from Pacifica's gold-cover rule. Pacifica records bullion calls and remaining callable settlement balances separately.</x:v>
      </x:c>
    </x:row>
  </x:sheetData>
  <x:mergeCells>
    <x:mergeCell ref="C29:G29"/>
    <x:mergeCell ref="C21:G21"/>
    <x:mergeCell ref="C30:G30"/>
    <x:mergeCell ref="C34:G34"/>
    <x:mergeCell ref="C35:G35"/>
    <x:mergeCell ref="C32:G32"/>
    <x:mergeCell ref="C24:G24"/>
    <x:mergeCell ref="C38:G38"/>
    <x:mergeCell ref="C33:G33"/>
    <x:mergeCell ref="C25:G25"/>
    <x:mergeCell ref="C28:G28"/>
    <x:mergeCell ref="C27:G27"/>
    <x:mergeCell ref="C37:G37"/>
    <x:mergeCell ref="C36:G36"/>
    <x:mergeCell ref="C31:G31"/>
    <x:mergeCell ref="C23:G23"/>
    <x:mergeCell ref="C22:G22"/>
    <x:mergeCell ref="C26:G26"/>
  </x:mergeCells>
  <x:pageMargins left="0.7" right="0.7" top="0.75" bottom="0.75" header="0.3" footer="0.3"/>
</x:worksheet>
</file>

<file path=xl/worksheets/sheet3.xml><?xml version="1.0" encoding="utf-8"?>
<x:worksheet xmlns:x="http://schemas.openxmlformats.org/spreadsheetml/2006/main">
  <x:sheetPr>
    <x:tabColor rgb="FFC00000"/>
  </x:sheetPr>
  <x:sheetViews>
    <x:sheetView showGridLines="0" workbookViewId="0">
      <x:pane xSplit="2" ySplit="6" topLeftCell="C7" activePane="bottomRight" state="frozen"/>
    </x:sheetView>
  </x:sheetViews>
  <x:sheetFormatPr baseColWidth="8" defaultRowHeight="15"/>
  <x:cols>
    <x:col min="1" max="1" width="3" customWidth="1"/>
    <x:col min="2" max="2" width="46" customWidth="1"/>
    <x:col min="3" max="3" width="13" customWidth="1"/>
    <x:col min="4" max="4" width="13" customWidth="1"/>
    <x:col min="5" max="5" width="13" customWidth="1"/>
    <x:col min="6" max="6" width="13" customWidth="1"/>
    <x:col min="7" max="7" width="13" customWidth="1"/>
    <x:col min="8" max="8" width="30" customWidth="1"/>
    <x:col min="9" max="9" width="13" customWidth="1"/>
    <x:col min="10" max="10" width="13" customWidth="1"/>
    <x:col min="11" max="11" width="13" customWidth="1"/>
  </x:cols>
  <x:sheetData>
    <x:row r="1">
      <x:c r="A1" s="18" t="inlineStr">
        <x:is>
          <x:t xml:space="preserve">Story levers</x:t>
        </x:is>
      </x:c>
    </x:row>
    <x:row r="2">
      <x:c r="A2" s="2" t="inlineStr">
        <x:is>
          <x:t xml:space="preserve">Every scalar assumption in one place. Pick the case in E4; the Active column feeds the model.</x:t>
        </x:is>
      </x:c>
    </x:row>
    <x:row r="3">
      <x:c r="A3" s="19" t="inlineStr">
        <x:is>
          <x:t xml:space="preserve">Blue = input · yellow = the main levers · Status says whether the idea is canon; the amount is almost always a model estimate.</x:t>
        </x:is>
      </x:c>
    </x:row>
    <x:row r="4">
      <x:c r="B4" s="3" t="inlineStr">
        <x:is>
          <x:t xml:space="preserve">Case in use (1 = Story case, 2 = Stress case)</x:t>
        </x:is>
      </x:c>
      <x:c r="E4" s="27" t="n">
        <x:v>1</x:v>
      </x:c>
      <x:c r="F4" s="3" t="str">
        <x:f>IF(E4=1,"Story case","Stress case")</x:f>
        <x:v>Story case</x:v>
      </x:c>
    </x:row>
    <x:row r="6">
      <x:c r="B6" s="28" t="inlineStr">
        <x:is>
          <x:t xml:space="preserve">Lever</x:t>
        </x:is>
      </x:c>
      <x:c r="C6" s="28" t="inlineStr">
        <x:is>
          <x:t xml:space="preserve">Story case</x:t>
        </x:is>
      </x:c>
      <x:c r="D6" s="28" t="inlineStr">
        <x:is>
          <x:t xml:space="preserve">Stress case</x:t>
        </x:is>
      </x:c>
      <x:c r="E6" s="28" t="inlineStr">
        <x:is>
          <x:t xml:space="preserve">Active</x:t>
        </x:is>
      </x:c>
      <x:c r="F6" s="28" t="inlineStr">
        <x:is>
          <x:t xml:space="preserve">Unit</x:t>
        </x:is>
      </x:c>
      <x:c r="G6" s="28" t="inlineStr">
        <x:is>
          <x:t xml:space="preserve">Status</x:t>
        </x:is>
      </x:c>
      <x:c r="H6" s="28" t="inlineStr">
        <x:is>
          <x:t xml:space="preserve">Basis and notes</x:t>
        </x:is>
      </x:c>
    </x:row>
    <x:row r="7">
      <x:c r="B7" s="7" t="inlineStr">
        <x:is>
          <x:t xml:space="preserve">— Economy and people —</x:t>
        </x:is>
      </x:c>
      <x:c r="C7" s="8" t="n"/>
      <x:c r="D7" s="8" t="n"/>
      <x:c r="E7" s="8" t="n"/>
      <x:c r="F7" s="8" t="n"/>
      <x:c r="G7" s="8" t="n"/>
      <x:c r="H7" s="8" t="n"/>
    </x:row>
    <x:row r="8">
      <x:c r="B8" s="9" t="inlineStr">
        <x:is>
          <x:t xml:space="preserve">Residents of California in 1846</x:t>
        </x:is>
      </x:c>
      <x:c r="C8" s="29" t="n">
        <x:v>170000</x:v>
      </x:c>
      <x:c r="D8" s="29" t="n">
        <x:v>170000</x:v>
      </x:c>
      <x:c r="E8" s="30" t="n">
        <x:f>IF(case_sel=1,C8,D8)</x:f>
        <x:v>170000</x:v>
      </x:c>
      <x:c r="F8" s="9" t="inlineStr">
        <x:is>
          <x:t xml:space="preserve">persons</x:t>
        </x:is>
      </x:c>
      <x:c r="G8" s="9" t="inlineStr">
        <x:is>
          <x:t xml:space="preserve">Model estimate</x:t>
        </x:is>
      </x:c>
      <x:c r="H8" s="23" t="inlineStr">
        <x:is>
          <x:t xml:space="preserve">Californios, Indigenous communities and foreigners; old model used the same figure.</x:t>
        </x:is>
      </x:c>
    </x:row>
    <x:row r="9">
      <x:c r="B9" s="9" t="inlineStr">
        <x:is>
          <x:t xml:space="preserve">Real non-mining output per resident, 1846</x:t>
        </x:is>
      </x:c>
      <x:c r="C9" s="29" t="n">
        <x:v>150</x:v>
      </x:c>
      <x:c r="D9" s="29" t="n">
        <x:v>150</x:v>
      </x:c>
      <x:c r="E9" s="30" t="n">
        <x:f>IF(case_sel=1,C9,D9)</x:f>
        <x:v>150</x:v>
      </x:c>
      <x:c r="F9" s="9" t="inlineStr">
        <x:is>
          <x:t xml:space="preserve">1913 $</x:t>
        </x:is>
      </x:c>
      <x:c r="G9" s="9" t="inlineStr">
        <x:is>
          <x:t xml:space="preserve">Model estimate</x:t>
        </x:is>
      </x:c>
      <x:c r="H9" s="23" t="inlineStr">
        <x:is>
          <x:t xml:space="preserve">Pastoral Californio economy, a little above the US level of about $125 in 1913 dollars.</x:t>
        </x:is>
      </x:c>
    </x:row>
    <x:row r="10">
      <x:c r="B10" s="9" t="inlineStr">
        <x:is>
          <x:t xml:space="preserve">Productivity growth after 1895 (× story path)</x:t>
        </x:is>
      </x:c>
      <x:c r="C10" s="31" t="n">
        <x:v>1</x:v>
      </x:c>
      <x:c r="D10" s="31" t="n">
        <x:v>0.75</x:v>
      </x:c>
      <x:c r="E10" s="32" t="n">
        <x:f>IF(case_sel=1,C10,D10)</x:f>
        <x:v>1</x:v>
      </x:c>
      <x:c r="F10" s="9" t="inlineStr">
        <x:is>
          <x:t xml:space="preserve">×</x:t>
        </x:is>
      </x:c>
      <x:c r="G10" s="9" t="inlineStr">
        <x:is>
          <x:t xml:space="preserve">Model estimate</x:t>
        </x:is>
      </x:c>
      <x:c r="H10" s="23" t="inlineStr">
        <x:is>
          <x:t xml:space="preserve">Stress case cuts growth after 1895 by a quarter, like Sol's 25% lower-productivity case.</x:t>
        </x:is>
      </x:c>
    </x:row>
    <x:row r="11">
      <x:c r="B11" s="9" t="inlineStr">
        <x:is>
          <x:t xml:space="preserve">Immigration after 1895 (× story path)</x:t>
        </x:is>
      </x:c>
      <x:c r="C11" s="31" t="n">
        <x:v>1</x:v>
      </x:c>
      <x:c r="D11" s="31" t="n">
        <x:v>0.8</x:v>
      </x:c>
      <x:c r="E11" s="32" t="n">
        <x:f>IF(case_sel=1,C11,D11)</x:f>
        <x:v>1</x:v>
      </x:c>
      <x:c r="F11" s="9" t="inlineStr">
        <x:is>
          <x:t xml:space="preserve">×</x:t>
        </x:is>
      </x:c>
      <x:c r="G11" s="9" t="inlineStr">
        <x:is>
          <x:t xml:space="preserve">Model estimate</x:t>
        </x:is>
      </x:c>
      <x:c r="H11" s="23" t="inlineStr">
        <x:is>
          <x:t xml:space="preserve">Selective-entry era. Stress case admits a fifth fewer people.</x:t>
        </x:is>
      </x:c>
    </x:row>
    <x:row r="12">
      <x:c r="B12" s="9" t="inlineStr">
        <x:is>
          <x:t xml:space="preserve">Depression severity 1930-32 (× story slump)</x:t>
        </x:is>
      </x:c>
      <x:c r="C12" s="31" t="n">
        <x:v>1</x:v>
      </x:c>
      <x:c r="D12" s="31" t="n">
        <x:v>1.6</x:v>
      </x:c>
      <x:c r="E12" s="32" t="n">
        <x:f>IF(case_sel=1,C12,D12)</x:f>
        <x:v>1</x:v>
      </x:c>
      <x:c r="F12" s="9" t="inlineStr">
        <x:is>
          <x:t xml:space="preserve">×</x:t>
        </x:is>
      </x:c>
      <x:c r="G12" s="9" t="inlineStr">
        <x:is>
          <x:t xml:space="preserve">Model estimate</x:t>
        </x:is>
      </x:c>
      <x:c r="H12" s="23" t="inlineStr">
        <x:is>
          <x:t xml:space="preserve">Stress case: the 1932 slump is 22% below trend instead of 14%.</x:t>
        </x:is>
      </x:c>
    </x:row>
    <x:row r="13">
      <x:c r="B13" s="9" t="inlineStr">
        <x:is>
          <x:t xml:space="preserve">Return migration, Asian streams</x:t>
        </x:is>
      </x:c>
      <x:c r="C13" s="33" t="n">
        <x:v>0.28</x:v>
      </x:c>
      <x:c r="D13" s="33" t="n">
        <x:v>0.28</x:v>
      </x:c>
      <x:c r="E13" s="34" t="n">
        <x:f>IF(case_sel=1,C13,D13)</x:f>
        <x:v>0.28</x:v>
      </x:c>
      <x:c r="F13" s="9" t="inlineStr">
        <x:is>
          <x:t xml:space="preserve">share</x:t>
        </x:is>
      </x:c>
      <x:c r="G13" s="9" t="inlineStr">
        <x:is>
          <x:t xml:space="preserve">Model estimate</x:t>
        </x:is>
      </x:c>
      <x:c r="H13" s="23" t="inlineStr">
        <x:is>
          <x:t xml:space="preserve">Share of Chinese, Japanese and Filipino arrivals who later leave. Family migration keeps it lower than the historical 40-50%.</x:t>
        </x:is>
      </x:c>
    </x:row>
    <x:row r="14">
      <x:c r="B14" s="9" t="inlineStr">
        <x:is>
          <x:t xml:space="preserve">Assisted passage and reception per person</x:t>
        </x:is>
      </x:c>
      <x:c r="C14" s="29" t="n">
        <x:v>60</x:v>
      </x:c>
      <x:c r="D14" s="29" t="n">
        <x:v>60</x:v>
      </x:c>
      <x:c r="E14" s="30" t="n">
        <x:f>IF(case_sel=1,C14,D14)</x:f>
        <x:v>60</x:v>
      </x:c>
      <x:c r="F14" s="9" t="inlineStr">
        <x:is>
          <x:t xml:space="preserve">1913 $</x:t>
        </x:is>
      </x:c>
      <x:c r="G14" s="9" t="inlineStr">
        <x:is>
          <x:t xml:space="preserve">Model estimate</x:t>
        </x:is>
      </x:c>
      <x:c r="H14" s="23" t="inlineStr">
        <x:is>
          <x:t xml:space="preserve">Kaiulani's programme: fare, reception and training. Old model: $75 + $12 in 1860 dollars.</x:t>
        </x:is>
      </x:c>
    </x:row>
    <x:row r="15">
      <x:c r="B15" s="9" t="inlineStr">
        <x:is>
          <x:t xml:space="preserve">Mining value added / gross output</x:t>
        </x:is>
      </x:c>
      <x:c r="C15" s="33" t="n">
        <x:v>0.7</x:v>
      </x:c>
      <x:c r="D15" s="33" t="n">
        <x:v>0.7</x:v>
      </x:c>
      <x:c r="E15" s="34" t="n">
        <x:f>IF(case_sel=1,C15,D15)</x:f>
        <x:v>0.7</x:v>
      </x:c>
      <x:c r="F15" s="9" t="inlineStr">
        <x:is>
          <x:t xml:space="preserve">share</x:t>
        </x:is>
      </x:c>
      <x:c r="G15" s="9" t="inlineStr">
        <x:is>
          <x:t xml:space="preserve">Model estimate</x:t>
        </x:is>
      </x:c>
      <x:c r="H15" s="23" t="inlineStr">
        <x:is>
          <x:t xml:space="preserve">Old model used 0.8.</x:t>
        </x:is>
      </x:c>
    </x:row>
    <x:row r="16">
      <x:c r="B16" s="7" t="inlineStr">
        <x:is>
          <x:t xml:space="preserve">— Revenue —</x:t>
        </x:is>
      </x:c>
      <x:c r="C16" s="8" t="n"/>
      <x:c r="D16" s="8" t="n"/>
      <x:c r="E16" s="8" t="n"/>
      <x:c r="F16" s="8" t="n"/>
      <x:c r="G16" s="8" t="n"/>
      <x:c r="H16" s="8" t="n"/>
    </x:row>
    <x:row r="17">
      <x:c r="B17" s="9" t="inlineStr">
        <x:is>
          <x:t xml:space="preserve">Customs collection</x:t>
        </x:is>
      </x:c>
      <x:c r="C17" s="33" t="n">
        <x:v>0.9</x:v>
      </x:c>
      <x:c r="D17" s="33" t="n">
        <x:v>0.9</x:v>
      </x:c>
      <x:c r="E17" s="34" t="n">
        <x:f>IF(case_sel=1,C17,D17)</x:f>
        <x:v>0.9</x:v>
      </x:c>
      <x:c r="F17" s="9" t="inlineStr">
        <x:is>
          <x:t xml:space="preserve">share</x:t>
        </x:is>
      </x:c>
      <x:c r="G17" s="9" t="inlineStr">
        <x:is>
          <x:t xml:space="preserve">Model estimate</x:t>
        </x:is>
      </x:c>
      <x:c r="H17" s="23" t="inlineStr">
        <x:is>
          <x:t xml:space="preserve">Old model value.</x:t>
        </x:is>
      </x:c>
    </x:row>
    <x:row r="18">
      <x:c r="B18" s="9" t="inlineStr">
        <x:is>
          <x:t xml:space="preserve">Royalty on gold, silver and copper</x:t>
        </x:is>
      </x:c>
      <x:c r="C18" s="33" t="n">
        <x:v>0.05</x:v>
      </x:c>
      <x:c r="D18" s="33" t="n">
        <x:v>0.05</x:v>
      </x:c>
      <x:c r="E18" s="34" t="n">
        <x:f>IF(case_sel=1,C18,D18)</x:f>
        <x:v>0.05</x:v>
      </x:c>
      <x:c r="F18" s="9" t="inlineStr">
        <x:is>
          <x:t xml:space="preserve">share</x:t>
        </x:is>
      </x:c>
      <x:c r="G18" s="9" t="inlineStr">
        <x:is>
          <x:t xml:space="preserve">Canon</x:t>
        </x:is>
      </x:c>
      <x:c r="H18" s="23" t="inlineStr">
        <x:is>
          <x:t xml:space="preserve">Mining Law of 1849: 5% public royalty at the mint and choke points (§5). Applied to all metals here.</x:t>
        </x:is>
      </x:c>
    </x:row>
    <x:row r="19">
      <x:c r="B19" s="9" t="inlineStr">
        <x:is>
          <x:t xml:space="preserve">State royalty on oil</x:t>
        </x:is>
      </x:c>
      <x:c r="C19" s="33" t="n">
        <x:v>0.125</x:v>
      </x:c>
      <x:c r="D19" s="33" t="n">
        <x:v>0.125</x:v>
      </x:c>
      <x:c r="E19" s="34" t="n">
        <x:f>IF(case_sel=1,C19,D19)</x:f>
        <x:v>0.125</x:v>
      </x:c>
      <x:c r="F19" s="9" t="inlineStr">
        <x:is>
          <x:t xml:space="preserve">share</x:t>
        </x:is>
      </x:c>
      <x:c r="G19" s="9" t="inlineStr">
        <x:is>
          <x:t xml:space="preserve">Model estimate</x:t>
        </x:is>
      </x:c>
      <x:c r="H19" s="23" t="inlineStr">
        <x:is>
          <x:t xml:space="preserve">The state survey found the fields (approved oil programme), so the state keeps a landowner's 1/8 royalty.</x:t>
        </x:is>
      </x:c>
    </x:row>
    <x:row r="20">
      <x:c r="B20" s="9" t="inlineStr">
        <x:is>
          <x:t xml:space="preserve">State ownership of the Panama canal</x:t>
        </x:is>
      </x:c>
      <x:c r="C20" s="33" t="n">
        <x:v>1</x:v>
      </x:c>
      <x:c r="D20" s="33" t="n">
        <x:v>1</x:v>
      </x:c>
      <x:c r="E20" s="34" t="n">
        <x:f>IF(case_sel=1,C20,D20)</x:f>
        <x:v>1</x:v>
      </x:c>
      <x:c r="F20" s="9" t="inlineStr">
        <x:is>
          <x:t xml:space="preserve">share</x:t>
        </x:is>
      </x:c>
      <x:c r="G20" s="9" t="inlineStr">
        <x:is>
          <x:t xml:space="preserve">Model estimate</x:t>
        </x:is>
      </x:c>
      <x:c r="H20" s="23" t="inlineStr">
        <x:is>
          <x:t xml:space="preserve">Canon: the regency buys the French works in 1889 and completes the canal. Old model assumed 20% public.</x:t>
        </x:is>
      </x:c>
    </x:row>
    <x:row r="21">
      <x:c r="B21" s="9" t="inlineStr">
        <x:is>
          <x:t xml:space="preserve">Canal operating cost / tolls</x:t>
        </x:is>
      </x:c>
      <x:c r="C21" s="33" t="n">
        <x:v>0.4</x:v>
      </x:c>
      <x:c r="D21" s="33" t="n">
        <x:v>0.4</x:v>
      </x:c>
      <x:c r="E21" s="34" t="n">
        <x:f>IF(case_sel=1,C21,D21)</x:f>
        <x:v>0.4</x:v>
      </x:c>
      <x:c r="F21" s="9" t="inlineStr">
        <x:is>
          <x:t xml:space="preserve">share</x:t>
        </x:is>
      </x:c>
      <x:c r="G21" s="9" t="inlineStr">
        <x:is>
          <x:t xml:space="preserve">Model estimate</x:t>
        </x:is>
      </x:c>
      <x:c r="H21" s="23" t="inlineStr">
        <x:is>
          <x:t xml:space="preserve">Historical Panama: about $10m costs on $25-27m tolls in the late 1920s.</x:t>
        </x:is>
      </x:c>
    </x:row>
    <x:row r="22">
      <x:c r="B22" s="9" t="inlineStr">
        <x:is>
          <x:t xml:space="preserve">Yield on the Treasury Reserve Fund</x:t>
        </x:is>
      </x:c>
      <x:c r="C22" s="33" t="n">
        <x:v>0.04</x:v>
      </x:c>
      <x:c r="D22" s="33" t="n">
        <x:v>0.04</x:v>
      </x:c>
      <x:c r="E22" s="34" t="n">
        <x:f>IF(case_sel=1,C22,D22)</x:f>
        <x:v>0.04</x:v>
      </x:c>
      <x:c r="F22" s="9" t="inlineStr">
        <x:is>
          <x:t xml:space="preserve">share</x:t>
        </x:is>
      </x:c>
      <x:c r="G22" s="9" t="inlineStr">
        <x:is>
          <x:t xml:space="preserve">Model estimate</x:t>
        </x:is>
      </x:c>
      <x:c r="H22" s="23" t="inlineStr">
        <x:is>
          <x:t xml:space="preserve">Fund holds gold-dollar bonds of partners and the Union.</x:t>
        </x:is>
      </x:c>
    </x:row>
    <x:row r="23">
      <x:c r="B23" s="7" t="inlineStr">
        <x:is>
          <x:t xml:space="preserve">— Spending —</x:t>
        </x:is>
      </x:c>
      <x:c r="C23" s="8" t="n"/>
      <x:c r="D23" s="8" t="n"/>
      <x:c r="E23" s="8" t="n"/>
      <x:c r="F23" s="8" t="n"/>
      <x:c r="G23" s="8" t="n"/>
      <x:c r="H23" s="8" t="n"/>
    </x:row>
    <x:row r="24">
      <x:c r="B24" s="9" t="inlineStr">
        <x:is>
          <x:t xml:space="preserve">Cost per active soldier</x:t>
        </x:is>
      </x:c>
      <x:c r="C24" s="29" t="n">
        <x:v>700</x:v>
      </x:c>
      <x:c r="D24" s="29" t="n">
        <x:v>700</x:v>
      </x:c>
      <x:c r="E24" s="30" t="n">
        <x:f>IF(case_sel=1,C24,D24)</x:f>
        <x:v>700</x:v>
      </x:c>
      <x:c r="F24" s="9" t="inlineStr">
        <x:is>
          <x:t xml:space="preserve">1913 $</x:t>
        </x:is>
      </x:c>
      <x:c r="G24" s="9" t="inlineStr">
        <x:is>
          <x:t xml:space="preserve">Model estimate</x:t>
        </x:is>
      </x:c>
      <x:c r="H24" s="23" t="inlineStr">
        <x:is>
          <x:t xml:space="preserve">Pay, food, equipment. US Army 1913 ran about $1,100 per soldier; conscript army is cheaper.</x:t>
        </x:is>
      </x:c>
    </x:row>
    <x:row r="25">
      <x:c r="B25" s="9" t="inlineStr">
        <x:is>
          <x:t xml:space="preserve">Training cost per reservist</x:t>
        </x:is>
      </x:c>
      <x:c r="C25" s="29" t="n">
        <x:v>15</x:v>
      </x:c>
      <x:c r="D25" s="29" t="n">
        <x:v>15</x:v>
      </x:c>
      <x:c r="E25" s="30" t="n">
        <x:f>IF(case_sel=1,C25,D25)</x:f>
        <x:v>15</x:v>
      </x:c>
      <x:c r="F25" s="9" t="inlineStr">
        <x:is>
          <x:t xml:space="preserve">1913 $</x:t>
        </x:is>
      </x:c>
      <x:c r="G25" s="9" t="inlineStr">
        <x:is>
          <x:t xml:space="preserve">Model estimate</x:t>
        </x:is>
      </x:c>
      <x:c r="H25" s="23" t="inlineStr">
        <x:is>
          <x:t xml:space="preserve">Defense Law of 1855 reserve liability (§8).</x:t>
        </x:is>
      </x:c>
    </x:row>
    <x:row r="26">
      <x:c r="B26" s="9" t="inlineStr">
        <x:is>
          <x:t xml:space="preserve">Cost per sailor</x:t>
        </x:is>
      </x:c>
      <x:c r="C26" s="29" t="n">
        <x:v>900</x:v>
      </x:c>
      <x:c r="D26" s="29" t="n">
        <x:v>900</x:v>
      </x:c>
      <x:c r="E26" s="30" t="n">
        <x:f>IF(case_sel=1,C26,D26)</x:f>
        <x:v>900</x:v>
      </x:c>
      <x:c r="F26" s="9" t="inlineStr">
        <x:is>
          <x:t xml:space="preserve">1913 $</x:t>
        </x:is>
      </x:c>
      <x:c r="G26" s="9" t="inlineStr">
        <x:is>
          <x:t xml:space="preserve">Model estimate</x:t>
        </x:is>
      </x:c>
      <x:c r="H26" s="23" t="inlineStr">
        <x:is>
          <x:t xml:space="preserve">Pay and keep, at Pacifican wage levels.</x:t>
        </x:is>
      </x:c>
    </x:row>
    <x:row r="27">
      <x:c r="B27" s="9" t="inlineStr">
        <x:is>
          <x:t xml:space="preserve">Ship maintenance / replacement cost</x:t>
        </x:is>
      </x:c>
      <x:c r="C27" s="33" t="n">
        <x:v>0.05</x:v>
      </x:c>
      <x:c r="D27" s="33" t="n">
        <x:v>0.05</x:v>
      </x:c>
      <x:c r="E27" s="34" t="n">
        <x:f>IF(case_sel=1,C27,D27)</x:f>
        <x:v>0.05</x:v>
      </x:c>
      <x:c r="F27" s="9" t="inlineStr">
        <x:is>
          <x:t xml:space="preserve">share</x:t>
        </x:is>
      </x:c>
      <x:c r="G27" s="9" t="inlineStr">
        <x:is>
          <x:t xml:space="preserve">Model estimate</x:t>
        </x:is>
      </x:c>
      <x:c r="H27" s="23" t="inlineStr">
        <x:is>
          <x:t xml:space="preserve"/>
        </x:is>
      </x:c>
    </x:row>
    <x:row r="28">
      <x:c r="B28" s="9" t="inlineStr">
        <x:is>
          <x:t xml:space="preserve">Bases, yards, training / running costs</x:t>
        </x:is>
      </x:c>
      <x:c r="C28" s="33" t="n">
        <x:v>0.15</x:v>
      </x:c>
      <x:c r="D28" s="33" t="n">
        <x:v>0.15</x:v>
      </x:c>
      <x:c r="E28" s="34" t="n">
        <x:f>IF(case_sel=1,C28,D28)</x:f>
        <x:v>0.15</x:v>
      </x:c>
      <x:c r="F28" s="9" t="inlineStr">
        <x:is>
          <x:t xml:space="preserve">share</x:t>
        </x:is>
      </x:c>
      <x:c r="G28" s="9" t="inlineStr">
        <x:is>
          <x:t xml:space="preserve">Model estimate</x:t>
        </x:is>
      </x:c>
      <x:c r="H28" s="23" t="inlineStr">
        <x:is>
          <x:t xml:space="preserve"/>
        </x:is>
      </x:c>
    </x:row>
    <x:row r="29">
      <x:c r="B29" s="9" t="inlineStr">
        <x:is>
          <x:t xml:space="preserve">Crew of an oil-fired ship vs coal-fired</x:t>
        </x:is>
      </x:c>
      <x:c r="C29" s="35" t="n">
        <x:v>0.78</x:v>
      </x:c>
      <x:c r="D29" s="35" t="n">
        <x:v>0.78</x:v>
      </x:c>
      <x:c r="E29" s="32" t="n">
        <x:f>IF(case_sel=1,C29,D29)</x:f>
        <x:v>0.78</x:v>
      </x:c>
      <x:c r="F29" s="9" t="inlineStr">
        <x:is>
          <x:t xml:space="preserve">×</x:t>
        </x:is>
      </x:c>
      <x:c r="G29" s="9" t="inlineStr">
        <x:is>
          <x:t xml:space="preserve">Model estimate</x:t>
        </x:is>
      </x:c>
      <x:c r="H29" s="23" t="inlineStr">
        <x:is>
          <x:t xml:space="preserve">Oil removes most stokers and coal trimmers, about a fifth of a coal ship's crew.</x:t>
        </x:is>
      </x:c>
    </x:row>
    <x:row r="30">
      <x:c r="B30" s="9" t="inlineStr">
        <x:is>
          <x:t xml:space="preserve">Fuel cost of own oil vs bought coal</x:t>
        </x:is>
      </x:c>
      <x:c r="C30" s="35" t="n">
        <x:v>0.7</x:v>
      </x:c>
      <x:c r="D30" s="35" t="n">
        <x:v>0.7</x:v>
      </x:c>
      <x:c r="E30" s="32" t="n">
        <x:f>IF(case_sel=1,C30,D30)</x:f>
        <x:v>0.7</x:v>
      </x:c>
      <x:c r="F30" s="9" t="inlineStr">
        <x:is>
          <x:t xml:space="preserve">×</x:t>
        </x:is>
      </x:c>
      <x:c r="G30" s="9" t="inlineStr">
        <x:is>
          <x:t xml:space="preserve">Model estimate</x:t>
        </x:is>
      </x:c>
      <x:c r="H30" s="23" t="inlineStr">
        <x:is>
          <x:t xml:space="preserve">Domestic oil, no colliers or foreign coaling stations.</x:t>
        </x:is>
      </x:c>
    </x:row>
    <x:row r="31">
      <x:c r="B31" s="9" t="inlineStr">
        <x:is>
          <x:t xml:space="preserve">Pacifica's share of common costs from 1927</x:t>
        </x:is>
      </x:c>
      <x:c r="C31" s="33" t="n">
        <x:v>0.65</x:v>
      </x:c>
      <x:c r="D31" s="33" t="n">
        <x:v>0.65</x:v>
      </x:c>
      <x:c r="E31" s="34" t="n">
        <x:f>IF(case_sel=1,C31,D31)</x:f>
        <x:v>0.65</x:v>
      </x:c>
      <x:c r="F31" s="9" t="inlineStr">
        <x:is>
          <x:t xml:space="preserve">share</x:t>
        </x:is>
      </x:c>
      <x:c r="G31" s="9" t="inlineStr">
        <x:is>
          <x:t xml:space="preserve">Proposed</x:t>
        </x:is>
      </x:c>
      <x:c r="H31" s="23" t="inlineStr">
        <x:is>
          <x:t xml:space="preserve">Old model working convention (OPEN FIN-13). Japan pays the rest.</x:t>
        </x:is>
      </x:c>
    </x:row>
    <x:row r="32">
      <x:c r="B32" s="7" t="inlineStr">
        <x:is>
          <x:t xml:space="preserve">— Financing —</x:t>
        </x:is>
      </x:c>
      <x:c r="C32" s="8" t="n"/>
      <x:c r="D32" s="8" t="n"/>
      <x:c r="E32" s="8" t="n"/>
      <x:c r="F32" s="8" t="n"/>
      <x:c r="G32" s="8" t="n"/>
      <x:c r="H32" s="8" t="n"/>
    </x:row>
    <x:row r="33">
      <x:c r="B33" s="9" t="inlineStr">
        <x:is>
          <x:t xml:space="preserve">Treasury cash at the 1846 founding</x:t>
        </x:is>
      </x:c>
      <x:c r="C33" s="29" t="n">
        <x:v>0.05</x:v>
      </x:c>
      <x:c r="D33" s="29" t="n">
        <x:v>0.05</x:v>
      </x:c>
      <x:c r="E33" s="30" t="n">
        <x:f>IF(case_sel=1,C33,D33)</x:f>
        <x:v>0.05</x:v>
      </x:c>
      <x:c r="F33" s="9" t="inlineStr">
        <x:is>
          <x:t xml:space="preserve">$m</x:t>
        </x:is>
      </x:c>
      <x:c r="G33" s="9" t="inlineStr">
        <x:is>
          <x:t xml:space="preserve">Model estimate</x:t>
        </x:is>
      </x:c>
      <x:c r="H33" s="23" t="inlineStr">
        <x:is>
          <x:t xml:space="preserve">Old model value.</x:t>
        </x:is>
      </x:c>
    </x:row>
    <x:row r="34">
      <x:c r="B34" s="9" t="inlineStr">
        <x:is>
          <x:t xml:space="preserve">Cash kept / annual receipts</x:t>
        </x:is>
      </x:c>
      <x:c r="C34" s="33" t="n">
        <x:v>0.25</x:v>
      </x:c>
      <x:c r="D34" s="33" t="n">
        <x:v>0.25</x:v>
      </x:c>
      <x:c r="E34" s="34" t="n">
        <x:f>IF(case_sel=1,C34,D34)</x:f>
        <x:v>0.25</x:v>
      </x:c>
      <x:c r="F34" s="9" t="inlineStr">
        <x:is>
          <x:t xml:space="preserve">share</x:t>
        </x:is>
      </x:c>
      <x:c r="G34" s="9" t="inlineStr">
        <x:is>
          <x:t xml:space="preserve">Model estimate</x:t>
        </x:is>
      </x:c>
      <x:c r="H34" s="23" t="inlineStr">
        <x:is>
          <x:t xml:space="preserve">Old model value.</x:t>
        </x:is>
      </x:c>
    </x:row>
    <x:row r="35">
      <x:c r="B35" s="9" t="inlineStr">
        <x:is>
          <x:t xml:space="preserve">Bond issue price / face</x:t>
        </x:is>
      </x:c>
      <x:c r="C35" s="33" t="n">
        <x:v>0.97</x:v>
      </x:c>
      <x:c r="D35" s="33" t="n">
        <x:v>0.97</x:v>
      </x:c>
      <x:c r="E35" s="34" t="n">
        <x:f>IF(case_sel=1,C35,D35)</x:f>
        <x:v>0.97</x:v>
      </x:c>
      <x:c r="F35" s="9" t="inlineStr">
        <x:is>
          <x:t xml:space="preserve">share</x:t>
        </x:is>
      </x:c>
      <x:c r="G35" s="9" t="inlineStr">
        <x:is>
          <x:t xml:space="preserve">Model estimate</x:t>
        </x:is>
      </x:c>
      <x:c r="H35" s="23" t="inlineStr">
        <x:is>
          <x:t xml:space="preserve"/>
        </x:is>
      </x:c>
    </x:row>
    <x:row r="36">
      <x:c r="B36" s="9" t="inlineStr">
        <x:is>
          <x:t xml:space="preserve">Scheduled debt repayment per year</x:t>
        </x:is>
      </x:c>
      <x:c r="C36" s="33" t="n">
        <x:v>0.02</x:v>
      </x:c>
      <x:c r="D36" s="33" t="n">
        <x:v>0.02</x:v>
      </x:c>
      <x:c r="E36" s="34" t="n">
        <x:f>IF(case_sel=1,C36,D36)</x:f>
        <x:v>0.02</x:v>
      </x:c>
      <x:c r="F36" s="9" t="inlineStr">
        <x:is>
          <x:t xml:space="preserve">share</x:t>
        </x:is>
      </x:c>
      <x:c r="G36" s="9" t="inlineStr">
        <x:is>
          <x:t xml:space="preserve">Model estimate</x:t>
        </x:is>
      </x:c>
      <x:c r="H36" s="23" t="inlineStr">
        <x:is>
          <x:t xml:space="preserve"/>
        </x:is>
      </x:c>
    </x:row>
    <x:row r="37">
      <x:c r="B37" s="9" t="inlineStr">
        <x:is>
          <x:t xml:space="preserve">Share of surplus used to repay debt</x:t>
        </x:is>
      </x:c>
      <x:c r="C37" s="33" t="n">
        <x:v>0.8</x:v>
      </x:c>
      <x:c r="D37" s="33" t="n">
        <x:v>0.8</x:v>
      </x:c>
      <x:c r="E37" s="34" t="n">
        <x:f>IF(case_sel=1,C37,D37)</x:f>
        <x:v>0.8</x:v>
      </x:c>
      <x:c r="F37" s="9" t="inlineStr">
        <x:is>
          <x:t xml:space="preserve">share</x:t>
        </x:is>
      </x:c>
      <x:c r="G37" s="9" t="inlineStr">
        <x:is>
          <x:t xml:space="preserve">Model estimate</x:t>
        </x:is>
      </x:c>
      <x:c r="H37" s="23" t="inlineStr">
        <x:is>
          <x:t xml:space="preserve">The rest of a surplus goes to the Treasury Reserve Fund.</x:t>
        </x:is>
      </x:c>
    </x:row>
    <x:row r="38">
      <x:c r="B38" s="9" t="inlineStr">
        <x:is>
          <x:t xml:space="preserve">Most new bonds the home market can take / GDP</x:t>
        </x:is>
      </x:c>
      <x:c r="C38" s="33" t="n">
        <x:v>0.06</x:v>
      </x:c>
      <x:c r="D38" s="33" t="n">
        <x:v>0.06</x:v>
      </x:c>
      <x:c r="E38" s="34" t="n">
        <x:f>IF(case_sel=1,C38,D38)</x:f>
        <x:v>0.06</x:v>
      </x:c>
      <x:c r="F38" s="9" t="inlineStr">
        <x:is>
          <x:t xml:space="preserve">share</x:t>
        </x:is>
      </x:c>
      <x:c r="G38" s="9" t="inlineStr">
        <x:is>
          <x:t xml:space="preserve">Model estimate</x:t>
        </x:is>
      </x:c>
      <x:c r="H38" s="23" t="inlineStr">
        <x:is>
          <x:t xml:space="preserve">Old model's market cash commitment limit. Used only in Checks.</x:t>
        </x:is>
      </x:c>
    </x:row>
    <x:row r="39">
      <x:c r="B39" s="9" t="inlineStr">
        <x:is>
          <x:t xml:space="preserve">Bonds London and other markets will take per year</x:t>
        </x:is>
      </x:c>
      <x:c r="C39" s="29" t="n">
        <x:v>10</x:v>
      </x:c>
      <x:c r="D39" s="29" t="n">
        <x:v>10</x:v>
      </x:c>
      <x:c r="E39" s="30" t="n">
        <x:f>IF(case_sel=1,C39,D39)</x:f>
        <x:v>10</x:v>
      </x:c>
      <x:c r="F39" s="9" t="inlineStr">
        <x:is>
          <x:t xml:space="preserve">$m</x:t>
        </x:is>
      </x:c>
      <x:c r="G39" s="9" t="inlineStr">
        <x:is>
          <x:t xml:space="preserve">Model estimate</x:t>
        </x:is>
      </x:c>
      <x:c r="H39" s="23" t="inlineStr">
        <x:is>
          <x:t xml:space="preserve">Early Pacifica depends on foreign credit (§8-9). Used only in Checks.</x:t>
        </x:is>
      </x:c>
    </x:row>
    <x:row r="40">
      <x:c r="B40" s="7" t="inlineStr">
        <x:is>
          <x:t xml:space="preserve">— Foreign lending —</x:t>
        </x:is>
      </x:c>
      <x:c r="C40" s="8" t="n"/>
      <x:c r="D40" s="8" t="n"/>
      <x:c r="E40" s="8" t="n"/>
      <x:c r="F40" s="8" t="n"/>
      <x:c r="G40" s="8" t="n"/>
      <x:c r="H40" s="8" t="n"/>
    </x:row>
    <x:row r="41">
      <x:c r="B41" s="9" t="inlineStr">
        <x:is>
          <x:t xml:space="preserve">Coupon: continental loans (Union, Confederacy, Cuba)</x:t>
        </x:is>
      </x:c>
      <x:c r="C41" s="33" t="n">
        <x:v>0.05</x:v>
      </x:c>
      <x:c r="D41" s="33" t="n">
        <x:v>0.05</x:v>
      </x:c>
      <x:c r="E41" s="34" t="n">
        <x:f>IF(case_sel=1,C41,D41)</x:f>
        <x:v>0.05</x:v>
      </x:c>
      <x:c r="F41" s="9" t="inlineStr">
        <x:is>
          <x:t xml:space="preserve">share</x:t>
        </x:is>
      </x:c>
      <x:c r="G41" s="9" t="inlineStr">
        <x:is>
          <x:t xml:space="preserve">Model estimate</x:t>
        </x:is>
      </x:c>
      <x:c r="H41" s="23" t="inlineStr">
        <x:is>
          <x:t xml:space="preserve"/>
        </x:is>
      </x:c>
    </x:row>
    <x:row r="42">
      <x:c r="B42" s="9" t="inlineStr">
        <x:is>
          <x:t xml:space="preserve">Repayment: continental loans</x:t>
        </x:is>
      </x:c>
      <x:c r="C42" s="33" t="n">
        <x:v>0.04</x:v>
      </x:c>
      <x:c r="D42" s="33" t="n">
        <x:v>0.04</x:v>
      </x:c>
      <x:c r="E42" s="34" t="n">
        <x:f>IF(case_sel=1,C42,D42)</x:f>
        <x:v>0.04</x:v>
      </x:c>
      <x:c r="F42" s="9" t="inlineStr">
        <x:is>
          <x:t xml:space="preserve">share</x:t>
        </x:is>
      </x:c>
      <x:c r="G42" s="9" t="inlineStr">
        <x:is>
          <x:t xml:space="preserve">Model estimate</x:t>
        </x:is>
      </x:c>
      <x:c r="H42" s="23" t="inlineStr">
        <x:is>
          <x:t xml:space="preserve"/>
        </x:is>
      </x:c>
    </x:row>
    <x:row r="43">
      <x:c r="B43" s="9" t="inlineStr">
        <x:is>
          <x:t xml:space="preserve">Coupon: Asian partner loans</x:t>
        </x:is>
      </x:c>
      <x:c r="C43" s="33" t="n">
        <x:v>0.055</x:v>
      </x:c>
      <x:c r="D43" s="33" t="n">
        <x:v>0.055</x:v>
      </x:c>
      <x:c r="E43" s="34" t="n">
        <x:f>IF(case_sel=1,C43,D43)</x:f>
        <x:v>0.055</x:v>
      </x:c>
      <x:c r="F43" s="9" t="inlineStr">
        <x:is>
          <x:t xml:space="preserve">share</x:t>
        </x:is>
      </x:c>
      <x:c r="G43" s="9" t="inlineStr">
        <x:is>
          <x:t xml:space="preserve">Model estimate</x:t>
        </x:is>
      </x:c>
      <x:c r="H43" s="23" t="inlineStr">
        <x:is>
          <x:t xml:space="preserve"/>
        </x:is>
      </x:c>
    </x:row>
    <x:row r="44">
      <x:c r="B44" s="9" t="inlineStr">
        <x:is>
          <x:t xml:space="preserve">Repayment: Asian partner loans</x:t>
        </x:is>
      </x:c>
      <x:c r="C44" s="33" t="n">
        <x:v>0.04</x:v>
      </x:c>
      <x:c r="D44" s="33" t="n">
        <x:v>0.04</x:v>
      </x:c>
      <x:c r="E44" s="34" t="n">
        <x:f>IF(case_sel=1,C44,D44)</x:f>
        <x:v>0.04</x:v>
      </x:c>
      <x:c r="F44" s="9" t="inlineStr">
        <x:is>
          <x:t xml:space="preserve">share</x:t>
        </x:is>
      </x:c>
      <x:c r="G44" s="9" t="inlineStr">
        <x:is>
          <x:t xml:space="preserve">Model estimate</x:t>
        </x:is>
      </x:c>
      <x:c r="H44" s="23" t="inlineStr">
        <x:is>
          <x:t xml:space="preserve"/>
        </x:is>
      </x:c>
    </x:row>
    <x:row r="45">
      <x:c r="B45" s="9" t="inlineStr">
        <x:is>
          <x:t xml:space="preserve">Coupon: 1931-32 rescue loans</x:t>
        </x:is>
      </x:c>
      <x:c r="C45" s="33" t="n">
        <x:v>0.04</x:v>
      </x:c>
      <x:c r="D45" s="33" t="n">
        <x:v>0.04</x:v>
      </x:c>
      <x:c r="E45" s="34" t="n">
        <x:f>IF(case_sel=1,C45,D45)</x:f>
        <x:v>0.04</x:v>
      </x:c>
      <x:c r="F45" s="9" t="inlineStr">
        <x:is>
          <x:t xml:space="preserve">share</x:t>
        </x:is>
      </x:c>
      <x:c r="G45" s="9" t="inlineStr">
        <x:is>
          <x:t xml:space="preserve">Model estimate</x:t>
        </x:is>
      </x:c>
      <x:c r="H45" s="23" t="inlineStr">
        <x:is>
          <x:t xml:space="preserve">Repayment starts after 1932.</x:t>
        </x:is>
      </x:c>
    </x:row>
    <x:row r="46">
      <x:c r="B46" s="9" t="inlineStr">
        <x:is>
          <x:t xml:space="preserve">Entente credit organized 1914-18</x:t>
        </x:is>
      </x:c>
      <x:c r="C46" s="36" t="n">
        <x:v>8500</x:v>
      </x:c>
      <x:c r="D46" s="36" t="n">
        <x:v>8500</x:v>
      </x:c>
      <x:c r="E46" s="30" t="n">
        <x:f>IF(case_sel=1,C46,D46)</x:f>
        <x:v>8500</x:v>
      </x:c>
      <x:c r="F46" s="9" t="inlineStr">
        <x:is>
          <x:t xml:space="preserve">$m</x:t>
        </x:is>
      </x:c>
      <x:c r="G46" s="9" t="inlineStr">
        <x:is>
          <x:t xml:space="preserve">Proposed</x:t>
        </x:is>
      </x:c>
      <x:c r="H46" s="23" t="inlineStr">
        <x:is>
          <x:t xml:space="preserve">Sol's proposal tested $3bn and $8.5bn. Union investors buy most of it through San Francisco.</x:t>
        </x:is>
      </x:c>
    </x:row>
    <x:row r="47">
      <x:c r="B47" s="9" t="inlineStr">
        <x:is>
          <x:t xml:space="preserve">Treasury's own share of Entente credit</x:t>
        </x:is>
      </x:c>
      <x:c r="C47" s="37" t="n">
        <x:v>0.2</x:v>
      </x:c>
      <x:c r="D47" s="37" t="n">
        <x:v>0.3</x:v>
      </x:c>
      <x:c r="E47" s="34" t="n">
        <x:f>IF(case_sel=1,C47,D47)</x:f>
        <x:v>0.2</x:v>
      </x:c>
      <x:c r="F47" s="9" t="inlineStr">
        <x:is>
          <x:t xml:space="preserve">share</x:t>
        </x:is>
      </x:c>
      <x:c r="G47" s="9" t="inlineStr">
        <x:is>
          <x:t xml:space="preserve">Model estimate</x:t>
        </x:is>
      </x:c>
      <x:c r="H47" s="23" t="inlineStr">
        <x:is>
          <x:t xml:space="preserve">Sol's proposal used 10%. A bigger economy can carry 20%; stress case assumes fewer outside buyers.</x:t>
        </x:is>
      </x:c>
    </x:row>
    <x:row r="48">
      <x:c r="B48" s="9" t="inlineStr">
        <x:is>
          <x:t xml:space="preserve">Entente credit written off when Russia defaults (1918)</x:t>
        </x:is>
      </x:c>
      <x:c r="C48" s="33" t="n">
        <x:v>0.12</x:v>
      </x:c>
      <x:c r="D48" s="33" t="n">
        <x:v>0.15</x:v>
      </x:c>
      <x:c r="E48" s="34" t="n">
        <x:f>IF(case_sel=1,C48,D48)</x:f>
        <x:v>0.12</x:v>
      </x:c>
      <x:c r="F48" s="9" t="inlineStr">
        <x:is>
          <x:t xml:space="preserve">share</x:t>
        </x:is>
      </x:c>
      <x:c r="G48" s="9" t="inlineStr">
        <x:is>
          <x:t xml:space="preserve">Model estimate</x:t>
        </x:is>
      </x:c>
      <x:c r="H48" s="23" t="inlineStr">
        <x:is>
          <x:t xml:space="preserve"/>
        </x:is>
      </x:c>
    </x:row>
    <x:row r="49">
      <x:c r="B49" s="9" t="inlineStr">
        <x:is>
          <x:t xml:space="preserve">Western cession vendor credit to the Union</x:t>
        </x:is>
      </x:c>
      <x:c r="C49" s="29" t="n">
        <x:v>40</x:v>
      </x:c>
      <x:c r="D49" s="29" t="n">
        <x:v>40</x:v>
      </x:c>
      <x:c r="E49" s="30" t="n">
        <x:f>IF(case_sel=1,C49,D49)</x:f>
        <x:v>40</x:v>
      </x:c>
      <x:c r="F49" s="9" t="inlineStr">
        <x:is>
          <x:t xml:space="preserve">$m</x:t>
        </x:is>
      </x:c>
      <x:c r="G49" s="9" t="inlineStr">
        <x:is>
          <x:t xml:space="preserve">Proposed</x:t>
        </x:is>
      </x:c>
      <x:c r="H49" s="23" t="inlineStr">
        <x:is>
          <x:t xml:space="preserve">§12: $40m gold in instalments through 1872.</x:t>
        </x:is>
      </x:c>
    </x:row>
    <x:row r="50">
      <x:c r="B50" s="7" t="inlineStr">
        <x:is>
          <x:t xml:space="preserve">— Wars and crises —</x:t>
        </x:is>
      </x:c>
      <x:c r="C50" s="8" t="n"/>
      <x:c r="D50" s="8" t="n"/>
      <x:c r="E50" s="8" t="n"/>
      <x:c r="F50" s="8" t="n"/>
      <x:c r="G50" s="8" t="n"/>
      <x:c r="H50" s="8" t="n"/>
    </x:row>
    <x:row r="51">
      <x:c r="B51" s="9" t="inlineStr">
        <x:is>
          <x:t xml:space="preserve">Siberian campaign, Pacifican spending 1918-22</x:t>
        </x:is>
      </x:c>
      <x:c r="C51" s="36" t="n">
        <x:v>808</x:v>
      </x:c>
      <x:c r="D51" s="36" t="n">
        <x:v>1212</x:v>
      </x:c>
      <x:c r="E51" s="30" t="n">
        <x:f>IF(case_sel=1,C51,D51)</x:f>
        <x:v>808</x:v>
      </x:c>
      <x:c r="F51" s="9" t="inlineStr">
        <x:is>
          <x:t xml:space="preserve">$m</x:t>
        </x:is>
      </x:c>
      <x:c r="G51" s="9" t="inlineStr">
        <x:is>
          <x:t xml:space="preserve">Model estimate</x:t>
        </x:is>
      </x:c>
      <x:c r="H51" s="23" t="inlineStr">
        <x:is>
          <x:t xml:space="preserve">Old model $807.9m; stress case +50% (Sol's adverse procurement case).</x:t>
        </x:is>
      </x:c>
    </x:row>
    <x:row r="52">
      <x:c r="B52" s="9" t="inlineStr">
        <x:is>
          <x:t xml:space="preserve">Permanent Siberian front, all partners, per year</x:t>
        </x:is>
      </x:c>
      <x:c r="C52" s="29" t="n">
        <x:v>80</x:v>
      </x:c>
      <x:c r="D52" s="29" t="n">
        <x:v>112</x:v>
      </x:c>
      <x:c r="E52" s="30" t="n">
        <x:f>IF(case_sel=1,C52,D52)</x:f>
        <x:v>80</x:v>
      </x:c>
      <x:c r="F52" s="9" t="inlineStr">
        <x:is>
          <x:t xml:space="preserve">$m</x:t>
        </x:is>
      </x:c>
      <x:c r="G52" s="9" t="inlineStr">
        <x:is>
          <x:t xml:space="preserve">Model estimate</x:t>
        </x:is>
      </x:c>
      <x:c r="H52" s="23" t="inlineStr">
        <x:is>
          <x:t xml:space="preserve">Old model working / adverse values.</x:t>
        </x:is>
      </x:c>
    </x:row>
    <x:row r="53">
      <x:c r="B53" s="9" t="inlineStr">
        <x:is>
          <x:t xml:space="preserve">Second gold rescue of the Union, 1931-32</x:t>
        </x:is>
      </x:c>
      <x:c r="C53" s="36" t="n">
        <x:v>400</x:v>
      </x:c>
      <x:c r="D53" s="36" t="n">
        <x:v>700</x:v>
      </x:c>
      <x:c r="E53" s="30" t="n">
        <x:f>IF(case_sel=1,C53,D53)</x:f>
        <x:v>400</x:v>
      </x:c>
      <x:c r="F53" s="9" t="inlineStr">
        <x:is>
          <x:t xml:space="preserve">$m</x:t>
        </x:is>
      </x:c>
      <x:c r="G53" s="9" t="inlineStr">
        <x:is>
          <x:t xml:space="preserve">Proposed</x:t>
        </x:is>
      </x:c>
      <x:c r="H53" s="23" t="inlineStr">
        <x:is>
          <x:t xml:space="preserve">Old model $400m; §34 says the scale needs audit.</x:t>
        </x:is>
      </x:c>
    </x:row>
    <x:row r="54">
      <x:c r="B54" s="9" t="inlineStr">
        <x:is>
          <x:t xml:space="preserve">Recapitalisation of Pacifican banks 1931-32</x:t>
        </x:is>
      </x:c>
      <x:c r="C54" s="29" t="n">
        <x:v>150</x:v>
      </x:c>
      <x:c r="D54" s="29" t="n">
        <x:v>300</x:v>
      </x:c>
      <x:c r="E54" s="30" t="n">
        <x:f>IF(case_sel=1,C54,D54)</x:f>
        <x:v>150</x:v>
      </x:c>
      <x:c r="F54" s="9" t="inlineStr">
        <x:is>
          <x:t xml:space="preserve">$m</x:t>
        </x:is>
      </x:c>
      <x:c r="G54" s="9" t="inlineStr">
        <x:is>
          <x:t xml:space="preserve">Model estimate</x:t>
        </x:is>
      </x:c>
      <x:c r="H54" s="23" t="inlineStr">
        <x:is>
          <x:t xml:space="preserve"/>
        </x:is>
      </x:c>
    </x:row>
    <x:row r="55">
      <x:c r="B55" s="9" t="inlineStr">
        <x:is>
          <x:t xml:space="preserve">Reserve Bank purchases of Treasury bonds 1931-32</x:t>
        </x:is>
      </x:c>
      <x:c r="C55" s="36" t="n">
        <x:v>0</x:v>
      </x:c>
      <x:c r="D55" s="36" t="n">
        <x:v>400</x:v>
      </x:c>
      <x:c r="E55" s="30" t="n">
        <x:f>IF(case_sel=1,C55,D55)</x:f>
        <x:v>0</x:v>
      </x:c>
      <x:c r="F55" s="9" t="inlineStr">
        <x:is>
          <x:t xml:space="preserve">$m</x:t>
        </x:is>
      </x:c>
      <x:c r="G55" s="9" t="inlineStr">
        <x:is>
          <x:t xml:space="preserve">Proposed</x:t>
        </x:is>
      </x:c>
      <x:c r="H55" s="23" t="inlineStr">
        <x:is>
          <x:t xml:space="preserve">Sol's proposal needed $400m. The story case does not need it; the stress case does.</x:t>
        </x:is>
      </x:c>
    </x:row>
    <x:row r="56">
      <x:c r="B56" s="7" t="inlineStr">
        <x:is>
          <x:t xml:space="preserve">— Money and gold —</x:t>
        </x:is>
      </x:c>
      <x:c r="C56" s="8" t="n"/>
      <x:c r="D56" s="8" t="n"/>
      <x:c r="E56" s="8" t="n"/>
      <x:c r="F56" s="8" t="n"/>
      <x:c r="G56" s="8" t="n"/>
      <x:c r="H56" s="8" t="n"/>
    </x:row>
    <x:row r="57">
      <x:c r="B57" s="9" t="inlineStr">
        <x:is>
          <x:t xml:space="preserve">New gold kept as monetary metal</x:t>
        </x:is>
      </x:c>
      <x:c r="C57" s="33" t="n">
        <x:v>0.2</x:v>
      </x:c>
      <x:c r="D57" s="33" t="n">
        <x:v>0.2</x:v>
      </x:c>
      <x:c r="E57" s="34" t="n">
        <x:f>IF(case_sel=1,C57,D57)</x:f>
        <x:v>0.2</x:v>
      </x:c>
      <x:c r="F57" s="9" t="inlineStr">
        <x:is>
          <x:t xml:space="preserve">share</x:t>
        </x:is>
      </x:c>
      <x:c r="G57" s="9" t="inlineStr">
        <x:is>
          <x:t xml:space="preserve">Model estimate</x:t>
        </x:is>
      </x:c>
      <x:c r="H57" s="23" t="inlineStr">
        <x:is>
          <x:t xml:space="preserve">Old model 0.6. Most private bullion is exported (§8), so 20% here.</x:t>
        </x:is>
      </x:c>
    </x:row>
    <x:row r="58">
      <x:c r="B58" s="9" t="inlineStr">
        <x:is>
          <x:t xml:space="preserve">Concession gold (Korea, Kolyma) sold to the Reserve Bank</x:t>
        </x:is>
      </x:c>
      <x:c r="C58" s="33" t="n">
        <x:v>0.6</x:v>
      </x:c>
      <x:c r="D58" s="33" t="n">
        <x:v>0.4</x:v>
      </x:c>
      <x:c r="E58" s="34" t="n">
        <x:f>IF(case_sel=1,C58,D58)</x:f>
        <x:v>0.6</x:v>
      </x:c>
      <x:c r="F58" s="9" t="inlineStr">
        <x:is>
          <x:t xml:space="preserve">share</x:t>
        </x:is>
      </x:c>
      <x:c r="G58" s="9" t="inlineStr">
        <x:is>
          <x:t xml:space="preserve">Proposed</x:t>
        </x:is>
      </x:c>
      <x:c r="H58" s="23" t="inlineStr">
        <x:is>
          <x:t xml:space="preserve">CR-021 H: Pacifican concession companies sell most of their gold in San Francisco against credit.</x:t>
        </x:is>
      </x:c>
    </x:row>
    <x:row r="59">
      <x:c r="B59" s="9" t="inlineStr">
        <x:is>
          <x:t xml:space="preserve">Gold inflow from the external surplus / GDP</x:t>
        </x:is>
      </x:c>
      <x:c r="C59" s="38" t="n">
        <x:v>0.002</x:v>
      </x:c>
      <x:c r="D59" s="38" t="n">
        <x:v>0.0012</x:v>
      </x:c>
      <x:c r="E59" s="39" t="n">
        <x:f>IF(case_sel=1,C59,D59)</x:f>
        <x:v>0.002</x:v>
      </x:c>
      <x:c r="F59" s="9" t="inlineStr">
        <x:is>
          <x:t xml:space="preserve">share</x:t>
        </x:is>
      </x:c>
      <x:c r="G59" s="9" t="inlineStr">
        <x:is>
          <x:t xml:space="preserve">Model estimate</x:t>
        </x:is>
      </x:c>
      <x:c r="H59" s="23" t="inlineStr">
        <x:is>
          <x:t xml:space="preserve">Creditor and exporter of oil, wheat, copper and shipping services.</x:t>
        </x:is>
      </x:c>
    </x:row>
    <x:row r="60">
      <x:c r="B60" s="9" t="inlineStr">
        <x:is>
          <x:t xml:space="preserve">Notes and bank reserves / GDP</x:t>
        </x:is>
      </x:c>
      <x:c r="C60" s="33" t="n">
        <x:v>0.07000000000000001</x:v>
      </x:c>
      <x:c r="D60" s="33" t="n">
        <x:v>0.07000000000000001</x:v>
      </x:c>
      <x:c r="E60" s="34" t="n">
        <x:f>IF(case_sel=1,C60,D60)</x:f>
        <x:v>0.07</x:v>
      </x:c>
      <x:c r="F60" s="9" t="inlineStr">
        <x:is>
          <x:t xml:space="preserve">share</x:t>
        </x:is>
      </x:c>
      <x:c r="G60" s="9" t="inlineStr">
        <x:is>
          <x:t xml:space="preserve">Model estimate</x:t>
        </x:is>
      </x:c>
      <x:c r="H60" s="23" t="inlineStr">
        <x:is>
          <x:t xml:space="preserve">US monetary base was about 6% of GDP in 1929.</x:t>
        </x:is>
      </x:c>
    </x:row>
    <x:row r="61">
      <x:c r="B61" s="9" t="inlineStr">
        <x:is>
          <x:t xml:space="preserve">Gold cover required</x:t>
        </x:is>
      </x:c>
      <x:c r="C61" s="33" t="n">
        <x:v>0.4</x:v>
      </x:c>
      <x:c r="D61" s="33" t="n">
        <x:v>0.4</x:v>
      </x:c>
      <x:c r="E61" s="34" t="n">
        <x:f>IF(case_sel=1,C61,D61)</x:f>
        <x:v>0.4</x:v>
      </x:c>
      <x:c r="F61" s="9" t="inlineStr">
        <x:is>
          <x:t xml:space="preserve">share</x:t>
        </x:is>
      </x:c>
      <x:c r="G61" s="9" t="inlineStr">
        <x:is>
          <x:t xml:space="preserve">Proposed</x:t>
        </x:is>
      </x:c>
      <x:c r="H61" s="23" t="inlineStr">
        <x:is>
          <x:t xml:space="preserve">Sol's proposal and old model: 40%.</x:t>
        </x:is>
      </x:c>
    </x:row>
    <x:row r="62">
      <x:c r="B62" s="7" t="inlineStr">
        <x:is>
          <x:t xml:space="preserve">— Gulf Republic —</x:t>
        </x:is>
      </x:c>
      <x:c r="C62" s="8" t="n"/>
      <x:c r="D62" s="8" t="n"/>
      <x:c r="E62" s="8" t="n"/>
      <x:c r="F62" s="8" t="n"/>
      <x:c r="G62" s="8" t="n"/>
      <x:c r="H62" s="8" t="n"/>
    </x:row>
    <x:row r="63">
      <x:c r="B63" s="9" t="inlineStr">
        <x:is>
          <x:t xml:space="preserve">Gulf Republic joins Pacifica (1 = yes, 0 = no)</x:t>
        </x:is>
      </x:c>
      <x:c r="C63" s="40" t="n">
        <x:v>0</x:v>
      </x:c>
      <x:c r="D63" s="40" t="n">
        <x:v>0</x:v>
      </x:c>
      <x:c r="E63" s="41" t="n">
        <x:f>IF(case_sel=1,C63,D63)</x:f>
        <x:v>0</x:v>
      </x:c>
      <x:c r="F63" s="9" t="inlineStr">
        <x:is>
          <x:t xml:space="preserve">switch</x:t>
        </x:is>
      </x:c>
      <x:c r="G63" s="9" t="inlineStr">
        <x:is>
          <x:t xml:space="preserve">Proposed</x:t>
        </x:is>
      </x:c>
      <x:c r="H63" s="23" t="inlineStr">
        <x:is>
          <x:t xml:space="preserve">§25 admission test. Off keeps the Gulf an allied republic, as the master storyline has it.</x:t>
        </x:is>
      </x:c>
    </x:row>
    <x:row r="64">
      <x:c r="B64" s="9" t="inlineStr">
        <x:is>
          <x:t xml:space="preserve">Years every measure must be held before admission</x:t>
        </x:is>
      </x:c>
      <x:c r="C64" s="36" t="n">
        <x:v>25</x:v>
      </x:c>
      <x:c r="D64" s="36" t="n">
        <x:v>25</x:v>
      </x:c>
      <x:c r="E64" s="30" t="n">
        <x:f>IF(case_sel=1,C64,D64)</x:f>
        <x:v>25</x:v>
      </x:c>
      <x:c r="F64" s="9" t="inlineStr">
        <x:is>
          <x:t xml:space="preserve">years</x:t>
        </x:is>
      </x:c>
      <x:c r="G64" s="9" t="inlineStr">
        <x:is>
          <x:t xml:space="preserve">Approved</x:t>
        </x:is>
      </x:c>
      <x:c r="H64" s="23" t="inlineStr">
        <x:is>
          <x:t xml:space="preserve">OPEN-020-04: a generation; Pacifica reserves the right to ask for a second. It is in no hurry.</x:t>
        </x:is>
      </x:c>
    </x:row>
    <x:row r="65">
      <x:c r="B65" s="9" t="inlineStr">
        <x:is>
          <x:t xml:space="preserve">Year the Gulf joins (test only)</x:t>
        </x:is>
      </x:c>
      <x:c r="C65" s="40" t="n">
        <x:v>1960</x:v>
      </x:c>
      <x:c r="D65" s="40" t="n">
        <x:v>1960</x:v>
      </x:c>
      <x:c r="E65" s="41" t="n">
        <x:f>IF(case_sel=1,C65,D65)</x:f>
        <x:v>1960</x:v>
      </x:c>
      <x:c r="F65" s="9" t="inlineStr">
        <x:is>
          <x:t xml:space="preserve">year</x:t>
        </x:is>
      </x:c>
      <x:c r="G65" s="9" t="inlineStr">
        <x:is>
          <x:t xml:space="preserve">Approved</x:t>
        </x:is>
      </x:c>
      <x:c r="H65" s="23" t="inlineStr">
        <x:is>
          <x:t xml:space="preserve">1929 is the earliest the six indicators allow (three passing years 1926-28; see the Gulf sheet). A year after 1932 delays admission past the Depression and beyond this model.</x:t>
        </x:is>
      </x:c>
    </x:row>
    <x:row r="66">
      <x:c r="B66" s="7" t="inlineStr">
        <x:is>
          <x:t xml:space="preserve">— CR-020: Depression, oil compact, standing debt, investment abroad —</x:t>
        </x:is>
      </x:c>
      <x:c r="C66" s="8" t="n"/>
      <x:c r="D66" s="8" t="n"/>
      <x:c r="E66" s="8" t="n"/>
      <x:c r="F66" s="8" t="n"/>
      <x:c r="G66" s="8" t="n"/>
      <x:c r="H66" s="8" t="n"/>
    </x:row>
    <x:row r="67">
      <x:c r="B67" s="9" t="inlineStr">
        <x:is>
          <x:t xml:space="preserve">Share of the US price fall Pacifica suffers, 1930-32</x:t>
        </x:is>
      </x:c>
      <x:c r="C67" s="31" t="n">
        <x:v>0.6</x:v>
      </x:c>
      <x:c r="D67" s="31" t="n">
        <x:v>1</x:v>
      </x:c>
      <x:c r="E67" s="32" t="n">
        <x:f>IF(case_sel=1,C67,D67)</x:f>
        <x:v>0.6</x:v>
      </x:c>
      <x:c r="F67" s="9" t="inlineStr">
        <x:is>
          <x:t xml:space="preserve">×</x:t>
        </x:is>
      </x:c>
      <x:c r="G67" s="9" t="inlineStr">
        <x:is>
          <x:t xml:space="preserve">Proposed</x:t>
        </x:is>
      </x:c>
      <x:c r="H67" s="23" t="inlineStr">
        <x:is>
          <x:t xml:space="preserve">CR-020 B6: Pacifica lends its gold out instead of hoarding it, so its prices fall less than America's. 1 = the full US fall.</x:t>
        </x:is>
      </x:c>
    </x:row>
    <x:row r="68">
      <x:c r="B68" s="9" t="inlineStr">
        <x:is>
          <x:t xml:space="preserve">Oil compact with the Gulf (1 = yes; from the year below)</x:t>
        </x:is>
      </x:c>
      <x:c r="C68" s="40" t="n">
        <x:v>1</x:v>
      </x:c>
      <x:c r="D68" s="40" t="n">
        <x:v>0</x:v>
      </x:c>
      <x:c r="E68" s="41" t="n">
        <x:f>IF(case_sel=1,C68,D68)</x:f>
        <x:v>1</x:v>
      </x:c>
      <x:c r="F68" s="9" t="inlineStr">
        <x:is>
          <x:t xml:space="preserve">switch</x:t>
        </x:is>
      </x:c>
      <x:c r="G68" s="9" t="inlineStr">
        <x:is>
          <x:t xml:space="preserve">Proposed</x:t>
        </x:is>
      </x:c>
      <x:c r="H68" s="23" t="inlineStr">
        <x:is>
          <x:t xml:space="preserve">CR-020 B6: limits output after the East Texas glut and holds the price. Keeps the Gulf's wage indicator from failing in 1931-33.</x:t>
        </x:is>
      </x:c>
    </x:row>
    <x:row r="69">
      <x:c r="B69" s="9" t="inlineStr">
        <x:is>
          <x:t xml:space="preserve">Oil price the compact holds ($ per barrel)</x:t>
        </x:is>
      </x:c>
      <x:c r="C69" s="29" t="n">
        <x:v>0.95</x:v>
      </x:c>
      <x:c r="D69" s="29" t="n">
        <x:v>0.95</x:v>
      </x:c>
      <x:c r="E69" s="30" t="n">
        <x:f>IF(case_sel=1,C69,D69)</x:f>
        <x:v>0.95</x:v>
      </x:c>
      <x:c r="F69" s="9" t="inlineStr">
        <x:is>
          <x:t xml:space="preserve">$</x:t>
        </x:is>
      </x:c>
      <x:c r="G69" s="9" t="inlineStr">
        <x:is>
          <x:t xml:space="preserve">Proposed</x:t>
        </x:is>
      </x:c>
      <x:c r="H69" s="23" t="inlineStr">
        <x:is>
          <x:t xml:space="preserve">Historical California crude fell to about $0.70; East Texas to about $0.10.</x:t>
        </x:is>
      </x:c>
    </x:row>
    <x:row r="70">
      <x:c r="B70" s="9" t="inlineStr">
        <x:is>
          <x:t xml:space="preserve">Output cut under the compact</x:t>
        </x:is>
      </x:c>
      <x:c r="C70" s="33" t="n">
        <x:v>0.15</x:v>
      </x:c>
      <x:c r="D70" s="33" t="n">
        <x:v>0.15</x:v>
      </x:c>
      <x:c r="E70" s="34" t="n">
        <x:f>IF(case_sel=1,C70,D70)</x:f>
        <x:v>0.15</x:v>
      </x:c>
      <x:c r="F70" s="9" t="inlineStr">
        <x:is>
          <x:t xml:space="preserve">share</x:t>
        </x:is>
      </x:c>
      <x:c r="G70" s="9" t="inlineStr">
        <x:is>
          <x:t xml:space="preserve">Proposed</x:t>
        </x:is>
      </x:c>
      <x:c r="H70" s="23" t="inlineStr">
        <x:is>
          <x:t xml:space="preserve"/>
        </x:is>
      </x:c>
    </x:row>
    <x:row r="71">
      <x:c r="B71" s="9" t="inlineStr">
        <x:is>
          <x:t xml:space="preserve">First year of the oil compact</x:t>
        </x:is>
      </x:c>
      <x:c r="C71" s="42" t="n">
        <x:v>1932</x:v>
      </x:c>
      <x:c r="D71" s="42" t="n">
        <x:v>1932</x:v>
      </x:c>
      <x:c r="E71" s="41" t="n">
        <x:f>IF(case_sel=1,C71,D71)</x:f>
        <x:v>1932</x:v>
      </x:c>
      <x:c r="F71" s="9" t="inlineStr">
        <x:is>
          <x:t xml:space="preserve">year</x:t>
        </x:is>
      </x:c>
      <x:c r="G71" s="9" t="inlineStr">
        <x:is>
          <x:t xml:space="preserve">Proposed</x:t>
        </x:is>
      </x:c>
      <x:c r="H71" s="23" t="inlineStr">
        <x:is>
          <x:t xml:space="preserve">OPEN-020-04 decided: the compact comes a year late, after a year of 10-cent East Texas oil, so 1931 narrowly breaks the Gulf's streak.</x:t>
        </x:is>
      </x:c>
    </x:row>
    <x:row r="72">
      <x:c r="B72" s="9" t="inlineStr">
        <x:is>
          <x:t xml:space="preserve">Fall in the Gulf's real wage, 1931-33, without a compact</x:t>
        </x:is>
      </x:c>
      <x:c r="C72" s="33" t="n">
        <x:v>0.09</x:v>
      </x:c>
      <x:c r="D72" s="33" t="n">
        <x:v>0.12</x:v>
      </x:c>
      <x:c r="E72" s="34" t="n">
        <x:f>IF(case_sel=1,C72,D72)</x:f>
        <x:v>0.09</x:v>
      </x:c>
      <x:c r="F72" s="9" t="inlineStr">
        <x:is>
          <x:t xml:space="preserve">share</x:t>
        </x:is>
      </x:c>
      <x:c r="G72" s="9" t="inlineStr">
        <x:is>
          <x:t xml:space="preserve">Model estimate</x:t>
        </x:is>
      </x:c>
      <x:c r="H72" s="23" t="inlineStr">
        <x:is>
          <x:t xml:space="preserve">Enough to break the Gulf's admission streak (CR-020 B5).</x:t>
        </x:is>
      </x:c>
    </x:row>
    <x:row r="73">
      <x:c r="B73" s="9" t="inlineStr">
        <x:is>
          <x:t xml:space="preserve">Fall in Gulf output, 1931-32, without a compact</x:t>
        </x:is>
      </x:c>
      <x:c r="C73" s="33" t="n">
        <x:v>0.05</x:v>
      </x:c>
      <x:c r="D73" s="33" t="n">
        <x:v>0.05</x:v>
      </x:c>
      <x:c r="E73" s="34" t="n">
        <x:f>IF(case_sel=1,C73,D73)</x:f>
        <x:v>0.05</x:v>
      </x:c>
      <x:c r="F73" s="9" t="inlineStr">
        <x:is>
          <x:t xml:space="preserve">share</x:t>
        </x:is>
      </x:c>
      <x:c r="G73" s="9" t="inlineStr">
        <x:is>
          <x:t xml:space="preserve">Model estimate</x:t>
        </x:is>
      </x:c>
      <x:c r="H73" s="23" t="inlineStr">
        <x:is>
          <x:t xml:space="preserve"/>
        </x:is>
      </x:c>
    </x:row>
    <x:row r="74">
      <x:c r="B74" s="9" t="inlineStr">
        <x:is>
          <x:t xml:space="preserve">Standing public debt kept from 1887 / GDP</x:t>
        </x:is>
      </x:c>
      <x:c r="C74" s="37" t="n">
        <x:v>0.05</x:v>
      </x:c>
      <x:c r="D74" s="37" t="n">
        <x:v>0.05</x:v>
      </x:c>
      <x:c r="E74" s="34" t="n">
        <x:f>IF(case_sel=1,C74,D74)</x:f>
        <x:v>0.05</x:v>
      </x:c>
      <x:c r="F74" s="9" t="inlineStr">
        <x:is>
          <x:t xml:space="preserve">share</x:t>
        </x:is>
      </x:c>
      <x:c r="G74" s="9" t="inlineStr">
        <x:is>
          <x:t xml:space="preserve">Proposed</x:t>
        </x:is>
      </x:c>
      <x:c r="H74" s="23" t="inlineStr">
        <x:is>
          <x:t xml:space="preserve">OPEN-020-06: bonds kept in issue for the Reserve Bank's operations; the proceeds go to the Reserve Fund. Set 0 to repay everything.</x:t>
        </x:is>
      </x:c>
    </x:row>
    <x:row r="75">
      <x:c r="B75" s="9" t="inlineStr">
        <x:is>
          <x:t xml:space="preserve">Pacifican private investors' share of the Entente credit</x:t>
        </x:is>
      </x:c>
      <x:c r="C75" s="33" t="n">
        <x:v>0.3</x:v>
      </x:c>
      <x:c r="D75" s="33" t="n">
        <x:v>0.2</x:v>
      </x:c>
      <x:c r="E75" s="34" t="n">
        <x:f>IF(case_sel=1,C75,D75)</x:f>
        <x:v>0.3</x:v>
      </x:c>
      <x:c r="F75" s="9" t="inlineStr">
        <x:is>
          <x:t xml:space="preserve">share</x:t>
        </x:is>
      </x:c>
      <x:c r="G75" s="9" t="inlineStr">
        <x:is>
          <x:t xml:space="preserve">Proposed</x:t>
        </x:is>
      </x:c>
      <x:c r="H75" s="23" t="inlineStr">
        <x:is>
          <x:t xml:space="preserve">CR-020 B4.</x:t>
        </x:is>
      </x:c>
    </x:row>
    <x:row r="76">
      <x:c r="B76" s="9" t="inlineStr">
        <x:is>
          <x:t xml:space="preserve">Return on private investment abroad</x:t>
        </x:is>
      </x:c>
      <x:c r="C76" s="33" t="n">
        <x:v>0.06</x:v>
      </x:c>
      <x:c r="D76" s="33" t="n">
        <x:v>0.05</x:v>
      </x:c>
      <x:c r="E76" s="34" t="n">
        <x:f>IF(case_sel=1,C76,D76)</x:f>
        <x:v>0.06</x:v>
      </x:c>
      <x:c r="F76" s="9" t="inlineStr">
        <x:is>
          <x:t xml:space="preserve">share</x:t>
        </x:is>
      </x:c>
      <x:c r="G76" s="9" t="inlineStr">
        <x:is>
          <x:t xml:space="preserve">Model estimate</x:t>
        </x:is>
      </x:c>
      <x:c r="H76" s="23" t="inlineStr">
        <x:is>
          <x:t xml:space="preserve">Britain earned 8-9% of national income from abroad in 1913.</x:t>
        </x:is>
      </x:c>
    </x:row>
    <x:row r="77">
      <x:c r="B77" s="9" t="inlineStr">
        <x:is>
          <x:t xml:space="preserve">Investment abroad repaid or sold each year</x:t>
        </x:is>
      </x:c>
      <x:c r="C77" s="33" t="n">
        <x:v>0.03</x:v>
      </x:c>
      <x:c r="D77" s="33" t="n">
        <x:v>0.03</x:v>
      </x:c>
      <x:c r="E77" s="34" t="n">
        <x:f>IF(case_sel=1,C77,D77)</x:f>
        <x:v>0.03</x:v>
      </x:c>
      <x:c r="F77" s="9" t="inlineStr">
        <x:is>
          <x:t xml:space="preserve">share</x:t>
        </x:is>
      </x:c>
      <x:c r="G77" s="9" t="inlineStr">
        <x:is>
          <x:t xml:space="preserve">Model estimate</x:t>
        </x:is>
      </x:c>
      <x:c r="H77" s="23" t="inlineStr">
        <x:is>
          <x:t xml:space="preserve"/>
        </x:is>
      </x:c>
    </x:row>
    <x:row r="78">
      <x:c r="B78" s="9" t="inlineStr">
        <x:is>
          <x:t xml:space="preserve">Losses on investment abroad, 1931-32</x:t>
        </x:is>
      </x:c>
      <x:c r="C78" s="33" t="n">
        <x:v>0.08</x:v>
      </x:c>
      <x:c r="D78" s="33" t="n">
        <x:v>0.15</x:v>
      </x:c>
      <x:c r="E78" s="34" t="n">
        <x:f>IF(case_sel=1,C78,D78)</x:f>
        <x:v>0.08</x:v>
      </x:c>
      <x:c r="F78" s="9" t="inlineStr">
        <x:is>
          <x:t xml:space="preserve">share</x:t>
        </x:is>
      </x:c>
      <x:c r="G78" s="9" t="inlineStr">
        <x:is>
          <x:t xml:space="preserve">Model estimate</x:t>
        </x:is>
      </x:c>
      <x:c r="H78" s="23" t="inlineStr">
        <x:is>
          <x:t xml:space="preserve">Defaults and write-downs in the crash.</x:t>
        </x:is>
      </x:c>
    </x:row>
    <x:row r="79">
      <x:c r="B79" s="9" t="inlineStr">
        <x:is>
          <x:t xml:space="preserve">Income from abroad in 1931-32 (× normal)</x:t>
        </x:is>
      </x:c>
      <x:c r="C79" s="35" t="n">
        <x:v>0.7</x:v>
      </x:c>
      <x:c r="D79" s="35" t="n">
        <x:v>0.6</x:v>
      </x:c>
      <x:c r="E79" s="32" t="n">
        <x:f>IF(case_sel=1,C79,D79)</x:f>
        <x:v>0.7</x:v>
      </x:c>
      <x:c r="F79" s="9" t="inlineStr">
        <x:is>
          <x:t xml:space="preserve">×</x:t>
        </x:is>
      </x:c>
      <x:c r="G79" s="9" t="inlineStr">
        <x:is>
          <x:t xml:space="preserve">Model estimate</x:t>
        </x:is>
      </x:c>
      <x:c r="H79" s="23" t="inlineStr">
        <x:is>
          <x:t xml:space="preserve">Moratorium and defaults.</x:t>
        </x:is>
      </x:c>
    </x:row>
    <x:row r="80">
      <x:c r="B80" s="9" t="inlineStr">
        <x:is>
          <x:t xml:space="preserve">Tax on income from abroad</x:t>
        </x:is>
      </x:c>
      <x:c r="C80" s="33" t="n">
        <x:v>0.1</x:v>
      </x:c>
      <x:c r="D80" s="33" t="n">
        <x:v>0.1</x:v>
      </x:c>
      <x:c r="E80" s="34" t="n">
        <x:f>IF(case_sel=1,C80,D80)</x:f>
        <x:v>0.1</x:v>
      </x:c>
      <x:c r="F80" s="9" t="inlineStr">
        <x:is>
          <x:t xml:space="preserve">share</x:t>
        </x:is>
      </x:c>
      <x:c r="G80" s="9" t="inlineStr">
        <x:is>
          <x:t xml:space="preserve">Model estimate</x:t>
        </x:is>
      </x:c>
      <x:c r="H80" s="23" t="inlineStr">
        <x:is>
          <x:t xml:space="preserve"/>
        </x:is>
      </x:c>
    </x:row>
    <x:row r="81">
      <x:c r="B81" s="7" t="inlineStr">
        <x:is>
          <x:t xml:space="preserve">— CR-020: Development Fund —</x:t>
        </x:is>
      </x:c>
      <x:c r="C81" s="8" t="n"/>
      <x:c r="D81" s="8" t="n"/>
      <x:c r="E81" s="8" t="n"/>
      <x:c r="F81" s="8" t="n"/>
      <x:c r="G81" s="8" t="n"/>
      <x:c r="H81" s="8" t="n"/>
    </x:row>
    <x:row r="82">
      <x:c r="B82" s="9" t="inlineStr">
        <x:is>
          <x:t xml:space="preserve">Share of each surplus invested by the Development Fund</x:t>
        </x:is>
      </x:c>
      <x:c r="C82" s="37" t="n">
        <x:v>0.7</x:v>
      </x:c>
      <x:c r="D82" s="37" t="n">
        <x:v>0.7</x:v>
      </x:c>
      <x:c r="E82" s="34" t="n">
        <x:f>IF(case_sel=1,C82,D82)</x:f>
        <x:v>0.7</x:v>
      </x:c>
      <x:c r="F82" s="9" t="inlineStr">
        <x:is>
          <x:t xml:space="preserve">share</x:t>
        </x:is>
      </x:c>
      <x:c r="G82" s="9" t="inlineStr">
        <x:is>
          <x:t xml:space="preserve">Proposed</x:t>
        </x:is>
      </x:c>
      <x:c r="H82" s="23" t="inlineStr">
        <x:is>
          <x:t xml:space="preserve">CR-020 B8: instead of piling up in the Reserve Fund, most of a surplus goes into productive public investment: the Polytechnic and research institutes, the power grid, ports and rail, technical schools, credit for new industries.</x:t>
        </x:is>
      </x:c>
    </x:row>
    <x:row r="83">
      <x:c r="B83" s="9" t="inlineStr">
        <x:is>
          <x:t xml:space="preserve">Lasting rise in output per $1 invested (social return)</x:t>
        </x:is>
      </x:c>
      <x:c r="C83" s="37" t="n">
        <x:v>0.3</x:v>
      </x:c>
      <x:c r="D83" s="37" t="n">
        <x:v>0.15</x:v>
      </x:c>
      <x:c r="E83" s="34" t="n">
        <x:f>IF(case_sel=1,C83,D83)</x:f>
        <x:v>0.3</x:v>
      </x:c>
      <x:c r="F83" s="9" t="inlineStr">
        <x:is>
          <x:t xml:space="preserve">share</x:t>
        </x:is>
      </x:c>
      <x:c r="G83" s="9" t="inlineStr">
        <x:is>
          <x:t xml:space="preserve">Model estimate</x:t>
        </x:is>
      </x:c>
      <x:c r="H83" s="23" t="inlineStr">
        <x:is>
          <x:t xml:space="preserve">Each $1 invested raises the next year's output growth by this much per $1 of GDP. Estimates for infrastructure, research and technical education mostly fall between 10% and 40%.</x:t>
        </x:is>
      </x:c>
    </x:row>
    <x:row r="84">
      <x:c r="B84" s="9" t="inlineStr">
        <x:is>
          <x:t xml:space="preserve">First year of the Development Fund</x:t>
        </x:is>
      </x:c>
      <x:c r="C84" s="42" t="n">
        <x:v>1880</x:v>
      </x:c>
      <x:c r="D84" s="42" t="n">
        <x:v>1880</x:v>
      </x:c>
      <x:c r="E84" s="41" t="n">
        <x:f>IF(case_sel=1,C84,D84)</x:f>
        <x:v>1880</x:v>
      </x:c>
      <x:c r="F84" s="9" t="inlineStr">
        <x:is>
          <x:t xml:space="preserve">year</x:t>
        </x:is>
      </x:c>
      <x:c r="G84" s="9" t="inlineStr">
        <x:is>
          <x:t xml:space="preserve">Proposed</x:t>
        </x:is>
      </x:c>
      <x:c r="H84" s="23" t="inlineStr">
        <x:is>
          <x:t xml:space="preserve">Before the regency: Elias's oil and turbine programmes.</x:t>
        </x:is>
      </x:c>
    </x:row>
    <x:row r="85">
      <x:c r="B85" s="9" t="inlineStr">
        <x:is>
          <x:t xml:space="preserve">Standing-debt bonds finance development (1 = yes, 0 = Reserve Fund)</x:t>
        </x:is>
      </x:c>
      <x:c r="C85" s="40" t="n">
        <x:v>1</x:v>
      </x:c>
      <x:c r="D85" s="40" t="n">
        <x:v>1</x:v>
      </x:c>
      <x:c r="E85" s="41" t="n">
        <x:f>IF(case_sel=1,C85,D85)</x:f>
        <x:v>1</x:v>
      </x:c>
      <x:c r="F85" s="9" t="inlineStr">
        <x:is>
          <x:t xml:space="preserve">switch</x:t>
        </x:is>
      </x:c>
      <x:c r="G85" s="9" t="inlineStr">
        <x:is>
          <x:t xml:space="preserve">Proposed</x:t>
        </x:is>
      </x:c>
      <x:c r="H85" s="23" t="inlineStr">
        <x:is>
          <x:t xml:space="preserve">Development bonds, as in a state-capitalist economy: the bonds kept in issue for the Reserve Bank pay for investment instead of sitting in the Reserve Fund.</x:t>
        </x:is>
      </x:c>
    </x:row>
    <x:row r="86">
      <x:c r="B86" s="9" t="inlineStr">
        <x:is>
          <x:t xml:space="preserve">Reserve Fund kept as a crisis buffer / GDP</x:t>
        </x:is>
      </x:c>
      <x:c r="C86" s="37" t="n">
        <x:v>0.03</x:v>
      </x:c>
      <x:c r="D86" s="37" t="n">
        <x:v>0.03</x:v>
      </x:c>
      <x:c r="E86" s="34" t="n">
        <x:f>IF(case_sel=1,C86,D86)</x:f>
        <x:v>0.03</x:v>
      </x:c>
      <x:c r="F86" s="9" t="inlineStr">
        <x:is>
          <x:t xml:space="preserve">share</x:t>
        </x:is>
      </x:c>
      <x:c r="G86" s="9" t="inlineStr">
        <x:is>
          <x:t xml:space="preserve">Proposed</x:t>
        </x:is>
      </x:c>
      <x:c r="H86" s="23" t="inlineStr">
        <x:is>
          <x:t xml:space="preserve">Anything above this is invested by the Development Fund each year.</x:t>
        </x:is>
      </x:c>
    </x:row>
    <x:row r="87">
      <x:c r="B87" s="9" t="inlineStr">
        <x:is>
          <x:t xml:space="preserve">Largest yearly growth boost from the fund</x:t>
        </x:is>
      </x:c>
      <x:c r="C87" s="33" t="n">
        <x:v>0.012</x:v>
      </x:c>
      <x:c r="D87" s="33" t="n">
        <x:v>0.012</x:v>
      </x:c>
      <x:c r="E87" s="34" t="n">
        <x:f>IF(case_sel=1,C87,D87)</x:f>
        <x:v>0.012</x:v>
      </x:c>
      <x:c r="F87" s="9" t="inlineStr">
        <x:is>
          <x:t xml:space="preserve">share</x:t>
        </x:is>
      </x:c>
      <x:c r="G87" s="9" t="inlineStr">
        <x:is>
          <x:t xml:space="preserve">Model estimate</x:t>
        </x:is>
      </x:c>
      <x:c r="H87" s="23" t="inlineStr">
        <x:is>
          <x:t xml:space="preserve">A ceiling for diminishing returns; even the fastest frontier economies rarely beat rivals by more than about 1 point a year for decades.</x:t>
        </x:is>
      </x:c>
    </x:row>
    <x:row r="88">
      <x:c r="B88" s="9" t="inlineStr">
        <x:is>
          <x:t xml:space="preserve">Yearly wear-out of the development stock</x:t>
        </x:is>
      </x:c>
      <x:c r="C88" s="33" t="n">
        <x:v>0.03</x:v>
      </x:c>
      <x:c r="D88" s="33" t="n">
        <x:v>0.03</x:v>
      </x:c>
      <x:c r="E88" s="34" t="n">
        <x:f>IF(case_sel=1,C88,D88)</x:f>
        <x:v>0.03</x:v>
      </x:c>
      <x:c r="F88" s="9" t="inlineStr">
        <x:is>
          <x:t xml:space="preserve">share</x:t>
        </x:is>
      </x:c>
      <x:c r="G88" s="9" t="inlineStr">
        <x:is>
          <x:t xml:space="preserve">Model estimate</x:t>
        </x:is>
      </x:c>
      <x:c r="H88" s="23" t="inlineStr">
        <x:is>
          <x:t xml:space="preserve">Only for the memo stock column.</x:t>
        </x:is>
      </x:c>
    </x:row>
    <x:row r="89">
      <x:c r="B89" s="7" t="inlineStr">
        <x:is>
          <x:t xml:space="preserve">— CR-020 B9: national champions —</x:t>
        </x:is>
      </x:c>
      <x:c r="C89" s="8" t="n"/>
      <x:c r="D89" s="8" t="n"/>
      <x:c r="E89" s="8" t="n"/>
      <x:c r="F89" s="8" t="n"/>
      <x:c r="G89" s="8" t="n"/>
      <x:c r="H89" s="8" t="n"/>
    </x:row>
    <x:row r="90">
      <x:c r="B90" s="9" t="inlineStr">
        <x:is>
          <x:t xml:space="preserve">Scale of the champions (× story paths)</x:t>
        </x:is>
      </x:c>
      <x:c r="C90" s="31" t="n">
        <x:v>1</x:v>
      </x:c>
      <x:c r="D90" s="31" t="n">
        <x:v>0.6</x:v>
      </x:c>
      <x:c r="E90" s="32" t="n">
        <x:f>IF(case_sel=1,C90,D90)</x:f>
        <x:v>1</x:v>
      </x:c>
      <x:c r="F90" s="9" t="inlineStr">
        <x:is>
          <x:t xml:space="preserve">×</x:t>
        </x:is>
      </x:c>
      <x:c r="G90" s="9" t="inlineStr">
        <x:is>
          <x:t xml:space="preserve">Proposed</x:t>
        </x:is>
      </x:c>
      <x:c r="H90" s="23" t="inlineStr">
        <x:is>
          <x:t xml:space="preserve">CR-020 B9: oil, steel, motor vehicles, chemicals, electrical, telecom, shipping, finance, film and aircraft. The stress case keeps 60% of what the story claims.</x:t>
        </x:is>
      </x:c>
    </x:row>
    <x:row r="91">
      <x:c r="B91" s="9" t="inlineStr">
        <x:is>
          <x:t xml:space="preserve">Champions' output per worker vs the average job</x:t>
        </x:is>
      </x:c>
      <x:c r="C91" s="35" t="n">
        <x:v>1.8</x:v>
      </x:c>
      <x:c r="D91" s="35" t="n">
        <x:v>1.6</x:v>
      </x:c>
      <x:c r="E91" s="32" t="n">
        <x:f>IF(case_sel=1,C91,D91)</x:f>
        <x:v>1.8</x:v>
      </x:c>
      <x:c r="F91" s="9" t="inlineStr">
        <x:is>
          <x:t xml:space="preserve">×</x:t>
        </x:is>
      </x:c>
      <x:c r="G91" s="9" t="inlineStr">
        <x:is>
          <x:t xml:space="preserve">Model estimate</x:t>
        </x:is>
      </x:c>
      <x:c r="H91" s="23" t="inlineStr">
        <x:is>
          <x:t xml:space="preserve">Only this premium adds to GDP: the champions' workers are residents whose average output is already counted (CR-020 B10).</x:t>
        </x:is>
      </x:c>
    </x:row>
    <x:row r="92">
      <x:c r="B92" s="9" t="inlineStr">
        <x:is>
          <x:t xml:space="preserve">Supplier and city spillovers (× champions' value added)</x:t>
        </x:is>
      </x:c>
      <x:c r="C92" s="35" t="n">
        <x:v>0.25</x:v>
      </x:c>
      <x:c r="D92" s="35" t="n">
        <x:v>0.1</x:v>
      </x:c>
      <x:c r="E92" s="32" t="n">
        <x:f>IF(case_sel=1,C92,D92)</x:f>
        <x:v>0.25</x:v>
      </x:c>
      <x:c r="F92" s="9" t="inlineStr">
        <x:is>
          <x:t xml:space="preserve">×</x:t>
        </x:is>
      </x:c>
      <x:c r="G92" s="9" t="inlineStr">
        <x:is>
          <x:t xml:space="preserve">Model estimate</x:t>
        </x:is>
      </x:c>
      <x:c r="H92" s="23" t="inlineStr">
        <x:is>
          <x:t xml:space="preserve">Parts makers, machine shops, engineering offices, the service economy of the new industrial cities.</x:t>
        </x:is>
      </x:c>
    </x:row>
    <x:row r="93">
      <x:c r="B93" s="9" t="inlineStr">
        <x:is>
          <x:t xml:space="preserve">Value added / sales: chemicals and drugs</x:t>
        </x:is>
      </x:c>
      <x:c r="C93" s="33" t="n">
        <x:v>0.45</x:v>
      </x:c>
      <x:c r="D93" s="33" t="n">
        <x:v>0.45</x:v>
      </x:c>
      <x:c r="E93" s="34" t="n">
        <x:f>IF(case_sel=1,C93,D93)</x:f>
        <x:v>0.45</x:v>
      </x:c>
      <x:c r="F93" s="9" t="inlineStr">
        <x:is>
          <x:t xml:space="preserve">share</x:t>
        </x:is>
      </x:c>
      <x:c r="G93" s="9" t="inlineStr">
        <x:is>
          <x:t xml:space="preserve">Model estimate</x:t>
        </x:is>
      </x:c>
      <x:c r="H93" s="23" t="inlineStr">
        <x:is>
          <x:t xml:space="preserve"/>
        </x:is>
      </x:c>
    </x:row>
    <x:row r="94">
      <x:c r="B94" s="9" t="inlineStr">
        <x:is>
          <x:t xml:space="preserve">Value added / sales: electrical equipment</x:t>
        </x:is>
      </x:c>
      <x:c r="C94" s="33" t="n">
        <x:v>0.45</x:v>
      </x:c>
      <x:c r="D94" s="33" t="n">
        <x:v>0.45</x:v>
      </x:c>
      <x:c r="E94" s="34" t="n">
        <x:f>IF(case_sel=1,C94,D94)</x:f>
        <x:v>0.45</x:v>
      </x:c>
      <x:c r="F94" s="9" t="inlineStr">
        <x:is>
          <x:t xml:space="preserve">share</x:t>
        </x:is>
      </x:c>
      <x:c r="G94" s="9" t="inlineStr">
        <x:is>
          <x:t xml:space="preserve">Model estimate</x:t>
        </x:is>
      </x:c>
      <x:c r="H94" s="23" t="inlineStr">
        <x:is>
          <x:t xml:space="preserve"/>
        </x:is>
      </x:c>
    </x:row>
    <x:row r="95">
      <x:c r="B95" s="9" t="inlineStr">
        <x:is>
          <x:t xml:space="preserve">Royalty or licence fee on sales</x:t>
        </x:is>
      </x:c>
      <x:c r="C95" s="33" t="n">
        <x:v>0.03</x:v>
      </x:c>
      <x:c r="D95" s="33" t="n">
        <x:v>0.02</x:v>
      </x:c>
      <x:c r="E95" s="34" t="n">
        <x:f>IF(case_sel=1,C95,D95)</x:f>
        <x:v>0.03</x:v>
      </x:c>
      <x:c r="F95" s="9" t="inlineStr">
        <x:is>
          <x:t xml:space="preserve">share</x:t>
        </x:is>
      </x:c>
      <x:c r="G95" s="9" t="inlineStr">
        <x:is>
          <x:t xml:space="preserve">Model estimate</x:t>
        </x:is>
      </x:c>
      <x:c r="H95" s="23" t="inlineStr">
        <x:is>
          <x:t xml:space="preserve">Typical patent licences ran 2-5% of sales.</x:t>
        </x:is>
      </x:c>
    </x:row>
    <x:row r="96">
      <x:c r="B96" s="9" t="inlineStr">
        <x:is>
          <x:t xml:space="preserve">Underwriting and banking fees on bonds floated</x:t>
        </x:is>
      </x:c>
      <x:c r="C96" s="33" t="n">
        <x:v>0.025</x:v>
      </x:c>
      <x:c r="D96" s="33" t="n">
        <x:v>0.02</x:v>
      </x:c>
      <x:c r="E96" s="34" t="n">
        <x:f>IF(case_sel=1,C96,D96)</x:f>
        <x:v>0.025</x:v>
      </x:c>
      <x:c r="F96" s="9" t="inlineStr">
        <x:is>
          <x:t xml:space="preserve">share</x:t>
        </x:is>
      </x:c>
      <x:c r="G96" s="9" t="inlineStr">
        <x:is>
          <x:t xml:space="preserve">Model estimate</x:t>
        </x:is>
      </x:c>
      <x:c r="H96" s="23" t="inlineStr">
        <x:is>
          <x:t xml:space="preserve"/>
        </x:is>
      </x:c>
    </x:row>
    <x:row r="97">
      <x:c r="B97" s="9" t="inlineStr">
        <x:is>
          <x:t xml:space="preserve">Book value of oil assets abroad (years of earnings)</x:t>
        </x:is>
      </x:c>
      <x:c r="C97" s="29" t="n">
        <x:v>7</x:v>
      </x:c>
      <x:c r="D97" s="29" t="n">
        <x:v>7</x:v>
      </x:c>
      <x:c r="E97" s="30" t="n">
        <x:f>IF(case_sel=1,C97,D97)</x:f>
        <x:v>7</x:v>
      </x:c>
      <x:c r="F97" s="9" t="inlineStr">
        <x:is>
          <x:t xml:space="preserve">years</x:t>
        </x:is>
      </x:c>
      <x:c r="G97" s="9" t="inlineStr">
        <x:is>
          <x:t xml:space="preserve">Model estimate</x:t>
        </x:is>
      </x:c>
      <x:c r="H97" s="23" t="inlineStr">
        <x:is>
          <x:t xml:space="preserve"/>
        </x:is>
      </x:c>
    </x:row>
    <x:row r="98">
      <x:c r="B98" s="9" t="inlineStr">
        <x:is>
          <x:t xml:space="preserve">Yield: rail, ports and canals abroad</x:t>
        </x:is>
      </x:c>
      <x:c r="C98" s="33" t="n">
        <x:v>0.05</x:v>
      </x:c>
      <x:c r="D98" s="33" t="n">
        <x:v>0.04</x:v>
      </x:c>
      <x:c r="E98" s="34" t="n">
        <x:f>IF(case_sel=1,C98,D98)</x:f>
        <x:v>0.05</x:v>
      </x:c>
      <x:c r="F98" s="9" t="inlineStr">
        <x:is>
          <x:t xml:space="preserve">share</x:t>
        </x:is>
      </x:c>
      <x:c r="G98" s="9" t="inlineStr">
        <x:is>
          <x:t xml:space="preserve">Model estimate</x:t>
        </x:is>
      </x:c>
      <x:c r="H98" s="23" t="inlineStr">
        <x:is>
          <x:t xml:space="preserve">British overseas railways paid 4-6%.</x:t>
        </x:is>
      </x:c>
    </x:row>
    <x:row r="99">
      <x:c r="B99" s="9" t="inlineStr">
        <x:is>
          <x:t xml:space="preserve">Yield: cables and telegraphs abroad</x:t>
        </x:is>
      </x:c>
      <x:c r="C99" s="33" t="n">
        <x:v>0.1</x:v>
      </x:c>
      <x:c r="D99" s="33" t="n">
        <x:v>0.08</x:v>
      </x:c>
      <x:c r="E99" s="34" t="n">
        <x:f>IF(case_sel=1,C99,D99)</x:f>
        <x:v>0.1</x:v>
      </x:c>
      <x:c r="F99" s="9" t="inlineStr">
        <x:is>
          <x:t xml:space="preserve">share</x:t>
        </x:is>
      </x:c>
      <x:c r="G99" s="9" t="inlineStr">
        <x:is>
          <x:t xml:space="preserve">Model estimate</x:t>
        </x:is>
      </x:c>
      <x:c r="H99" s="23" t="inlineStr">
        <x:is>
          <x:t xml:space="preserve">Cable companies paid 8-12% on monopoly routes.</x:t>
        </x:is>
      </x:c>
    </x:row>
    <x:row r="100">
      <x:c r="B100" s="9" t="inlineStr">
        <x:is>
          <x:t xml:space="preserve">Yield: power companies abroad</x:t>
        </x:is>
      </x:c>
      <x:c r="C100" s="33" t="n">
        <x:v>0.07000000000000001</x:v>
      </x:c>
      <x:c r="D100" s="33" t="n">
        <x:v>0.06</x:v>
      </x:c>
      <x:c r="E100" s="34" t="n">
        <x:f>IF(case_sel=1,C100,D100)</x:f>
        <x:v>0.07</x:v>
      </x:c>
      <x:c r="F100" s="9" t="inlineStr">
        <x:is>
          <x:t xml:space="preserve">share</x:t>
        </x:is>
      </x:c>
      <x:c r="G100" s="9" t="inlineStr">
        <x:is>
          <x:t xml:space="preserve">Model estimate</x:t>
        </x:is>
      </x:c>
      <x:c r="H100" s="23" t="inlineStr">
        <x:is>
          <x:t xml:space="preserve"/>
        </x:is>
      </x:c>
    </x:row>
    <x:row r="101">
      <x:c r="B101" s="9" t="inlineStr">
        <x:is>
          <x:t xml:space="preserve">Yield: assembly plants abroad</x:t>
        </x:is>
      </x:c>
      <x:c r="C101" s="33" t="n">
        <x:v>0.12</x:v>
      </x:c>
      <x:c r="D101" s="33" t="n">
        <x:v>0.08</x:v>
      </x:c>
      <x:c r="E101" s="34" t="n">
        <x:f>IF(case_sel=1,C101,D101)</x:f>
        <x:v>0.12</x:v>
      </x:c>
      <x:c r="F101" s="9" t="inlineStr">
        <x:is>
          <x:t xml:space="preserve">share</x:t>
        </x:is>
      </x:c>
      <x:c r="G101" s="9" t="inlineStr">
        <x:is>
          <x:t xml:space="preserve">Model estimate</x:t>
        </x:is>
      </x:c>
      <x:c r="H101" s="23" t="inlineStr">
        <x:is>
          <x:t xml:space="preserve"/>
        </x:is>
      </x:c>
    </x:row>
    <x:row r="102">
      <x:c r="B102" s="9" t="inlineStr">
        <x:is>
          <x:t xml:space="preserve">Yield: chemical plants abroad</x:t>
        </x:is>
      </x:c>
      <x:c r="C102" s="33" t="n">
        <x:v>0.12</x:v>
      </x:c>
      <x:c r="D102" s="33" t="n">
        <x:v>0.08</x:v>
      </x:c>
      <x:c r="E102" s="34" t="n">
        <x:f>IF(case_sel=1,C102,D102)</x:f>
        <x:v>0.12</x:v>
      </x:c>
      <x:c r="F102" s="9" t="inlineStr">
        <x:is>
          <x:t xml:space="preserve">share</x:t>
        </x:is>
      </x:c>
      <x:c r="G102" s="9" t="inlineStr">
        <x:is>
          <x:t xml:space="preserve">Model estimate</x:t>
        </x:is>
      </x:c>
      <x:c r="H102" s="23" t="inlineStr">
        <x:is>
          <x:t xml:space="preserve"/>
        </x:is>
      </x:c>
    </x:row>
    <x:row r="103">
      <x:c r="B103" s="9" t="inlineStr">
        <x:is>
          <x:t xml:space="preserve">Yield: ore and mills abroad</x:t>
        </x:is>
      </x:c>
      <x:c r="C103" s="33" t="n">
        <x:v>0.06</x:v>
      </x:c>
      <x:c r="D103" s="33" t="n">
        <x:v>0.05</x:v>
      </x:c>
      <x:c r="E103" s="34" t="n">
        <x:f>IF(case_sel=1,C103,D103)</x:f>
        <x:v>0.06</x:v>
      </x:c>
      <x:c r="F103" s="9" t="inlineStr">
        <x:is>
          <x:t xml:space="preserve">share</x:t>
        </x:is>
      </x:c>
      <x:c r="G103" s="9" t="inlineStr">
        <x:is>
          <x:t xml:space="preserve">Model estimate</x:t>
        </x:is>
      </x:c>
      <x:c r="H103" s="23" t="inlineStr">
        <x:is>
          <x:t xml:space="preserve"/>
        </x:is>
      </x:c>
    </x:row>
    <x:row r="104">
      <x:c r="B104" s="9" t="inlineStr">
        <x:is>
          <x:t xml:space="preserve">Champions' profits / value added at home</x:t>
        </x:is>
      </x:c>
      <x:c r="C104" s="33" t="n">
        <x:v>0.2</x:v>
      </x:c>
      <x:c r="D104" s="33" t="n">
        <x:v>0.15</x:v>
      </x:c>
      <x:c r="E104" s="34" t="n">
        <x:f>IF(case_sel=1,C104,D104)</x:f>
        <x:v>0.2</x:v>
      </x:c>
      <x:c r="F104" s="9" t="inlineStr">
        <x:is>
          <x:t xml:space="preserve">share</x:t>
        </x:is>
      </x:c>
      <x:c r="G104" s="9" t="inlineStr">
        <x:is>
          <x:t xml:space="preserve">Model estimate</x:t>
        </x:is>
      </x:c>
      <x:c r="H104" s="23" t="inlineStr">
        <x:is>
          <x:t xml:space="preserve"/>
        </x:is>
      </x:c>
    </x:row>
    <x:row r="105">
      <x:c r="B105" s="9" t="inlineStr">
        <x:is>
          <x:t xml:space="preserve">Crown share in chartered and concession industries</x:t>
        </x:is>
      </x:c>
      <x:c r="C105" s="37" t="n">
        <x:v>0.25</x:v>
      </x:c>
      <x:c r="D105" s="37" t="n">
        <x:v>0.25</x:v>
      </x:c>
      <x:c r="E105" s="34" t="n">
        <x:f>IF(case_sel=1,C105,D105)</x:f>
        <x:v>0.25</x:v>
      </x:c>
      <x:c r="F105" s="9" t="inlineStr">
        <x:is>
          <x:t xml:space="preserve">share</x:t>
        </x:is>
      </x:c>
      <x:c r="G105" s="9" t="inlineStr">
        <x:is>
          <x:t xml:space="preserve">Approved</x:t>
        </x:is>
      </x:c>
      <x:c r="H105" s="23" t="inlineStr">
        <x:is>
          <x:t xml:space="preserve">OPEN-020-10: oil, rail and ports, telegraph and cable, power companies, canal shipping. Compare the Suez shares (44%), Anglo-Persian (51%), the South Manchuria Railway (50%), CFP (about 25%).</x:t>
        </x:is>
      </x:c>
    </x:row>
    <x:row r="106">
      <x:c r="B106" s="9" t="inlineStr">
        <x:is>
          <x:t xml:space="preserve">Crown share in competitive industries (with a golden share)</x:t>
        </x:is>
      </x:c>
      <x:c r="C106" s="37" t="n">
        <x:v>0.08</x:v>
      </x:c>
      <x:c r="D106" s="37" t="n">
        <x:v>0.08</x:v>
      </x:c>
      <x:c r="E106" s="34" t="n">
        <x:f>IF(case_sel=1,C106,D106)</x:f>
        <x:v>0.08</x:v>
      </x:c>
      <x:c r="F106" s="9" t="inlineStr">
        <x:is>
          <x:t xml:space="preserve">share</x:t>
        </x:is>
      </x:c>
      <x:c r="G106" s="9" t="inlineStr">
        <x:is>
          <x:t xml:space="preserve">Approved</x:t>
        </x:is>
      </x:c>
      <x:c r="H106" s="23" t="inlineStr">
        <x:is>
          <x:t xml:space="preserve">OPEN-020-10: steel, cars, chemicals, electrical equipment, film, aircraft; the price of Polytechnic patents. Compare Lower Saxony's 20% of Volkswagen.</x:t>
        </x:is>
      </x:c>
    </x:row>
    <x:row r="107">
      <x:c r="B107" s="9" t="inlineStr">
        <x:is>
          <x:t xml:space="preserve">Share of profits paid out as dividends</x:t>
        </x:is>
      </x:c>
      <x:c r="C107" s="33" t="n">
        <x:v>0.5</x:v>
      </x:c>
      <x:c r="D107" s="33" t="n">
        <x:v>0.5</x:v>
      </x:c>
      <x:c r="E107" s="34" t="n">
        <x:f>IF(case_sel=1,C107,D107)</x:f>
        <x:v>0.5</x:v>
      </x:c>
      <x:c r="F107" s="9" t="inlineStr">
        <x:is>
          <x:t xml:space="preserve">share</x:t>
        </x:is>
      </x:c>
      <x:c r="G107" s="9" t="inlineStr">
        <x:is>
          <x:t xml:space="preserve">Model estimate</x:t>
        </x:is>
      </x:c>
      <x:c r="H107" s="23" t="inlineStr">
        <x:is>
          <x:t xml:space="preserve"/>
        </x:is>
      </x:c>
    </x:row>
    <x:row r="108">
      <x:c r="B108" s="9" t="inlineStr">
        <x:is>
          <x:t xml:space="preserve">First year the Crown share pays</x:t>
        </x:is>
      </x:c>
      <x:c r="C108" s="42" t="n">
        <x:v>1880</x:v>
      </x:c>
      <x:c r="D108" s="42" t="n">
        <x:v>1880</x:v>
      </x:c>
      <x:c r="E108" s="41" t="n">
        <x:f>IF(case_sel=1,C108,D108)</x:f>
        <x:v>1880</x:v>
      </x:c>
      <x:c r="F108" s="9" t="inlineStr">
        <x:is>
          <x:t xml:space="preserve">year</x:t>
        </x:is>
      </x:c>
      <x:c r="G108" s="9" t="inlineStr">
        <x:is>
          <x:t xml:space="preserve">Proposed</x:t>
        </x:is>
      </x:c>
      <x:c r="H108" s="23" t="inlineStr">
        <x:is>
          <x:t xml:space="preserve"/>
        </x:is>
      </x:c>
    </x:row>
    <x:row r="109">
      <x:c r="B109" s="7" t="inlineStr">
        <x:is>
          <x:t xml:space="preserve">— CR-020 B10: talent migration and jobs —</x:t>
        </x:is>
      </x:c>
      <x:c r="C109" s="8" t="n"/>
      <x:c r="D109" s="8" t="n"/>
      <x:c r="E109" s="8" t="n"/>
      <x:c r="F109" s="8" t="n"/>
      <x:c r="G109" s="8" t="n"/>
      <x:c r="H109" s="8" t="n"/>
    </x:row>
    <x:row r="110">
      <x:c r="B110" s="9" t="inlineStr">
        <x:is>
          <x:t xml:space="preserve">Migration responds to Pacifica's lead (1 = on)</x:t>
        </x:is>
      </x:c>
      <x:c r="C110" s="40" t="n">
        <x:v>1</x:v>
      </x:c>
      <x:c r="D110" s="40" t="n">
        <x:v>1</x:v>
      </x:c>
      <x:c r="E110" s="41" t="n">
        <x:f>IF(case_sel=1,C110,D110)</x:f>
        <x:v>1</x:v>
      </x:c>
      <x:c r="F110" s="9" t="inlineStr">
        <x:is>
          <x:t xml:space="preserve">switch</x:t>
        </x:is>
      </x:c>
      <x:c r="G110" s="9" t="inlineStr">
        <x:is>
          <x:t xml:space="preserve">Proposed</x:t>
        </x:is>
      </x:c>
      <x:c r="H110" s="23" t="inlineStr">
        <x:is>
          <x:t xml:space="preserve">CR-020 B10: skilled people, their relatives and workers for new jobs come because Pacifica pays more.</x:t>
        </x:is>
      </x:c>
    </x:row>
    <x:row r="111">
      <x:c r="B111" s="9" t="inlineStr">
        <x:is>
          <x:t xml:space="preserve">First year of the skilled-entry programme</x:t>
        </x:is>
      </x:c>
      <x:c r="C111" s="42" t="n">
        <x:v>1880</x:v>
      </x:c>
      <x:c r="D111" s="42" t="n">
        <x:v>1880</x:v>
      </x:c>
      <x:c r="E111" s="41" t="n">
        <x:f>IF(case_sel=1,C111,D111)</x:f>
        <x:v>1880</x:v>
      </x:c>
      <x:c r="F111" s="9" t="inlineStr">
        <x:is>
          <x:t xml:space="preserve">year</x:t>
        </x:is>
      </x:c>
      <x:c r="G111" s="9" t="inlineStr">
        <x:is>
          <x:t xml:space="preserve">Proposed</x:t>
        </x:is>
      </x:c>
      <x:c r="H111" s="23" t="inlineStr">
        <x:is>
          <x:t xml:space="preserve"/>
        </x:is>
      </x:c>
    </x:row>
    <x:row r="112">
      <x:c r="B112" s="9" t="inlineStr">
        <x:is>
          <x:t xml:space="preserve">Lead over the US that the baseline arrival paths assume</x:t>
        </x:is>
      </x:c>
      <x:c r="C112" s="35" t="n">
        <x:v>1.5</x:v>
      </x:c>
      <x:c r="D112" s="35" t="n">
        <x:v>1.5</x:v>
      </x:c>
      <x:c r="E112" s="32" t="n">
        <x:f>IF(case_sel=1,C112,D112)</x:f>
        <x:v>1.5</x:v>
      </x:c>
      <x:c r="F112" s="9" t="inlineStr">
        <x:is>
          <x:t xml:space="preserve">×</x:t>
        </x:is>
      </x:c>
      <x:c r="G112" s="9" t="inlineStr">
        <x:is>
          <x:t xml:space="preserve">Model estimate</x:t>
        </x:is>
      </x:c>
      <x:c r="H112" s="23" t="inlineStr">
        <x:is>
          <x:t xml:space="preserve"/>
        </x:is>
      </x:c>
    </x:row>
    <x:row r="113">
      <x:c r="B113" s="9" t="inlineStr">
        <x:is>
          <x:t xml:space="preserve">Skilled share of the Union's workforce</x:t>
        </x:is>
      </x:c>
      <x:c r="C113" s="33" t="n">
        <x:v>0.12</x:v>
      </x:c>
      <x:c r="D113" s="33" t="n">
        <x:v>0.12</x:v>
      </x:c>
      <x:c r="E113" s="34" t="n">
        <x:f>IF(case_sel=1,C113,D113)</x:f>
        <x:v>0.12</x:v>
      </x:c>
      <x:c r="F113" s="9" t="inlineStr">
        <x:is>
          <x:t xml:space="preserve">share</x:t>
        </x:is>
      </x:c>
      <x:c r="G113" s="9" t="inlineStr">
        <x:is>
          <x:t xml:space="preserve">Model estimate</x:t>
        </x:is>
      </x:c>
      <x:c r="H113" s="23" t="inlineStr">
        <x:is>
          <x:t xml:space="preserve">Professionals, technicians, skilled crafts.</x:t>
        </x:is>
      </x:c>
    </x:row>
    <x:row r="114">
      <x:c r="B114" s="9" t="inlineStr">
        <x:is>
          <x:t xml:space="preserve">Union skilled workers leaving per year, per unit of extra lead</x:t>
        </x:is>
      </x:c>
      <x:c r="C114" s="37" t="n">
        <x:v>0.01</x:v>
      </x:c>
      <x:c r="D114" s="37" t="n">
        <x:v>0.006</x:v>
      </x:c>
      <x:c r="E114" s="34" t="n">
        <x:f>IF(case_sel=1,C114,D114)</x:f>
        <x:v>0.01</x:v>
      </x:c>
      <x:c r="F114" s="9" t="inlineStr">
        <x:is>
          <x:t xml:space="preserve">share</x:t>
        </x:is>
      </x:c>
      <x:c r="G114" s="9" t="inlineStr">
        <x:is>
          <x:t xml:space="preserve">Model estimate</x:t>
        </x:is>
      </x:c>
      <x:c r="H114" s="23" t="inlineStr">
        <x:is>
          <x:t xml:space="preserve">At a lead 0.5 beyond the baseline, 0.5% of the Union's skilled workers leave each year. East Germany lost about 1.2% of all its people a year before 1961.</x:t>
        </x:is>
      </x:c>
    </x:row>
    <x:row r="115">
      <x:c r="B115" s="9" t="inlineStr">
        <x:is>
          <x:t xml:space="preserve">Share of Europe's and Asia's skilled emigrants drawn, per unit of extra lead</x:t>
        </x:is>
      </x:c>
      <x:c r="C115" s="33" t="n">
        <x:v>0.27</x:v>
      </x:c>
      <x:c r="D115" s="33" t="n">
        <x:v>0.15</x:v>
      </x:c>
      <x:c r="E115" s="34" t="n">
        <x:f>IF(case_sel=1,C115,D115)</x:f>
        <x:v>0.27</x:v>
      </x:c>
      <x:c r="F115" s="9" t="inlineStr">
        <x:is>
          <x:t xml:space="preserve">share</x:t>
        </x:is>
      </x:c>
      <x:c r="G115" s="9" t="inlineStr">
        <x:is>
          <x:t xml:space="preserve">Model estimate</x:t>
        </x:is>
      </x:c>
      <x:c r="H115" s="23" t="inlineStr">
        <x:is>
          <x:t xml:space="preserve"/>
        </x:is>
      </x:c>
    </x:row>
    <x:row r="116">
      <x:c r="B116" s="9" t="inlineStr">
        <x:is>
          <x:t xml:space="preserve">Skilled-entry places / residents</x:t>
        </x:is>
      </x:c>
      <x:c r="C116" s="43" t="n">
        <x:v>0.003</x:v>
      </x:c>
      <x:c r="D116" s="43" t="n">
        <x:v>0.0015</x:v>
      </x:c>
      <x:c r="E116" s="39" t="n">
        <x:f>IF(case_sel=1,C116,D116)</x:f>
        <x:v>0.003</x:v>
      </x:c>
      <x:c r="F116" s="9" t="inlineStr">
        <x:is>
          <x:t xml:space="preserve">share</x:t>
        </x:is>
      </x:c>
      <x:c r="G116" s="9" t="inlineStr">
        <x:is>
          <x:t xml:space="preserve">Proposed</x:t>
        </x:is>
      </x:c>
      <x:c r="H116" s="23" t="inlineStr">
        <x:is>
          <x:t xml:space="preserve">Pacifica's own ceiling on the programme. At 0.3% it stops binding in the late 1920s: everyone who qualifies and wants to come is admitted.</x:t>
        </x:is>
      </x:c>
    </x:row>
    <x:row r="117">
      <x:c r="B117" s="9" t="inlineStr">
        <x:is>
          <x:t xml:space="preserve">People per skilled worker admitted (with family)</x:t>
        </x:is>
      </x:c>
      <x:c r="C117" s="35" t="n">
        <x:v>2.2</x:v>
      </x:c>
      <x:c r="D117" s="35" t="n">
        <x:v>2.2</x:v>
      </x:c>
      <x:c r="E117" s="32" t="n">
        <x:f>IF(case_sel=1,C117,D117)</x:f>
        <x:v>2.2</x:v>
      </x:c>
      <x:c r="F117" s="9" t="inlineStr">
        <x:is>
          <x:t xml:space="preserve">×</x:t>
        </x:is>
      </x:c>
      <x:c r="G117" s="9" t="inlineStr">
        <x:is>
          <x:t xml:space="preserve">Model estimate</x:t>
        </x:is>
      </x:c>
      <x:c r="H117" s="23" t="inlineStr">
        <x:is>
          <x:t xml:space="preserve"/>
        </x:is>
      </x:c>
    </x:row>
    <x:row r="118">
      <x:c r="B118" s="9" t="inlineStr">
        <x:is>
          <x:t xml:space="preserve">Relatives following per year, per talent migrant in Pacifica</x:t>
        </x:is>
      </x:c>
      <x:c r="C118" s="33" t="n">
        <x:v>0.015</x:v>
      </x:c>
      <x:c r="D118" s="33" t="n">
        <x:v>0.008</x:v>
      </x:c>
      <x:c r="E118" s="34" t="n">
        <x:f>IF(case_sel=1,C118,D118)</x:f>
        <x:v>0.015</x:v>
      </x:c>
      <x:c r="F118" s="9" t="inlineStr">
        <x:is>
          <x:t xml:space="preserve">share</x:t>
        </x:is>
      </x:c>
      <x:c r="G118" s="9" t="inlineStr">
        <x:is>
          <x:t xml:space="preserve">Model estimate</x:t>
        </x:is>
      </x:c>
      <x:c r="H118" s="23" t="inlineStr">
        <x:is>
          <x:t xml:space="preserve"/>
        </x:is>
      </x:c>
    </x:row>
    <x:row r="119">
      <x:c r="B119" s="9" t="inlineStr">
        <x:is>
          <x:t xml:space="preserve">Output of a talent migrant vs an average worker</x:t>
        </x:is>
      </x:c>
      <x:c r="C119" s="35" t="n">
        <x:v>2</x:v>
      </x:c>
      <x:c r="D119" s="35" t="n">
        <x:v>1.7</x:v>
      </x:c>
      <x:c r="E119" s="32" t="n">
        <x:f>IF(case_sel=1,C119,D119)</x:f>
        <x:v>2</x:v>
      </x:c>
      <x:c r="F119" s="9" t="inlineStr">
        <x:is>
          <x:t xml:space="preserve">×</x:t>
        </x:is>
      </x:c>
      <x:c r="G119" s="9" t="inlineStr">
        <x:is>
          <x:t xml:space="preserve">Model estimate</x:t>
        </x:is>
      </x:c>
      <x:c r="H119" s="23" t="inlineStr">
        <x:is>
          <x:t xml:space="preserve">Selected for skill: engineers, chemists, doctors, master machinists.</x:t>
        </x:is>
      </x:c>
    </x:row>
    <x:row r="120">
      <x:c r="B120" s="9" t="inlineStr">
        <x:is>
          <x:t xml:space="preserve">Extra output of others per talent migrant (× average worker)</x:t>
        </x:is>
      </x:c>
      <x:c r="C120" s="35" t="n">
        <x:v>0.3</x:v>
      </x:c>
      <x:c r="D120" s="35" t="n">
        <x:v>0.15</x:v>
      </x:c>
      <x:c r="E120" s="32" t="n">
        <x:f>IF(case_sel=1,C120,D120)</x:f>
        <x:v>0.3</x:v>
      </x:c>
      <x:c r="F120" s="9" t="inlineStr">
        <x:is>
          <x:t xml:space="preserve">×</x:t>
        </x:is>
      </x:c>
      <x:c r="G120" s="9" t="inlineStr">
        <x:is>
          <x:t xml:space="preserve">Model estimate</x:t>
        </x:is>
      </x:c>
      <x:c r="H120" s="23" t="inlineStr">
        <x:is>
          <x:t xml:space="preserve">Ideas, firms founded, apprentices trained.</x:t>
        </x:is>
      </x:c>
    </x:row>
    <x:row r="121">
      <x:c r="B121" s="9" t="inlineStr">
        <x:is>
          <x:t xml:space="preserve">Talent stock retiring or dying each year</x:t>
        </x:is>
      </x:c>
      <x:c r="C121" s="33" t="n">
        <x:v>0.025</x:v>
      </x:c>
      <x:c r="D121" s="33" t="n">
        <x:v>0.025</x:v>
      </x:c>
      <x:c r="E121" s="34" t="n">
        <x:f>IF(case_sel=1,C121,D121)</x:f>
        <x:v>0.025</x:v>
      </x:c>
      <x:c r="F121" s="9" t="inlineStr">
        <x:is>
          <x:t xml:space="preserve">share</x:t>
        </x:is>
      </x:c>
      <x:c r="G121" s="9" t="inlineStr">
        <x:is>
          <x:t xml:space="preserve">Model estimate</x:t>
        </x:is>
      </x:c>
      <x:c r="H121" s="23" t="inlineStr">
        <x:is>
          <x:t xml:space="preserve"/>
        </x:is>
      </x:c>
    </x:row>
    <x:row r="122">
      <x:c r="B122" s="9" t="inlineStr">
        <x:is>
          <x:t xml:space="preserve">Pacifica's own skilled share of the workforce</x:t>
        </x:is>
      </x:c>
      <x:c r="C122" s="33" t="n">
        <x:v>0.15</x:v>
      </x:c>
      <x:c r="D122" s="33" t="n">
        <x:v>0.15</x:v>
      </x:c>
      <x:c r="E122" s="34" t="n">
        <x:f>IF(case_sel=1,C122,D122)</x:f>
        <x:v>0.15</x:v>
      </x:c>
      <x:c r="F122" s="9" t="inlineStr">
        <x:is>
          <x:t xml:space="preserve">share</x:t>
        </x:is>
      </x:c>
      <x:c r="G122" s="9" t="inlineStr">
        <x:is>
          <x:t xml:space="preserve">Model estimate</x:t>
        </x:is>
      </x:c>
      <x:c r="H122" s="23" t="inlineStr">
        <x:is>
          <x:t xml:space="preserve"/>
        </x:is>
      </x:c>
    </x:row>
    <x:row r="123">
      <x:c r="B123" s="9" t="inlineStr">
        <x:is>
          <x:t xml:space="preserve">Rise in the champions per rise in the skilled workforce</x:t>
        </x:is>
      </x:c>
      <x:c r="C123" s="35" t="n">
        <x:v>0.3</x:v>
      </x:c>
      <x:c r="D123" s="35" t="n">
        <x:v>0.15</x:v>
      </x:c>
      <x:c r="E123" s="32" t="n">
        <x:f>IF(case_sel=1,C123,D123)</x:f>
        <x:v>0.3</x:v>
      </x:c>
      <x:c r="F123" s="9" t="inlineStr">
        <x:is>
          <x:t xml:space="preserve">×</x:t>
        </x:is>
      </x:c>
      <x:c r="G123" s="9" t="inlineStr">
        <x:is>
          <x:t xml:space="preserve">Model estimate</x:t>
        </x:is>
      </x:c>
      <x:c r="H123" s="23" t="inlineStr">
        <x:is>
          <x:t xml:space="preserve"/>
        </x:is>
      </x:c>
    </x:row>
    <x:row r="124">
      <x:c r="B124" s="9" t="inlineStr">
        <x:is>
          <x:t xml:space="preserve">Labour force / residents</x:t>
        </x:is>
      </x:c>
      <x:c r="C124" s="33" t="n">
        <x:v>0.42</x:v>
      </x:c>
      <x:c r="D124" s="33" t="n">
        <x:v>0.42</x:v>
      </x:c>
      <x:c r="E124" s="34" t="n">
        <x:f>IF(case_sel=1,C124,D124)</x:f>
        <x:v>0.42</x:v>
      </x:c>
      <x:c r="F124" s="9" t="inlineStr">
        <x:is>
          <x:t xml:space="preserve">share</x:t>
        </x:is>
      </x:c>
      <x:c r="G124" s="9" t="inlineStr">
        <x:is>
          <x:t xml:space="preserve">Model estimate</x:t>
        </x:is>
      </x:c>
      <x:c r="H124" s="23" t="inlineStr">
        <x:is>
          <x:t xml:space="preserve"/>
        </x:is>
      </x:c>
    </x:row>
    <x:row r="125">
      <x:c r="B125" s="9" t="inlineStr">
        <x:is>
          <x:t xml:space="preserve">Related jobs per champion job</x:t>
        </x:is>
      </x:c>
      <x:c r="C125" s="35" t="n">
        <x:v>0.7</x:v>
      </x:c>
      <x:c r="D125" s="35" t="n">
        <x:v>0.5</x:v>
      </x:c>
      <x:c r="E125" s="32" t="n">
        <x:f>IF(case_sel=1,C125,D125)</x:f>
        <x:v>0.7</x:v>
      </x:c>
      <x:c r="F125" s="9" t="inlineStr">
        <x:is>
          <x:t xml:space="preserve">×</x:t>
        </x:is>
      </x:c>
      <x:c r="G125" s="9" t="inlineStr">
        <x:is>
          <x:t xml:space="preserve">Model estimate</x:t>
        </x:is>
      </x:c>
      <x:c r="H125" s="23" t="inlineStr">
        <x:is>
          <x:t xml:space="preserve">Suppliers, services, construction.</x:t>
        </x:is>
      </x:c>
    </x:row>
    <x:row r="126">
      <x:c r="B126" s="9" t="inlineStr">
        <x:is>
          <x:t xml:space="preserve">Share of new champion-related jobs filled by new arrivals</x:t>
        </x:is>
      </x:c>
      <x:c r="C126" s="33" t="n">
        <x:v>0.35</x:v>
      </x:c>
      <x:c r="D126" s="33" t="n">
        <x:v>0.25</x:v>
      </x:c>
      <x:c r="E126" s="34" t="n">
        <x:f>IF(case_sel=1,C126,D126)</x:f>
        <x:v>0.35</x:v>
      </x:c>
      <x:c r="F126" s="9" t="inlineStr">
        <x:is>
          <x:t xml:space="preserve">share</x:t>
        </x:is>
      </x:c>
      <x:c r="G126" s="9" t="inlineStr">
        <x:is>
          <x:t xml:space="preserve">Model estimate</x:t>
        </x:is>
      </x:c>
      <x:c r="H126" s="23" t="inlineStr">
        <x:is>
          <x:t xml:space="preserve"/>
        </x:is>
      </x:c>
    </x:row>
    <x:row r="127">
      <x:c r="B127" s="9" t="inlineStr">
        <x:is>
          <x:t xml:space="preserve">Share of lost champion-related jobs whose workers leave</x:t>
        </x:is>
      </x:c>
      <x:c r="C127" s="33" t="n">
        <x:v>0.3</x:v>
      </x:c>
      <x:c r="D127" s="33" t="n">
        <x:v>0.3</x:v>
      </x:c>
      <x:c r="E127" s="34" t="n">
        <x:f>IF(case_sel=1,C127,D127)</x:f>
        <x:v>0.3</x:v>
      </x:c>
      <x:c r="F127" s="9" t="inlineStr">
        <x:is>
          <x:t xml:space="preserve">share</x:t>
        </x:is>
      </x:c>
      <x:c r="G127" s="9" t="inlineStr">
        <x:is>
          <x:t xml:space="preserve">Model estimate</x:t>
        </x:is>
      </x:c>
      <x:c r="H127" s="23" t="inlineStr">
        <x:is>
          <x:t xml:space="preserve"/>
        </x:is>
      </x:c>
    </x:row>
    <x:row r="128">
      <x:c r="B128" s="9" t="inlineStr">
        <x:is>
          <x:t xml:space="preserve">People per worker arriving for a job</x:t>
        </x:is>
      </x:c>
      <x:c r="C128" s="35" t="n">
        <x:v>1.8</x:v>
      </x:c>
      <x:c r="D128" s="35" t="n">
        <x:v>1.8</x:v>
      </x:c>
      <x:c r="E128" s="32" t="n">
        <x:f>IF(case_sel=1,C128,D128)</x:f>
        <x:v>1.8</x:v>
      </x:c>
      <x:c r="F128" s="9" t="inlineStr">
        <x:is>
          <x:t xml:space="preserve">×</x:t>
        </x:is>
      </x:c>
      <x:c r="G128" s="9" t="inlineStr">
        <x:is>
          <x:t xml:space="preserve">Model estimate</x:t>
        </x:is>
      </x:c>
      <x:c r="H128" s="23" t="inlineStr">
        <x:is>
          <x:t xml:space="preserve"/>
        </x:is>
      </x:c>
    </x:row>
    <x:row r="129">
      <x:c r="B129" s="9" t="inlineStr">
        <x:is>
          <x:t xml:space="preserve">Share of the champions' business taken from Union firms</x:t>
        </x:is>
      </x:c>
      <x:c r="C129" s="33" t="n">
        <x:v>0.3</x:v>
      </x:c>
      <x:c r="D129" s="33" t="n">
        <x:v>0.2</x:v>
      </x:c>
      <x:c r="E129" s="34" t="n">
        <x:f>IF(case_sel=1,C129,D129)</x:f>
        <x:v>0.3</x:v>
      </x:c>
      <x:c r="F129" s="9" t="inlineStr">
        <x:is>
          <x:t xml:space="preserve">share</x:t>
        </x:is>
      </x:c>
      <x:c r="G129" s="9" t="inlineStr">
        <x:is>
          <x:t xml:space="preserve">Model estimate</x:t>
        </x:is>
      </x:c>
      <x:c r="H129" s="23" t="inlineStr">
        <x:is>
          <x:t xml:space="preserve"/>
        </x:is>
      </x:c>
    </x:row>
    <x:row r="130">
      <x:c r="B130" s="9" t="inlineStr">
        <x:is>
          <x:t xml:space="preserve">Displaced Union workers re-employed each year (not in 1930-32)</x:t>
        </x:is>
      </x:c>
      <x:c r="C130" s="33" t="n">
        <x:v>0.25</x:v>
      </x:c>
      <x:c r="D130" s="33" t="n">
        <x:v>0.25</x:v>
      </x:c>
      <x:c r="E130" s="34" t="n">
        <x:f>IF(case_sel=1,C130,D130)</x:f>
        <x:v>0.25</x:v>
      </x:c>
      <x:c r="F130" s="9" t="inlineStr">
        <x:is>
          <x:t xml:space="preserve">share</x:t>
        </x:is>
      </x:c>
      <x:c r="G130" s="9" t="inlineStr">
        <x:is>
          <x:t xml:space="preserve">Model estimate</x:t>
        </x:is>
      </x:c>
      <x:c r="H130" s="23" t="inlineStr">
        <x:is>
          <x:t xml:space="preserve"/>
        </x:is>
      </x:c>
    </x:row>
    <x:row r="131">
      <x:c r="B131" s="9" t="inlineStr">
        <x:is>
          <x:t xml:space="preserve">Pacifica's normal unemployment rate</x:t>
        </x:is>
      </x:c>
      <x:c r="C131" s="33" t="n">
        <x:v>0.015</x:v>
      </x:c>
      <x:c r="D131" s="33" t="n">
        <x:v>0.025</x:v>
      </x:c>
      <x:c r="E131" s="34" t="n">
        <x:f>IF(case_sel=1,C131,D131)</x:f>
        <x:v>0.015</x:v>
      </x:c>
      <x:c r="F131" s="9" t="inlineStr">
        <x:is>
          <x:t xml:space="preserve">share</x:t>
        </x:is>
      </x:c>
      <x:c r="G131" s="9" t="inlineStr">
        <x:is>
          <x:t xml:space="preserve">Model estimate</x:t>
        </x:is>
      </x:c>
      <x:c r="H131" s="23" t="inlineStr">
        <x:is>
          <x:t xml:space="preserve">Frictional only: vacancies are filled from abroad through the permit system. Switzerland ran about 0.5% and Singapore about 2% in comparable labour-short decades.</x:t>
        </x:is>
      </x:c>
    </x:row>
    <x:row r="132">
      <x:c r="B132" s="9" t="inlineStr">
        <x:is>
          <x:t xml:space="preserve">Normal unemployment in war years (× normal)</x:t>
        </x:is>
      </x:c>
      <x:c r="C132" s="35" t="n">
        <x:v>0.6</x:v>
      </x:c>
      <x:c r="D132" s="35" t="n">
        <x:v>0.6</x:v>
      </x:c>
      <x:c r="E132" s="32" t="n">
        <x:f>IF(case_sel=1,C132,D132)</x:f>
        <x:v>0.6</x:v>
      </x:c>
      <x:c r="F132" s="9" t="inlineStr">
        <x:is>
          <x:t xml:space="preserve">×</x:t>
        </x:is>
      </x:c>
      <x:c r="G132" s="9" t="inlineStr">
        <x:is>
          <x:t xml:space="preserve">Model estimate</x:t>
        </x:is>
      </x:c>
      <x:c r="H132" s="23" t="inlineStr">
        <x:is>
          <x:t xml:space="preserve">Munitions, shipyards and the services absorb the slack.</x:t>
        </x:is>
      </x:c>
    </x:row>
    <x:row r="133">
      <x:c r="B133" s="9" t="inlineStr">
        <x:is>
          <x:t xml:space="preserve">Unemployment rise per point of output below trend</x:t>
        </x:is>
      </x:c>
      <x:c r="C133" s="35" t="n">
        <x:v>0.5</x:v>
      </x:c>
      <x:c r="D133" s="35" t="n">
        <x:v>0.5</x:v>
      </x:c>
      <x:c r="E133" s="32" t="n">
        <x:f>IF(case_sel=1,C133,D133)</x:f>
        <x:v>0.5</x:v>
      </x:c>
      <x:c r="F133" s="9" t="inlineStr">
        <x:is>
          <x:t xml:space="preserve">×</x:t>
        </x:is>
      </x:c>
      <x:c r="G133" s="9" t="inlineStr">
        <x:is>
          <x:t xml:space="preserve">Model estimate</x:t>
        </x:is>
      </x:c>
      <x:c r="H133" s="23" t="inlineStr">
        <x:is>
          <x:t xml:space="preserve">Okun's rule.</x:t>
        </x:is>
      </x:c>
    </x:row>
    <x:row r="134">
      <x:c r="B134" s="9" t="inlineStr">
        <x:is>
          <x:t xml:space="preserve">Recruiting cost per skilled worker (1913 $)</x:t>
        </x:is>
      </x:c>
      <x:c r="C134" s="29" t="n">
        <x:v>400</x:v>
      </x:c>
      <x:c r="D134" s="29" t="n">
        <x:v>400</x:v>
      </x:c>
      <x:c r="E134" s="30" t="n">
        <x:f>IF(case_sel=1,C134,D134)</x:f>
        <x:v>400</x:v>
      </x:c>
      <x:c r="F134" s="9" t="inlineStr">
        <x:is>
          <x:t xml:space="preserve">$</x:t>
        </x:is>
      </x:c>
      <x:c r="G134" s="9" t="inlineStr">
        <x:is>
          <x:t xml:space="preserve">Model estimate</x:t>
        </x:is>
      </x:c>
      <x:c r="H134" s="23" t="inlineStr">
        <x:is>
          <x:t xml:space="preserve">Chairs, laboratories, passage, housing loans.</x:t>
        </x:is>
      </x:c>
    </x:row>
    <x:row r="135">
      <x:c r="B135" s="7" t="inlineStr">
        <x:is>
          <x:t xml:space="preserve">— CR-020 B12: the Union as a modelled economy —</x:t>
        </x:is>
      </x:c>
      <x:c r="C135" s="8" t="n"/>
      <x:c r="D135" s="8" t="n"/>
      <x:c r="E135" s="8" t="n"/>
      <x:c r="F135" s="8" t="n"/>
      <x:c r="G135" s="8" t="n"/>
      <x:c r="H135" s="8" t="n"/>
    </x:row>
    <x:row r="136">
      <x:c r="B136" s="9" t="inlineStr">
        <x:is>
          <x:t xml:space="preserve">Pacifica diverts part of the Union's European immigration (1 = on)</x:t>
        </x:is>
      </x:c>
      <x:c r="C136" s="40" t="n">
        <x:v>1</x:v>
      </x:c>
      <x:c r="D136" s="40" t="n">
        <x:v>1</x:v>
      </x:c>
      <x:c r="E136" s="41" t="n">
        <x:f>IF(case_sel=1,C136,D136)</x:f>
        <x:v>1</x:v>
      </x:c>
      <x:c r="F136" s="9" t="inlineStr">
        <x:is>
          <x:t xml:space="preserve">switch</x:t>
        </x:is>
      </x:c>
      <x:c r="G136" s="9" t="inlineStr">
        <x:is>
          <x:t xml:space="preserve">Proposed</x:t>
        </x:is>
      </x:c>
      <x:c r="H136" s="23" t="inlineStr">
        <x:is>
          <x:t xml:space="preserve">CR-020 B12: Europeans who would have gone to New York sail for San Francisco instead.</x:t>
        </x:is>
      </x:c>
    </x:row>
    <x:row r="137">
      <x:c r="B137" s="9" t="inlineStr">
        <x:is>
          <x:t xml:space="preserve">First year of diversion</x:t>
        </x:is>
      </x:c>
      <x:c r="C137" s="42" t="n">
        <x:v>1880</x:v>
      </x:c>
      <x:c r="D137" s="42" t="n">
        <x:v>1880</x:v>
      </x:c>
      <x:c r="E137" s="41" t="n">
        <x:f>IF(case_sel=1,C137,D137)</x:f>
        <x:v>1880</x:v>
      </x:c>
      <x:c r="F137" s="9" t="inlineStr">
        <x:is>
          <x:t xml:space="preserve">year</x:t>
        </x:is>
      </x:c>
      <x:c r="G137" s="9" t="inlineStr">
        <x:is>
          <x:t xml:space="preserve">Model estimate</x:t>
        </x:is>
      </x:c>
      <x:c r="H137" s="23" t="inlineStr">
        <x:is>
          <x:t xml:space="preserve">Once the Polytechnic and the oil programme make Pacifica's lead visible in Europe.</x:t>
        </x:is>
      </x:c>
    </x:row>
    <x:row r="138">
      <x:c r="B138" s="9" t="inlineStr">
        <x:is>
          <x:t xml:space="preserve">Share of US-bound immigrants diverted, per unit of extra lead</x:t>
        </x:is>
      </x:c>
      <x:c r="C138" s="33" t="n">
        <x:v>0.25</x:v>
      </x:c>
      <x:c r="D138" s="33" t="n">
        <x:v>0.15</x:v>
      </x:c>
      <x:c r="E138" s="34" t="n">
        <x:f>IF(case_sel=1,C138,D138)</x:f>
        <x:v>0.25</x:v>
      </x:c>
      <x:c r="F138" s="9" t="inlineStr">
        <x:is>
          <x:t xml:space="preserve">share</x:t>
        </x:is>
      </x:c>
      <x:c r="G138" s="9" t="inlineStr">
        <x:is>
          <x:t xml:space="preserve">Model estimate</x:t>
        </x:is>
      </x:c>
      <x:c r="H138" s="23" t="inlineStr">
        <x:is>
          <x:t xml:space="preserve"/>
        </x:is>
      </x:c>
    </x:row>
    <x:row r="139">
      <x:c r="B139" s="9" t="inlineStr">
        <x:is>
          <x:t xml:space="preserve">Largest share diverted</x:t>
        </x:is>
      </x:c>
      <x:c r="C139" s="37" t="n">
        <x:v>0.2</x:v>
      </x:c>
      <x:c r="D139" s="37" t="n">
        <x:v>0.12</x:v>
      </x:c>
      <x:c r="E139" s="34" t="n">
        <x:f>IF(case_sel=1,C139,D139)</x:f>
        <x:v>0.2</x:v>
      </x:c>
      <x:c r="F139" s="9" t="inlineStr">
        <x:is>
          <x:t xml:space="preserve">share</x:t>
        </x:is>
      </x:c>
      <x:c r="G139" s="9" t="inlineStr">
        <x:is>
          <x:t xml:space="preserve">Model estimate</x:t>
        </x:is>
      </x:c>
      <x:c r="H139" s="23" t="inlineStr">
        <x:is>
          <x:t xml:space="preserve">Distance and passage cost: Hamburg or Naples to San Francisco is four to six weeks longer than to New York.</x:t>
        </x:is>
      </x:c>
    </x:row>
    <x:row r="140">
      <x:c r="B140" s="9" t="inlineStr">
        <x:is>
          <x:t xml:space="preserve">First-generation diverted immigrant's output vs an average resident</x:t>
        </x:is>
      </x:c>
      <x:c r="C140" s="35" t="n">
        <x:v>0.75</x:v>
      </x:c>
      <x:c r="D140" s="35" t="n">
        <x:v>0.7</x:v>
      </x:c>
      <x:c r="E140" s="32" t="n">
        <x:f>IF(case_sel=1,C140,D140)</x:f>
        <x:v>0.75</x:v>
      </x:c>
      <x:c r="F140" s="9" t="inlineStr">
        <x:is>
          <x:t xml:space="preserve">×</x:t>
        </x:is>
      </x:c>
      <x:c r="G140" s="9" t="inlineStr">
        <x:is>
          <x:t xml:space="preserve">Model estimate</x:t>
        </x:is>
      </x:c>
      <x:c r="H140" s="23" t="inlineStr">
        <x:is>
          <x:t xml:space="preserve"/>
        </x:is>
      </x:c>
    </x:row>
    <x:row r="141">
      <x:c r="B141" s="9" t="inlineStr">
        <x:is>
          <x:t xml:space="preserve">Share of first-generation diverted immigrants who catch up each year</x:t>
        </x:is>
      </x:c>
      <x:c r="C141" s="33" t="n">
        <x:v>0.05</x:v>
      </x:c>
      <x:c r="D141" s="33" t="n">
        <x:v>0.04</x:v>
      </x:c>
      <x:c r="E141" s="34" t="n">
        <x:f>IF(case_sel=1,C141,D141)</x:f>
        <x:v>0.05</x:v>
      </x:c>
      <x:c r="F141" s="9" t="inlineStr">
        <x:is>
          <x:t xml:space="preserve">share</x:t>
        </x:is>
      </x:c>
      <x:c r="G141" s="9" t="inlineStr">
        <x:is>
          <x:t xml:space="preserve">Model estimate</x:t>
        </x:is>
      </x:c>
      <x:c r="H141" s="23" t="inlineStr">
        <x:is>
          <x:t xml:space="preserve"/>
        </x:is>
      </x:c>
    </x:row>
    <x:row r="142">
      <x:c r="B142" s="9" t="inlineStr">
        <x:is>
          <x:t xml:space="preserve">Union natural increase</x:t>
        </x:is>
      </x:c>
      <x:c r="C142" s="33" t="n">
        <x:v>0.013</x:v>
      </x:c>
      <x:c r="D142" s="33" t="n">
        <x:v>0.013</x:v>
      </x:c>
      <x:c r="E142" s="34" t="n">
        <x:f>IF(case_sel=1,C142,D142)</x:f>
        <x:v>0.013</x:v>
      </x:c>
      <x:c r="F142" s="9" t="inlineStr">
        <x:is>
          <x:t xml:space="preserve">share</x:t>
        </x:is>
      </x:c>
      <x:c r="G142" s="9" t="inlineStr">
        <x:is>
          <x:t xml:space="preserve">Model estimate</x:t>
        </x:is>
      </x:c>
      <x:c r="H142" s="23" t="inlineStr">
        <x:is>
          <x:t xml:space="preserve">For the children the missing people would have had there.</x:t>
        </x:is>
      </x:c>
    </x:row>
    <x:row r="143">
      <x:c r="B143" s="9" t="inlineStr">
        <x:is>
          <x:t xml:space="preserve">Union growth lost per unit share of its skilled workers gone</x:t>
        </x:is>
      </x:c>
      <x:c r="C143" s="31" t="n">
        <x:v>0.03</x:v>
      </x:c>
      <x:c r="D143" s="31" t="n">
        <x:v>0.015</x:v>
      </x:c>
      <x:c r="E143" s="32" t="n">
        <x:f>IF(case_sel=1,C143,D143)</x:f>
        <x:v>0.03</x:v>
      </x:c>
      <x:c r="F143" s="9" t="inlineStr">
        <x:is>
          <x:t xml:space="preserve">×</x:t>
        </x:is>
      </x:c>
      <x:c r="G143" s="9" t="inlineStr">
        <x:is>
          <x:t xml:space="preserve">Model estimate</x:t>
        </x:is>
      </x:c>
      <x:c r="H143" s="23" t="inlineStr">
        <x:is>
          <x:t xml:space="preserve">With 7% of its skilled workers in Pacifica, the Union grows about 0.2 points a year slower.</x:t>
        </x:is>
      </x:c>
    </x:row>
    <x:row r="144">
      <x:c r="B144" s="9" t="inlineStr">
        <x:is>
          <x:t xml:space="preserve">Union growth lost to Pacific trade and gold, per unit of Pacifica / Union GDP</x:t>
        </x:is>
      </x:c>
      <x:c r="C144" s="43" t="n">
        <x:v>0.003</x:v>
      </x:c>
      <x:c r="D144" s="43" t="n">
        <x:v>0.002</x:v>
      </x:c>
      <x:c r="E144" s="39" t="n">
        <x:f>IF(case_sel=1,C144,D144)</x:f>
        <x:v>0.003</x:v>
      </x:c>
      <x:c r="F144" s="9" t="inlineStr">
        <x:is>
          <x:t xml:space="preserve">share</x:t>
        </x:is>
      </x:c>
      <x:c r="G144" s="9" t="inlineStr">
        <x:is>
          <x:t xml:space="preserve">Model estimate</x:t>
        </x:is>
      </x:c>
      <x:c r="H144" s="23" t="inlineStr">
        <x:is>
          <x:t xml:space="preserve">At half the Union's size, Pacifica costs it about 0.15 points of growth a year; replaces the old fixed drag.</x:t>
        </x:is>
      </x:c>
    </x:row>
    <x:row r="145">
      <x:c r="B145" s="9" t="inlineStr">
        <x:is>
          <x:t xml:space="preserve">Share of guest workers who are Union citizens</x:t>
        </x:is>
      </x:c>
      <x:c r="C145" s="33" t="n">
        <x:v>0.2</x:v>
      </x:c>
      <x:c r="D145" s="33" t="n">
        <x:v>0.2</x:v>
      </x:c>
      <x:c r="E145" s="34" t="n">
        <x:f>IF(case_sel=1,C145,D145)</x:f>
        <x:v>0.2</x:v>
      </x:c>
      <x:c r="F145" s="9" t="inlineStr">
        <x:is>
          <x:t xml:space="preserve">share</x:t>
        </x:is>
      </x:c>
      <x:c r="G145" s="9" t="inlineStr">
        <x:is>
          <x:t xml:space="preserve">Model estimate</x:t>
        </x:is>
      </x:c>
      <x:c r="H145" s="23" t="inlineStr">
        <x:is>
          <x:t xml:space="preserve"/>
        </x:is>
      </x:c>
    </x:row>
    <x:row r="146">
      <x:c r="B146" s="7" t="inlineStr">
        <x:is>
          <x:t xml:space="preserve">— CR-020 B14: the partners catch up —</x:t>
        </x:is>
      </x:c>
      <x:c r="C146" s="8" t="n"/>
      <x:c r="D146" s="8" t="n"/>
      <x:c r="E146" s="8" t="n"/>
      <x:c r="F146" s="8" t="n"/>
      <x:c r="G146" s="8" t="n"/>
      <x:c r="H146" s="8" t="n"/>
    </x:row>
    <x:row r="147">
      <x:c r="B147" s="9" t="inlineStr">
        <x:is>
          <x:t xml:space="preserve">Share of the log gap to Pacifica a fully integrated partner closes each year</x:t>
        </x:is>
      </x:c>
      <x:c r="C147" s="37" t="n">
        <x:v>0.01</x:v>
      </x:c>
      <x:c r="D147" s="37" t="n">
        <x:v>0.006</x:v>
      </x:c>
      <x:c r="E147" s="34" t="n">
        <x:f>IF(case_sel=1,C147,D147)</x:f>
        <x:v>0.01</x:v>
      </x:c>
      <x:c r="F147" s="9" t="inlineStr">
        <x:is>
          <x:t xml:space="preserve">share</x:t>
        </x:is>
      </x:c>
      <x:c r="G147" s="9" t="inlineStr">
        <x:is>
          <x:t xml:space="preserve">Model estimate</x:t>
        </x:is>
      </x:c>
      <x:c r="H147" s="23" t="inlineStr">
        <x:is>
          <x:t xml:space="preserve">Conditional convergence: integrated regions close about 2% of the gap a year (Barro and Sala-i-Martin); separate states with open trade, capital and schools, about half of that.</x:t>
        </x:is>
      </x:c>
    </x:row>
    <x:row r="148">
      <x:c r="B148" s="9" t="inlineStr">
        <x:is>
          <x:t xml:space="preserve">Largest extra growth a year from catching up</x:t>
        </x:is>
      </x:c>
      <x:c r="C148" s="33" t="n">
        <x:v>0.03</x:v>
      </x:c>
      <x:c r="D148" s="33" t="n">
        <x:v>0.02</x:v>
      </x:c>
      <x:c r="E148" s="34" t="n">
        <x:f>IF(case_sel=1,C148,D148)</x:f>
        <x:v>0.03</x:v>
      </x:c>
      <x:c r="F148" s="9" t="inlineStr">
        <x:is>
          <x:t xml:space="preserve">share</x:t>
        </x:is>
      </x:c>
      <x:c r="G148" s="9" t="inlineStr">
        <x:is>
          <x:t xml:space="preserve">Model estimate</x:t>
        </x:is>
      </x:c>
      <x:c r="H148" s="23" t="inlineStr">
        <x:is>
          <x:t xml:space="preserve">Post-war Japan and Korea managed 4-6 points.</x:t>
        </x:is>
      </x:c>
    </x:row>
    <x:row r="149">
      <x:c r="B149" s="9" t="inlineStr">
        <x:is>
          <x:t xml:space="preserve">Rise in the champions per rise in their markets abroad</x:t>
        </x:is>
      </x:c>
      <x:c r="C149" s="31" t="n">
        <x:v>0.5</x:v>
      </x:c>
      <x:c r="D149" s="31" t="n">
        <x:v>0.3</x:v>
      </x:c>
      <x:c r="E149" s="32" t="n">
        <x:f>IF(case_sel=1,C149,D149)</x:f>
        <x:v>0.5</x:v>
      </x:c>
      <x:c r="F149" s="9" t="inlineStr">
        <x:is>
          <x:t xml:space="preserve">×</x:t>
        </x:is>
      </x:c>
      <x:c r="G149" s="9" t="inlineStr">
        <x:is>
          <x:t xml:space="preserve">Model estimate</x:t>
        </x:is>
      </x:c>
      <x:c r="H149" s="23" t="inlineStr">
        <x:is>
          <x:t xml:space="preserve">CR-020 B15: about half the champions' business is abroad or tied to foreign markets.</x:t>
        </x:is>
      </x:c>
    </x:row>
    <x:row r="150">
      <x:c r="B150" s="9" t="inlineStr">
        <x:is>
          <x:t xml:space="preserve">Largest rise in the champions from richer markets</x:t>
        </x:is>
      </x:c>
      <x:c r="C150" s="33" t="n">
        <x:v>0.5</x:v>
      </x:c>
      <x:c r="D150" s="33" t="n">
        <x:v>0.3</x:v>
      </x:c>
      <x:c r="E150" s="34" t="n">
        <x:f>IF(case_sel=1,C150,D150)</x:f>
        <x:v>0.5</x:v>
      </x:c>
      <x:c r="F150" s="9" t="inlineStr">
        <x:is>
          <x:t xml:space="preserve">share</x:t>
        </x:is>
      </x:c>
      <x:c r="G150" s="9" t="inlineStr">
        <x:is>
          <x:t xml:space="preserve">Model estimate</x:t>
        </x:is>
      </x:c>
      <x:c r="H150" s="23" t="inlineStr">
        <x:is>
          <x:t xml:space="preserve"/>
        </x:is>
      </x:c>
    </x:row>
    <x:row r="151">
      <x:c r="B151" s="7" t="inlineStr">
        <x:is>
          <x:t xml:space="preserve">— CR-020 B13: the Union responds —</x:t>
        </x:is>
      </x:c>
      <x:c r="C151" s="8" t="n"/>
      <x:c r="D151" s="8" t="n"/>
      <x:c r="E151" s="8" t="n"/>
      <x:c r="F151" s="8" t="n"/>
      <x:c r="G151" s="8" t="n"/>
      <x:c r="H151" s="8" t="n"/>
    </x:row>
    <x:row r="152">
      <x:c r="B152" s="9" t="inlineStr">
        <x:is>
          <x:t xml:space="preserve">The Union's response (0 = passive, 1 = emulates, 2 = emulates and contains)</x:t>
        </x:is>
      </x:c>
      <x:c r="C152" s="40" t="n">
        <x:v>2</x:v>
      </x:c>
      <x:c r="D152" s="40" t="n">
        <x:v>2</x:v>
      </x:c>
      <x:c r="E152" s="41" t="n">
        <x:f>IF(case_sel=1,C152,D152)</x:f>
        <x:v>2</x:v>
      </x:c>
      <x:c r="F152" s="9" t="inlineStr">
        <x:is>
          <x:t xml:space="preserve">switch</x:t>
        </x:is>
      </x:c>
      <x:c r="G152" s="9" t="inlineStr">
        <x:is>
          <x:t xml:space="preserve">Proposed</x:t>
        </x:is>
      </x:c>
      <x:c r="H152" s="23" t="inlineStr">
        <x:is>
          <x:t xml:space="preserve">CR-020 B13: copy Pacifica at home, box it in abroad.</x:t>
        </x:is>
      </x:c>
    </x:row>
    <x:row r="153">
      <x:c r="B153" s="9" t="inlineStr">
        <x:is>
          <x:t xml:space="preserve">The alarm rings (first year of the response)</x:t>
        </x:is>
      </x:c>
      <x:c r="C153" s="40" t="n">
        <x:v>1903</x:v>
      </x:c>
      <x:c r="D153" s="40" t="n">
        <x:v>1903</x:v>
      </x:c>
      <x:c r="E153" s="41" t="n">
        <x:f>IF(case_sel=1,C153,D153)</x:f>
        <x:v>1903</x:v>
      </x:c>
      <x:c r="F153" s="9" t="inlineStr">
        <x:is>
          <x:t xml:space="preserve">year</x:t>
        </x:is>
      </x:c>
      <x:c r="G153" s="9" t="inlineStr">
        <x:is>
          <x:t xml:space="preserve">Proposed</x:t>
        </x:is>
      </x:c>
      <x:c r="H153" s="23" t="inlineStr">
        <x:is>
          <x:t xml:space="preserve">Whitney (1897-1901) lets his financier friends profit from the brain drain; Roosevelt makes it a national cause.</x:t>
        </x:is>
      </x:c>
    </x:row>
    <x:row r="154">
      <x:c r="B154" s="9" t="inlineStr">
        <x:is>
          <x:t xml:space="preserve">The response fully in force</x:t>
        </x:is>
      </x:c>
      <x:c r="C154" s="42" t="n">
        <x:v>1910</x:v>
      </x:c>
      <x:c r="D154" s="42" t="n">
        <x:v>1910</x:v>
      </x:c>
      <x:c r="E154" s="41" t="n">
        <x:f>IF(case_sel=1,C154,D154)</x:f>
        <x:v>1910</x:v>
      </x:c>
      <x:c r="F154" s="9" t="inlineStr">
        <x:is>
          <x:t xml:space="preserve">year</x:t>
        </x:is>
      </x:c>
      <x:c r="G154" s="9" t="inlineStr">
        <x:is>
          <x:t xml:space="preserve">Proposed</x:t>
        </x:is>
      </x:c>
      <x:c r="H154" s="23" t="inlineStr">
        <x:is>
          <x:t xml:space="preserve"/>
        </x:is>
      </x:c>
    </x:row>
    <x:row r="155">
      <x:c r="B155" s="9" t="inlineStr">
        <x:is>
          <x:t xml:space="preserve">Union skilled emigration left once it responds (× passive)</x:t>
        </x:is>
      </x:c>
      <x:c r="C155" s="31" t="n">
        <x:v>0.333</x:v>
      </x:c>
      <x:c r="D155" s="31" t="n">
        <x:v>0.333</x:v>
      </x:c>
      <x:c r="E155" s="32" t="n">
        <x:f>IF(case_sel=1,C155,D155)</x:f>
        <x:v>0.333</x:v>
      </x:c>
      <x:c r="F155" s="9" t="inlineStr">
        <x:is>
          <x:t xml:space="preserve">×</x:t>
        </x:is>
      </x:c>
      <x:c r="G155" s="9" t="inlineStr">
        <x:is>
          <x:t xml:space="preserve">Proposed</x:t>
        </x:is>
      </x:c>
      <x:c r="H155" s="23" t="inlineStr">
        <x:is>
          <x:t xml:space="preserve">Down to a third.</x:t>
        </x:is>
      </x:c>
    </x:row>
    <x:row r="156">
      <x:c r="B156" s="9" t="inlineStr">
        <x:is>
          <x:t xml:space="preserve">Pacifica's share of Europe's skilled emigrants lost to Union competition</x:t>
        </x:is>
      </x:c>
      <x:c r="C156" s="33" t="n">
        <x:v>0.3</x:v>
      </x:c>
      <x:c r="D156" s="33" t="n">
        <x:v>0.4</x:v>
      </x:c>
      <x:c r="E156" s="34" t="n">
        <x:f>IF(case_sel=1,C156,D156)</x:f>
        <x:v>0.3</x:v>
      </x:c>
      <x:c r="F156" s="9" t="inlineStr">
        <x:is>
          <x:t xml:space="preserve">share</x:t>
        </x:is>
      </x:c>
      <x:c r="G156" s="9" t="inlineStr">
        <x:is>
          <x:t xml:space="preserve">Model estimate</x:t>
        </x:is>
      </x:c>
      <x:c r="H156" s="23" t="inlineStr">
        <x:is>
          <x:t xml:space="preserve"/>
        </x:is>
      </x:c>
    </x:row>
    <x:row r="157">
      <x:c r="B157" s="9" t="inlineStr">
        <x:is>
          <x:t xml:space="preserve">Diverted immigration lost to Union competition</x:t>
        </x:is>
      </x:c>
      <x:c r="C157" s="33" t="n">
        <x:v>0.3</x:v>
      </x:c>
      <x:c r="D157" s="33" t="n">
        <x:v>0.4</x:v>
      </x:c>
      <x:c r="E157" s="34" t="n">
        <x:f>IF(case_sel=1,C157,D157)</x:f>
        <x:v>0.3</x:v>
      </x:c>
      <x:c r="F157" s="9" t="inlineStr">
        <x:is>
          <x:t xml:space="preserve">share</x:t>
        </x:is>
      </x:c>
      <x:c r="G157" s="9" t="inlineStr">
        <x:is>
          <x:t xml:space="preserve">Model estimate</x:t>
        </x:is>
      </x:c>
      <x:c r="H157" s="23" t="inlineStr">
        <x:is>
          <x:t xml:space="preserve"/>
        </x:is>
      </x:c>
    </x:row>
    <x:row r="158">
      <x:c r="B158" s="9" t="inlineStr">
        <x:is>
          <x:t xml:space="preserve">Union growth regained by emulating Pacifica (a year)</x:t>
        </x:is>
      </x:c>
      <x:c r="C158" s="38" t="n">
        <x:v>0.0015</x:v>
      </x:c>
      <x:c r="D158" s="38" t="n">
        <x:v>0.0025</x:v>
      </x:c>
      <x:c r="E158" s="39" t="n">
        <x:f>IF(case_sel=1,C158,D158)</x:f>
        <x:v>0.0015</x:v>
      </x:c>
      <x:c r="F158" s="9" t="inlineStr">
        <x:is>
          <x:t xml:space="preserve">share</x:t>
        </x:is>
      </x:c>
      <x:c r="G158" s="9" t="inlineStr">
        <x:is>
          <x:t xml:space="preserve">Model estimate</x:t>
        </x:is>
      </x:c>
      <x:c r="H158" s="23" t="inlineStr">
        <x:is>
          <x:t xml:space="preserve"/>
        </x:is>
      </x:c>
    </x:row>
    <x:row r="159">
      <x:c r="B159" s="9" t="inlineStr">
        <x:is>
          <x:t xml:space="preserve">Champions' Union business lost to tariffs and licensing</x:t>
        </x:is>
      </x:c>
      <x:c r="C159" s="33" t="n">
        <x:v>0.3</x:v>
      </x:c>
      <x:c r="D159" s="33" t="n">
        <x:v>0.3</x:v>
      </x:c>
      <x:c r="E159" s="34" t="n">
        <x:f>IF(case_sel=1,C159,D159)</x:f>
        <x:v>0.3</x:v>
      </x:c>
      <x:c r="F159" s="9" t="inlineStr">
        <x:is>
          <x:t xml:space="preserve">share</x:t>
        </x:is>
      </x:c>
      <x:c r="G159" s="9" t="inlineStr">
        <x:is>
          <x:t xml:space="preserve">Model estimate</x:t>
        </x:is>
      </x:c>
      <x:c r="H159" s="23" t="inlineStr">
        <x:is>
          <x:t xml:space="preserve"/>
        </x:is>
      </x:c>
    </x:row>
    <x:row r="160">
      <x:c r="B160" s="9" t="inlineStr">
        <x:is>
          <x:t xml:space="preserve">Royalties lost to compulsory licensing</x:t>
        </x:is>
      </x:c>
      <x:c r="C160" s="33" t="n">
        <x:v>0.3</x:v>
      </x:c>
      <x:c r="D160" s="33" t="n">
        <x:v>0.3</x:v>
      </x:c>
      <x:c r="E160" s="34" t="n">
        <x:f>IF(case_sel=1,C160,D160)</x:f>
        <x:v>0.3</x:v>
      </x:c>
      <x:c r="F160" s="9" t="inlineStr">
        <x:is>
          <x:t xml:space="preserve">share</x:t>
        </x:is>
      </x:c>
      <x:c r="G160" s="9" t="inlineStr">
        <x:is>
          <x:t xml:space="preserve">Model estimate</x:t>
        </x:is>
      </x:c>
      <x:c r="H160" s="23" t="inlineStr">
        <x:is>
          <x:t xml:space="preserve"/>
        </x:is>
      </x:c>
    </x:row>
    <x:row r="161">
      <x:c r="B161" s="9" t="inlineStr">
        <x:is>
          <x:t xml:space="preserve">Champions' output lost to Union tariffs</x:t>
        </x:is>
      </x:c>
      <x:c r="C161" s="33" t="n">
        <x:v>0.04</x:v>
      </x:c>
      <x:c r="D161" s="33" t="n">
        <x:v>0.05</x:v>
      </x:c>
      <x:c r="E161" s="34" t="n">
        <x:f>IF(case_sel=1,C161,D161)</x:f>
        <x:v>0.04</x:v>
      </x:c>
      <x:c r="F161" s="9" t="inlineStr">
        <x:is>
          <x:t xml:space="preserve">share</x:t>
        </x:is>
      </x:c>
      <x:c r="G161" s="9" t="inlineStr">
        <x:is>
          <x:t xml:space="preserve">Model estimate</x:t>
        </x:is>
      </x:c>
      <x:c r="H161" s="23" t="inlineStr">
        <x:is>
          <x:t xml:space="preserve"/>
        </x:is>
      </x:c>
    </x:row>
    <x:row r="162">
      <x:c r="B162" s="9" t="inlineStr">
        <x:is>
          <x:t xml:space="preserve">Share of Asia's skilled emigrants drawn, per unit of extra lead</x:t>
        </x:is>
      </x:c>
      <x:c r="C162" s="37" t="n">
        <x:v>0.2</x:v>
      </x:c>
      <x:c r="D162" s="37" t="n">
        <x:v>0.12</x:v>
      </x:c>
      <x:c r="E162" s="34" t="n">
        <x:f>IF(case_sel=1,C162,D162)</x:f>
        <x:v>0.2</x:v>
      </x:c>
      <x:c r="F162" s="9" t="inlineStr">
        <x:is>
          <x:t xml:space="preserve">share</x:t>
        </x:is>
      </x:c>
      <x:c r="G162" s="9" t="inlineStr">
        <x:is>
          <x:t xml:space="preserve">Proposed</x:t>
        </x:is>
      </x:c>
      <x:c r="H162" s="23" t="inlineStr">
        <x:is>
          <x:t xml:space="preserve">Pacifica's answer to the Union's competition for Europeans.</x:t>
        </x:is>
      </x:c>
    </x:row>
    <x:row r="163">
      <x:c r="B163" s="7" t="inlineStr">
        <x:is>
          <x:t xml:space="preserve">— CR-020 B11: guest workers —</x:t>
        </x:is>
      </x:c>
      <x:c r="C163" s="8" t="n"/>
      <x:c r="D163" s="8" t="n"/>
      <x:c r="E163" s="8" t="n"/>
      <x:c r="F163" s="8" t="n"/>
      <x:c r="G163" s="8" t="n"/>
      <x:c r="H163" s="8" t="n"/>
    </x:row>
    <x:row r="164">
      <x:c r="B164" s="9" t="inlineStr">
        <x:is>
          <x:t xml:space="preserve">Guest-worker programme (1 = on)</x:t>
        </x:is>
      </x:c>
      <x:c r="C164" s="40" t="n">
        <x:v>1</x:v>
      </x:c>
      <x:c r="D164" s="40" t="n">
        <x:v>1</x:v>
      </x:c>
      <x:c r="E164" s="41" t="n">
        <x:f>IF(case_sel=1,C164,D164)</x:f>
        <x:v>1</x:v>
      </x:c>
      <x:c r="F164" s="9" t="inlineStr">
        <x:is>
          <x:t xml:space="preserve">switch</x:t>
        </x:is>
      </x:c>
      <x:c r="G164" s="9" t="inlineStr">
        <x:is>
          <x:t xml:space="preserve">Proposed</x:t>
        </x:is>
      </x:c>
      <x:c r="H164" s="23" t="inlineStr">
        <x:is>
          <x:t xml:space="preserve">CR-020 B11: Singapore-style permits for the jobs the champions create: quotas, an employer levy, inspected housing, wage protection, paid return passage, a path to residence.</x:t>
        </x:is>
      </x:c>
    </x:row>
    <x:row r="165">
      <x:c r="B165" s="9" t="inlineStr">
        <x:is>
          <x:t xml:space="preserve">First year of the programme</x:t>
        </x:is>
      </x:c>
      <x:c r="C165" s="42" t="n">
        <x:v>1890</x:v>
      </x:c>
      <x:c r="D165" s="42" t="n">
        <x:v>1890</x:v>
      </x:c>
      <x:c r="E165" s="41" t="n">
        <x:f>IF(case_sel=1,C165,D165)</x:f>
        <x:v>1890</x:v>
      </x:c>
      <x:c r="F165" s="9" t="inlineStr">
        <x:is>
          <x:t xml:space="preserve">year</x:t>
        </x:is>
      </x:c>
      <x:c r="G165" s="9" t="inlineStr">
        <x:is>
          <x:t xml:space="preserve">Proposed</x:t>
        </x:is>
      </x:c>
      <x:c r="H165" s="23" t="inlineStr">
        <x:is>
          <x:t xml:space="preserve">A regency measure (§25).</x:t>
        </x:is>
      </x:c>
    </x:row>
    <x:row r="166">
      <x:c r="B166" s="9" t="inlineStr">
        <x:is>
          <x:t xml:space="preserve">Guest workers per champion-related job</x:t>
        </x:is>
      </x:c>
      <x:c r="C166" s="35" t="n">
        <x:v>0.6</x:v>
      </x:c>
      <x:c r="D166" s="35" t="n">
        <x:v>0.4</x:v>
      </x:c>
      <x:c r="E166" s="32" t="n">
        <x:f>IF(case_sel=1,C166,D166)</x:f>
        <x:v>0.6</x:v>
      </x:c>
      <x:c r="F166" s="9" t="inlineStr">
        <x:is>
          <x:t xml:space="preserve">×</x:t>
        </x:is>
      </x:c>
      <x:c r="G166" s="9" t="inlineStr">
        <x:is>
          <x:t xml:space="preserve">Model estimate</x:t>
        </x:is>
      </x:c>
      <x:c r="H166" s="23" t="inlineStr">
        <x:is>
          <x:t xml:space="preserve"/>
        </x:is>
      </x:c>
    </x:row>
    <x:row r="167">
      <x:c r="B167" s="9" t="inlineStr">
        <x:is>
          <x:t xml:space="preserve">Guest workers in construction, docks, farms and homes / resident labour force</x:t>
        </x:is>
      </x:c>
      <x:c r="C167" s="33" t="n">
        <x:v>0.08</x:v>
      </x:c>
      <x:c r="D167" s="33" t="n">
        <x:v>0.05</x:v>
      </x:c>
      <x:c r="E167" s="34" t="n">
        <x:f>IF(case_sel=1,C167,D167)</x:f>
        <x:v>0.08</x:v>
      </x:c>
      <x:c r="F167" s="9" t="inlineStr">
        <x:is>
          <x:t xml:space="preserve">share</x:t>
        </x:is>
      </x:c>
      <x:c r="G167" s="9" t="inlineStr">
        <x:is>
          <x:t xml:space="preserve">Model estimate</x:t>
        </x:is>
      </x:c>
      <x:c r="H167" s="23" t="inlineStr">
        <x:is>
          <x:t xml:space="preserve"/>
        </x:is>
      </x:c>
    </x:row>
    <x:row r="168">
      <x:c r="B168" s="9" t="inlineStr">
        <x:is>
          <x:t xml:space="preserve">Statutory quota: guest workers / resident labour force</x:t>
        </x:is>
      </x:c>
      <x:c r="C168" s="37" t="n">
        <x:v>0.2</x:v>
      </x:c>
      <x:c r="D168" s="37" t="n">
        <x:v>0.15</x:v>
      </x:c>
      <x:c r="E168" s="34" t="n">
        <x:f>IF(case_sel=1,C168,D168)</x:f>
        <x:v>0.2</x:v>
      </x:c>
      <x:c r="F168" s="9" t="inlineStr">
        <x:is>
          <x:t xml:space="preserve">share</x:t>
        </x:is>
      </x:c>
      <x:c r="G168" s="9" t="inlineStr">
        <x:is>
          <x:t xml:space="preserve">Proposed</x:t>
        </x:is>
      </x:c>
      <x:c r="H168" s="23" t="inlineStr">
        <x:is>
          <x:t xml:space="preserve">Switzerland had about 30% of its workforce foreign around 1970, Singapore about 38% today, the Gulf states 80-90%.</x:t>
        </x:is>
      </x:c>
    </x:row>
    <x:row r="169">
      <x:c r="B169" s="9" t="inlineStr">
        <x:is>
          <x:t xml:space="preserve">Share of the gap to demand closed each year</x:t>
        </x:is>
      </x:c>
      <x:c r="C169" s="33" t="n">
        <x:v>0.4</x:v>
      </x:c>
      <x:c r="D169" s="33" t="n">
        <x:v>0.3</x:v>
      </x:c>
      <x:c r="E169" s="34" t="n">
        <x:f>IF(case_sel=1,C169,D169)</x:f>
        <x:v>0.4</x:v>
      </x:c>
      <x:c r="F169" s="9" t="inlineStr">
        <x:is>
          <x:t xml:space="preserve">share</x:t>
        </x:is>
      </x:c>
      <x:c r="G169" s="9" t="inlineStr">
        <x:is>
          <x:t xml:space="preserve">Model estimate</x:t>
        </x:is>
      </x:c>
      <x:c r="H169" s="23" t="inlineStr">
        <x:is>
          <x:t xml:space="preserve"/>
        </x:is>
      </x:c>
    </x:row>
    <x:row r="170">
      <x:c r="B170" s="9" t="inlineStr">
        <x:is>
          <x:t xml:space="preserve">Contract length (years)</x:t>
        </x:is>
      </x:c>
      <x:c r="C170" s="29" t="n">
        <x:v>3</x:v>
      </x:c>
      <x:c r="D170" s="29" t="n">
        <x:v>3</x:v>
      </x:c>
      <x:c r="E170" s="30" t="n">
        <x:f>IF(case_sel=1,C170,D170)</x:f>
        <x:v>3</x:v>
      </x:c>
      <x:c r="F170" s="9" t="inlineStr">
        <x:is>
          <x:t xml:space="preserve">years</x:t>
        </x:is>
      </x:c>
      <x:c r="G170" s="9" t="inlineStr">
        <x:is>
          <x:t xml:space="preserve">Proposed</x:t>
        </x:is>
      </x:c>
      <x:c r="H170" s="23" t="inlineStr">
        <x:is>
          <x:t xml:space="preserve"/>
        </x:is>
      </x:c>
    </x:row>
    <x:row r="171">
      <x:c r="B171" s="9" t="inlineStr">
        <x:is>
          <x:t xml:space="preserve">Share of permits not renewed per point of output below trend</x:t>
        </x:is>
      </x:c>
      <x:c r="C171" s="35" t="n">
        <x:v>1.6</x:v>
      </x:c>
      <x:c r="D171" s="35" t="n">
        <x:v>1.6</x:v>
      </x:c>
      <x:c r="E171" s="32" t="n">
        <x:f>IF(case_sel=1,C171,D171)</x:f>
        <x:v>1.6</x:v>
      </x:c>
      <x:c r="F171" s="9" t="inlineStr">
        <x:is>
          <x:t xml:space="preserve">×</x:t>
        </x:is>
      </x:c>
      <x:c r="G171" s="9" t="inlineStr">
        <x:is>
          <x:t xml:space="preserve">Model estimate</x:t>
        </x:is>
      </x:c>
      <x:c r="H171" s="23" t="inlineStr">
        <x:is>
          <x:t xml:space="preserve">With output 11% below trend (1931), about 18% of permits lapse.</x:t>
        </x:is>
      </x:c>
    </x:row>
    <x:row r="172">
      <x:c r="B172" s="9" t="inlineStr">
        <x:is>
          <x:t xml:space="preserve">Guest workers becoming residents each year</x:t>
        </x:is>
      </x:c>
      <x:c r="C172" s="33" t="n">
        <x:v>0.03</x:v>
      </x:c>
      <x:c r="D172" s="33" t="n">
        <x:v>0.02</x:v>
      </x:c>
      <x:c r="E172" s="34" t="n">
        <x:f>IF(case_sel=1,C172,D172)</x:f>
        <x:v>0.03</x:v>
      </x:c>
      <x:c r="F172" s="9" t="inlineStr">
        <x:is>
          <x:t xml:space="preserve">share</x:t>
        </x:is>
      </x:c>
      <x:c r="G172" s="9" t="inlineStr">
        <x:is>
          <x:t xml:space="preserve">Proposed</x:t>
        </x:is>
      </x:c>
      <x:c r="H172" s="23" t="inlineStr">
        <x:is>
          <x:t xml:space="preserve">After six years and a trade test.</x:t>
        </x:is>
      </x:c>
    </x:row>
    <x:row r="173">
      <x:c r="B173" s="9" t="inlineStr">
        <x:is>
          <x:t xml:space="preserve">People per guest worker who settles (with family)</x:t>
        </x:is>
      </x:c>
      <x:c r="C173" s="35" t="n">
        <x:v>1.8</x:v>
      </x:c>
      <x:c r="D173" s="35" t="n">
        <x:v>1.8</x:v>
      </x:c>
      <x:c r="E173" s="32" t="n">
        <x:f>IF(case_sel=1,C173,D173)</x:f>
        <x:v>1.8</x:v>
      </x:c>
      <x:c r="F173" s="9" t="inlineStr">
        <x:is>
          <x:t xml:space="preserve">×</x:t>
        </x:is>
      </x:c>
      <x:c r="G173" s="9" t="inlineStr">
        <x:is>
          <x:t xml:space="preserve">Model estimate</x:t>
        </x:is>
      </x:c>
      <x:c r="H173" s="23" t="inlineStr">
        <x:is>
          <x:t xml:space="preserve"/>
        </x:is>
      </x:c>
    </x:row>
    <x:row r="174">
      <x:c r="B174" s="9" t="inlineStr">
        <x:is>
          <x:t xml:space="preserve">Asian-origin share of guest workers</x:t>
        </x:is>
      </x:c>
      <x:c r="C174" s="33" t="n">
        <x:v>0.6</x:v>
      </x:c>
      <x:c r="D174" s="33" t="n">
        <x:v>0.6</x:v>
      </x:c>
      <x:c r="E174" s="34" t="n">
        <x:f>IF(case_sel=1,C174,D174)</x:f>
        <x:v>0.6</x:v>
      </x:c>
      <x:c r="F174" s="9" t="inlineStr">
        <x:is>
          <x:t xml:space="preserve">share</x:t>
        </x:is>
      </x:c>
      <x:c r="G174" s="9" t="inlineStr">
        <x:is>
          <x:t xml:space="preserve">Model estimate</x:t>
        </x:is>
      </x:c>
      <x:c r="H174" s="23" t="inlineStr">
        <x:is>
          <x:t xml:space="preserve">Guangdong, Fujian, Korea, the Philippine crown; a fifth from the Union; the rest from Mexico, the Azores and southern Italy.</x:t>
        </x:is>
      </x:c>
    </x:row>
    <x:row r="175">
      <x:c r="B175" s="9" t="inlineStr">
        <x:is>
          <x:t xml:space="preserve">Output of a guest worker vs an average resident worker</x:t>
        </x:is>
      </x:c>
      <x:c r="C175" s="35" t="n">
        <x:v>0.6</x:v>
      </x:c>
      <x:c r="D175" s="35" t="n">
        <x:v>0.55</x:v>
      </x:c>
      <x:c r="E175" s="32" t="n">
        <x:f>IF(case_sel=1,C175,D175)</x:f>
        <x:v>0.6</x:v>
      </x:c>
      <x:c r="F175" s="9" t="inlineStr">
        <x:is>
          <x:t xml:space="preserve">×</x:t>
        </x:is>
      </x:c>
      <x:c r="G175" s="9" t="inlineStr">
        <x:is>
          <x:t xml:space="preserve">Model estimate</x:t>
        </x:is>
      </x:c>
      <x:c r="H175" s="23" t="inlineStr">
        <x:is>
          <x:t xml:space="preserve"/>
        </x:is>
      </x:c>
    </x:row>
    <x:row r="176">
      <x:c r="B176" s="9" t="inlineStr">
        <x:is>
          <x:t xml:space="preserve">Guest workers' wages / their output</x:t>
        </x:is>
      </x:c>
      <x:c r="C176" s="33" t="n">
        <x:v>0.65</x:v>
      </x:c>
      <x:c r="D176" s="33" t="n">
        <x:v>0.65</x:v>
      </x:c>
      <x:c r="E176" s="34" t="n">
        <x:f>IF(case_sel=1,C176,D176)</x:f>
        <x:v>0.65</x:v>
      </x:c>
      <x:c r="F176" s="9" t="inlineStr">
        <x:is>
          <x:t xml:space="preserve">share</x:t>
        </x:is>
      </x:c>
      <x:c r="G176" s="9" t="inlineStr">
        <x:is>
          <x:t xml:space="preserve">Model estimate</x:t>
        </x:is>
      </x:c>
      <x:c r="H176" s="23" t="inlineStr">
        <x:is>
          <x:t xml:space="preserve"/>
        </x:is>
      </x:c>
    </x:row>
    <x:row r="177">
      <x:c r="B177" s="9" t="inlineStr">
        <x:is>
          <x:t xml:space="preserve">Employer levy / guest workers' wages</x:t>
        </x:is>
      </x:c>
      <x:c r="C177" s="37" t="n">
        <x:v>0.25</x:v>
      </x:c>
      <x:c r="D177" s="37" t="n">
        <x:v>0.15</x:v>
      </x:c>
      <x:c r="E177" s="34" t="n">
        <x:f>IF(case_sel=1,C177,D177)</x:f>
        <x:v>0.25</x:v>
      </x:c>
      <x:c r="F177" s="9" t="inlineStr">
        <x:is>
          <x:t xml:space="preserve">share</x:t>
        </x:is>
      </x:c>
      <x:c r="G177" s="9" t="inlineStr">
        <x:is>
          <x:t xml:space="preserve">Proposed</x:t>
        </x:is>
      </x:c>
      <x:c r="H177" s="23" t="inlineStr">
        <x:is>
          <x:t xml:space="preserve">On top of income tax, which they pay like residents. Singapore's levies today run from about 20% to over 50% of a work-permit wage.</x:t>
        </x:is>
      </x:c>
    </x:row>
    <x:row r="178">
      <x:c r="B178" s="9" t="inlineStr">
        <x:is>
          <x:t xml:space="preserve">Share of wages sent home</x:t>
        </x:is>
      </x:c>
      <x:c r="C178" s="33" t="n">
        <x:v>0.25</x:v>
      </x:c>
      <x:c r="D178" s="33" t="n">
        <x:v>0.3</x:v>
      </x:c>
      <x:c r="E178" s="34" t="n">
        <x:f>IF(case_sel=1,C178,D178)</x:f>
        <x:v>0.25</x:v>
      </x:c>
      <x:c r="F178" s="9" t="inlineStr">
        <x:is>
          <x:t xml:space="preserve">share</x:t>
        </x:is>
      </x:c>
      <x:c r="G178" s="9" t="inlineStr">
        <x:is>
          <x:t xml:space="preserve">Model estimate</x:t>
        </x:is>
      </x:c>
      <x:c r="H178" s="23" t="inlineStr">
        <x:is>
          <x:t xml:space="preserve"/>
        </x:is>
      </x:c>
    </x:row>
    <x:row r="179">
      <x:c r="B179" s="9" t="inlineStr">
        <x:is>
          <x:t xml:space="preserve">Inspection, health and return passage per guest worker a year (1913 $)</x:t>
        </x:is>
      </x:c>
      <x:c r="C179" s="29" t="n">
        <x:v>25</x:v>
      </x:c>
      <x:c r="D179" s="29" t="n">
        <x:v>25</x:v>
      </x:c>
      <x:c r="E179" s="30" t="n">
        <x:f>IF(case_sel=1,C179,D179)</x:f>
        <x:v>25</x:v>
      </x:c>
      <x:c r="F179" s="9" t="inlineStr">
        <x:is>
          <x:t xml:space="preserve">$</x:t>
        </x:is>
      </x:c>
      <x:c r="G179" s="9" t="inlineStr">
        <x:is>
          <x:t xml:space="preserve">Model estimate</x:t>
        </x:is>
      </x:c>
      <x:c r="H179" s="23" t="inlineStr">
        <x:is>
          <x:t xml:space="preserve"/>
        </x:is>
      </x:c>
    </x:row>
    <x:row r="180">
      <x:c r="B180" s="7" t="inlineStr">
        <x:is>
          <x:t xml:space="preserve">— Japan —</x:t>
        </x:is>
      </x:c>
      <x:c r="C180" s="8" t="n"/>
      <x:c r="D180" s="8" t="n"/>
      <x:c r="E180" s="8" t="n"/>
      <x:c r="F180" s="8" t="n"/>
      <x:c r="G180" s="8" t="n"/>
      <x:c r="H180" s="8" t="n"/>
    </x:row>
    <x:row r="181">
      <x:c r="B181" s="9" t="inlineStr">
        <x:is>
          <x:t xml:space="preserve">Japan's catch-up speed (× the partners' base speed)</x:t>
        </x:is>
      </x:c>
      <x:c r="C181" s="31" t="n">
        <x:v>1</x:v>
      </x:c>
      <x:c r="D181" s="31" t="n">
        <x:v>0.6</x:v>
      </x:c>
      <x:c r="E181" s="32" t="n">
        <x:f>IF(case_sel=1,C181,D181)</x:f>
        <x:v>1</x:v>
      </x:c>
      <x:c r="F181" s="9" t="inlineStr">
        <x:is>
          <x:t xml:space="preserve">×</x:t>
        </x:is>
      </x:c>
      <x:c r="G181" s="9" t="inlineStr">
        <x:is>
          <x:t xml:space="preserve">Model estimate</x:t>
        </x:is>
      </x:c>
      <x:c r="H181" s="23" t="inlineStr">
        <x:is>
          <x:t xml:space="preserve">Scales how fast Japan closes its gap to Pacifica (Partners sheet).</x:t>
        </x:is>
      </x:c>
    </x:row>
    <x:row r="182">
      <x:c r="B182" s="9" t="inlineStr">
        <x:is>
          <x:t xml:space="preserve">Coupon on Japanese public debt</x:t>
        </x:is>
      </x:c>
      <x:c r="C182" s="33" t="n">
        <x:v>0.05</x:v>
      </x:c>
      <x:c r="D182" s="33" t="n">
        <x:v>0.05</x:v>
      </x:c>
      <x:c r="E182" s="34" t="n">
        <x:f>IF(case_sel=1,C182,D182)</x:f>
        <x:v>0.05</x:v>
      </x:c>
      <x:c r="F182" s="9" t="inlineStr">
        <x:is>
          <x:t xml:space="preserve">share</x:t>
        </x:is>
      </x:c>
      <x:c r="G182" s="9" t="inlineStr">
        <x:is>
          <x:t xml:space="preserve">Model estimate</x:t>
        </x:is>
      </x:c>
      <x:c r="H182" s="23" t="str">
        <x:v>Legacy Japanese debt coupon; the 1927 facility has explicit terms on Japan rescue.</x:v>
      </x:c>
    </x:row>
    <x:row r="183">
      <x:c r="B183" s="9" t="inlineStr">
        <x:is>
          <x:t xml:space="preserve">Repayment of Japan's foreign debt</x:t>
        </x:is>
      </x:c>
      <x:c r="C183" s="33" t="n">
        <x:v>0.03</x:v>
      </x:c>
      <x:c r="D183" s="33" t="n">
        <x:v>0.03</x:v>
      </x:c>
      <x:c r="E183" s="34" t="n">
        <x:f>IF(case_sel=1,C183,D183)</x:f>
        <x:v>0.03</x:v>
      </x:c>
      <x:c r="F183" s="9" t="inlineStr">
        <x:is>
          <x:t xml:space="preserve">share</x:t>
        </x:is>
      </x:c>
      <x:c r="G183" s="9" t="inlineStr">
        <x:is>
          <x:t xml:space="preserve">Model estimate</x:t>
        </x:is>
      </x:c>
      <x:c r="H183" s="23" t="str">
        <x:v>Applies to legacy debt. The 1927 facility repays in equal installments 1929-1933.</x:v>
      </x:c>
    </x:row>
    <x:row r="184">
      <x:c r="B184" s="7" t="inlineStr">
        <x:is>
          <x:t xml:space="preserve">— Policy ceilings (canon planning guides, §25) —</x:t>
        </x:is>
      </x:c>
      <x:c r="C184" s="8" t="n"/>
      <x:c r="D184" s="8" t="n"/>
      <x:c r="E184" s="8" t="n"/>
      <x:c r="F184" s="8" t="n"/>
      <x:c r="G184" s="8" t="n"/>
      <x:c r="H184" s="8" t="n"/>
    </x:row>
    <x:row r="185">
      <x:c r="B185" s="9" t="inlineStr">
        <x:is>
          <x:t xml:space="preserve">Peacetime military &amp; overseas spending / GDP</x:t>
        </x:is>
      </x:c>
      <x:c r="C185" s="33" t="n">
        <x:v>0.04</x:v>
      </x:c>
      <x:c r="D185" s="33" t="n">
        <x:v>0.04</x:v>
      </x:c>
      <x:c r="E185" s="34" t="n">
        <x:f>IF(case_sel=1,C185,D185)</x:f>
        <x:v>0.04</x:v>
      </x:c>
      <x:c r="F185" s="9" t="inlineStr">
        <x:is>
          <x:t xml:space="preserve">share</x:t>
        </x:is>
      </x:c>
      <x:c r="G185" s="9" t="inlineStr">
        <x:is>
          <x:t xml:space="preserve">Canon</x:t>
        </x:is>
      </x:c>
      <x:c r="H185" s="23" t="inlineStr">
        <x:is>
          <x:t xml:space="preserve">§25 planning ceiling of 4%.</x:t>
        </x:is>
      </x:c>
    </x:row>
    <x:row r="186">
      <x:c r="B186" s="9" t="inlineStr">
        <x:is>
          <x:t xml:space="preserve">Interest / public receipts</x:t>
        </x:is>
      </x:c>
      <x:c r="C186" s="33" t="n">
        <x:v>0.15</x:v>
      </x:c>
      <x:c r="D186" s="33" t="n">
        <x:v>0.15</x:v>
      </x:c>
      <x:c r="E186" s="34" t="n">
        <x:f>IF(case_sel=1,C186,D186)</x:f>
        <x:v>0.15</x:v>
      </x:c>
      <x:c r="F186" s="9" t="inlineStr">
        <x:is>
          <x:t xml:space="preserve">share</x:t>
        </x:is>
      </x:c>
      <x:c r="G186" s="9" t="inlineStr">
        <x:is>
          <x:t xml:space="preserve">Canon</x:t>
        </x:is>
      </x:c>
      <x:c r="H186" s="23" t="inlineStr">
        <x:is>
          <x:t xml:space="preserve">§25 ceiling of 15%.</x:t>
        </x:is>
      </x:c>
    </x:row>
    <x:row r="187">
      <x:c r="B187" s="9" t="inlineStr">
        <x:is>
          <x:t xml:space="preserve">Public debt / GDP</x:t>
        </x:is>
      </x:c>
      <x:c r="C187" s="33" t="n">
        <x:v>0.3</x:v>
      </x:c>
      <x:c r="D187" s="33" t="n">
        <x:v>0.3</x:v>
      </x:c>
      <x:c r="E187" s="34" t="n">
        <x:f>IF(case_sel=1,C187,D187)</x:f>
        <x:v>0.3</x:v>
      </x:c>
      <x:c r="F187" s="9" t="inlineStr">
        <x:is>
          <x:t xml:space="preserve">share</x:t>
        </x:is>
      </x:c>
      <x:c r="G187" s="9" t="inlineStr">
        <x:is>
          <x:t xml:space="preserve">Canon</x:t>
        </x:is>
      </x:c>
      <x:c r="H187" s="23" t="inlineStr">
        <x:is>
          <x:t xml:space="preserve">§25 ceiling of 30%.</x:t>
        </x:is>
      </x:c>
    </x:row>
    <x:row r="189">
      <x:c r="B189" s="7" t="inlineStr">
        <x:is>
          <x:t xml:space="preserve">Fleet classes</x:t>
        </x:is>
      </x:c>
      <x:c r="C189" s="8" t="n"/>
      <x:c r="D189" s="8" t="n"/>
      <x:c r="E189" s="8" t="n"/>
      <x:c r="F189" s="8" t="n"/>
      <x:c r="G189" s="8" t="n"/>
      <x:c r="H189" s="8" t="n"/>
      <x:c r="I189" s="8" t="n"/>
      <x:c r="J189" s="8" t="n"/>
      <x:c r="K189" s="8" t="n"/>
    </x:row>
    <x:row r="190" ht="42" customHeight="1">
      <x:c r="B190" s="44" t="inlineStr">
        <x:is>
          <x:t xml:space="preserve">Parameter</x:t>
        </x:is>
      </x:c>
      <x:c r="C190" s="28" t="inlineStr">
        <x:is>
          <x:t xml:space="preserve">Turret ships &amp; coastal ironclads</x:t>
        </x:is>
      </x:c>
      <x:c r="D190" s="28" t="inlineStr">
        <x:is>
          <x:t xml:space="preserve">Steam cruisers (coal)</x:t>
        </x:is>
      </x:c>
      <x:c r="E190" s="28" t="inlineStr">
        <x:is>
          <x:t xml:space="preserve">Oil-fired torpedo boats</x:t>
        </x:is>
      </x:c>
      <x:c r="F190" s="28" t="inlineStr">
        <x:is>
          <x:t xml:space="preserve">Oil-fired protected cruisers</x:t>
        </x:is>
      </x:c>
      <x:c r="G190" s="28" t="inlineStr">
        <x:is>
          <x:t xml:space="preserve">Turbine destroyers</x:t>
        </x:is>
      </x:c>
      <x:c r="H190" s="28" t="inlineStr">
        <x:is>
          <x:t xml:space="preserve">Turbine cruisers</x:t>
        </x:is>
      </x:c>
      <x:c r="I190" s="28" t="inlineStr">
        <x:is>
          <x:t xml:space="preserve">Turbine capital ships</x:t>
        </x:is>
      </x:c>
      <x:c r="J190" s="28" t="inlineStr">
        <x:is>
          <x:t xml:space="preserve">Submarines</x:t>
        </x:is>
      </x:c>
      <x:c r="K190" s="28" t="inlineStr">
        <x:is>
          <x:t xml:space="preserve">Aircraft carriers</x:t>
        </x:is>
      </x:c>
    </x:row>
    <x:row r="191">
      <x:c r="B191" s="9" t="inlineStr">
        <x:is>
          <x:t xml:space="preserve">Service life (years)</x:t>
        </x:is>
      </x:c>
      <x:c r="C191" s="45" t="n">
        <x:v>25</x:v>
      </x:c>
      <x:c r="D191" s="45" t="n">
        <x:v>20</x:v>
      </x:c>
      <x:c r="E191" s="45" t="n">
        <x:v>15</x:v>
      </x:c>
      <x:c r="F191" s="45" t="n">
        <x:v>22</x:v>
      </x:c>
      <x:c r="G191" s="45" t="n">
        <x:v>18</x:v>
      </x:c>
      <x:c r="H191" s="45" t="n">
        <x:v>22</x:v>
      </x:c>
      <x:c r="I191" s="45" t="n">
        <x:v>22</x:v>
      </x:c>
      <x:c r="J191" s="45" t="n">
        <x:v>15</x:v>
      </x:c>
      <x:c r="K191" s="45" t="n">
        <x:v>25</x:v>
      </x:c>
    </x:row>
    <x:row r="192">
      <x:c r="B192" s="9" t="inlineStr">
        <x:is>
          <x:t xml:space="preserve">Crew per ship</x:t>
        </x:is>
      </x:c>
      <x:c r="C192" s="45" t="n">
        <x:v>120</x:v>
      </x:c>
      <x:c r="D192" s="45" t="n">
        <x:v>250</x:v>
      </x:c>
      <x:c r="E192" s="45" t="n">
        <x:v>20</x:v>
      </x:c>
      <x:c r="F192" s="45" t="n">
        <x:v>280</x:v>
      </x:c>
      <x:c r="G192" s="45" t="n">
        <x:v>90</x:v>
      </x:c>
      <x:c r="H192" s="45" t="n">
        <x:v>400</x:v>
      </x:c>
      <x:c r="I192" s="45" t="n">
        <x:v>1000</x:v>
      </x:c>
      <x:c r="J192" s="45" t="n">
        <x:v>30</x:v>
      </x:c>
      <x:c r="K192" s="45" t="n">
        <x:v>1500</x:v>
      </x:c>
    </x:row>
    <x:row r="193">
      <x:c r="B193" s="9" t="inlineStr">
        <x:is>
          <x:t xml:space="preserve">Fuel per ship-year ($m, 1913)</x:t>
        </x:is>
      </x:c>
      <x:c r="C193" s="46" t="n">
        <x:v>0.02</x:v>
      </x:c>
      <x:c r="D193" s="46" t="n">
        <x:v>0.05</x:v>
      </x:c>
      <x:c r="E193" s="46" t="n">
        <x:v>0.005</x:v>
      </x:c>
      <x:c r="F193" s="46" t="n">
        <x:v>0.05</x:v>
      </x:c>
      <x:c r="G193" s="46" t="n">
        <x:v>0.03</x:v>
      </x:c>
      <x:c r="H193" s="46" t="n">
        <x:v>0.08</x:v>
      </x:c>
      <x:c r="I193" s="46" t="n">
        <x:v>0.2</x:v>
      </x:c>
      <x:c r="J193" s="46" t="n">
        <x:v>0.01</x:v>
      </x:c>
      <x:c r="K193" s="46" t="n">
        <x:v>0.25</x:v>
      </x:c>
    </x:row>
    <x:row r="194">
      <x:c r="B194" s="9" t="inlineStr">
        <x:is>
          <x:t xml:space="preserve">Oil-fired (1 = yes)</x:t>
        </x:is>
      </x:c>
      <x:c r="C194" s="45" t="n">
        <x:v>0</x:v>
      </x:c>
      <x:c r="D194" s="45" t="n">
        <x:v>0</x:v>
      </x:c>
      <x:c r="E194" s="45" t="n">
        <x:v>1</x:v>
      </x:c>
      <x:c r="F194" s="45" t="n">
        <x:v>1</x:v>
      </x:c>
      <x:c r="G194" s="45" t="n">
        <x:v>1</x:v>
      </x:c>
      <x:c r="H194" s="45" t="n">
        <x:v>1</x:v>
      </x:c>
      <x:c r="I194" s="45" t="n">
        <x:v>1</x:v>
      </x:c>
      <x:c r="J194" s="45" t="n">
        <x:v>1</x:v>
      </x:c>
      <x:c r="K194" s="45" t="n">
        <x:v>1</x:v>
      </x:c>
    </x:row>
    <x:row r="195">
      <x:c r="B195" s="9" t="inlineStr">
        <x:is>
          <x:t xml:space="preserve">Crew if coal-fired (formula)</x:t>
        </x:is>
      </x:c>
      <x:c r="C195" s="47" t="n">
        <x:f>C192/IF(C194=1,oil_crew,1)</x:f>
        <x:v>120</x:v>
      </x:c>
      <x:c r="D195" s="47" t="n">
        <x:f>D192/IF(D194=1,oil_crew,1)</x:f>
        <x:v>250</x:v>
      </x:c>
      <x:c r="E195" s="47" t="n">
        <x:f>E192/IF(E194=1,oil_crew,1)</x:f>
        <x:v>25.64102564102564</x:v>
      </x:c>
      <x:c r="F195" s="47" t="n">
        <x:f>F192/IF(F194=1,oil_crew,1)</x:f>
        <x:v>358.97435897435895</x:v>
      </x:c>
      <x:c r="G195" s="47" t="n">
        <x:f>G192/IF(G194=1,oil_crew,1)</x:f>
        <x:v>115.38461538461539</x:v>
      </x:c>
      <x:c r="H195" s="47" t="n">
        <x:f>H192/IF(H194=1,oil_crew,1)</x:f>
        <x:v>512.8205128205128</x:v>
      </x:c>
      <x:c r="I195" s="47" t="n">
        <x:f>I192/IF(I194=1,oil_crew,1)</x:f>
        <x:v>1282.051282051282</x:v>
      </x:c>
      <x:c r="J195" s="47" t="n">
        <x:f>J192/IF(J194=1,oil_crew,1)</x:f>
        <x:v>38.46153846153846</x:v>
      </x:c>
      <x:c r="K195" s="47" t="n">
        <x:f>K192/IF(K194=1,oil_crew,1)</x:f>
        <x:v>1923.076923076923</x:v>
      </x:c>
    </x:row>
    <x:row r="196">
      <x:c r="B196" s="9" t="inlineStr">
        <x:is>
          <x:t xml:space="preserve">Story status</x:t>
        </x:is>
      </x:c>
      <x:c r="C196" s="48" t="inlineStr">
        <x:is>
          <x:t xml:space="preserve">Canon</x:t>
        </x:is>
      </x:c>
      <x:c r="D196" s="48" t="inlineStr">
        <x:is>
          <x:t xml:space="preserve">Canon</x:t>
        </x:is>
      </x:c>
      <x:c r="E196" s="48" t="inlineStr">
        <x:is>
          <x:t xml:space="preserve">Approved</x:t>
        </x:is>
      </x:c>
      <x:c r="F196" s="48" t="inlineStr">
        <x:is>
          <x:t xml:space="preserve">Approved</x:t>
        </x:is>
      </x:c>
      <x:c r="G196" s="48" t="inlineStr">
        <x:is>
          <x:t xml:space="preserve">Approved</x:t>
        </x:is>
      </x:c>
      <x:c r="H196" s="48" t="inlineStr">
        <x:is>
          <x:t xml:space="preserve">Approved</x:t>
        </x:is>
      </x:c>
      <x:c r="I196" s="48" t="inlineStr">
        <x:is>
          <x:t xml:space="preserve">Proposed</x:t>
        </x:is>
      </x:c>
      <x:c r="J196" s="48" t="inlineStr">
        <x:is>
          <x:t xml:space="preserve">Proposed</x:t>
        </x:is>
      </x:c>
      <x:c r="K196" s="48" t="inlineStr">
        <x:is>
          <x:t xml:space="preserve">Proposed</x:t>
        </x:is>
      </x:c>
    </x:row>
    <x:row r="197" ht="64" customHeight="1">
      <x:c r="B197" s="9" t="inlineStr">
        <x:is>
          <x:t xml:space="preserve">What it is</x:t>
        </x:is>
      </x:c>
      <x:c r="C197" s="49" t="inlineStr">
        <x:is>
          <x:t xml:space="preserve">Ericsson turret ships from 1862 (Columbia), more for the 1870 Gulf war.</x:t>
        </x:is>
      </x:c>
      <x:c r="D197" s="49" t="inlineStr">
        <x:is>
          <x:t xml:space="preserve">Wooden and iron steam cruisers for the ocean road, Manila and Vladivostok.</x:t>
        </x:is>
      </x:c>
      <x:c r="E197" s="49" t="inlineStr">
        <x:is>
          <x:t xml:space="preserve">Oil-fired light craft in the 1880s (oil programme from 1876).</x:t>
        </x:is>
      </x:c>
      <x:c r="F197" s="49" t="inlineStr">
        <x:is>
          <x:t xml:space="preserve">Water-tube boilers burning oil, early 1890s.</x:t>
        </x:is>
      </x:c>
      <x:c r="G197" s="49" t="inlineStr">
        <x:is>
          <x:t xml:space="preserve">Turbine programme from 1885: destroyers 1893-95.</x:t>
        </x:is>
      </x:c>
      <x:c r="H197" s="49" t="inlineStr">
        <x:is>
          <x:t xml:space="preserve">Turbine cruisers by 1898.</x:t>
        </x:is>
      </x:c>
      <x:c r="I197" s="49" t="inlineStr">
        <x:is>
          <x:t xml:space="preserve">All-big-gun turbine ships from 1903, three years before HMS Dreadnought.</x:t>
        </x:is>
      </x:c>
      <x:c r="J197" s="49" t="inlineStr">
        <x:is>
          <x:t xml:space="preserve">Coastal and fleet submarines from 1900.</x:t>
        </x:is>
      </x:c>
      <x:c r="K197" s="49" t="inlineStr">
        <x:is>
          <x:t xml:space="preserve">Naval aviation in the 1920s; first carrier converted 1922.</x:t>
        </x:is>
      </x:c>
    </x:row>
  </x:sheetData>
  <x:pageMargins left="0.7" right="0.7" top="0.75" bottom="0.75" header="0.3" footer="0.3"/>
</x:worksheet>
</file>

<file path=xl/worksheets/sheet4.xml><?xml version="1.0" encoding="utf-8"?>
<x:worksheet xmlns:x="http://schemas.openxmlformats.org/spreadsheetml/2006/main">
  <x:sheetPr>
    <x:tabColor rgb="FF7F6000"/>
  </x:sheetPr>
  <x:sheetViews>
    <x:sheetView showGridLines="0" workbookViewId="0">
      <x:pane xSplit="4" ySplit="5" topLeftCell="E6" activePane="bottomRight" state="frozen"/>
    </x:sheetView>
  </x:sheetViews>
  <x:sheetFormatPr baseColWidth="8" defaultRowHeight="15"/>
  <x:cols>
    <x:col min="1" max="1" width="6" customWidth="1"/>
    <x:col min="2" max="2" width="7" customWidth="1"/>
    <x:col min="3" max="3" width="7" customWidth="1"/>
    <x:col min="4" max="4" width="52" customWidth="1"/>
    <x:col min="5" max="5" width="19" customWidth="1"/>
    <x:col min="6" max="6" width="12" customWidth="1"/>
    <x:col min="7" max="7" width="14" customWidth="1"/>
    <x:col min="8" max="8" width="11" customWidth="1"/>
    <x:col min="9" max="9" width="11" customWidth="1"/>
    <x:col min="10" max="10" width="8" customWidth="1"/>
    <x:col min="11" max="11" width="14" customWidth="1"/>
    <x:col min="12" max="12" width="9" customWidth="1"/>
    <x:col min="13" max="13" width="70" customWidth="1"/>
  </x:cols>
  <x:sheetData>
    <x:row r="1">
      <x:c r="A1" s="18" t="inlineStr">
        <x:is>
          <x:t xml:space="preserve">Story events ledger</x:t>
        </x:is>
      </x:c>
    </x:row>
    <x:row r="2">
      <x:c r="A2" s="2" t="inlineStr">
        <x:is>
          <x:t xml:space="preserve">Every dated commitment from the master storyline that costs or brings in money. One row per event; the annual amount applies in each year from Start to End.</x:t>
        </x:is>
      </x:c>
    </x:row>
    <x:row r="3">
      <x:c r="A3" s="19" t="inlineStr">
        <x:is>
          <x:t xml:space="preserve">Category decides where the money lands: Purchase, War &amp; operations, Programme, Investment, Subsidy &amp; guarantee, Relief, Bank rescue &amp; capital and Receipt go to the Budget; Loan goes to Loans; Debt assumed adds debt without cash. Investment is spent like a Programme but also counts as development investment, so it raises later output (CR-021 B6). Amounts are Treasury cash in $m; shared or syndicated totals are in the notes.</x:t>
        </x:is>
      </x:c>
    </x:row>
    <x:row r="5">
      <x:c r="A5" s="28" t="inlineStr">
        <x:is>
          <x:t xml:space="preserve">ID</x:t>
        </x:is>
      </x:c>
      <x:c r="B5" s="28" t="inlineStr">
        <x:is>
          <x:t xml:space="preserve">Start</x:t>
        </x:is>
      </x:c>
      <x:c r="C5" s="28" t="inlineStr">
        <x:is>
          <x:t xml:space="preserve">End</x:t>
        </x:is>
      </x:c>
      <x:c r="D5" s="28" t="inlineStr">
        <x:is>
          <x:t xml:space="preserve">Event</x:t>
        </x:is>
      </x:c>
      <x:c r="E5" s="28" t="inlineStr">
        <x:is>
          <x:t xml:space="preserve">Category</x:t>
        </x:is>
      </x:c>
      <x:c r="F5" s="28" t="inlineStr">
        <x:is>
          <x:t xml:space="preserve">Loan group</x:t>
        </x:is>
      </x:c>
      <x:c r="G5" s="28" t="inlineStr">
        <x:is>
          <x:t xml:space="preserve">Party</x:t>
        </x:is>
      </x:c>
      <x:c r="H5" s="28" t="inlineStr">
        <x:is>
          <x:t xml:space="preserve">Per year ($m)</x:t>
        </x:is>
      </x:c>
      <x:c r="I5" s="28" t="inlineStr">
        <x:is>
          <x:t xml:space="preserve">Total ($m)</x:t>
        </x:is>
      </x:c>
      <x:c r="J5" s="28" t="inlineStr">
        <x:is>
          <x:t xml:space="preserve">Paid in gold</x:t>
        </x:is>
      </x:c>
      <x:c r="K5" s="28" t="inlineStr">
        <x:is>
          <x:t xml:space="preserve">Story status</x:t>
        </x:is>
      </x:c>
      <x:c r="L5" s="28" t="inlineStr">
        <x:is>
          <x:t xml:space="preserve">Section</x:t>
        </x:is>
      </x:c>
      <x:c r="M5" s="28" t="inlineStr">
        <x:is>
          <x:t xml:space="preserve">Basis of the amount</x:t>
        </x:is>
      </x:c>
    </x:row>
    <x:row r="6">
      <x:c r="A6" s="9" t="inlineStr">
        <x:is>
          <x:t xml:space="preserve">E01</x:t>
        </x:is>
      </x:c>
      <x:c r="B6" s="50" t="n">
        <x:v>1848</x:v>
      </x:c>
      <x:c r="C6" s="50" t="n">
        <x:v>1848</x:v>
      </x:c>
      <x:c r="D6" s="51" t="inlineStr">
        <x:is>
          <x:t xml:space="preserve">London bondholders' Mexican debt assumed (£3m)</x:t>
        </x:is>
      </x:c>
      <x:c r="E6" s="9" t="inlineStr">
        <x:is>
          <x:t xml:space="preserve">Debt assumed</x:t>
        </x:is>
      </x:c>
      <x:c r="F6" s="9" t="inlineStr">
        <x:is>
          <x:t xml:space="preserve"/>
        </x:is>
      </x:c>
      <x:c r="G6" s="9" t="inlineStr">
        <x:is>
          <x:t xml:space="preserve">Britain</x:t>
        </x:is>
      </x:c>
      <x:c r="H6" s="52" t="n">
        <x:v>14.6</x:v>
      </x:c>
      <x:c r="I6" s="53" t="n">
        <x:f>IF(H6="","",H6*(C6-B6+1))</x:f>
        <x:v>14.6</x:v>
      </x:c>
      <x:c r="J6" s="9" t="inlineStr">
        <x:is>
          <x:t xml:space="preserve">No</x:t>
        </x:is>
      </x:c>
      <x:c r="K6" s="9" t="inlineStr">
        <x:is>
          <x:t xml:space="preserve">Canon</x:t>
        </x:is>
      </x:c>
      <x:c r="L6" s="9" t="inlineStr">
        <x:is>
          <x:t xml:space="preserve">§4</x:t>
        </x:is>
      </x:c>
      <x:c r="M6" s="54" t="inlineStr">
        <x:is>
          <x:t xml:space="preserve">£3m at $4.87</x:t>
        </x:is>
      </x:c>
    </x:row>
    <x:row r="7">
      <x:c r="A7" s="9" t="inlineStr">
        <x:is>
          <x:t xml:space="preserve">E02</x:t>
        </x:is>
      </x:c>
      <x:c r="B7" s="50" t="n">
        <x:v>1850</x:v>
      </x:c>
      <x:c r="C7" s="50" t="n">
        <x:v>1851</x:v>
      </x:c>
      <x:c r="D7" s="51" t="inlineStr">
        <x:is>
          <x:t xml:space="preserve">San Francisco mint and assay office</x:t>
        </x:is>
      </x:c>
      <x:c r="E7" s="9" t="inlineStr">
        <x:is>
          <x:t xml:space="preserve">Programme</x:t>
        </x:is>
      </x:c>
      <x:c r="F7" s="9" t="inlineStr">
        <x:is>
          <x:t xml:space="preserve"/>
        </x:is>
      </x:c>
      <x:c r="G7" s="9" t="inlineStr">
        <x:is>
          <x:t xml:space="preserve"/>
        </x:is>
      </x:c>
      <x:c r="H7" s="52" t="n">
        <x:v>0.5</x:v>
      </x:c>
      <x:c r="I7" s="53" t="n">
        <x:f>IF(H7="","",H7*(C7-B7+1))</x:f>
        <x:v>1</x:v>
      </x:c>
      <x:c r="J7" s="9" t="inlineStr">
        <x:is>
          <x:t xml:space="preserve">No</x:t>
        </x:is>
      </x:c>
      <x:c r="K7" s="9" t="inlineStr">
        <x:is>
          <x:t xml:space="preserve">Canon</x:t>
        </x:is>
      </x:c>
      <x:c r="L7" s="9" t="inlineStr">
        <x:is>
          <x:t xml:space="preserve">§5</x:t>
        </x:is>
      </x:c>
      <x:c r="M7" s="54" t="inlineStr">
        <x:is>
          <x:t xml:space="preserve">Model estimate</x:t>
        </x:is>
      </x:c>
    </x:row>
    <x:row r="8">
      <x:c r="A8" s="9" t="inlineStr">
        <x:is>
          <x:t xml:space="preserve">E03</x:t>
        </x:is>
      </x:c>
      <x:c r="B8" s="50" t="n">
        <x:v>1853</x:v>
      </x:c>
      <x:c r="C8" s="50" t="n">
        <x:v>1854</x:v>
      </x:c>
      <x:c r="D8" s="51" t="inlineStr">
        <x:is>
          <x:t xml:space="preserve">Walker filibusters: naval supply cut-off</x:t>
        </x:is>
      </x:c>
      <x:c r="E8" s="9" t="inlineStr">
        <x:is>
          <x:t xml:space="preserve">War &amp; operations</x:t>
        </x:is>
      </x:c>
      <x:c r="F8" s="9" t="inlineStr">
        <x:is>
          <x:t xml:space="preserve"/>
        </x:is>
      </x:c>
      <x:c r="G8" s="9" t="inlineStr">
        <x:is>
          <x:t xml:space="preserve"/>
        </x:is>
      </x:c>
      <x:c r="H8" s="52" t="n">
        <x:v>0.3</x:v>
      </x:c>
      <x:c r="I8" s="53" t="n">
        <x:f>IF(H8="","",H8*(C8-B8+1))</x:f>
        <x:v>0.6</x:v>
      </x:c>
      <x:c r="J8" s="9" t="inlineStr">
        <x:is>
          <x:t xml:space="preserve">No</x:t>
        </x:is>
      </x:c>
      <x:c r="K8" s="9" t="inlineStr">
        <x:is>
          <x:t xml:space="preserve">Canon</x:t>
        </x:is>
      </x:c>
      <x:c r="L8" s="9" t="inlineStr">
        <x:is>
          <x:t xml:space="preserve">§6</x:t>
        </x:is>
      </x:c>
      <x:c r="M8" s="54" t="inlineStr">
        <x:is>
          <x:t xml:space="preserve">Model estimate</x:t>
        </x:is>
      </x:c>
    </x:row>
    <x:row r="9">
      <x:c r="A9" s="9" t="inlineStr">
        <x:is>
          <x:t xml:space="preserve">E04</x:t>
        </x:is>
      </x:c>
      <x:c r="B9" s="50" t="n">
        <x:v>1855</x:v>
      </x:c>
      <x:c r="C9" s="50" t="n">
        <x:v>1861</x:v>
      </x:c>
      <x:c r="D9" s="51" t="inlineStr">
        <x:is>
          <x:t xml:space="preserve">Ericsson experimental workshop and turret trials</x:t>
        </x:is>
      </x:c>
      <x:c r="E9" s="9" t="inlineStr">
        <x:is>
          <x:t xml:space="preserve">Programme</x:t>
        </x:is>
      </x:c>
      <x:c r="F9" s="9" t="inlineStr">
        <x:is>
          <x:t xml:space="preserve"/>
        </x:is>
      </x:c>
      <x:c r="G9" s="9" t="inlineStr">
        <x:is>
          <x:t xml:space="preserve"/>
        </x:is>
      </x:c>
      <x:c r="H9" s="52" t="n">
        <x:v>0.4</x:v>
      </x:c>
      <x:c r="I9" s="53" t="n">
        <x:f>IF(H9="","",H9*(C9-B9+1))</x:f>
        <x:v>2.8000000000000003</x:v>
      </x:c>
      <x:c r="J9" s="9" t="inlineStr">
        <x:is>
          <x:t xml:space="preserve">No</x:t>
        </x:is>
      </x:c>
      <x:c r="K9" s="9" t="inlineStr">
        <x:is>
          <x:t xml:space="preserve">Canon</x:t>
        </x:is>
      </x:c>
      <x:c r="L9" s="9" t="inlineStr">
        <x:is>
          <x:t xml:space="preserve">§8</x:t>
        </x:is>
      </x:c>
      <x:c r="M9" s="54" t="inlineStr">
        <x:is>
          <x:t xml:space="preserve">Hulls are in the navy plan</x:t>
        </x:is>
      </x:c>
    </x:row>
    <x:row r="10">
      <x:c r="A10" s="9" t="inlineStr">
        <x:is>
          <x:t xml:space="preserve">E05</x:t>
        </x:is>
      </x:c>
      <x:c r="B10" s="50" t="n">
        <x:v>1857</x:v>
      </x:c>
      <x:c r="C10" s="50" t="n">
        <x:v>1858</x:v>
      </x:c>
      <x:c r="D10" s="51" t="inlineStr">
        <x:is>
          <x:t xml:space="preserve">Utah War border readiness</x:t>
        </x:is>
      </x:c>
      <x:c r="E10" s="9" t="inlineStr">
        <x:is>
          <x:t xml:space="preserve">War &amp; operations</x:t>
        </x:is>
      </x:c>
      <x:c r="F10" s="9" t="inlineStr">
        <x:is>
          <x:t xml:space="preserve"/>
        </x:is>
      </x:c>
      <x:c r="G10" s="9" t="inlineStr">
        <x:is>
          <x:t xml:space="preserve"/>
        </x:is>
      </x:c>
      <x:c r="H10" s="52" t="n">
        <x:v>0.3</x:v>
      </x:c>
      <x:c r="I10" s="53" t="n">
        <x:f>IF(H10="","",H10*(C10-B10+1))</x:f>
        <x:v>0.6</x:v>
      </x:c>
      <x:c r="J10" s="9" t="inlineStr">
        <x:is>
          <x:t xml:space="preserve">No</x:t>
        </x:is>
      </x:c>
      <x:c r="K10" s="9" t="inlineStr">
        <x:is>
          <x:t xml:space="preserve">Canon</x:t>
        </x:is>
      </x:c>
      <x:c r="L10" s="9" t="inlineStr">
        <x:is>
          <x:t xml:space="preserve">§8</x:t>
        </x:is>
      </x:c>
      <x:c r="M10" s="54" t="inlineStr">
        <x:is>
          <x:t xml:space="preserve">Model estimate</x:t>
        </x:is>
      </x:c>
    </x:row>
    <x:row r="11">
      <x:c r="A11" s="9" t="inlineStr">
        <x:is>
          <x:t xml:space="preserve">E06</x:t>
        </x:is>
      </x:c>
      <x:c r="B11" s="50" t="n">
        <x:v>1860</x:v>
      </x:c>
      <x:c r="C11" s="50" t="n">
        <x:v>1860</x:v>
      </x:c>
      <x:c r="D11" s="51" t="inlineStr">
        <x:is>
          <x:t xml:space="preserve">Pyramid Lake relief force and Washoe crisis</x:t>
        </x:is>
      </x:c>
      <x:c r="E11" s="9" t="inlineStr">
        <x:is>
          <x:t xml:space="preserve">War &amp; operations</x:t>
        </x:is>
      </x:c>
      <x:c r="F11" s="9" t="inlineStr">
        <x:is>
          <x:t xml:space="preserve"/>
        </x:is>
      </x:c>
      <x:c r="G11" s="9" t="inlineStr">
        <x:is>
          <x:t xml:space="preserve"/>
        </x:is>
      </x:c>
      <x:c r="H11" s="52" t="n">
        <x:v>1</x:v>
      </x:c>
      <x:c r="I11" s="53" t="n">
        <x:f>IF(H11="","",H11*(C11-B11+1))</x:f>
        <x:v>1</x:v>
      </x:c>
      <x:c r="J11" s="9" t="inlineStr">
        <x:is>
          <x:t xml:space="preserve">No</x:t>
        </x:is>
      </x:c>
      <x:c r="K11" s="9" t="inlineStr">
        <x:is>
          <x:t xml:space="preserve">Canon</x:t>
        </x:is>
      </x:c>
      <x:c r="L11" s="9" t="inlineStr">
        <x:is>
          <x:t xml:space="preserve">§8</x:t>
        </x:is>
      </x:c>
      <x:c r="M11" s="54" t="inlineStr">
        <x:is>
          <x:t xml:space="preserve">Model estimate</x:t>
        </x:is>
      </x:c>
    </x:row>
    <x:row r="12">
      <x:c r="A12" s="9" t="inlineStr">
        <x:is>
          <x:t xml:space="preserve">E07</x:t>
        </x:is>
      </x:c>
      <x:c r="B12" s="50" t="n">
        <x:v>1861</x:v>
      </x:c>
      <x:c r="C12" s="50" t="n">
        <x:v>1861</x:v>
      </x:c>
      <x:c r="D12" s="51" t="inlineStr">
        <x:is>
          <x:t xml:space="preserve">Northwestern campaign: sea transport and occupation</x:t>
        </x:is>
      </x:c>
      <x:c r="E12" s="9" t="inlineStr">
        <x:is>
          <x:t xml:space="preserve">War &amp; operations</x:t>
        </x:is>
      </x:c>
      <x:c r="F12" s="9" t="inlineStr">
        <x:is>
          <x:t xml:space="preserve"/>
        </x:is>
      </x:c>
      <x:c r="G12" s="9" t="inlineStr">
        <x:is>
          <x:t xml:space="preserve"/>
        </x:is>
      </x:c>
      <x:c r="H12" s="52" t="n">
        <x:v>6</x:v>
      </x:c>
      <x:c r="I12" s="53" t="n">
        <x:f>IF(H12="","",H12*(C12-B12+1))</x:f>
        <x:v>6</x:v>
      </x:c>
      <x:c r="J12" s="9" t="inlineStr">
        <x:is>
          <x:t xml:space="preserve">No</x:t>
        </x:is>
      </x:c>
      <x:c r="K12" s="9" t="inlineStr">
        <x:is>
          <x:t xml:space="preserve">Canon</x:t>
        </x:is>
      </x:c>
      <x:c r="L12" s="9" t="inlineStr">
        <x:is>
          <x:t xml:space="preserve">§10</x:t>
        </x:is>
      </x:c>
      <x:c r="M12" s="54" t="inlineStr">
        <x:is>
          <x:t xml:space="preserve">On top of the wartime army in Paths</x:t>
        </x:is>
      </x:c>
    </x:row>
    <x:row r="13">
      <x:c r="A13" s="9" t="inlineStr">
        <x:is>
          <x:t xml:space="preserve">E08</x:t>
        </x:is>
      </x:c>
      <x:c r="B13" s="50" t="n">
        <x:v>1862</x:v>
      </x:c>
      <x:c r="C13" s="50" t="n">
        <x:v>1864</x:v>
      </x:c>
      <x:c r="D13" s="51" t="inlineStr">
        <x:is>
          <x:t xml:space="preserve">Occupation, interior columns and garrisons</x:t>
        </x:is>
      </x:c>
      <x:c r="E13" s="9" t="inlineStr">
        <x:is>
          <x:t xml:space="preserve">War &amp; operations</x:t>
        </x:is>
      </x:c>
      <x:c r="F13" s="9" t="inlineStr">
        <x:is>
          <x:t xml:space="preserve"/>
        </x:is>
      </x:c>
      <x:c r="G13" s="9" t="inlineStr">
        <x:is>
          <x:t xml:space="preserve"/>
        </x:is>
      </x:c>
      <x:c r="H13" s="52" t="n">
        <x:v>5</x:v>
      </x:c>
      <x:c r="I13" s="53" t="n">
        <x:f>IF(H13="","",H13*(C13-B13+1))</x:f>
        <x:v>15</x:v>
      </x:c>
      <x:c r="J13" s="9" t="inlineStr">
        <x:is>
          <x:t xml:space="preserve">No</x:t>
        </x:is>
      </x:c>
      <x:c r="K13" s="9" t="inlineStr">
        <x:is>
          <x:t xml:space="preserve">Canon</x:t>
        </x:is>
      </x:c>
      <x:c r="L13" s="9" t="inlineStr">
        <x:is>
          <x:t xml:space="preserve">§10-11</x:t>
        </x:is>
      </x:c>
      <x:c r="M13" s="54" t="inlineStr">
        <x:is>
          <x:t xml:space="preserve">Model estimate</x:t>
        </x:is>
      </x:c>
    </x:row>
    <x:row r="14">
      <x:c r="A14" s="9" t="inlineStr">
        <x:is>
          <x:t xml:space="preserve">E09</x:t>
        </x:is>
      </x:c>
      <x:c r="B14" s="50" t="n">
        <x:v>1862</x:v>
      </x:c>
      <x:c r="C14" s="50" t="n">
        <x:v>1864</x:v>
      </x:c>
      <x:c r="D14" s="51" t="inlineStr">
        <x:is>
          <x:t xml:space="preserve">Eastern technical mission and Confederate aid</x:t>
        </x:is>
      </x:c>
      <x:c r="E14" s="9" t="inlineStr">
        <x:is>
          <x:t xml:space="preserve">Subsidy &amp; guarantee</x:t>
        </x:is>
      </x:c>
      <x:c r="F14" s="9" t="inlineStr">
        <x:is>
          <x:t xml:space="preserve"/>
        </x:is>
      </x:c>
      <x:c r="G14" s="9" t="inlineStr">
        <x:is>
          <x:t xml:space="preserve">Confederacy</x:t>
        </x:is>
      </x:c>
      <x:c r="H14" s="52" t="n">
        <x:v>0.8</x:v>
      </x:c>
      <x:c r="I14" s="53" t="n">
        <x:f>IF(H14="","",H14*(C14-B14+1))</x:f>
        <x:v>2.4000000000000004</x:v>
      </x:c>
      <x:c r="J14" s="9" t="inlineStr">
        <x:is>
          <x:t xml:space="preserve">No</x:t>
        </x:is>
      </x:c>
      <x:c r="K14" s="9" t="inlineStr">
        <x:is>
          <x:t xml:space="preserve">Canon</x:t>
        </x:is>
      </x:c>
      <x:c r="L14" s="9" t="inlineStr">
        <x:is>
          <x:t xml:space="preserve">§11</x:t>
        </x:is>
      </x:c>
      <x:c r="M14" s="54" t="inlineStr">
        <x:is>
          <x:t xml:space="preserve">Logan's mission, Louisiana repairs, Mobile mines</x:t>
        </x:is>
      </x:c>
    </x:row>
    <x:row r="15">
      <x:c r="A15" s="9" t="inlineStr">
        <x:is>
          <x:t xml:space="preserve">E10</x:t>
        </x:is>
      </x:c>
      <x:c r="B15" s="50" t="n">
        <x:v>1865</x:v>
      </x:c>
      <x:c r="C15" s="50" t="n">
        <x:v>1865</x:v>
      </x:c>
      <x:c r="D15" s="51" t="inlineStr">
        <x:is>
          <x:t xml:space="preserve">Navajo and Apache treaties, peonage compensation</x:t>
        </x:is>
      </x:c>
      <x:c r="E15" s="9" t="inlineStr">
        <x:is>
          <x:t xml:space="preserve">Subsidy &amp; guarantee</x:t>
        </x:is>
      </x:c>
      <x:c r="F15" s="9" t="inlineStr">
        <x:is>
          <x:t xml:space="preserve"/>
        </x:is>
      </x:c>
      <x:c r="G15" s="9" t="inlineStr">
        <x:is>
          <x:t xml:space="preserve"/>
        </x:is>
      </x:c>
      <x:c r="H15" s="52" t="n">
        <x:v>2</x:v>
      </x:c>
      <x:c r="I15" s="53" t="n">
        <x:f>IF(H15="","",H15*(C15-B15+1))</x:f>
        <x:v>2</x:v>
      </x:c>
      <x:c r="J15" s="9" t="inlineStr">
        <x:is>
          <x:t xml:space="preserve">No</x:t>
        </x:is>
      </x:c>
      <x:c r="K15" s="9" t="inlineStr">
        <x:is>
          <x:t xml:space="preserve">Proposed</x:t>
        </x:is>
      </x:c>
      <x:c r="L15" s="9" t="inlineStr">
        <x:is>
          <x:t xml:space="preserve">§10</x:t>
        </x:is>
      </x:c>
      <x:c r="M15" s="54" t="inlineStr">
        <x:is>
          <x:t xml:space="preserve">Model estimate</x:t>
        </x:is>
      </x:c>
    </x:row>
    <x:row r="16">
      <x:c r="A16" s="9" t="inlineStr">
        <x:is>
          <x:t xml:space="preserve">E11</x:t>
        </x:is>
      </x:c>
      <x:c r="B16" s="50" t="n">
        <x:v>1866</x:v>
      </x:c>
      <x:c r="C16" s="50" t="n">
        <x:v>1872</x:v>
      </x:c>
      <x:c r="D16" s="51" t="inlineStr">
        <x:is>
          <x:t xml:space="preserve">Western cession: vendor credit to the Union</x:t>
        </x:is>
      </x:c>
      <x:c r="E16" s="9" t="inlineStr">
        <x:is>
          <x:t xml:space="preserve">Purchase</x:t>
        </x:is>
      </x:c>
      <x:c r="F16" s="9" t="inlineStr">
        <x:is>
          <x:t xml:space="preserve"/>
        </x:is>
      </x:c>
      <x:c r="G16" s="9" t="inlineStr">
        <x:is>
          <x:t xml:space="preserve">Union</x:t>
        </x:is>
      </x:c>
      <x:c r="H16" s="52" t="n">
        <x:f>union_vendor/7</x:f>
        <x:v>5.714285714285714</x:v>
      </x:c>
      <x:c r="I16" s="53" t="n">
        <x:f>IF(H16="","",H16*(C16-B16+1))</x:f>
        <x:v>40</x:v>
      </x:c>
      <x:c r="J16" s="9" t="inlineStr">
        <x:is>
          <x:t xml:space="preserve">Yes</x:t>
        </x:is>
      </x:c>
      <x:c r="K16" s="9" t="inlineStr">
        <x:is>
          <x:t xml:space="preserve">Proposed</x:t>
        </x:is>
      </x:c>
      <x:c r="L16" s="9" t="inlineStr">
        <x:is>
          <x:t xml:space="preserve">§12</x:t>
        </x:is>
      </x:c>
      <x:c r="M16" s="54" t="inlineStr">
        <x:is>
          <x:t xml:space="preserve">$40m gold in instalments through 1872</x:t>
        </x:is>
      </x:c>
    </x:row>
    <x:row r="17">
      <x:c r="A17" s="9" t="inlineStr">
        <x:is>
          <x:t xml:space="preserve">E12</x:t>
        </x:is>
      </x:c>
      <x:c r="B17" s="50" t="n">
        <x:v>1867</x:v>
      </x:c>
      <x:c r="C17" s="50" t="n">
        <x:v>1867</x:v>
      </x:c>
      <x:c r="D17" s="51" t="inlineStr">
        <x:is>
          <x:t xml:space="preserve">Alaska purchase</x:t>
        </x:is>
      </x:c>
      <x:c r="E17" s="9" t="inlineStr">
        <x:is>
          <x:t xml:space="preserve">Purchase</x:t>
        </x:is>
      </x:c>
      <x:c r="F17" s="9" t="inlineStr">
        <x:is>
          <x:t xml:space="preserve"/>
        </x:is>
      </x:c>
      <x:c r="G17" s="9" t="inlineStr">
        <x:is>
          <x:t xml:space="preserve">Russia</x:t>
        </x:is>
      </x:c>
      <x:c r="H17" s="52" t="n">
        <x:v>7.2</x:v>
      </x:c>
      <x:c r="I17" s="53" t="n">
        <x:f>IF(H17="","",H17*(C17-B17+1))</x:f>
        <x:v>7.2</x:v>
      </x:c>
      <x:c r="J17" s="9" t="inlineStr">
        <x:is>
          <x:t xml:space="preserve">Yes</x:t>
        </x:is>
      </x:c>
      <x:c r="K17" s="9" t="inlineStr">
        <x:is>
          <x:t xml:space="preserve">Canon</x:t>
        </x:is>
      </x:c>
      <x:c r="L17" s="9" t="inlineStr">
        <x:is>
          <x:t xml:space="preserve">§14</x:t>
        </x:is>
      </x:c>
      <x:c r="M17" s="54" t="inlineStr">
        <x:is>
          <x:t xml:space="preserve">Historical US price as comparator</x:t>
        </x:is>
      </x:c>
    </x:row>
    <x:row r="18">
      <x:c r="A18" s="9" t="inlineStr">
        <x:is>
          <x:t xml:space="preserve">E13</x:t>
        </x:is>
      </x:c>
      <x:c r="B18" s="50" t="n">
        <x:v>1867</x:v>
      </x:c>
      <x:c r="C18" s="50" t="n">
        <x:v>1867</x:v>
      </x:c>
      <x:c r="D18" s="51" t="inlineStr">
        <x:is>
          <x:t xml:space="preserve">Baja purchase</x:t>
        </x:is>
      </x:c>
      <x:c r="E18" s="9" t="inlineStr">
        <x:is>
          <x:t xml:space="preserve">Purchase</x:t>
        </x:is>
      </x:c>
      <x:c r="F18" s="9" t="inlineStr">
        <x:is>
          <x:t xml:space="preserve"/>
        </x:is>
      </x:c>
      <x:c r="G18" s="9" t="inlineStr">
        <x:is>
          <x:t xml:space="preserve">Mexico</x:t>
        </x:is>
      </x:c>
      <x:c r="H18" s="52" t="n">
        <x:v>5</x:v>
      </x:c>
      <x:c r="I18" s="53" t="n">
        <x:f>IF(H18="","",H18*(C18-B18+1))</x:f>
        <x:v>5</x:v>
      </x:c>
      <x:c r="J18" s="9" t="inlineStr">
        <x:is>
          <x:t xml:space="preserve">Yes</x:t>
        </x:is>
      </x:c>
      <x:c r="K18" s="9" t="inlineStr">
        <x:is>
          <x:t xml:space="preserve">Proposed</x:t>
        </x:is>
      </x:c>
      <x:c r="L18" s="9" t="inlineStr">
        <x:is>
          <x:t xml:space="preserve">§13</x:t>
        </x:is>
      </x:c>
      <x:c r="M18" s="54" t="inlineStr">
        <x:is>
          <x:t xml:space="preserve">Old model working price</x:t>
        </x:is>
      </x:c>
    </x:row>
    <x:row r="19">
      <x:c r="A19" s="9" t="inlineStr">
        <x:is>
          <x:t xml:space="preserve">E14</x:t>
        </x:is>
      </x:c>
      <x:c r="B19" s="50" t="n">
        <x:v>1867</x:v>
      </x:c>
      <x:c r="C19" s="50" t="n">
        <x:v>1867</x:v>
      </x:c>
      <x:c r="D19" s="51" t="inlineStr">
        <x:is>
          <x:t xml:space="preserve">Treasury loan to the Union</x:t>
        </x:is>
      </x:c>
      <x:c r="E19" s="9" t="inlineStr">
        <x:is>
          <x:t xml:space="preserve">Loan</x:t>
        </x:is>
      </x:c>
      <x:c r="F19" s="9" t="inlineStr">
        <x:is>
          <x:t xml:space="preserve">Continental</x:t>
        </x:is>
      </x:c>
      <x:c r="G19" s="9" t="inlineStr">
        <x:is>
          <x:t xml:space="preserve">Union</x:t>
        </x:is>
      </x:c>
      <x:c r="H19" s="52" t="n">
        <x:v>10</x:v>
      </x:c>
      <x:c r="I19" s="53" t="n">
        <x:f>IF(H19="","",H19*(C19-B19+1))</x:f>
        <x:v>10</x:v>
      </x:c>
      <x:c r="J19" s="9" t="inlineStr">
        <x:is>
          <x:t xml:space="preserve">Yes</x:t>
        </x:is>
      </x:c>
      <x:c r="K19" s="9" t="inlineStr">
        <x:is>
          <x:t xml:space="preserve">Proposed</x:t>
        </x:is>
      </x:c>
      <x:c r="L19" s="9" t="inlineStr">
        <x:is>
          <x:t xml:space="preserve">§12</x:t>
        </x:is>
      </x:c>
      <x:c r="M19" s="54" t="inlineStr">
        <x:is>
          <x:t xml:space="preserve">Old model L01: $10m syndicate</x:t>
        </x:is>
      </x:c>
    </x:row>
    <x:row r="20">
      <x:c r="A20" s="9" t="inlineStr">
        <x:is>
          <x:t xml:space="preserve">E15</x:t>
        </x:is>
      </x:c>
      <x:c r="B20" s="50" t="n">
        <x:v>1867</x:v>
      </x:c>
      <x:c r="C20" s="50" t="n">
        <x:v>1900</x:v>
      </x:c>
      <x:c r="D20" s="51" t="inlineStr">
        <x:is>
          <x:t xml:space="preserve">Ocean mail line subsidy (SF-Honolulu-Yokohama-Hong Kong)</x:t>
        </x:is>
      </x:c>
      <x:c r="E20" s="9" t="inlineStr">
        <x:is>
          <x:t xml:space="preserve">Subsidy &amp; guarantee</x:t>
        </x:is>
      </x:c>
      <x:c r="F20" s="9" t="inlineStr">
        <x:is>
          <x:t xml:space="preserve"/>
        </x:is>
      </x:c>
      <x:c r="G20" s="9" t="inlineStr">
        <x:is>
          <x:t xml:space="preserve"/>
        </x:is>
      </x:c>
      <x:c r="H20" s="52" t="n">
        <x:v>1</x:v>
      </x:c>
      <x:c r="I20" s="53" t="n">
        <x:f>IF(H20="","",H20*(C20-B20+1))</x:f>
        <x:v>34</x:v>
      </x:c>
      <x:c r="J20" s="9" t="inlineStr">
        <x:is>
          <x:t xml:space="preserve">No</x:t>
        </x:is>
      </x:c>
      <x:c r="K20" s="9" t="inlineStr">
        <x:is>
          <x:t xml:space="preserve">Proposed</x:t>
        </x:is>
      </x:c>
      <x:c r="L20" s="9" t="inlineStr">
        <x:is>
          <x:t xml:space="preserve">§14</x:t>
        </x:is>
      </x:c>
      <x:c r="M20" s="54" t="inlineStr">
        <x:is>
          <x:t xml:space="preserve">Model estimate</x:t>
        </x:is>
      </x:c>
    </x:row>
    <x:row r="21">
      <x:c r="A21" s="9" t="inlineStr">
        <x:is>
          <x:t xml:space="preserve">E16</x:t>
        </x:is>
      </x:c>
      <x:c r="B21" s="50" t="n">
        <x:v>1868</x:v>
      </x:c>
      <x:c r="C21" s="50" t="n">
        <x:v>1869</x:v>
      </x:c>
      <x:c r="D21" s="51" t="inlineStr">
        <x:is>
          <x:t xml:space="preserve">Fleet guarantee for the Edo transition</x:t>
        </x:is>
      </x:c>
      <x:c r="E21" s="9" t="inlineStr">
        <x:is>
          <x:t xml:space="preserve">War &amp; operations</x:t>
        </x:is>
      </x:c>
      <x:c r="F21" s="9" t="inlineStr">
        <x:is>
          <x:t xml:space="preserve"/>
        </x:is>
      </x:c>
      <x:c r="G21" s="9" t="inlineStr">
        <x:is>
          <x:t xml:space="preserve">Japan</x:t>
        </x:is>
      </x:c>
      <x:c r="H21" s="52" t="n">
        <x:v>0.5</x:v>
      </x:c>
      <x:c r="I21" s="53" t="n">
        <x:f>IF(H21="","",H21*(C21-B21+1))</x:f>
        <x:v>1</x:v>
      </x:c>
      <x:c r="J21" s="9" t="inlineStr">
        <x:is>
          <x:t xml:space="preserve">No</x:t>
        </x:is>
      </x:c>
      <x:c r="K21" s="9" t="inlineStr">
        <x:is>
          <x:t xml:space="preserve">Proposed</x:t>
        </x:is>
      </x:c>
      <x:c r="L21" s="9" t="inlineStr">
        <x:is>
          <x:t xml:space="preserve">§14</x:t>
        </x:is>
      </x:c>
      <x:c r="M21" s="54" t="inlineStr">
        <x:is>
          <x:t xml:space="preserve">Model estimate</x:t>
        </x:is>
      </x:c>
    </x:row>
    <x:row r="22">
      <x:c r="A22" s="9" t="inlineStr">
        <x:is>
          <x:t xml:space="preserve">E17</x:t>
        </x:is>
      </x:c>
      <x:c r="B22" s="50" t="n">
        <x:v>1870</x:v>
      </x:c>
      <x:c r="C22" s="50" t="n">
        <x:v>1871</x:v>
      </x:c>
      <x:c r="D22" s="51" t="inlineStr">
        <x:is>
          <x:t xml:space="preserve">Gulf squadron, turret ships and mines in Grant's war</x:t>
        </x:is>
      </x:c>
      <x:c r="E22" s="9" t="inlineStr">
        <x:is>
          <x:t xml:space="preserve">War &amp; operations</x:t>
        </x:is>
      </x:c>
      <x:c r="F22" s="9" t="inlineStr">
        <x:is>
          <x:t xml:space="preserve"/>
        </x:is>
      </x:c>
      <x:c r="G22" s="9" t="inlineStr">
        <x:is>
          <x:t xml:space="preserve">Confederacy</x:t>
        </x:is>
      </x:c>
      <x:c r="H22" s="52" t="n">
        <x:v>6</x:v>
      </x:c>
      <x:c r="I22" s="53" t="n">
        <x:f>IF(H22="","",H22*(C22-B22+1))</x:f>
        <x:v>12</x:v>
      </x:c>
      <x:c r="J22" s="9" t="inlineStr">
        <x:is>
          <x:t xml:space="preserve">No</x:t>
        </x:is>
      </x:c>
      <x:c r="K22" s="9" t="inlineStr">
        <x:is>
          <x:t xml:space="preserve">Canon</x:t>
        </x:is>
      </x:c>
      <x:c r="L22" s="9" t="inlineStr">
        <x:is>
          <x:t xml:space="preserve">§13</x:t>
        </x:is>
      </x:c>
      <x:c r="M22" s="54" t="inlineStr">
        <x:is>
          <x:t xml:space="preserve">No field army sent</x:t>
        </x:is>
      </x:c>
    </x:row>
    <x:row r="23">
      <x:c r="A23" s="9" t="inlineStr">
        <x:is>
          <x:t xml:space="preserve">E18</x:t>
        </x:is>
      </x:c>
      <x:c r="B23" s="50" t="n">
        <x:v>1870</x:v>
      </x:c>
      <x:c r="C23" s="50" t="n">
        <x:v>1870</x:v>
      </x:c>
      <x:c r="D23" s="51" t="inlineStr">
        <x:is>
          <x:t xml:space="preserve">Japan alliance credit (Yokosuka, Takashima)</x:t>
        </x:is>
      </x:c>
      <x:c r="E23" s="9" t="inlineStr">
        <x:is>
          <x:t xml:space="preserve">Loan</x:t>
        </x:is>
      </x:c>
      <x:c r="F23" s="9" t="inlineStr">
        <x:is>
          <x:t xml:space="preserve">Asia</x:t>
        </x:is>
      </x:c>
      <x:c r="G23" s="9" t="inlineStr">
        <x:is>
          <x:t xml:space="preserve">Japan</x:t>
        </x:is>
      </x:c>
      <x:c r="H23" s="52" t="n">
        <x:v>5</x:v>
      </x:c>
      <x:c r="I23" s="53" t="n">
        <x:f>IF(H23="","",H23*(C23-B23+1))</x:f>
        <x:v>5</x:v>
      </x:c>
      <x:c r="J23" s="9" t="inlineStr">
        <x:is>
          <x:t xml:space="preserve">No</x:t>
        </x:is>
      </x:c>
      <x:c r="K23" s="9" t="inlineStr">
        <x:is>
          <x:t xml:space="preserve">Canon</x:t>
        </x:is>
      </x:c>
      <x:c r="L23" s="9" t="inlineStr">
        <x:is>
          <x:t xml:space="preserve">§14</x:t>
        </x:is>
      </x:c>
      <x:c r="M23" s="54" t="inlineStr">
        <x:is>
          <x:t xml:space="preserve">Old model L02</x:t>
        </x:is>
      </x:c>
    </x:row>
    <x:row r="24">
      <x:c r="A24" s="9" t="inlineStr">
        <x:is>
          <x:t xml:space="preserve">E19</x:t>
        </x:is>
      </x:c>
      <x:c r="B24" s="50" t="n">
        <x:v>1871</x:v>
      </x:c>
      <x:c r="C24" s="50" t="n">
        <x:v>1872</x:v>
      </x:c>
      <x:c r="D24" s="51" t="inlineStr">
        <x:is>
          <x:t xml:space="preserve">Confederate debt refinanced on customs security</x:t>
        </x:is>
      </x:c>
      <x:c r="E24" s="9" t="inlineStr">
        <x:is>
          <x:t xml:space="preserve">Loan</x:t>
        </x:is>
      </x:c>
      <x:c r="F24" s="9" t="inlineStr">
        <x:is>
          <x:t xml:space="preserve">Continental</x:t>
        </x:is>
      </x:c>
      <x:c r="G24" s="9" t="inlineStr">
        <x:is>
          <x:t xml:space="preserve">Confederacy</x:t>
        </x:is>
      </x:c>
      <x:c r="H24" s="52" t="n">
        <x:v>12.5</x:v>
      </x:c>
      <x:c r="I24" s="53" t="n">
        <x:f>IF(H24="","",H24*(C24-B24+1))</x:f>
        <x:v>25</x:v>
      </x:c>
      <x:c r="J24" s="9" t="inlineStr">
        <x:is>
          <x:t xml:space="preserve">No</x:t>
        </x:is>
      </x:c>
      <x:c r="K24" s="9" t="inlineStr">
        <x:is>
          <x:t xml:space="preserve">Canon</x:t>
        </x:is>
      </x:c>
      <x:c r="L24" s="9" t="inlineStr">
        <x:is>
          <x:t xml:space="preserve">§13</x:t>
        </x:is>
      </x:c>
      <x:c r="M24" s="54" t="inlineStr">
        <x:is>
          <x:t xml:space="preserve">Old model L03 + L04</x:t>
        </x:is>
      </x:c>
    </x:row>
    <x:row r="25">
      <x:c r="A25" s="9" t="inlineStr">
        <x:is>
          <x:t xml:space="preserve">E20</x:t>
        </x:is>
      </x:c>
      <x:c r="B25" s="50" t="n">
        <x:v>1871</x:v>
      </x:c>
      <x:c r="C25" s="50" t="n">
        <x:v>1888</x:v>
      </x:c>
      <x:c r="D25" s="51" t="inlineStr">
        <x:is>
          <x:t xml:space="preserve">Replacement of Richmond's Mississippi tolls</x:t>
        </x:is>
      </x:c>
      <x:c r="E25" s="9" t="inlineStr">
        <x:is>
          <x:t xml:space="preserve">Subsidy &amp; guarantee</x:t>
        </x:is>
      </x:c>
      <x:c r="F25" s="9" t="inlineStr">
        <x:is>
          <x:t xml:space="preserve"/>
        </x:is>
      </x:c>
      <x:c r="G25" s="9" t="inlineStr">
        <x:is>
          <x:t xml:space="preserve">Confederacy</x:t>
        </x:is>
      </x:c>
      <x:c r="H25" s="52" t="n">
        <x:v>1</x:v>
      </x:c>
      <x:c r="I25" s="53" t="n">
        <x:f>IF(H25="","",H25*(C25-B25+1))</x:f>
        <x:v>18</x:v>
      </x:c>
      <x:c r="J25" s="9" t="inlineStr">
        <x:is>
          <x:t xml:space="preserve">No</x:t>
        </x:is>
      </x:c>
      <x:c r="K25" s="9" t="inlineStr">
        <x:is>
          <x:t xml:space="preserve">Canon</x:t>
        </x:is>
      </x:c>
      <x:c r="L25" s="9" t="inlineStr">
        <x:is>
          <x:t xml:space="preserve">§13</x:t>
        </x:is>
      </x:c>
      <x:c r="M25" s="54" t="inlineStr">
        <x:is>
          <x:t xml:space="preserve">Model estimate</x:t>
        </x:is>
      </x:c>
    </x:row>
    <x:row r="26">
      <x:c r="A26" s="9" t="inlineStr">
        <x:is>
          <x:t xml:space="preserve">E21</x:t>
        </x:is>
      </x:c>
      <x:c r="B26" s="50" t="n">
        <x:v>1872</x:v>
      </x:c>
      <x:c r="C26" s="50" t="n">
        <x:v>1872</x:v>
      </x:c>
      <x:c r="D26" s="51" t="inlineStr">
        <x:is>
          <x:t xml:space="preserve">Chinese industrial loans (arsenals, steamships, Kaiping)</x:t>
        </x:is>
      </x:c>
      <x:c r="E26" s="9" t="inlineStr">
        <x:is>
          <x:t xml:space="preserve">Loan</x:t>
        </x:is>
      </x:c>
      <x:c r="F26" s="9" t="inlineStr">
        <x:is>
          <x:t xml:space="preserve">Asia</x:t>
        </x:is>
      </x:c>
      <x:c r="G26" s="9" t="inlineStr">
        <x:is>
          <x:t xml:space="preserve">China</x:t>
        </x:is>
      </x:c>
      <x:c r="H26" s="52" t="n">
        <x:v>4</x:v>
      </x:c>
      <x:c r="I26" s="53" t="n">
        <x:f>IF(H26="","",H26*(C26-B26+1))</x:f>
        <x:v>4</x:v>
      </x:c>
      <x:c r="J26" s="9" t="inlineStr">
        <x:is>
          <x:t xml:space="preserve">No</x:t>
        </x:is>
      </x:c>
      <x:c r="K26" s="9" t="inlineStr">
        <x:is>
          <x:t xml:space="preserve">Proposed</x:t>
        </x:is>
      </x:c>
      <x:c r="L26" s="9" t="inlineStr">
        <x:is>
          <x:t xml:space="preserve">§14</x:t>
        </x:is>
      </x:c>
      <x:c r="M26" s="54" t="inlineStr">
        <x:is>
          <x:t xml:space="preserve">Public share of a $20m syndicate</x:t>
        </x:is>
      </x:c>
    </x:row>
    <x:row r="27">
      <x:c r="A27" s="9" t="inlineStr">
        <x:is>
          <x:t xml:space="preserve">E22</x:t>
        </x:is>
      </x:c>
      <x:c r="B27" s="50" t="n">
        <x:v>1873</x:v>
      </x:c>
      <x:c r="C27" s="50" t="n">
        <x:v>1873</x:v>
      </x:c>
      <x:c r="D27" s="51" t="inlineStr">
        <x:is>
          <x:t xml:space="preserve">One-day naval action at Manila Bay</x:t>
        </x:is>
      </x:c>
      <x:c r="E27" s="9" t="inlineStr">
        <x:is>
          <x:t xml:space="preserve">War &amp; operations</x:t>
        </x:is>
      </x:c>
      <x:c r="F27" s="9" t="inlineStr">
        <x:is>
          <x:t xml:space="preserve"/>
        </x:is>
      </x:c>
      <x:c r="G27" s="9" t="inlineStr">
        <x:is>
          <x:t xml:space="preserve">Spain</x:t>
        </x:is>
      </x:c>
      <x:c r="H27" s="52" t="n">
        <x:v>1.5</x:v>
      </x:c>
      <x:c r="I27" s="53" t="n">
        <x:f>IF(H27="","",H27*(C27-B27+1))</x:f>
        <x:v>1.5</x:v>
      </x:c>
      <x:c r="J27" s="9" t="inlineStr">
        <x:is>
          <x:t xml:space="preserve">No</x:t>
        </x:is>
      </x:c>
      <x:c r="K27" s="9" t="inlineStr">
        <x:is>
          <x:t xml:space="preserve">Canon</x:t>
        </x:is>
      </x:c>
      <x:c r="L27" s="9" t="inlineStr">
        <x:is>
          <x:t xml:space="preserve">§15</x:t>
        </x:is>
      </x:c>
      <x:c r="M27" s="54" t="inlineStr">
        <x:is>
          <x:t xml:space="preserve">Model estimate</x:t>
        </x:is>
      </x:c>
    </x:row>
    <x:row r="28">
      <x:c r="A28" s="9" t="inlineStr">
        <x:is>
          <x:t xml:space="preserve">E23</x:t>
        </x:is>
      </x:c>
      <x:c r="B28" s="50" t="n">
        <x:v>1874</x:v>
      </x:c>
      <x:c r="C28" s="50" t="n">
        <x:v>1874</x:v>
      </x:c>
      <x:c r="D28" s="51" t="inlineStr">
        <x:is>
          <x:t xml:space="preserve">Hawaiian crisis and the Honolulu suppression</x:t>
        </x:is>
      </x:c>
      <x:c r="E28" s="9" t="inlineStr">
        <x:is>
          <x:t xml:space="preserve">War &amp; operations</x:t>
        </x:is>
      </x:c>
      <x:c r="F28" s="9" t="inlineStr">
        <x:is>
          <x:t xml:space="preserve"/>
        </x:is>
      </x:c>
      <x:c r="G28" s="9" t="inlineStr">
        <x:is>
          <x:t xml:space="preserve">Hawaii</x:t>
        </x:is>
      </x:c>
      <x:c r="H28" s="52" t="n">
        <x:v>1</x:v>
      </x:c>
      <x:c r="I28" s="53" t="n">
        <x:f>IF(H28="","",H28*(C28-B28+1))</x:f>
        <x:v>1</x:v>
      </x:c>
      <x:c r="J28" s="9" t="inlineStr">
        <x:is>
          <x:t xml:space="preserve">No</x:t>
        </x:is>
      </x:c>
      <x:c r="K28" s="9" t="inlineStr">
        <x:is>
          <x:t xml:space="preserve">Canon</x:t>
        </x:is>
      </x:c>
      <x:c r="L28" s="9" t="inlineStr">
        <x:is>
          <x:t xml:space="preserve">§17</x:t>
        </x:is>
      </x:c>
      <x:c r="M28" s="54" t="inlineStr">
        <x:is>
          <x:t xml:space="preserve">Model estimate</x:t>
        </x:is>
      </x:c>
    </x:row>
    <x:row r="29">
      <x:c r="A29" s="9" t="inlineStr">
        <x:is>
          <x:t xml:space="preserve">E24</x:t>
        </x:is>
      </x:c>
      <x:c r="B29" s="50" t="n">
        <x:v>1874</x:v>
      </x:c>
      <x:c r="C29" s="50" t="n">
        <x:v>1874</x:v>
      </x:c>
      <x:c r="D29" s="51" t="inlineStr">
        <x:is>
          <x:t xml:space="preserve">Supplies for Japan's Formosa expedition</x:t>
        </x:is>
      </x:c>
      <x:c r="E29" s="9" t="inlineStr">
        <x:is>
          <x:t xml:space="preserve">War &amp; operations</x:t>
        </x:is>
      </x:c>
      <x:c r="F29" s="9" t="inlineStr">
        <x:is>
          <x:t xml:space="preserve"/>
        </x:is>
      </x:c>
      <x:c r="G29" s="9" t="inlineStr">
        <x:is>
          <x:t xml:space="preserve">Japan</x:t>
        </x:is>
      </x:c>
      <x:c r="H29" s="52" t="n">
        <x:v>0.5</x:v>
      </x:c>
      <x:c r="I29" s="53" t="n">
        <x:f>IF(H29="","",H29*(C29-B29+1))</x:f>
        <x:v>0.5</x:v>
      </x:c>
      <x:c r="J29" s="9" t="inlineStr">
        <x:is>
          <x:t xml:space="preserve">No</x:t>
        </x:is>
      </x:c>
      <x:c r="K29" s="9" t="inlineStr">
        <x:is>
          <x:t xml:space="preserve">Proposed</x:t>
        </x:is>
      </x:c>
      <x:c r="L29" s="9" t="inlineStr">
        <x:is>
          <x:t xml:space="preserve">§15</x:t>
        </x:is>
      </x:c>
      <x:c r="M29" s="54" t="inlineStr">
        <x:is>
          <x:t xml:space="preserve">Model estimate</x:t>
        </x:is>
      </x:c>
    </x:row>
    <x:row r="30">
      <x:c r="A30" s="9" t="inlineStr">
        <x:is>
          <x:t xml:space="preserve">E25</x:t>
        </x:is>
      </x:c>
      <x:c r="B30" s="50" t="n">
        <x:v>1874</x:v>
      </x:c>
      <x:c r="C30" s="50" t="n">
        <x:v>1875</x:v>
      </x:c>
      <x:c r="D30" s="51" t="inlineStr">
        <x:is>
          <x:t xml:space="preserve">Bridging loan to Madrid secured on the islands</x:t>
        </x:is>
      </x:c>
      <x:c r="E30" s="9" t="inlineStr">
        <x:is>
          <x:t xml:space="preserve">Loan</x:t>
        </x:is>
      </x:c>
      <x:c r="F30" s="9" t="inlineStr">
        <x:is>
          <x:t xml:space="preserve">Europe</x:t>
        </x:is>
      </x:c>
      <x:c r="G30" s="9" t="inlineStr">
        <x:is>
          <x:t xml:space="preserve">Spain</x:t>
        </x:is>
      </x:c>
      <x:c r="H30" s="52" t="n">
        <x:v>3</x:v>
      </x:c>
      <x:c r="I30" s="53" t="n">
        <x:f>IF(H30="","",H30*(C30-B30+1))</x:f>
        <x:v>6</x:v>
      </x:c>
      <x:c r="J30" s="9" t="inlineStr">
        <x:is>
          <x:t xml:space="preserve">No</x:t>
        </x:is>
      </x:c>
      <x:c r="K30" s="9" t="inlineStr">
        <x:is>
          <x:t xml:space="preserve">Proposed</x:t>
        </x:is>
      </x:c>
      <x:c r="L30" s="9" t="inlineStr">
        <x:is>
          <x:t xml:space="preserve">§15</x:t>
        </x:is>
      </x:c>
      <x:c r="M30" s="54" t="inlineStr">
        <x:is>
          <x:t xml:space="preserve">Old model L09: $6m</x:t>
        </x:is>
      </x:c>
    </x:row>
    <x:row r="31">
      <x:c r="A31" s="9" t="inlineStr">
        <x:is>
          <x:t xml:space="preserve">E26</x:t>
        </x:is>
      </x:c>
      <x:c r="B31" s="50" t="n">
        <x:v>1876</x:v>
      </x:c>
      <x:c r="C31" s="50" t="n">
        <x:v>1876</x:v>
      </x:c>
      <x:c r="D31" s="51" t="inlineStr">
        <x:is>
          <x:t xml:space="preserve">Purchase of the Philippines, Marianas, Carolines and Palau</x:t>
        </x:is>
      </x:c>
      <x:c r="E31" s="9" t="inlineStr">
        <x:is>
          <x:t xml:space="preserve">Purchase</x:t>
        </x:is>
      </x:c>
      <x:c r="F31" s="9" t="inlineStr">
        <x:is>
          <x:t xml:space="preserve"/>
        </x:is>
      </x:c>
      <x:c r="G31" s="9" t="inlineStr">
        <x:is>
          <x:t xml:space="preserve">Spain</x:t>
        </x:is>
      </x:c>
      <x:c r="H31" s="52" t="n">
        <x:v>20</x:v>
      </x:c>
      <x:c r="I31" s="53" t="n">
        <x:f>IF(H31="","",H31*(C31-B31+1))</x:f>
        <x:v>20</x:v>
      </x:c>
      <x:c r="J31" s="9" t="inlineStr">
        <x:is>
          <x:t xml:space="preserve">Yes</x:t>
        </x:is>
      </x:c>
      <x:c r="K31" s="9" t="inlineStr">
        <x:is>
          <x:t xml:space="preserve">Canon</x:t>
        </x:is>
      </x:c>
      <x:c r="L31" s="9" t="inlineStr">
        <x:is>
          <x:t xml:space="preserve">§15</x:t>
        </x:is>
      </x:c>
      <x:c r="M31" s="54" t="inlineStr">
        <x:is>
          <x:t xml:space="preserve">Model estimate; US paid $20m in 1898</x:t>
        </x:is>
      </x:c>
    </x:row>
    <x:row r="32">
      <x:c r="A32" s="9" t="inlineStr">
        <x:is>
          <x:t xml:space="preserve">E27</x:t>
        </x:is>
      </x:c>
      <x:c r="B32" s="50" t="n">
        <x:v>1876</x:v>
      </x:c>
      <x:c r="C32" s="50" t="n">
        <x:v>1890</x:v>
      </x:c>
      <x:c r="D32" s="51" t="inlineStr">
        <x:is>
          <x:t xml:space="preserve">State oil programme: survey, burner trials, oil locomotives</x:t>
        </x:is>
      </x:c>
      <x:c r="E32" s="9" t="inlineStr">
        <x:is>
          <x:t xml:space="preserve">Programme</x:t>
        </x:is>
      </x:c>
      <x:c r="F32" s="9" t="inlineStr">
        <x:is>
          <x:t xml:space="preserve"/>
        </x:is>
      </x:c>
      <x:c r="G32" s="9" t="inlineStr">
        <x:is>
          <x:t xml:space="preserve"/>
        </x:is>
      </x:c>
      <x:c r="H32" s="52" t="n">
        <x:v>0.3</x:v>
      </x:c>
      <x:c r="I32" s="53" t="n">
        <x:f>IF(H32="","",H32*(C32-B32+1))</x:f>
        <x:v>4.5</x:v>
      </x:c>
      <x:c r="J32" s="9" t="inlineStr">
        <x:is>
          <x:t xml:space="preserve">No</x:t>
        </x:is>
      </x:c>
      <x:c r="K32" s="9" t="inlineStr">
        <x:is>
          <x:t xml:space="preserve">Approved</x:t>
        </x:is>
      </x:c>
      <x:c r="L32" s="9" t="inlineStr">
        <x:is>
          <x:t xml:space="preserve">§21</x:t>
        </x:is>
      </x:c>
      <x:c r="M32" s="54" t="inlineStr">
        <x:is>
          <x:t xml:space="preserve">Pico Canyon find; LA and Kern fields found 1885-88</x:t>
        </x:is>
      </x:c>
    </x:row>
    <x:row r="33">
      <x:c r="A33" s="9" t="inlineStr">
        <x:is>
          <x:t xml:space="preserve">E28</x:t>
        </x:is>
      </x:c>
      <x:c r="B33" s="50" t="n">
        <x:v>1876</x:v>
      </x:c>
      <x:c r="C33" s="50" t="n">
        <x:v>1879</x:v>
      </x:c>
      <x:c r="D33" s="51" t="inlineStr">
        <x:is>
          <x:t xml:space="preserve">North China famine relief</x:t>
        </x:is>
      </x:c>
      <x:c r="E33" s="9" t="inlineStr">
        <x:is>
          <x:t xml:space="preserve">Relief</x:t>
        </x:is>
      </x:c>
      <x:c r="F33" s="9" t="inlineStr">
        <x:is>
          <x:t xml:space="preserve"/>
        </x:is>
      </x:c>
      <x:c r="G33" s="9" t="inlineStr">
        <x:is>
          <x:t xml:space="preserve">China</x:t>
        </x:is>
      </x:c>
      <x:c r="H33" s="52" t="n">
        <x:v>0.5</x:v>
      </x:c>
      <x:c r="I33" s="53" t="n">
        <x:f>IF(H33="","",H33*(C33-B33+1))</x:f>
        <x:v>2</x:v>
      </x:c>
      <x:c r="J33" s="9" t="inlineStr">
        <x:is>
          <x:t xml:space="preserve">No</x:t>
        </x:is>
      </x:c>
      <x:c r="K33" s="9" t="inlineStr">
        <x:is>
          <x:t xml:space="preserve">Proposed</x:t>
        </x:is>
      </x:c>
      <x:c r="L33" s="9" t="inlineStr">
        <x:is>
          <x:t xml:space="preserve">§14</x:t>
        </x:is>
      </x:c>
      <x:c r="M33" s="54" t="inlineStr">
        <x:is>
          <x:t xml:space="preserve">Model estimate</x:t>
        </x:is>
      </x:c>
    </x:row>
    <x:row r="34">
      <x:c r="A34" s="9" t="inlineStr">
        <x:is>
          <x:t xml:space="preserve">E29</x:t>
        </x:is>
      </x:c>
      <x:c r="B34" s="50" t="n">
        <x:v>1877</x:v>
      </x:c>
      <x:c r="C34" s="50" t="n">
        <x:v>1932</x:v>
      </x:c>
      <x:c r="D34" s="51" t="inlineStr">
        <x:is>
          <x:t xml:space="preserve">Support to the Philippine crown budget</x:t>
        </x:is>
      </x:c>
      <x:c r="E34" s="9" t="inlineStr">
        <x:is>
          <x:t xml:space="preserve">Subsidy &amp; guarantee</x:t>
        </x:is>
      </x:c>
      <x:c r="F34" s="9" t="inlineStr">
        <x:is>
          <x:t xml:space="preserve"/>
        </x:is>
      </x:c>
      <x:c r="G34" s="9" t="inlineStr">
        <x:is>
          <x:t xml:space="preserve">Philippines</x:t>
        </x:is>
      </x:c>
      <x:c r="H34" s="52" t="n">
        <x:v>0.5</x:v>
      </x:c>
      <x:c r="I34" s="53" t="n">
        <x:f>IF(H34="","",H34*(C34-B34+1))</x:f>
        <x:v>28</x:v>
      </x:c>
      <x:c r="J34" s="9" t="inlineStr">
        <x:is>
          <x:t xml:space="preserve">No</x:t>
        </x:is>
      </x:c>
      <x:c r="K34" s="9" t="inlineStr">
        <x:is>
          <x:t xml:space="preserve">Proposed</x:t>
        </x:is>
      </x:c>
      <x:c r="L34" s="9" t="inlineStr">
        <x:is>
          <x:t xml:space="preserve">§15</x:t>
        </x:is>
      </x:c>
      <x:c r="M34" s="54" t="inlineStr">
        <x:is>
          <x:t xml:space="preserve">Old model transfer</x:t>
        </x:is>
      </x:c>
    </x:row>
    <x:row r="35">
      <x:c r="A35" s="9" t="inlineStr">
        <x:is>
          <x:t xml:space="preserve">E30</x:t>
        </x:is>
      </x:c>
      <x:c r="B35" s="50" t="n">
        <x:v>1877</x:v>
      </x:c>
      <x:c r="C35" s="50" t="n">
        <x:v>1877</x:v>
      </x:c>
      <x:c r="D35" s="51" t="inlineStr">
        <x:is>
          <x:t xml:space="preserve">Support for the Meiji government against Satsuma</x:t>
        </x:is>
      </x:c>
      <x:c r="E35" s="9" t="inlineStr">
        <x:is>
          <x:t xml:space="preserve">War &amp; operations</x:t>
        </x:is>
      </x:c>
      <x:c r="F35" s="9" t="inlineStr">
        <x:is>
          <x:t xml:space="preserve"/>
        </x:is>
      </x:c>
      <x:c r="G35" s="9" t="inlineStr">
        <x:is>
          <x:t xml:space="preserve">Japan</x:t>
        </x:is>
      </x:c>
      <x:c r="H35" s="52" t="n">
        <x:v>0.5</x:v>
      </x:c>
      <x:c r="I35" s="53" t="n">
        <x:f>IF(H35="","",H35*(C35-B35+1))</x:f>
        <x:v>0.5</x:v>
      </x:c>
      <x:c r="J35" s="9" t="inlineStr">
        <x:is>
          <x:t xml:space="preserve">No</x:t>
        </x:is>
      </x:c>
      <x:c r="K35" s="9" t="inlineStr">
        <x:is>
          <x:t xml:space="preserve">Proposed</x:t>
        </x:is>
      </x:c>
      <x:c r="L35" s="9" t="inlineStr">
        <x:is>
          <x:t xml:space="preserve">§15</x:t>
        </x:is>
      </x:c>
      <x:c r="M35" s="54" t="inlineStr">
        <x:is>
          <x:t xml:space="preserve">Model estimate</x:t>
        </x:is>
      </x:c>
    </x:row>
    <x:row r="36">
      <x:c r="A36" s="9" t="inlineStr">
        <x:is>
          <x:t xml:space="preserve">E31</x:t>
        </x:is>
      </x:c>
      <x:c r="B36" s="50" t="n">
        <x:v>1878</x:v>
      </x:c>
      <x:c r="C36" s="50" t="n">
        <x:v>1878</x:v>
      </x:c>
      <x:c r="D36" s="51" t="inlineStr">
        <x:is>
          <x:t xml:space="preserve">Vladivostok maritime action</x:t>
        </x:is>
      </x:c>
      <x:c r="E36" s="9" t="inlineStr">
        <x:is>
          <x:t xml:space="preserve">War &amp; operations</x:t>
        </x:is>
      </x:c>
      <x:c r="F36" s="9" t="inlineStr">
        <x:is>
          <x:t xml:space="preserve"/>
        </x:is>
      </x:c>
      <x:c r="G36" s="9" t="inlineStr">
        <x:is>
          <x:t xml:space="preserve">Russia</x:t>
        </x:is>
      </x:c>
      <x:c r="H36" s="52" t="n">
        <x:v>6</x:v>
      </x:c>
      <x:c r="I36" s="53" t="n">
        <x:f>IF(H36="","",H36*(C36-B36+1))</x:f>
        <x:v>6</x:v>
      </x:c>
      <x:c r="J36" s="9" t="inlineStr">
        <x:is>
          <x:t xml:space="preserve">No</x:t>
        </x:is>
      </x:c>
      <x:c r="K36" s="9" t="inlineStr">
        <x:is>
          <x:t xml:space="preserve">Canon</x:t>
        </x:is>
      </x:c>
      <x:c r="L36" s="9" t="inlineStr">
        <x:is>
          <x:t xml:space="preserve">§16</x:t>
        </x:is>
      </x:c>
      <x:c r="M36" s="54" t="inlineStr">
        <x:is>
          <x:t xml:space="preserve">Model estimate</x:t>
        </x:is>
      </x:c>
    </x:row>
    <x:row r="37">
      <x:c r="A37" s="9" t="inlineStr">
        <x:is>
          <x:t xml:space="preserve">E32</x:t>
        </x:is>
      </x:c>
      <x:c r="B37" s="50" t="n">
        <x:v>1880</x:v>
      </x:c>
      <x:c r="C37" s="50" t="n">
        <x:v>1880</x:v>
      </x:c>
      <x:c r="D37" s="51" t="inlineStr">
        <x:is>
          <x:t xml:space="preserve">Panama Railroad control and Colombian transit treaty</x:t>
        </x:is>
      </x:c>
      <x:c r="E37" s="9" t="inlineStr">
        <x:is>
          <x:t xml:space="preserve">Purchase</x:t>
        </x:is>
      </x:c>
      <x:c r="F37" s="9" t="inlineStr">
        <x:is>
          <x:t xml:space="preserve"/>
        </x:is>
      </x:c>
      <x:c r="G37" s="9" t="inlineStr">
        <x:is>
          <x:t xml:space="preserve">Colombia</x:t>
        </x:is>
      </x:c>
      <x:c r="H37" s="52" t="n">
        <x:v>10</x:v>
      </x:c>
      <x:c r="I37" s="53" t="n">
        <x:f>IF(H37="","",H37*(C37-B37+1))</x:f>
        <x:v>10</x:v>
      </x:c>
      <x:c r="J37" s="9" t="inlineStr">
        <x:is>
          <x:t xml:space="preserve">Yes</x:t>
        </x:is>
      </x:c>
      <x:c r="K37" s="9" t="inlineStr">
        <x:is>
          <x:t xml:space="preserve">Canon</x:t>
        </x:is>
      </x:c>
      <x:c r="L37" s="9" t="inlineStr">
        <x:is>
          <x:t xml:space="preserve">§19</x:t>
        </x:is>
      </x:c>
      <x:c r="M37" s="54" t="inlineStr">
        <x:is>
          <x:t xml:space="preserve">Old model $10m</x:t>
        </x:is>
      </x:c>
    </x:row>
    <x:row r="38">
      <x:c r="A38" s="9" t="inlineStr">
        <x:is>
          <x:t xml:space="preserve">E33</x:t>
        </x:is>
      </x:c>
      <x:c r="B38" s="50" t="n">
        <x:v>1880</x:v>
      </x:c>
      <x:c r="C38" s="50" t="n">
        <x:v>1887</x:v>
      </x:c>
      <x:c r="D38" s="51" t="inlineStr">
        <x:is>
          <x:t xml:space="preserve">Korean treaty and neutrality advisers</x:t>
        </x:is>
      </x:c>
      <x:c r="E38" s="9" t="inlineStr">
        <x:is>
          <x:t xml:space="preserve">Programme</x:t>
        </x:is>
      </x:c>
      <x:c r="F38" s="9" t="inlineStr">
        <x:is>
          <x:t xml:space="preserve"/>
        </x:is>
      </x:c>
      <x:c r="G38" s="9" t="inlineStr">
        <x:is>
          <x:t xml:space="preserve">Korea</x:t>
        </x:is>
      </x:c>
      <x:c r="H38" s="52" t="n">
        <x:v>0.2</x:v>
      </x:c>
      <x:c r="I38" s="53" t="n">
        <x:f>IF(H38="","",H38*(C38-B38+1))</x:f>
        <x:v>1.6</x:v>
      </x:c>
      <x:c r="J38" s="9" t="inlineStr">
        <x:is>
          <x:t xml:space="preserve">No</x:t>
        </x:is>
      </x:c>
      <x:c r="K38" s="9" t="inlineStr">
        <x:is>
          <x:t xml:space="preserve">Proposed</x:t>
        </x:is>
      </x:c>
      <x:c r="L38" s="9" t="inlineStr">
        <x:is>
          <x:t xml:space="preserve">§14</x:t>
        </x:is>
      </x:c>
      <x:c r="M38" s="54" t="inlineStr">
        <x:is>
          <x:t xml:space="preserve">Model estimate</x:t>
        </x:is>
      </x:c>
    </x:row>
    <x:row r="39">
      <x:c r="A39" s="9" t="inlineStr">
        <x:is>
          <x:t xml:space="preserve">E34</x:t>
        </x:is>
      </x:c>
      <x:c r="B39" s="50" t="n">
        <x:v>1884</x:v>
      </x:c>
      <x:c r="C39" s="50" t="n">
        <x:v>1885</x:v>
      </x:c>
      <x:c r="D39" s="51" t="inlineStr">
        <x:is>
          <x:t xml:space="preserve">Keelung squadron protecting the coal trade</x:t>
        </x:is>
      </x:c>
      <x:c r="E39" s="9" t="inlineStr">
        <x:is>
          <x:t xml:space="preserve">War &amp; operations</x:t>
        </x:is>
      </x:c>
      <x:c r="F39" s="9" t="inlineStr">
        <x:is>
          <x:t xml:space="preserve"/>
        </x:is>
      </x:c>
      <x:c r="G39" s="9" t="inlineStr">
        <x:is>
          <x:t xml:space="preserve">China</x:t>
        </x:is>
      </x:c>
      <x:c r="H39" s="52" t="n">
        <x:v>1</x:v>
      </x:c>
      <x:c r="I39" s="53" t="n">
        <x:f>IF(H39="","",H39*(C39-B39+1))</x:f>
        <x:v>2</x:v>
      </x:c>
      <x:c r="J39" s="9" t="inlineStr">
        <x:is>
          <x:t xml:space="preserve">No</x:t>
        </x:is>
      </x:c>
      <x:c r="K39" s="9" t="inlineStr">
        <x:is>
          <x:t xml:space="preserve">Proposed</x:t>
        </x:is>
      </x:c>
      <x:c r="L39" s="9" t="inlineStr">
        <x:is>
          <x:t xml:space="preserve">§16</x:t>
        </x:is>
      </x:c>
      <x:c r="M39" s="54" t="inlineStr">
        <x:is>
          <x:t xml:space="preserve">Model estimate</x:t>
        </x:is>
      </x:c>
    </x:row>
    <x:row r="40">
      <x:c r="A40" s="9" t="inlineStr">
        <x:is>
          <x:t xml:space="preserve">E35</x:t>
        </x:is>
      </x:c>
      <x:c r="B40" s="50" t="n">
        <x:v>1885</x:v>
      </x:c>
      <x:c r="C40" s="50" t="n">
        <x:v>1885</x:v>
      </x:c>
      <x:c r="D40" s="51" t="inlineStr">
        <x:is>
          <x:t xml:space="preserve">Keelung coal and local rail (public stake)</x:t>
        </x:is>
      </x:c>
      <x:c r="E40" s="9" t="inlineStr">
        <x:is>
          <x:t xml:space="preserve">Loan</x:t>
        </x:is>
      </x:c>
      <x:c r="F40" s="9" t="inlineStr">
        <x:is>
          <x:t xml:space="preserve">Asia</x:t>
        </x:is>
      </x:c>
      <x:c r="G40" s="9" t="inlineStr">
        <x:is>
          <x:t xml:space="preserve">China</x:t>
        </x:is>
      </x:c>
      <x:c r="H40" s="52" t="n">
        <x:v>0.6</x:v>
      </x:c>
      <x:c r="I40" s="53" t="n">
        <x:f>IF(H40="","",H40*(C40-B40+1))</x:f>
        <x:v>0.6</x:v>
      </x:c>
      <x:c r="J40" s="9" t="inlineStr">
        <x:is>
          <x:t xml:space="preserve">No</x:t>
        </x:is>
      </x:c>
      <x:c r="K40" s="9" t="inlineStr">
        <x:is>
          <x:t xml:space="preserve">Proposed</x:t>
        </x:is>
      </x:c>
      <x:c r="L40" s="9" t="inlineStr">
        <x:is>
          <x:t xml:space="preserve">§16</x:t>
        </x:is>
      </x:c>
      <x:c r="M40" s="54" t="inlineStr">
        <x:is>
          <x:t xml:space="preserve">Old model Q03</x:t>
        </x:is>
      </x:c>
    </x:row>
    <x:row r="41">
      <x:c r="A41" s="9" t="inlineStr">
        <x:is>
          <x:t xml:space="preserve">E36</x:t>
        </x:is>
      </x:c>
      <x:c r="B41" s="50" t="n">
        <x:v>1885</x:v>
      </x:c>
      <x:c r="C41" s="50" t="n">
        <x:v>1900</x:v>
      </x:c>
      <x:c r="D41" s="51" t="inlineStr">
        <x:is>
          <x:t xml:space="preserve">Steam-turbine programme</x:t>
        </x:is>
      </x:c>
      <x:c r="E41" s="9" t="inlineStr">
        <x:is>
          <x:t xml:space="preserve">Programme</x:t>
        </x:is>
      </x:c>
      <x:c r="F41" s="9" t="inlineStr">
        <x:is>
          <x:t xml:space="preserve"/>
        </x:is>
      </x:c>
      <x:c r="G41" s="9" t="inlineStr">
        <x:is>
          <x:t xml:space="preserve"/>
        </x:is>
      </x:c>
      <x:c r="H41" s="52" t="n">
        <x:v>0.6</x:v>
      </x:c>
      <x:c r="I41" s="53" t="n">
        <x:f>IF(H41="","",H41*(C41-B41+1))</x:f>
        <x:v>9.6</x:v>
      </x:c>
      <x:c r="J41" s="9" t="inlineStr">
        <x:is>
          <x:t xml:space="preserve">No</x:t>
        </x:is>
      </x:c>
      <x:c r="K41" s="9" t="inlineStr">
        <x:is>
          <x:t xml:space="preserve">Approved</x:t>
        </x:is>
      </x:c>
      <x:c r="L41" s="9" t="inlineStr">
        <x:is>
          <x:t xml:space="preserve">§21</x:t>
        </x:is>
      </x:c>
      <x:c r="M41" s="54" t="inlineStr">
        <x:is>
          <x:t xml:space="preserve">Turbo-generators 1885, marine prototype 1890</x:t>
        </x:is>
      </x:c>
    </x:row>
    <x:row r="42">
      <x:c r="A42" s="9" t="inlineStr">
        <x:is>
          <x:t xml:space="preserve">E37</x:t>
        </x:is>
      </x:c>
      <x:c r="B42" s="50" t="n">
        <x:v>1886</x:v>
      </x:c>
      <x:c r="C42" s="50" t="n">
        <x:v>1900</x:v>
      </x:c>
      <x:c r="D42" s="51" t="inlineStr">
        <x:is>
          <x:t xml:space="preserve">Electrical institute, Tesla, one AC standard</x:t>
        </x:is>
      </x:c>
      <x:c r="E42" s="9" t="inlineStr">
        <x:is>
          <x:t xml:space="preserve">Programme</x:t>
        </x:is>
      </x:c>
      <x:c r="F42" s="9" t="inlineStr">
        <x:is>
          <x:t xml:space="preserve"/>
        </x:is>
      </x:c>
      <x:c r="G42" s="9" t="inlineStr">
        <x:is>
          <x:t xml:space="preserve"/>
        </x:is>
      </x:c>
      <x:c r="H42" s="52" t="n">
        <x:v>0.5</x:v>
      </x:c>
      <x:c r="I42" s="53" t="n">
        <x:f>IF(H42="","",H42*(C42-B42+1))</x:f>
        <x:v>7.5</x:v>
      </x:c>
      <x:c r="J42" s="9" t="inlineStr">
        <x:is>
          <x:t xml:space="preserve">No</x:t>
        </x:is>
      </x:c>
      <x:c r="K42" s="9" t="inlineStr">
        <x:is>
          <x:t xml:space="preserve">Proposed</x:t>
        </x:is>
      </x:c>
      <x:c r="L42" s="9" t="inlineStr">
        <x:is>
          <x:t xml:space="preserve">§21</x:t>
        </x:is>
      </x:c>
      <x:c r="M42" s="54" t="inlineStr">
        <x:is>
          <x:t xml:space="preserve">Model estimate</x:t>
        </x:is>
      </x:c>
    </x:row>
    <x:row r="43">
      <x:c r="A43" s="9" t="inlineStr">
        <x:is>
          <x:t xml:space="preserve">E38</x:t>
        </x:is>
      </x:c>
      <x:c r="B43" s="50" t="n">
        <x:v>1885</x:v>
      </x:c>
      <x:c r="C43" s="50" t="n">
        <x:v>1887</x:v>
      </x:c>
      <x:c r="D43" s="51" t="inlineStr">
        <x:is>
          <x:t xml:space="preserve">Port Hamilton near-war readiness</x:t>
        </x:is>
      </x:c>
      <x:c r="E43" s="9" t="inlineStr">
        <x:is>
          <x:t xml:space="preserve">War &amp; operations</x:t>
        </x:is>
      </x:c>
      <x:c r="F43" s="9" t="inlineStr">
        <x:is>
          <x:t xml:space="preserve"/>
        </x:is>
      </x:c>
      <x:c r="G43" s="9" t="inlineStr">
        <x:is>
          <x:t xml:space="preserve">Britain</x:t>
        </x:is>
      </x:c>
      <x:c r="H43" s="52" t="n">
        <x:v>1</x:v>
      </x:c>
      <x:c r="I43" s="53" t="n">
        <x:f>IF(H43="","",H43*(C43-B43+1))</x:f>
        <x:v>3</x:v>
      </x:c>
      <x:c r="J43" s="9" t="inlineStr">
        <x:is>
          <x:t xml:space="preserve">No</x:t>
        </x:is>
      </x:c>
      <x:c r="K43" s="9" t="inlineStr">
        <x:is>
          <x:t xml:space="preserve">Proposed</x:t>
        </x:is>
      </x:c>
      <x:c r="L43" s="9" t="inlineStr">
        <x:is>
          <x:t xml:space="preserve">§16</x:t>
        </x:is>
      </x:c>
      <x:c r="M43" s="54" t="inlineStr">
        <x:is>
          <x:t xml:space="preserve">Model estimate</x:t>
        </x:is>
      </x:c>
    </x:row>
    <x:row r="44">
      <x:c r="A44" s="9" t="inlineStr">
        <x:is>
          <x:t xml:space="preserve">E39</x:t>
        </x:is>
      </x:c>
      <x:c r="B44" s="50" t="n">
        <x:v>1887</x:v>
      </x:c>
      <x:c r="C44" s="50" t="n">
        <x:v>1889</x:v>
      </x:c>
      <x:c r="D44" s="51" t="inlineStr">
        <x:is>
          <x:t xml:space="preserve">Managed succession, Truce of Thalassia, Donner standoff</x:t>
        </x:is>
      </x:c>
      <x:c r="E44" s="9" t="inlineStr">
        <x:is>
          <x:t xml:space="preserve">War &amp; operations</x:t>
        </x:is>
      </x:c>
      <x:c r="F44" s="9" t="inlineStr">
        <x:is>
          <x:t xml:space="preserve"/>
        </x:is>
      </x:c>
      <x:c r="G44" s="9" t="inlineStr">
        <x:is>
          <x:t xml:space="preserve"/>
        </x:is>
      </x:c>
      <x:c r="H44" s="52" t="n">
        <x:v>0.5</x:v>
      </x:c>
      <x:c r="I44" s="53" t="n">
        <x:f>IF(H44="","",H44*(C44-B44+1))</x:f>
        <x:v>1.5</x:v>
      </x:c>
      <x:c r="J44" s="9" t="inlineStr">
        <x:is>
          <x:t xml:space="preserve">No</x:t>
        </x:is>
      </x:c>
      <x:c r="K44" s="9" t="inlineStr">
        <x:is>
          <x:t xml:space="preserve">Canon</x:t>
        </x:is>
      </x:c>
      <x:c r="L44" s="9" t="inlineStr">
        <x:is>
          <x:t xml:space="preserve">§22</x:t>
        </x:is>
      </x:c>
      <x:c r="M44" s="54" t="inlineStr">
        <x:is>
          <x:t xml:space="preserve">Old model $1.5m</x:t>
        </x:is>
      </x:c>
    </x:row>
    <x:row r="45">
      <x:c r="A45" s="9" t="inlineStr">
        <x:is>
          <x:t xml:space="preserve">E40</x:t>
        </x:is>
      </x:c>
      <x:c r="B45" s="50" t="n">
        <x:v>1888</x:v>
      </x:c>
      <x:c r="C45" s="50" t="n">
        <x:v>1932</x:v>
      </x:c>
      <x:c r="D45" s="51" t="inlineStr">
        <x:is>
          <x:t xml:space="preserve">Statistics bureau, multilingual weekly and newsreels</x:t>
        </x:is>
      </x:c>
      <x:c r="E45" s="9" t="inlineStr">
        <x:is>
          <x:t xml:space="preserve">Programme</x:t>
        </x:is>
      </x:c>
      <x:c r="F45" s="9" t="inlineStr">
        <x:is>
          <x:t xml:space="preserve"/>
        </x:is>
      </x:c>
      <x:c r="G45" s="9" t="inlineStr">
        <x:is>
          <x:t xml:space="preserve"/>
        </x:is>
      </x:c>
      <x:c r="H45" s="52" t="n">
        <x:v>0.4</x:v>
      </x:c>
      <x:c r="I45" s="53" t="n">
        <x:f>IF(H45="","",H45*(C45-B45+1))</x:f>
        <x:v>18</x:v>
      </x:c>
      <x:c r="J45" s="9" t="inlineStr">
        <x:is>
          <x:t xml:space="preserve">No</x:t>
        </x:is>
      </x:c>
      <x:c r="K45" s="9" t="inlineStr">
        <x:is>
          <x:t xml:space="preserve">Canon</x:t>
        </x:is>
      </x:c>
      <x:c r="L45" s="9" t="inlineStr">
        <x:is>
          <x:t xml:space="preserve">§25</x:t>
        </x:is>
      </x:c>
      <x:c r="M45" s="54" t="inlineStr">
        <x:is>
          <x:t xml:space="preserve">Kaiulani's life project; model estimate</x:t>
        </x:is>
      </x:c>
    </x:row>
    <x:row r="46">
      <x:c r="A46" s="9" t="inlineStr">
        <x:is>
          <x:t xml:space="preserve">E41</x:t>
        </x:is>
      </x:c>
      <x:c r="B46" s="50" t="n">
        <x:v>1888</x:v>
      </x:c>
      <x:c r="C46" s="50" t="n">
        <x:v>1889</x:v>
      </x:c>
      <x:c r="D46" s="51" t="inlineStr">
        <x:is>
          <x:t xml:space="preserve">Abolition compensation bonds (public participation)</x:t>
        </x:is>
      </x:c>
      <x:c r="E46" s="9" t="inlineStr">
        <x:is>
          <x:t xml:space="preserve">Loan</x:t>
        </x:is>
      </x:c>
      <x:c r="F46" s="9" t="inlineStr">
        <x:is>
          <x:t xml:space="preserve">Continental</x:t>
        </x:is>
      </x:c>
      <x:c r="G46" s="9" t="inlineStr">
        <x:is>
          <x:t xml:space="preserve">Confederacy</x:t>
        </x:is>
      </x:c>
      <x:c r="H46" s="52" t="n">
        <x:v>3</x:v>
      </x:c>
      <x:c r="I46" s="53" t="n">
        <x:f>IF(H46="","",H46*(C46-B46+1))</x:f>
        <x:v>6</x:v>
      </x:c>
      <x:c r="J46" s="9" t="inlineStr">
        <x:is>
          <x:t xml:space="preserve">No</x:t>
        </x:is>
      </x:c>
      <x:c r="K46" s="9" t="inlineStr">
        <x:is>
          <x:t xml:space="preserve">Canon</x:t>
        </x:is>
      </x:c>
      <x:c r="L46" s="9" t="inlineStr">
        <x:is>
          <x:t xml:space="preserve">§25</x:t>
        </x:is>
      </x:c>
      <x:c r="M46" s="54" t="inlineStr">
        <x:is>
          <x:t xml:space="preserve">Old model L06</x:t>
        </x:is>
      </x:c>
    </x:row>
    <x:row r="47">
      <x:c r="A47" s="9" t="inlineStr">
        <x:is>
          <x:t xml:space="preserve">E42</x:t>
        </x:is>
      </x:c>
      <x:c r="B47" s="50" t="n">
        <x:v>1889</x:v>
      </x:c>
      <x:c r="C47" s="50" t="n">
        <x:v>1889</x:v>
      </x:c>
      <x:c r="D47" s="51" t="inlineStr">
        <x:is>
          <x:t xml:space="preserve">Purchase of the French Panama works</x:t>
        </x:is>
      </x:c>
      <x:c r="E47" s="9" t="inlineStr">
        <x:is>
          <x:t xml:space="preserve">Purchase</x:t>
        </x:is>
      </x:c>
      <x:c r="F47" s="9" t="inlineStr">
        <x:is>
          <x:t xml:space="preserve"/>
        </x:is>
      </x:c>
      <x:c r="G47" s="9" t="inlineStr">
        <x:is>
          <x:t xml:space="preserve">France</x:t>
        </x:is>
      </x:c>
      <x:c r="H47" s="52" t="n">
        <x:f>30*canal_share</x:f>
        <x:v>30</x:v>
      </x:c>
      <x:c r="I47" s="53" t="n">
        <x:f>IF(H47="","",H47*(C47-B47+1))</x:f>
        <x:v>30</x:v>
      </x:c>
      <x:c r="J47" s="9" t="inlineStr">
        <x:is>
          <x:t xml:space="preserve">Yes</x:t>
        </x:is>
      </x:c>
      <x:c r="K47" s="9" t="inlineStr">
        <x:is>
          <x:t xml:space="preserve">Canon</x:t>
        </x:is>
      </x:c>
      <x:c r="L47" s="9" t="inlineStr">
        <x:is>
          <x:t xml:space="preserve">§19, §25</x:t>
        </x:is>
      </x:c>
      <x:c r="M47" s="54" t="inlineStr">
        <x:is>
          <x:t xml:space="preserve">US paid $40m in 1904</x:t>
        </x:is>
      </x:c>
    </x:row>
    <x:row r="48">
      <x:c r="A48" s="9" t="inlineStr">
        <x:is>
          <x:t xml:space="preserve">E43</x:t>
        </x:is>
      </x:c>
      <x:c r="B48" s="50" t="n">
        <x:v>1890</x:v>
      </x:c>
      <x:c r="C48" s="50" t="n">
        <x:v>1901</x:v>
      </x:c>
      <x:c r="D48" s="51" t="inlineStr">
        <x:is>
          <x:t xml:space="preserve">Canal construction, lock-and-lake design</x:t>
        </x:is>
      </x:c>
      <x:c r="E48" s="9" t="inlineStr">
        <x:is>
          <x:t xml:space="preserve">Purchase</x:t>
        </x:is>
      </x:c>
      <x:c r="F48" s="9" t="inlineStr">
        <x:is>
          <x:t xml:space="preserve"/>
        </x:is>
      </x:c>
      <x:c r="G48" s="9" t="inlineStr">
        <x:is>
          <x:t xml:space="preserve"/>
        </x:is>
      </x:c>
      <x:c r="H48" s="52" t="n">
        <x:f>225/12*canal_share</x:f>
        <x:v>18.75</x:v>
      </x:c>
      <x:c r="I48" s="53" t="n">
        <x:f>IF(H48="","",H48*(C48-B48+1))</x:f>
        <x:v>225</x:v>
      </x:c>
      <x:c r="J48" s="9" t="inlineStr">
        <x:is>
          <x:t xml:space="preserve">No</x:t>
        </x:is>
      </x:c>
      <x:c r="K48" s="9" t="inlineStr">
        <x:is>
          <x:t xml:space="preserve">Canon</x:t>
        </x:is>
      </x:c>
      <x:c r="L48" s="9" t="inlineStr">
        <x:is>
          <x:t xml:space="preserve">§25</x:t>
        </x:is>
      </x:c>
      <x:c r="M48" s="54" t="inlineStr">
        <x:is>
          <x:t xml:space="preserve">Old model $225m</x:t>
        </x:is>
      </x:c>
    </x:row>
    <x:row r="49">
      <x:c r="A49" s="9" t="inlineStr">
        <x:is>
          <x:t xml:space="preserve">E44</x:t>
        </x:is>
      </x:c>
      <x:c r="B49" s="50" t="n">
        <x:v>1890</x:v>
      </x:c>
      <x:c r="C49" s="50" t="n">
        <x:v>1891</x:v>
      </x:c>
      <x:c r="D49" s="51" t="inlineStr">
        <x:is>
          <x:t xml:space="preserve">Baring-crisis gold loans</x:t>
        </x:is>
      </x:c>
      <x:c r="E49" s="9" t="inlineStr">
        <x:is>
          <x:t xml:space="preserve">Loan</x:t>
        </x:is>
      </x:c>
      <x:c r="F49" s="9" t="inlineStr">
        <x:is>
          <x:t xml:space="preserve">Europe</x:t>
        </x:is>
      </x:c>
      <x:c r="G49" s="9" t="inlineStr">
        <x:is>
          <x:t xml:space="preserve">Britain</x:t>
        </x:is>
      </x:c>
      <x:c r="H49" s="52" t="n">
        <x:v>1.5</x:v>
      </x:c>
      <x:c r="I49" s="53" t="n">
        <x:f>IF(H49="","",H49*(C49-B49+1))</x:f>
        <x:v>3</x:v>
      </x:c>
      <x:c r="J49" s="9" t="inlineStr">
        <x:is>
          <x:t xml:space="preserve">Yes</x:t>
        </x:is>
      </x:c>
      <x:c r="K49" s="9" t="inlineStr">
        <x:is>
          <x:t xml:space="preserve">Proposed</x:t>
        </x:is>
      </x:c>
      <x:c r="L49" s="9" t="inlineStr">
        <x:is>
          <x:t xml:space="preserve">§25</x:t>
        </x:is>
      </x:c>
      <x:c r="M49" s="54" t="inlineStr">
        <x:is>
          <x:t xml:space="preserve">Public share of $15m</x:t>
        </x:is>
      </x:c>
    </x:row>
    <x:row r="50">
      <x:c r="A50" s="9" t="inlineStr">
        <x:is>
          <x:t xml:space="preserve">E45</x:t>
        </x:is>
      </x:c>
      <x:c r="B50" s="50" t="n">
        <x:v>1890</x:v>
      </x:c>
      <x:c r="C50" s="50" t="n">
        <x:v>1902</x:v>
      </x:c>
      <x:c r="D50" s="51" t="inlineStr">
        <x:is>
          <x:t xml:space="preserve">Galapagos coaling station lease</x:t>
        </x:is>
      </x:c>
      <x:c r="E50" s="9" t="inlineStr">
        <x:is>
          <x:t xml:space="preserve">Subsidy &amp; guarantee</x:t>
        </x:is>
      </x:c>
      <x:c r="F50" s="9" t="inlineStr">
        <x:is>
          <x:t xml:space="preserve"/>
        </x:is>
      </x:c>
      <x:c r="G50" s="9" t="inlineStr">
        <x:is>
          <x:t xml:space="preserve">Ecuador</x:t>
        </x:is>
      </x:c>
      <x:c r="H50" s="52" t="n">
        <x:v>0.2</x:v>
      </x:c>
      <x:c r="I50" s="53" t="n">
        <x:f>IF(H50="","",H50*(C50-B50+1))</x:f>
        <x:v>2.6</x:v>
      </x:c>
      <x:c r="J50" s="9" t="inlineStr">
        <x:is>
          <x:t xml:space="preserve">No</x:t>
        </x:is>
      </x:c>
      <x:c r="K50" s="9" t="inlineStr">
        <x:is>
          <x:t xml:space="preserve">Proposed</x:t>
        </x:is>
      </x:c>
      <x:c r="L50" s="9" t="inlineStr">
        <x:is>
          <x:t xml:space="preserve">§25</x:t>
        </x:is>
      </x:c>
      <x:c r="M50" s="54" t="inlineStr">
        <x:is>
          <x:t xml:space="preserve">Model estimate</x:t>
        </x:is>
      </x:c>
    </x:row>
    <x:row r="51">
      <x:c r="A51" s="9" t="inlineStr">
        <x:is>
          <x:t xml:space="preserve">E46</x:t>
        </x:is>
      </x:c>
      <x:c r="B51" s="50" t="n">
        <x:v>1893</x:v>
      </x:c>
      <x:c r="C51" s="50" t="n">
        <x:v>1895</x:v>
      </x:c>
      <x:c r="D51" s="51" t="inlineStr">
        <x:is>
          <x:t xml:space="preserve">Guarantee pays Richmond's missed coupons</x:t>
        </x:is>
      </x:c>
      <x:c r="E51" s="9" t="inlineStr">
        <x:is>
          <x:t xml:space="preserve">Subsidy &amp; guarantee</x:t>
        </x:is>
      </x:c>
      <x:c r="F51" s="9" t="inlineStr">
        <x:is>
          <x:t xml:space="preserve"/>
        </x:is>
      </x:c>
      <x:c r="G51" s="9" t="inlineStr">
        <x:is>
          <x:t xml:space="preserve">Confederacy</x:t>
        </x:is>
      </x:c>
      <x:c r="H51" s="52" t="n">
        <x:v>2</x:v>
      </x:c>
      <x:c r="I51" s="53" t="n">
        <x:f>IF(H51="","",H51*(C51-B51+1))</x:f>
        <x:v>6</x:v>
      </x:c>
      <x:c r="J51" s="9" t="inlineStr">
        <x:is>
          <x:t xml:space="preserve">No</x:t>
        </x:is>
      </x:c>
      <x:c r="K51" s="9" t="inlineStr">
        <x:is>
          <x:t xml:space="preserve">Canon</x:t>
        </x:is>
      </x:c>
      <x:c r="L51" s="9" t="inlineStr">
        <x:is>
          <x:t xml:space="preserve">§25</x:t>
        </x:is>
      </x:c>
      <x:c r="M51" s="54" t="inlineStr">
        <x:is>
          <x:t xml:space="preserve">Model estimate</x:t>
        </x:is>
      </x:c>
    </x:row>
    <x:row r="52">
      <x:c r="A52" s="9" t="inlineStr">
        <x:is>
          <x:t xml:space="preserve">E47</x:t>
        </x:is>
      </x:c>
      <x:c r="B52" s="50" t="n">
        <x:v>1894</x:v>
      </x:c>
      <x:c r="C52" s="50" t="n">
        <x:v>1894</x:v>
      </x:c>
      <x:c r="D52" s="51" t="inlineStr">
        <x:is>
          <x:t xml:space="preserve">Coal, equipment and credit for Japan (Korean war)</x:t>
        </x:is>
      </x:c>
      <x:c r="E52" s="9" t="inlineStr">
        <x:is>
          <x:t xml:space="preserve">Loan</x:t>
        </x:is>
      </x:c>
      <x:c r="F52" s="9" t="inlineStr">
        <x:is>
          <x:t xml:space="preserve">Asia</x:t>
        </x:is>
      </x:c>
      <x:c r="G52" s="9" t="inlineStr">
        <x:is>
          <x:t xml:space="preserve">Japan</x:t>
        </x:is>
      </x:c>
      <x:c r="H52" s="52" t="n">
        <x:v>10</x:v>
      </x:c>
      <x:c r="I52" s="53" t="n">
        <x:f>IF(H52="","",H52*(C52-B52+1))</x:f>
        <x:v>10</x:v>
      </x:c>
      <x:c r="J52" s="9" t="inlineStr">
        <x:is>
          <x:t xml:space="preserve">No</x:t>
        </x:is>
      </x:c>
      <x:c r="K52" s="9" t="inlineStr">
        <x:is>
          <x:t xml:space="preserve">Canon</x:t>
        </x:is>
      </x:c>
      <x:c r="L52" s="9" t="inlineStr">
        <x:is>
          <x:t xml:space="preserve">§25</x:t>
        </x:is>
      </x:c>
      <x:c r="M52" s="54" t="inlineStr">
        <x:is>
          <x:t xml:space="preserve">Model estimate</x:t>
        </x:is>
      </x:c>
    </x:row>
    <x:row r="53">
      <x:c r="A53" s="9" t="inlineStr">
        <x:is>
          <x:t xml:space="preserve">E48</x:t>
        </x:is>
      </x:c>
      <x:c r="B53" s="50" t="n">
        <x:v>1894</x:v>
      </x:c>
      <x:c r="C53" s="50" t="n">
        <x:v>1895</x:v>
      </x:c>
      <x:c r="D53" s="51" t="inlineStr">
        <x:is>
          <x:t xml:space="preserve">Bread March: border defence, detention, filmed trials</x:t>
        </x:is>
      </x:c>
      <x:c r="E53" s="9" t="inlineStr">
        <x:is>
          <x:t xml:space="preserve">War &amp; operations</x:t>
        </x:is>
      </x:c>
      <x:c r="F53" s="9" t="inlineStr">
        <x:is>
          <x:t xml:space="preserve"/>
        </x:is>
      </x:c>
      <x:c r="G53" s="9" t="inlineStr">
        <x:is>
          <x:t xml:space="preserve"/>
        </x:is>
      </x:c>
      <x:c r="H53" s="52" t="n">
        <x:v>0.4</x:v>
      </x:c>
      <x:c r="I53" s="53" t="n">
        <x:f>IF(H53="","",H53*(C53-B53+1))</x:f>
        <x:v>0.8</x:v>
      </x:c>
      <x:c r="J53" s="9" t="inlineStr">
        <x:is>
          <x:t xml:space="preserve">No</x:t>
        </x:is>
      </x:c>
      <x:c r="K53" s="9" t="inlineStr">
        <x:is>
          <x:t xml:space="preserve">Canon</x:t>
        </x:is>
      </x:c>
      <x:c r="L53" s="9" t="inlineStr">
        <x:is>
          <x:t xml:space="preserve">§25</x:t>
        </x:is>
      </x:c>
      <x:c r="M53" s="54" t="inlineStr">
        <x:is>
          <x:t xml:space="preserve">Model estimate</x:t>
        </x:is>
      </x:c>
    </x:row>
    <x:row r="54">
      <x:c r="A54" s="9" t="inlineStr">
        <x:is>
          <x:t xml:space="preserve">E49</x:t>
        </x:is>
      </x:c>
      <x:c r="B54" s="50" t="n">
        <x:v>1894</x:v>
      </x:c>
      <x:c r="C54" s="50" t="n">
        <x:v>1900</x:v>
      </x:c>
      <x:c r="D54" s="51" t="inlineStr">
        <x:is>
          <x:t xml:space="preserve">Pacific cable onward from Oahu via Midway and Guam to Manila</x:t>
        </x:is>
      </x:c>
      <x:c r="E54" s="9" t="inlineStr">
        <x:is>
          <x:t xml:space="preserve">Investment</x:t>
        </x:is>
      </x:c>
      <x:c r="F54" s="9" t="inlineStr">
        <x:is>
          <x:t xml:space="preserve"/>
        </x:is>
      </x:c>
      <x:c r="G54" s="9" t="inlineStr">
        <x:is>
          <x:t xml:space="preserve"/>
        </x:is>
      </x:c>
      <x:c r="H54" s="52" t="n">
        <x:v>3</x:v>
      </x:c>
      <x:c r="I54" s="53" t="n">
        <x:f>IF(H54="","",H54*(C54-B54+1))</x:f>
        <x:v>21</x:v>
      </x:c>
      <x:c r="J54" s="9" t="inlineStr">
        <x:is>
          <x:t xml:space="preserve">No</x:t>
        </x:is>
      </x:c>
      <x:c r="K54" s="9" t="inlineStr">
        <x:is>
          <x:t xml:space="preserve">Proposed</x:t>
        </x:is>
      </x:c>
      <x:c r="L54" s="9" t="inlineStr">
        <x:is>
          <x:t xml:space="preserve">§25</x:t>
        </x:is>
      </x:c>
      <x:c r="M54" s="54" t="inlineStr">
        <x:is>
          <x:t xml:space="preserve">Old model $20m gross; the San Francisco-Oahu leg is E101</x:t>
        </x:is>
      </x:c>
    </x:row>
    <x:row r="55">
      <x:c r="A55" s="9" t="inlineStr">
        <x:is>
          <x:t xml:space="preserve">E50</x:t>
        </x:is>
      </x:c>
      <x:c r="B55" s="50" t="n">
        <x:v>1895</x:v>
      </x:c>
      <x:c r="C55" s="50" t="n">
        <x:v>1895</x:v>
      </x:c>
      <x:c r="D55" s="51" t="inlineStr">
        <x:is>
          <x:t xml:space="preserve">Rescue of the Union's gold reserve</x:t>
        </x:is>
      </x:c>
      <x:c r="E55" s="9" t="inlineStr">
        <x:is>
          <x:t xml:space="preserve">Loan</x:t>
        </x:is>
      </x:c>
      <x:c r="F55" s="9" t="inlineStr">
        <x:is>
          <x:t xml:space="preserve">Continental</x:t>
        </x:is>
      </x:c>
      <x:c r="G55" s="9" t="inlineStr">
        <x:is>
          <x:t xml:space="preserve">Union</x:t>
        </x:is>
      </x:c>
      <x:c r="H55" s="52" t="n">
        <x:v>65</x:v>
      </x:c>
      <x:c r="I55" s="53" t="n">
        <x:f>IF(H55="","",H55*(C55-B55+1))</x:f>
        <x:v>65</x:v>
      </x:c>
      <x:c r="J55" s="9" t="inlineStr">
        <x:is>
          <x:t xml:space="preserve">Yes</x:t>
        </x:is>
      </x:c>
      <x:c r="K55" s="9" t="inlineStr">
        <x:is>
          <x:t xml:space="preserve">Canon</x:t>
        </x:is>
      </x:c>
      <x:c r="L55" s="9" t="inlineStr">
        <x:is>
          <x:t xml:space="preserve">§25</x:t>
        </x:is>
      </x:c>
      <x:c r="M55" s="54" t="inlineStr">
        <x:is>
          <x:t xml:space="preserve">Size of the historical 1895 Morgan-Belmont syndicate</x:t>
        </x:is>
      </x:c>
    </x:row>
    <x:row r="56">
      <x:c r="A56" s="9" t="inlineStr">
        <x:is>
          <x:t xml:space="preserve">E51</x:t>
        </x:is>
      </x:c>
      <x:c r="B56" s="50" t="n">
        <x:v>1895</x:v>
      </x:c>
      <x:c r="C56" s="50" t="n">
        <x:v>1895</x:v>
      </x:c>
      <x:c r="D56" s="51" t="inlineStr">
        <x:is>
          <x:t xml:space="preserve">Chinese indemnity facility (public share)</x:t>
        </x:is>
      </x:c>
      <x:c r="E56" s="9" t="inlineStr">
        <x:is>
          <x:t xml:space="preserve">Loan</x:t>
        </x:is>
      </x:c>
      <x:c r="F56" s="9" t="inlineStr">
        <x:is>
          <x:t xml:space="preserve">Asia</x:t>
        </x:is>
      </x:c>
      <x:c r="G56" s="9" t="inlineStr">
        <x:is>
          <x:t xml:space="preserve">China</x:t>
        </x:is>
      </x:c>
      <x:c r="H56" s="52" t="n">
        <x:v>15</x:v>
      </x:c>
      <x:c r="I56" s="53" t="n">
        <x:f>IF(H56="","",H56*(C56-B56+1))</x:f>
        <x:v>15</x:v>
      </x:c>
      <x:c r="J56" s="9" t="inlineStr">
        <x:is>
          <x:t xml:space="preserve">No</x:t>
        </x:is>
      </x:c>
      <x:c r="K56" s="9" t="inlineStr">
        <x:is>
          <x:t xml:space="preserve">Proposed</x:t>
        </x:is>
      </x:c>
      <x:c r="L56" s="9" t="inlineStr">
        <x:is>
          <x:t xml:space="preserve">§25</x:t>
        </x:is>
      </x:c>
      <x:c r="M56" s="54" t="inlineStr">
        <x:is>
          <x:t xml:space="preserve">Public share of a $75m facility</x:t>
        </x:is>
      </x:c>
    </x:row>
    <x:row r="57">
      <x:c r="A57" s="9" t="inlineStr">
        <x:is>
          <x:t xml:space="preserve">E52</x:t>
        </x:is>
      </x:c>
      <x:c r="B57" s="50" t="n">
        <x:v>1895</x:v>
      </x:c>
      <x:c r="C57" s="50" t="n">
        <x:v>1895</x:v>
      </x:c>
      <x:c r="D57" s="51" t="inlineStr">
        <x:is>
          <x:t xml:space="preserve">Formosan revenue administration set-up</x:t>
        </x:is>
      </x:c>
      <x:c r="E57" s="9" t="inlineStr">
        <x:is>
          <x:t xml:space="preserve">Programme</x:t>
        </x:is>
      </x:c>
      <x:c r="F57" s="9" t="inlineStr">
        <x:is>
          <x:t xml:space="preserve"/>
        </x:is>
      </x:c>
      <x:c r="G57" s="9" t="inlineStr">
        <x:is>
          <x:t xml:space="preserve">China</x:t>
        </x:is>
      </x:c>
      <x:c r="H57" s="52" t="n">
        <x:v>0.5</x:v>
      </x:c>
      <x:c r="I57" s="53" t="n">
        <x:f>IF(H57="","",H57*(C57-B57+1))</x:f>
        <x:v>0.5</x:v>
      </x:c>
      <x:c r="J57" s="9" t="inlineStr">
        <x:is>
          <x:t xml:space="preserve">No</x:t>
        </x:is>
      </x:c>
      <x:c r="K57" s="9" t="inlineStr">
        <x:is>
          <x:t xml:space="preserve">Canon</x:t>
        </x:is>
      </x:c>
      <x:c r="L57" s="9" t="inlineStr">
        <x:is>
          <x:t xml:space="preserve">§25</x:t>
        </x:is>
      </x:c>
      <x:c r="M57" s="54" t="inlineStr">
        <x:is>
          <x:t xml:space="preserve">Old model value</x:t>
        </x:is>
      </x:c>
    </x:row>
    <x:row r="58">
      <x:c r="A58" s="9" t="inlineStr">
        <x:is>
          <x:t xml:space="preserve">E53</x:t>
        </x:is>
      </x:c>
      <x:c r="B58" s="50" t="n">
        <x:v>1896</x:v>
      </x:c>
      <x:c r="C58" s="50" t="n">
        <x:v>1897</x:v>
      </x:c>
      <x:c r="D58" s="51" t="inlineStr">
        <x:is>
          <x:t xml:space="preserve">Manchurian and Hankow-Canton railway credits</x:t>
        </x:is>
      </x:c>
      <x:c r="E58" s="9" t="inlineStr">
        <x:is>
          <x:t xml:space="preserve">Loan</x:t>
        </x:is>
      </x:c>
      <x:c r="F58" s="9" t="inlineStr">
        <x:is>
          <x:t xml:space="preserve">Asia</x:t>
        </x:is>
      </x:c>
      <x:c r="G58" s="9" t="inlineStr">
        <x:is>
          <x:t xml:space="preserve">China</x:t>
        </x:is>
      </x:c>
      <x:c r="H58" s="52" t="n">
        <x:v>3</x:v>
      </x:c>
      <x:c r="I58" s="53" t="n">
        <x:f>IF(H58="","",H58*(C58-B58+1))</x:f>
        <x:v>6</x:v>
      </x:c>
      <x:c r="J58" s="9" t="inlineStr">
        <x:is>
          <x:t xml:space="preserve">No</x:t>
        </x:is>
      </x:c>
      <x:c r="K58" s="9" t="inlineStr">
        <x:is>
          <x:t xml:space="preserve">Proposed</x:t>
        </x:is>
      </x:c>
      <x:c r="L58" s="9" t="inlineStr">
        <x:is>
          <x:t xml:space="preserve">§25</x:t>
        </x:is>
      </x:c>
      <x:c r="M58" s="54" t="inlineStr">
        <x:is>
          <x:t xml:space="preserve">Public share of $20m</x:t>
        </x:is>
      </x:c>
    </x:row>
    <x:row r="59">
      <x:c r="A59" s="9" t="inlineStr">
        <x:is>
          <x:t xml:space="preserve">E54</x:t>
        </x:is>
      </x:c>
      <x:c r="B59" s="50" t="n">
        <x:v>1897</x:v>
      </x:c>
      <x:c r="C59" s="50" t="n">
        <x:v>1897</x:v>
      </x:c>
      <x:c r="D59" s="51" t="inlineStr">
        <x:is>
          <x:t xml:space="preserve">Gold loan for Japan's move to gold</x:t>
        </x:is>
      </x:c>
      <x:c r="E59" s="9" t="inlineStr">
        <x:is>
          <x:t xml:space="preserve">Loan</x:t>
        </x:is>
      </x:c>
      <x:c r="F59" s="9" t="inlineStr">
        <x:is>
          <x:t xml:space="preserve">Asia</x:t>
        </x:is>
      </x:c>
      <x:c r="G59" s="9" t="inlineStr">
        <x:is>
          <x:t xml:space="preserve">Japan</x:t>
        </x:is>
      </x:c>
      <x:c r="H59" s="52" t="n">
        <x:v>20</x:v>
      </x:c>
      <x:c r="I59" s="53" t="n">
        <x:f>IF(H59="","",H59*(C59-B59+1))</x:f>
        <x:v>20</x:v>
      </x:c>
      <x:c r="J59" s="9" t="inlineStr">
        <x:is>
          <x:t xml:space="preserve">Yes</x:t>
        </x:is>
      </x:c>
      <x:c r="K59" s="9" t="inlineStr">
        <x:is>
          <x:t xml:space="preserve">Proposed</x:t>
        </x:is>
      </x:c>
      <x:c r="L59" s="9" t="inlineStr">
        <x:is>
          <x:t xml:space="preserve">§25</x:t>
        </x:is>
      </x:c>
      <x:c r="M59" s="54" t="inlineStr">
        <x:is>
          <x:t xml:space="preserve">Old model L11</x:t>
        </x:is>
      </x:c>
    </x:row>
    <x:row r="60">
      <x:c r="A60" s="9" t="inlineStr">
        <x:is>
          <x:t xml:space="preserve">E55</x:t>
        </x:is>
      </x:c>
      <x:c r="B60" s="50" t="n">
        <x:v>1898</x:v>
      </x:c>
      <x:c r="C60" s="50" t="n">
        <x:v>1899</x:v>
      </x:c>
      <x:c r="D60" s="51" t="inlineStr">
        <x:is>
          <x:t xml:space="preserve">Primorye war: holding the sea</x:t>
        </x:is>
      </x:c>
      <x:c r="E60" s="9" t="inlineStr">
        <x:is>
          <x:t xml:space="preserve">War &amp; operations</x:t>
        </x:is>
      </x:c>
      <x:c r="F60" s="9" t="inlineStr">
        <x:is>
          <x:t xml:space="preserve"/>
        </x:is>
      </x:c>
      <x:c r="G60" s="9" t="inlineStr">
        <x:is>
          <x:t xml:space="preserve">Russia</x:t>
        </x:is>
      </x:c>
      <x:c r="H60" s="52" t="n">
        <x:v>6</x:v>
      </x:c>
      <x:c r="I60" s="53" t="n">
        <x:f>IF(H60="","",H60*(C60-B60+1))</x:f>
        <x:v>12</x:v>
      </x:c>
      <x:c r="J60" s="9" t="inlineStr">
        <x:is>
          <x:t xml:space="preserve">No</x:t>
        </x:is>
      </x:c>
      <x:c r="K60" s="9" t="inlineStr">
        <x:is>
          <x:t xml:space="preserve">Canon</x:t>
        </x:is>
      </x:c>
      <x:c r="L60" s="9" t="inlineStr">
        <x:is>
          <x:t xml:space="preserve">§25</x:t>
        </x:is>
      </x:c>
      <x:c r="M60" s="54" t="inlineStr">
        <x:is>
          <x:t xml:space="preserve">Old model $6m a year</x:t>
        </x:is>
      </x:c>
    </x:row>
    <x:row r="61">
      <x:c r="A61" s="9" t="inlineStr">
        <x:is>
          <x:t xml:space="preserve">E56</x:t>
        </x:is>
      </x:c>
      <x:c r="B61" s="50" t="n">
        <x:v>1898</x:v>
      </x:c>
      <x:c r="C61" s="50" t="n">
        <x:v>1899</x:v>
      </x:c>
      <x:c r="D61" s="51" t="inlineStr">
        <x:is>
          <x:t xml:space="preserve">Primorye war credit for Japan</x:t>
        </x:is>
      </x:c>
      <x:c r="E61" s="9" t="inlineStr">
        <x:is>
          <x:t xml:space="preserve">Loan</x:t>
        </x:is>
      </x:c>
      <x:c r="F61" s="9" t="inlineStr">
        <x:is>
          <x:t xml:space="preserve">Asia</x:t>
        </x:is>
      </x:c>
      <x:c r="G61" s="9" t="inlineStr">
        <x:is>
          <x:t xml:space="preserve">Japan</x:t>
        </x:is>
      </x:c>
      <x:c r="H61" s="52" t="n">
        <x:v>15</x:v>
      </x:c>
      <x:c r="I61" s="53" t="n">
        <x:f>IF(H61="","",H61*(C61-B61+1))</x:f>
        <x:v>30</x:v>
      </x:c>
      <x:c r="J61" s="9" t="inlineStr">
        <x:is>
          <x:t xml:space="preserve">No</x:t>
        </x:is>
      </x:c>
      <x:c r="K61" s="9" t="inlineStr">
        <x:is>
          <x:t xml:space="preserve">Canon</x:t>
        </x:is>
      </x:c>
      <x:c r="L61" s="9" t="inlineStr">
        <x:is>
          <x:t xml:space="preserve">§25</x:t>
        </x:is>
      </x:c>
      <x:c r="M61" s="54" t="inlineStr">
        <x:is>
          <x:t xml:space="preserve">Old model L13: $30m</x:t>
        </x:is>
      </x:c>
    </x:row>
    <x:row r="62">
      <x:c r="A62" s="9" t="inlineStr">
        <x:is>
          <x:t xml:space="preserve">E57</x:t>
        </x:is>
      </x:c>
      <x:c r="B62" s="50" t="n">
        <x:v>1898</x:v>
      </x:c>
      <x:c r="C62" s="50" t="n">
        <x:v>1899</x:v>
      </x:c>
      <x:c r="D62" s="51" t="inlineStr">
        <x:is>
          <x:t xml:space="preserve">Cuban colonial debt bought on customs security</x:t>
        </x:is>
      </x:c>
      <x:c r="E62" s="9" t="inlineStr">
        <x:is>
          <x:t xml:space="preserve">Loan</x:t>
        </x:is>
      </x:c>
      <x:c r="F62" s="9" t="inlineStr">
        <x:is>
          <x:t xml:space="preserve">Continental</x:t>
        </x:is>
      </x:c>
      <x:c r="G62" s="9" t="inlineStr">
        <x:is>
          <x:t xml:space="preserve">Cuba</x:t>
        </x:is>
      </x:c>
      <x:c r="H62" s="52" t="n">
        <x:v>9</x:v>
      </x:c>
      <x:c r="I62" s="53" t="n">
        <x:f>IF(H62="","",H62*(C62-B62+1))</x:f>
        <x:v>18</x:v>
      </x:c>
      <x:c r="J62" s="9" t="inlineStr">
        <x:is>
          <x:t xml:space="preserve">No</x:t>
        </x:is>
      </x:c>
      <x:c r="K62" s="9" t="inlineStr">
        <x:is>
          <x:t xml:space="preserve">Proposed</x:t>
        </x:is>
      </x:c>
      <x:c r="L62" s="9" t="inlineStr">
        <x:is>
          <x:t xml:space="preserve">§25</x:t>
        </x:is>
      </x:c>
      <x:c r="M62" s="54" t="inlineStr">
        <x:is>
          <x:t xml:space="preserve">Old model $18m</x:t>
        </x:is>
      </x:c>
    </x:row>
    <x:row r="63">
      <x:c r="A63" s="9" t="inlineStr">
        <x:is>
          <x:t xml:space="preserve">E58</x:t>
        </x:is>
      </x:c>
      <x:c r="B63" s="50" t="n">
        <x:v>1899</x:v>
      </x:c>
      <x:c r="C63" s="50" t="n">
        <x:v>1899</x:v>
      </x:c>
      <x:c r="D63" s="51" t="inlineStr">
        <x:is>
          <x:t xml:space="preserve">Exclusive Nicaraguan canal rights</x:t>
        </x:is>
      </x:c>
      <x:c r="E63" s="9" t="inlineStr">
        <x:is>
          <x:t xml:space="preserve">Purchase</x:t>
        </x:is>
      </x:c>
      <x:c r="F63" s="9" t="inlineStr">
        <x:is>
          <x:t xml:space="preserve"/>
        </x:is>
      </x:c>
      <x:c r="G63" s="9" t="inlineStr">
        <x:is>
          <x:t xml:space="preserve">Nicaragua</x:t>
        </x:is>
      </x:c>
      <x:c r="H63" s="52" t="n">
        <x:v>3</x:v>
      </x:c>
      <x:c r="I63" s="53" t="n">
        <x:f>IF(H63="","",H63*(C63-B63+1))</x:f>
        <x:v>3</x:v>
      </x:c>
      <x:c r="J63" s="9" t="inlineStr">
        <x:is>
          <x:t xml:space="preserve">No</x:t>
        </x:is>
      </x:c>
      <x:c r="K63" s="9" t="inlineStr">
        <x:is>
          <x:t xml:space="preserve">Proposed</x:t>
        </x:is>
      </x:c>
      <x:c r="L63" s="9" t="inlineStr">
        <x:is>
          <x:t xml:space="preserve">§25</x:t>
        </x:is>
      </x:c>
      <x:c r="M63" s="54" t="inlineStr">
        <x:is>
          <x:t xml:space="preserve">Old model value</x:t>
        </x:is>
      </x:c>
    </x:row>
    <x:row r="64">
      <x:c r="A64" s="9" t="inlineStr">
        <x:is>
          <x:t xml:space="preserve">E59</x:t>
        </x:is>
      </x:c>
      <x:c r="B64" s="50" t="n">
        <x:v>1899</x:v>
      </x:c>
      <x:c r="C64" s="50" t="n">
        <x:v>1900</x:v>
      </x:c>
      <x:c r="D64" s="51" t="inlineStr">
        <x:is>
          <x:t xml:space="preserve">Finlay's yellow-fever work</x:t>
        </x:is>
      </x:c>
      <x:c r="E64" s="9" t="inlineStr">
        <x:is>
          <x:t xml:space="preserve">Relief</x:t>
        </x:is>
      </x:c>
      <x:c r="F64" s="9" t="inlineStr">
        <x:is>
          <x:t xml:space="preserve"/>
        </x:is>
      </x:c>
      <x:c r="G64" s="9" t="inlineStr">
        <x:is>
          <x:t xml:space="preserve">Cuba</x:t>
        </x:is>
      </x:c>
      <x:c r="H64" s="52" t="n">
        <x:v>0.1</x:v>
      </x:c>
      <x:c r="I64" s="53" t="n">
        <x:f>IF(H64="","",H64*(C64-B64+1))</x:f>
        <x:v>0.2</x:v>
      </x:c>
      <x:c r="J64" s="9" t="inlineStr">
        <x:is>
          <x:t xml:space="preserve">No</x:t>
        </x:is>
      </x:c>
      <x:c r="K64" s="9" t="inlineStr">
        <x:is>
          <x:t xml:space="preserve">Proposed</x:t>
        </x:is>
      </x:c>
      <x:c r="L64" s="9" t="inlineStr">
        <x:is>
          <x:t xml:space="preserve">§25</x:t>
        </x:is>
      </x:c>
      <x:c r="M64" s="54" t="inlineStr">
        <x:is>
          <x:t xml:space="preserve">Model estimate</x:t>
        </x:is>
      </x:c>
    </x:row>
    <x:row r="65">
      <x:c r="A65" s="9" t="inlineStr">
        <x:is>
          <x:t xml:space="preserve">E60</x:t>
        </x:is>
      </x:c>
      <x:c r="B65" s="50" t="n">
        <x:v>1898</x:v>
      </x:c>
      <x:c r="C65" s="50" t="n">
        <x:v>1902</x:v>
      </x:c>
      <x:c r="D65" s="51" t="inlineStr">
        <x:is>
          <x:t xml:space="preserve">Pearl Harbor drydock and dockyard (second phase)</x:t>
        </x:is>
      </x:c>
      <x:c r="E65" s="9" t="inlineStr">
        <x:is>
          <x:t xml:space="preserve">Programme</x:t>
        </x:is>
      </x:c>
      <x:c r="F65" s="9" t="inlineStr">
        <x:is>
          <x:t xml:space="preserve"/>
        </x:is>
      </x:c>
      <x:c r="G65" s="9" t="inlineStr">
        <x:is>
          <x:t xml:space="preserve"/>
        </x:is>
      </x:c>
      <x:c r="H65" s="52" t="n">
        <x:v>3</x:v>
      </x:c>
      <x:c r="I65" s="53" t="n">
        <x:f>IF(H65="","",H65*(C65-B65+1))</x:f>
        <x:v>15</x:v>
      </x:c>
      <x:c r="J65" s="9" t="inlineStr">
        <x:is>
          <x:t xml:space="preserve">No</x:t>
        </x:is>
      </x:c>
      <x:c r="K65" s="9" t="inlineStr">
        <x:is>
          <x:t xml:space="preserve">Proposed</x:t>
        </x:is>
      </x:c>
      <x:c r="L65" s="9" t="inlineStr">
        <x:is>
          <x:t xml:space="preserve">§25</x:t>
        </x:is>
      </x:c>
      <x:c r="M65" s="54" t="inlineStr">
        <x:is>
          <x:t xml:space="preserve">Model estimate; the dredging is E100</x:t>
        </x:is>
      </x:c>
    </x:row>
    <x:row r="66">
      <x:c r="A66" s="9" t="inlineStr">
        <x:is>
          <x:t xml:space="preserve">E61</x:t>
        </x:is>
      </x:c>
      <x:c r="B66" s="50" t="n">
        <x:v>1899</x:v>
      </x:c>
      <x:c r="C66" s="50" t="n">
        <x:v>1901</x:v>
      </x:c>
      <x:c r="D66" s="51" t="inlineStr">
        <x:is>
          <x:t xml:space="preserve">Skagway-Whitehorse railway, assay and banking (public share)</x:t>
        </x:is>
      </x:c>
      <x:c r="E66" s="9" t="inlineStr">
        <x:is>
          <x:t xml:space="preserve">Programme</x:t>
        </x:is>
      </x:c>
      <x:c r="F66" s="9" t="inlineStr">
        <x:is>
          <x:t xml:space="preserve"/>
        </x:is>
      </x:c>
      <x:c r="G66" s="9" t="inlineStr">
        <x:is>
          <x:t xml:space="preserve">Canada</x:t>
        </x:is>
      </x:c>
      <x:c r="H66" s="52" t="n">
        <x:v>1</x:v>
      </x:c>
      <x:c r="I66" s="53" t="n">
        <x:f>IF(H66="","",H66*(C66-B66+1))</x:f>
        <x:v>3</x:v>
      </x:c>
      <x:c r="J66" s="9" t="inlineStr">
        <x:is>
          <x:t xml:space="preserve">No</x:t>
        </x:is>
      </x:c>
      <x:c r="K66" s="9" t="inlineStr">
        <x:is>
          <x:t xml:space="preserve">Approved</x:t>
        </x:is>
      </x:c>
      <x:c r="L66" s="9" t="inlineStr">
        <x:is>
          <x:t xml:space="preserve">§25</x:t>
        </x:is>
      </x:c>
      <x:c r="M66" s="54" t="inlineStr">
        <x:is>
          <x:t xml:space="preserve">Klondike route income policy</x:t>
        </x:is>
      </x:c>
    </x:row>
    <x:row r="67">
      <x:c r="A67" s="9" t="inlineStr">
        <x:is>
          <x:t xml:space="preserve">E62</x:t>
        </x:is>
      </x:c>
      <x:c r="B67" s="50" t="n">
        <x:v>1900</x:v>
      </x:c>
      <x:c r="C67" s="50" t="n">
        <x:v>1900</x:v>
      </x:c>
      <x:c r="D67" s="51" t="inlineStr">
        <x:is>
          <x:t xml:space="preserve">Boxer relief contingent</x:t>
        </x:is>
      </x:c>
      <x:c r="E67" s="9" t="inlineStr">
        <x:is>
          <x:t xml:space="preserve">War &amp; operations</x:t>
        </x:is>
      </x:c>
      <x:c r="F67" s="9" t="inlineStr">
        <x:is>
          <x:t xml:space="preserve"/>
        </x:is>
      </x:c>
      <x:c r="G67" s="9" t="inlineStr">
        <x:is>
          <x:t xml:space="preserve">China</x:t>
        </x:is>
      </x:c>
      <x:c r="H67" s="52" t="n">
        <x:v>1</x:v>
      </x:c>
      <x:c r="I67" s="53" t="n">
        <x:f>IF(H67="","",H67*(C67-B67+1))</x:f>
        <x:v>1</x:v>
      </x:c>
      <x:c r="J67" s="9" t="inlineStr">
        <x:is>
          <x:t xml:space="preserve">No</x:t>
        </x:is>
      </x:c>
      <x:c r="K67" s="9" t="inlineStr">
        <x:is>
          <x:t xml:space="preserve">Proposed</x:t>
        </x:is>
      </x:c>
      <x:c r="L67" s="9" t="inlineStr">
        <x:is>
          <x:t xml:space="preserve">§25</x:t>
        </x:is>
      </x:c>
      <x:c r="M67" s="54" t="inlineStr">
        <x:is>
          <x:t xml:space="preserve">Indemnity turned into scholarships</x:t>
        </x:is>
      </x:c>
    </x:row>
    <x:row r="68">
      <x:c r="A68" s="9" t="inlineStr">
        <x:is>
          <x:t xml:space="preserve">E63</x:t>
        </x:is>
      </x:c>
      <x:c r="B68" s="50" t="n">
        <x:v>1900</x:v>
      </x:c>
      <x:c r="C68" s="50" t="n">
        <x:v>1900</x:v>
      </x:c>
      <x:c r="D68" s="51" t="inlineStr">
        <x:is>
          <x:t xml:space="preserve">Reserve Bank of Pacifica: capital</x:t>
        </x:is>
      </x:c>
      <x:c r="E68" s="9" t="inlineStr">
        <x:is>
          <x:t xml:space="preserve">Bank rescue &amp; capital</x:t>
        </x:is>
      </x:c>
      <x:c r="F68" s="9" t="inlineStr">
        <x:is>
          <x:t xml:space="preserve"/>
        </x:is>
      </x:c>
      <x:c r="G68" s="9" t="inlineStr">
        <x:is>
          <x:t xml:space="preserve"/>
        </x:is>
      </x:c>
      <x:c r="H68" s="52" t="n">
        <x:v>10</x:v>
      </x:c>
      <x:c r="I68" s="53" t="n">
        <x:f>IF(H68="","",H68*(C68-B68+1))</x:f>
        <x:v>10</x:v>
      </x:c>
      <x:c r="J68" s="9" t="inlineStr">
        <x:is>
          <x:t xml:space="preserve">No</x:t>
        </x:is>
      </x:c>
      <x:c r="K68" s="9" t="inlineStr">
        <x:is>
          <x:t xml:space="preserve">Model estimate</x:t>
        </x:is>
      </x:c>
      <x:c r="L68" s="9" t="inlineStr">
        <x:is>
          <x:t xml:space="preserve">§34</x:t>
        </x:is>
      </x:c>
      <x:c r="M68" s="54" t="inlineStr">
        <x:is>
          <x:t xml:space="preserve">Needed for the canon lender-of-last-resort role in 1931</x:t>
        </x:is>
      </x:c>
    </x:row>
    <x:row r="69">
      <x:c r="A69" s="9" t="inlineStr">
        <x:is>
          <x:t xml:space="preserve">E64</x:t>
        </x:is>
      </x:c>
      <x:c r="B69" s="50" t="n">
        <x:v>1904</x:v>
      </x:c>
      <x:c r="C69" s="50" t="n">
        <x:v>1905</x:v>
      </x:c>
      <x:c r="D69" s="51" t="inlineStr">
        <x:is>
          <x:t xml:space="preserve">Takahashi's war loans in San Francisco (public share)</x:t>
        </x:is>
      </x:c>
      <x:c r="E69" s="9" t="inlineStr">
        <x:is>
          <x:t xml:space="preserve">Loan</x:t>
        </x:is>
      </x:c>
      <x:c r="F69" s="9" t="inlineStr">
        <x:is>
          <x:t xml:space="preserve">Asia</x:t>
        </x:is>
      </x:c>
      <x:c r="G69" s="9" t="inlineStr">
        <x:is>
          <x:t xml:space="preserve">Japan</x:t>
        </x:is>
      </x:c>
      <x:c r="H69" s="52" t="n">
        <x:v>30</x:v>
      </x:c>
      <x:c r="I69" s="53" t="n">
        <x:f>IF(H69="","",H69*(C69-B69+1))</x:f>
        <x:v>60</x:v>
      </x:c>
      <x:c r="J69" s="9" t="inlineStr">
        <x:is>
          <x:t xml:space="preserve">No</x:t>
        </x:is>
      </x:c>
      <x:c r="K69" s="9" t="inlineStr">
        <x:is>
          <x:t xml:space="preserve">Canon</x:t>
        </x:is>
      </x:c>
      <x:c r="L69" s="9" t="inlineStr">
        <x:is>
          <x:t xml:space="preserve">§26</x:t>
        </x:is>
      </x:c>
      <x:c r="M69" s="54" t="inlineStr">
        <x:is>
          <x:t xml:space="preserve">15% of a $400m syndicate</x:t>
        </x:is>
      </x:c>
    </x:row>
    <x:row r="70">
      <x:c r="A70" s="9" t="inlineStr">
        <x:is>
          <x:t xml:space="preserve">E65</x:t>
        </x:is>
      </x:c>
      <x:c r="B70" s="50" t="n">
        <x:v>1904</x:v>
      </x:c>
      <x:c r="C70" s="50" t="n">
        <x:v>1905</x:v>
      </x:c>
      <x:c r="D70" s="51" t="inlineStr">
        <x:is>
          <x:t xml:space="preserve">Neutral fleet readiness, Russo-Japanese war</x:t>
        </x:is>
      </x:c>
      <x:c r="E70" s="9" t="inlineStr">
        <x:is>
          <x:t xml:space="preserve">War &amp; operations</x:t>
        </x:is>
      </x:c>
      <x:c r="F70" s="9" t="inlineStr">
        <x:is>
          <x:t xml:space="preserve"/>
        </x:is>
      </x:c>
      <x:c r="G70" s="9" t="inlineStr">
        <x:is>
          <x:t xml:space="preserve"/>
        </x:is>
      </x:c>
      <x:c r="H70" s="52" t="n">
        <x:v>3</x:v>
      </x:c>
      <x:c r="I70" s="53" t="n">
        <x:f>IF(H70="","",H70*(C70-B70+1))</x:f>
        <x:v>6</x:v>
      </x:c>
      <x:c r="J70" s="9" t="inlineStr">
        <x:is>
          <x:t xml:space="preserve">No</x:t>
        </x:is>
      </x:c>
      <x:c r="K70" s="9" t="inlineStr">
        <x:is>
          <x:t xml:space="preserve">Model estimate</x:t>
        </x:is>
      </x:c>
      <x:c r="L70" s="9" t="inlineStr">
        <x:is>
          <x:t xml:space="preserve">§26</x:t>
        </x:is>
      </x:c>
      <x:c r="M70" s="54" t="inlineStr">
        <x:is>
          <x:t xml:space="preserve"/>
        </x:is>
      </x:c>
    </x:row>
    <x:row r="71">
      <x:c r="A71" s="9" t="inlineStr">
        <x:is>
          <x:t xml:space="preserve">E66</x:t>
        </x:is>
      </x:c>
      <x:c r="B71" s="50" t="n">
        <x:v>1911</x:v>
      </x:c>
      <x:c r="C71" s="50" t="n">
        <x:v>1913</x:v>
      </x:c>
      <x:c r="D71" s="51" t="inlineStr">
        <x:is>
          <x:t xml:space="preserve">Support for Sun Yat-sen's movement</x:t>
        </x:is>
      </x:c>
      <x:c r="E71" s="9" t="inlineStr">
        <x:is>
          <x:t xml:space="preserve">Subsidy &amp; guarantee</x:t>
        </x:is>
      </x:c>
      <x:c r="F71" s="9" t="inlineStr">
        <x:is>
          <x:t xml:space="preserve"/>
        </x:is>
      </x:c>
      <x:c r="G71" s="9" t="inlineStr">
        <x:is>
          <x:t xml:space="preserve">China</x:t>
        </x:is>
      </x:c>
      <x:c r="H71" s="52" t="n">
        <x:v>2</x:v>
      </x:c>
      <x:c r="I71" s="53" t="n">
        <x:f>IF(H71="","",H71*(C71-B71+1))</x:f>
        <x:v>6</x:v>
      </x:c>
      <x:c r="J71" s="9" t="inlineStr">
        <x:is>
          <x:t xml:space="preserve">No</x:t>
        </x:is>
      </x:c>
      <x:c r="K71" s="9" t="inlineStr">
        <x:is>
          <x:t xml:space="preserve">Proposed</x:t>
        </x:is>
      </x:c>
      <x:c r="L71" s="9" t="inlineStr">
        <x:is>
          <x:t xml:space="preserve">§27</x:t>
        </x:is>
      </x:c>
      <x:c r="M71" s="54" t="inlineStr">
        <x:is>
          <x:t xml:space="preserve">Model estimate</x:t>
        </x:is>
      </x:c>
    </x:row>
    <x:row r="72">
      <x:c r="A72" s="9" t="inlineStr">
        <x:is>
          <x:t xml:space="preserve">E67</x:t>
        </x:is>
      </x:c>
      <x:c r="B72" s="50" t="n">
        <x:v>1914</x:v>
      </x:c>
      <x:c r="C72" s="50" t="n">
        <x:v>1914</x:v>
      </x:c>
      <x:c r="D72" s="51" t="inlineStr">
        <x:is>
          <x:t xml:space="preserve">Germany's Pacific islands and Tsingtao</x:t>
        </x:is>
      </x:c>
      <x:c r="E72" s="9" t="inlineStr">
        <x:is>
          <x:t xml:space="preserve">War &amp; operations</x:t>
        </x:is>
      </x:c>
      <x:c r="F72" s="9" t="inlineStr">
        <x:is>
          <x:t xml:space="preserve"/>
        </x:is>
      </x:c>
      <x:c r="G72" s="9" t="inlineStr">
        <x:is>
          <x:t xml:space="preserve">Germany</x:t>
        </x:is>
      </x:c>
      <x:c r="H72" s="52" t="n">
        <x:v>25</x:v>
      </x:c>
      <x:c r="I72" s="53" t="n">
        <x:f>IF(H72="","",H72*(C72-B72+1))</x:f>
        <x:v>25</x:v>
      </x:c>
      <x:c r="J72" s="9" t="inlineStr">
        <x:is>
          <x:t xml:space="preserve">No</x:t>
        </x:is>
      </x:c>
      <x:c r="K72" s="9" t="inlineStr">
        <x:is>
          <x:t xml:space="preserve">Proposed</x:t>
        </x:is>
      </x:c>
      <x:c r="L72" s="9" t="inlineStr">
        <x:is>
          <x:t xml:space="preserve">§28</x:t>
        </x:is>
      </x:c>
      <x:c r="M72" s="54" t="inlineStr">
        <x:is>
          <x:t xml:space="preserve">Model estimate</x:t>
        </x:is>
      </x:c>
    </x:row>
    <x:row r="73">
      <x:c r="A73" s="9" t="inlineStr">
        <x:is>
          <x:t xml:space="preserve">E68</x:t>
        </x:is>
      </x:c>
      <x:c r="B73" s="50" t="n">
        <x:v>1915</x:v>
      </x:c>
      <x:c r="C73" s="50" t="n">
        <x:v>1918</x:v>
      </x:c>
      <x:c r="D73" s="51" t="inlineStr">
        <x:is>
          <x:t xml:space="preserve">Wartime naval operations and convoys</x:t>
        </x:is>
      </x:c>
      <x:c r="E73" s="9" t="inlineStr">
        <x:is>
          <x:t xml:space="preserve">War &amp; operations</x:t>
        </x:is>
      </x:c>
      <x:c r="F73" s="9" t="inlineStr">
        <x:is>
          <x:t xml:space="preserve"/>
        </x:is>
      </x:c>
      <x:c r="G73" s="9" t="inlineStr">
        <x:is>
          <x:t xml:space="preserve"/>
        </x:is>
      </x:c>
      <x:c r="H73" s="52" t="n">
        <x:v>40</x:v>
      </x:c>
      <x:c r="I73" s="53" t="n">
        <x:f>IF(H73="","",H73*(C73-B73+1))</x:f>
        <x:v>160</x:v>
      </x:c>
      <x:c r="J73" s="9" t="inlineStr">
        <x:is>
          <x:t xml:space="preserve">No</x:t>
        </x:is>
      </x:c>
      <x:c r="K73" s="9" t="inlineStr">
        <x:is>
          <x:t xml:space="preserve">Proposed</x:t>
        </x:is>
      </x:c>
      <x:c r="L73" s="9" t="inlineStr">
        <x:is>
          <x:t xml:space="preserve">§30</x:t>
        </x:is>
      </x:c>
      <x:c r="M73" s="54" t="inlineStr">
        <x:is>
          <x:t xml:space="preserve">On top of the navy plan</x:t>
        </x:is>
      </x:c>
    </x:row>
    <x:row r="74">
      <x:c r="A74" s="9" t="inlineStr">
        <x:is>
          <x:t xml:space="preserve">E69</x:t>
        </x:is>
      </x:c>
      <x:c r="B74" s="50" t="n">
        <x:v>1915</x:v>
      </x:c>
      <x:c r="C74" s="50" t="n">
        <x:v>1918</x:v>
      </x:c>
      <x:c r="D74" s="51" t="inlineStr">
        <x:is>
          <x:t xml:space="preserve">Belgian relief administration (public share)</x:t>
        </x:is>
      </x:c>
      <x:c r="E74" s="9" t="inlineStr">
        <x:is>
          <x:t xml:space="preserve">Relief</x:t>
        </x:is>
      </x:c>
      <x:c r="F74" s="9" t="inlineStr">
        <x:is>
          <x:t xml:space="preserve"/>
        </x:is>
      </x:c>
      <x:c r="G74" s="9" t="inlineStr">
        <x:is>
          <x:t xml:space="preserve">Belgium</x:t>
        </x:is>
      </x:c>
      <x:c r="H74" s="52" t="n">
        <x:v>25</x:v>
      </x:c>
      <x:c r="I74" s="53" t="n">
        <x:f>IF(H74="","",H74*(C74-B74+1))</x:f>
        <x:v>100</x:v>
      </x:c>
      <x:c r="J74" s="9" t="inlineStr">
        <x:is>
          <x:t xml:space="preserve">No</x:t>
        </x:is>
      </x:c>
      <x:c r="K74" s="9" t="inlineStr">
        <x:is>
          <x:t xml:space="preserve">Proposed</x:t>
        </x:is>
      </x:c>
      <x:c r="L74" s="9" t="inlineStr">
        <x:is>
          <x:t xml:space="preserve">§30</x:t>
        </x:is>
      </x:c>
      <x:c r="M74" s="54" t="inlineStr">
        <x:is>
          <x:t xml:space="preserve">Hoover's relief, model estimate</x:t>
        </x:is>
      </x:c>
    </x:row>
    <x:row r="75">
      <x:c r="A75" s="9" t="inlineStr">
        <x:is>
          <x:t xml:space="preserve">E70</x:t>
        </x:is>
      </x:c>
      <x:c r="B75" s="50" t="n">
        <x:v>1914</x:v>
      </x:c>
      <x:c r="C75" s="50" t="n">
        <x:v>1914</x:v>
      </x:c>
      <x:c r="D75" s="51" t="inlineStr">
        <x:is>
          <x:t xml:space="preserve">Entente credit, Treasury share (1914)</x:t>
        </x:is>
      </x:c>
      <x:c r="E75" s="9" t="inlineStr">
        <x:is>
          <x:t xml:space="preserve">Loan</x:t>
        </x:is>
      </x:c>
      <x:c r="F75" s="9" t="inlineStr">
        <x:is>
          <x:t xml:space="preserve">Europe</x:t>
        </x:is>
      </x:c>
      <x:c r="G75" s="9" t="inlineStr">
        <x:is>
          <x:t xml:space="preserve">Britain &amp; France</x:t>
        </x:is>
      </x:c>
      <x:c r="H75" s="52" t="n">
        <x:f>entente_total*entente_public*0.05</x:f>
        <x:v>85</x:v>
      </x:c>
      <x:c r="I75" s="53" t="n">
        <x:f>IF(H75="","",H75*(C75-B75+1))</x:f>
        <x:v>85</x:v>
      </x:c>
      <x:c r="J75" s="9" t="inlineStr">
        <x:is>
          <x:t xml:space="preserve">No</x:t>
        </x:is>
      </x:c>
      <x:c r="K75" s="9" t="inlineStr">
        <x:is>
          <x:t xml:space="preserve">Proposed</x:t>
        </x:is>
      </x:c>
      <x:c r="L75" s="9" t="inlineStr">
        <x:is>
          <x:t xml:space="preserve">§30</x:t>
        </x:is>
      </x:c>
      <x:c r="M75" s="54" t="inlineStr">
        <x:is>
          <x:t xml:space="preserve">Profile of the old model's lending by year</x:t>
        </x:is>
      </x:c>
    </x:row>
    <x:row r="76">
      <x:c r="A76" s="9" t="inlineStr">
        <x:is>
          <x:t xml:space="preserve">E71</x:t>
        </x:is>
      </x:c>
      <x:c r="B76" s="50" t="n">
        <x:v>1915</x:v>
      </x:c>
      <x:c r="C76" s="50" t="n">
        <x:v>1915</x:v>
      </x:c>
      <x:c r="D76" s="51" t="inlineStr">
        <x:is>
          <x:t xml:space="preserve">Entente credit, Treasury share (1915)</x:t>
        </x:is>
      </x:c>
      <x:c r="E76" s="9" t="inlineStr">
        <x:is>
          <x:t xml:space="preserve">Loan</x:t>
        </x:is>
      </x:c>
      <x:c r="F76" s="9" t="inlineStr">
        <x:is>
          <x:t xml:space="preserve">Europe</x:t>
        </x:is>
      </x:c>
      <x:c r="G76" s="9" t="inlineStr">
        <x:is>
          <x:t xml:space="preserve">Britain &amp; France</x:t>
        </x:is>
      </x:c>
      <x:c r="H76" s="52" t="n">
        <x:f>entente_total*entente_public*0.1333</x:f>
        <x:v>226.61</x:v>
      </x:c>
      <x:c r="I76" s="53" t="n">
        <x:f>IF(H76="","",H76*(C76-B76+1))</x:f>
        <x:v>226.61</x:v>
      </x:c>
      <x:c r="J76" s="9" t="inlineStr">
        <x:is>
          <x:t xml:space="preserve">No</x:t>
        </x:is>
      </x:c>
      <x:c r="K76" s="9" t="inlineStr">
        <x:is>
          <x:t xml:space="preserve">Proposed</x:t>
        </x:is>
      </x:c>
      <x:c r="L76" s="9" t="inlineStr">
        <x:is>
          <x:t xml:space="preserve">§30</x:t>
        </x:is>
      </x:c>
      <x:c r="M76" s="54" t="inlineStr">
        <x:is>
          <x:t xml:space="preserve">Profile of the old model's lending by year</x:t>
        </x:is>
      </x:c>
    </x:row>
    <x:row r="77">
      <x:c r="A77" s="9" t="inlineStr">
        <x:is>
          <x:t xml:space="preserve">E72</x:t>
        </x:is>
      </x:c>
      <x:c r="B77" s="50" t="n">
        <x:v>1916</x:v>
      </x:c>
      <x:c r="C77" s="50" t="n">
        <x:v>1916</x:v>
      </x:c>
      <x:c r="D77" s="51" t="inlineStr">
        <x:is>
          <x:t xml:space="preserve">Entente credit, Treasury share (1916)</x:t>
        </x:is>
      </x:c>
      <x:c r="E77" s="9" t="inlineStr">
        <x:is>
          <x:t xml:space="preserve">Loan</x:t>
        </x:is>
      </x:c>
      <x:c r="F77" s="9" t="inlineStr">
        <x:is>
          <x:t xml:space="preserve">Europe</x:t>
        </x:is>
      </x:c>
      <x:c r="G77" s="9" t="inlineStr">
        <x:is>
          <x:t xml:space="preserve">Britain &amp; France</x:t>
        </x:is>
      </x:c>
      <x:c r="H77" s="52" t="n">
        <x:f>entente_total*entente_public*0.2333</x:f>
        <x:v>396.61</x:v>
      </x:c>
      <x:c r="I77" s="53" t="n">
        <x:f>IF(H77="","",H77*(C77-B77+1))</x:f>
        <x:v>396.61</x:v>
      </x:c>
      <x:c r="J77" s="9" t="inlineStr">
        <x:is>
          <x:t xml:space="preserve">No</x:t>
        </x:is>
      </x:c>
      <x:c r="K77" s="9" t="inlineStr">
        <x:is>
          <x:t xml:space="preserve">Proposed</x:t>
        </x:is>
      </x:c>
      <x:c r="L77" s="9" t="inlineStr">
        <x:is>
          <x:t xml:space="preserve">§30</x:t>
        </x:is>
      </x:c>
      <x:c r="M77" s="54" t="inlineStr">
        <x:is>
          <x:t xml:space="preserve">Profile of the old model's lending by year</x:t>
        </x:is>
      </x:c>
    </x:row>
    <x:row r="78">
      <x:c r="A78" s="9" t="inlineStr">
        <x:is>
          <x:t xml:space="preserve">E73</x:t>
        </x:is>
      </x:c>
      <x:c r="B78" s="50" t="n">
        <x:v>1917</x:v>
      </x:c>
      <x:c r="C78" s="50" t="n">
        <x:v>1917</x:v>
      </x:c>
      <x:c r="D78" s="51" t="inlineStr">
        <x:is>
          <x:t xml:space="preserve">Entente credit, Treasury share (1917)</x:t>
        </x:is>
      </x:c>
      <x:c r="E78" s="9" t="inlineStr">
        <x:is>
          <x:t xml:space="preserve">Loan</x:t>
        </x:is>
      </x:c>
      <x:c r="F78" s="9" t="inlineStr">
        <x:is>
          <x:t xml:space="preserve">Europe</x:t>
        </x:is>
      </x:c>
      <x:c r="G78" s="9" t="inlineStr">
        <x:is>
          <x:t xml:space="preserve">Britain &amp; France</x:t>
        </x:is>
      </x:c>
      <x:c r="H78" s="52" t="n">
        <x:f>entente_total*entente_public*0.3</x:f>
        <x:v>510</x:v>
      </x:c>
      <x:c r="I78" s="53" t="n">
        <x:f>IF(H78="","",H78*(C78-B78+1))</x:f>
        <x:v>510</x:v>
      </x:c>
      <x:c r="J78" s="9" t="inlineStr">
        <x:is>
          <x:t xml:space="preserve">No</x:t>
        </x:is>
      </x:c>
      <x:c r="K78" s="9" t="inlineStr">
        <x:is>
          <x:t xml:space="preserve">Proposed</x:t>
        </x:is>
      </x:c>
      <x:c r="L78" s="9" t="inlineStr">
        <x:is>
          <x:t xml:space="preserve">§30</x:t>
        </x:is>
      </x:c>
      <x:c r="M78" s="54" t="inlineStr">
        <x:is>
          <x:t xml:space="preserve">Profile of the old model's lending by year</x:t>
        </x:is>
      </x:c>
    </x:row>
    <x:row r="79">
      <x:c r="A79" s="9" t="inlineStr">
        <x:is>
          <x:t xml:space="preserve">E74</x:t>
        </x:is>
      </x:c>
      <x:c r="B79" s="50" t="n">
        <x:v>1918</x:v>
      </x:c>
      <x:c r="C79" s="50" t="n">
        <x:v>1918</x:v>
      </x:c>
      <x:c r="D79" s="51" t="inlineStr">
        <x:is>
          <x:t xml:space="preserve">Entente credit, Treasury share (1918)</x:t>
        </x:is>
      </x:c>
      <x:c r="E79" s="9" t="inlineStr">
        <x:is>
          <x:t xml:space="preserve">Loan</x:t>
        </x:is>
      </x:c>
      <x:c r="F79" s="9" t="inlineStr">
        <x:is>
          <x:t xml:space="preserve">Europe</x:t>
        </x:is>
      </x:c>
      <x:c r="G79" s="9" t="inlineStr">
        <x:is>
          <x:t xml:space="preserve">Britain &amp; France</x:t>
        </x:is>
      </x:c>
      <x:c r="H79" s="52" t="n">
        <x:f>entente_total*entente_public*0.2834</x:f>
        <x:v>481.78</x:v>
      </x:c>
      <x:c r="I79" s="53" t="n">
        <x:f>IF(H79="","",H79*(C79-B79+1))</x:f>
        <x:v>481.78</x:v>
      </x:c>
      <x:c r="J79" s="9" t="inlineStr">
        <x:is>
          <x:t xml:space="preserve">No</x:t>
        </x:is>
      </x:c>
      <x:c r="K79" s="9" t="inlineStr">
        <x:is>
          <x:t xml:space="preserve">Proposed</x:t>
        </x:is>
      </x:c>
      <x:c r="L79" s="9" t="inlineStr">
        <x:is>
          <x:t xml:space="preserve">§30</x:t>
        </x:is>
      </x:c>
      <x:c r="M79" s="54" t="inlineStr">
        <x:is>
          <x:t xml:space="preserve">Profile of the old model's lending by year</x:t>
        </x:is>
      </x:c>
    </x:row>
    <x:row r="80">
      <x:c r="A80" s="9" t="inlineStr">
        <x:is>
          <x:t xml:space="preserve">E75</x:t>
        </x:is>
      </x:c>
      <x:c r="B80" s="50" t="n">
        <x:v>1918</x:v>
      </x:c>
      <x:c r="C80" s="50" t="n">
        <x:v>1919</x:v>
      </x:c>
      <x:c r="D80" s="51" t="inlineStr">
        <x:is>
          <x:t xml:space="preserve">Food for the Central Powers (the armistice lever)</x:t>
        </x:is>
      </x:c>
      <x:c r="E80" s="9" t="inlineStr">
        <x:is>
          <x:t xml:space="preserve">Relief</x:t>
        </x:is>
      </x:c>
      <x:c r="F80" s="9" t="inlineStr">
        <x:is>
          <x:t xml:space="preserve"/>
        </x:is>
      </x:c>
      <x:c r="G80" s="9" t="inlineStr">
        <x:is>
          <x:t xml:space="preserve">Germany</x:t>
        </x:is>
      </x:c>
      <x:c r="H80" s="52" t="n">
        <x:v>60</x:v>
      </x:c>
      <x:c r="I80" s="53" t="n">
        <x:f>IF(H80="","",H80*(C80-B80+1))</x:f>
        <x:v>120</x:v>
      </x:c>
      <x:c r="J80" s="9" t="inlineStr">
        <x:is>
          <x:t xml:space="preserve">No</x:t>
        </x:is>
      </x:c>
      <x:c r="K80" s="9" t="inlineStr">
        <x:is>
          <x:t xml:space="preserve">Proposed</x:t>
        </x:is>
      </x:c>
      <x:c r="L80" s="9" t="inlineStr">
        <x:is>
          <x:t xml:space="preserve">§30</x:t>
        </x:is>
      </x:c>
      <x:c r="M80" s="54" t="inlineStr">
        <x:is>
          <x:t xml:space="preserve">Model estimate</x:t>
        </x:is>
      </x:c>
    </x:row>
    <x:row r="81">
      <x:c r="A81" s="9" t="inlineStr">
        <x:is>
          <x:t xml:space="preserve">E76</x:t>
        </x:is>
      </x:c>
      <x:c r="B81" s="50" t="n">
        <x:v>1918</x:v>
      </x:c>
      <x:c r="C81" s="50" t="n">
        <x:v>1922</x:v>
      </x:c>
      <x:c r="D81" s="51" t="inlineStr">
        <x:is>
          <x:t xml:space="preserve">Siberian campaign: Pacifican spending</x:t>
        </x:is>
      </x:c>
      <x:c r="E81" s="9" t="inlineStr">
        <x:is>
          <x:t xml:space="preserve">War &amp; operations</x:t>
        </x:is>
      </x:c>
      <x:c r="F81" s="9" t="inlineStr">
        <x:is>
          <x:t xml:space="preserve"/>
        </x:is>
      </x:c>
      <x:c r="G81" s="9" t="inlineStr">
        <x:is>
          <x:t xml:space="preserve">Siberia</x:t>
        </x:is>
      </x:c>
      <x:c r="H81" s="52" t="n">
        <x:f>siberia_cost/5</x:f>
        <x:v>161.6</x:v>
      </x:c>
      <x:c r="I81" s="53" t="n">
        <x:f>IF(H81="","",H81*(C81-B81+1))</x:f>
        <x:v>808</x:v>
      </x:c>
      <x:c r="J81" s="9" t="inlineStr">
        <x:is>
          <x:t xml:space="preserve">No</x:t>
        </x:is>
      </x:c>
      <x:c r="K81" s="9" t="inlineStr">
        <x:is>
          <x:t xml:space="preserve">Canon</x:t>
        </x:is>
      </x:c>
      <x:c r="L81" s="9" t="inlineStr">
        <x:is>
          <x:t xml:space="preserve">§31</x:t>
        </x:is>
      </x:c>
      <x:c r="M81" s="54" t="inlineStr">
        <x:is>
          <x:t xml:space="preserve">Old model $807.9m</x:t>
        </x:is>
      </x:c>
    </x:row>
    <x:row r="82">
      <x:c r="A82" s="9" t="inlineStr">
        <x:is>
          <x:t xml:space="preserve">E77</x:t>
        </x:is>
      </x:c>
      <x:c r="B82" s="50" t="n">
        <x:v>1918</x:v>
      </x:c>
      <x:c r="C82" s="50" t="n">
        <x:v>1922</x:v>
      </x:c>
      <x:c r="D82" s="51" t="inlineStr">
        <x:is>
          <x:t xml:space="preserve">Wartime loans to Chinese and Siberian partners</x:t>
        </x:is>
      </x:c>
      <x:c r="E82" s="9" t="inlineStr">
        <x:is>
          <x:t xml:space="preserve">Loan</x:t>
        </x:is>
      </x:c>
      <x:c r="F82" s="9" t="inlineStr">
        <x:is>
          <x:t xml:space="preserve">Asia</x:t>
        </x:is>
      </x:c>
      <x:c r="G82" s="9" t="inlineStr">
        <x:is>
          <x:t xml:space="preserve">China &amp; Siberia</x:t>
        </x:is>
      </x:c>
      <x:c r="H82" s="52" t="n">
        <x:v>17</x:v>
      </x:c>
      <x:c r="I82" s="53" t="n">
        <x:f>IF(H82="","",H82*(C82-B82+1))</x:f>
        <x:v>85</x:v>
      </x:c>
      <x:c r="J82" s="9" t="inlineStr">
        <x:is>
          <x:t xml:space="preserve">No</x:t>
        </x:is>
      </x:c>
      <x:c r="K82" s="9" t="inlineStr">
        <x:is>
          <x:t xml:space="preserve">Proposed</x:t>
        </x:is>
      </x:c>
      <x:c r="L82" s="9" t="inlineStr">
        <x:is>
          <x:t xml:space="preserve">§31</x:t>
        </x:is>
      </x:c>
      <x:c r="M82" s="54" t="inlineStr">
        <x:is>
          <x:t xml:space="preserve">Sol's proposal: $85m public</x:t>
        </x:is>
      </x:c>
    </x:row>
    <x:row r="83">
      <x:c r="A83" s="9" t="inlineStr">
        <x:is>
          <x:t xml:space="preserve">E78</x:t>
        </x:is>
      </x:c>
      <x:c r="B83" s="50" t="n">
        <x:v>1919</x:v>
      </x:c>
      <x:c r="C83" s="50" t="n">
        <x:v>1919</x:v>
      </x:c>
      <x:c r="D83" s="51" t="inlineStr">
        <x:is>
          <x:t xml:space="preserve">The Hague peace and the arbitration court</x:t>
        </x:is>
      </x:c>
      <x:c r="E83" s="9" t="inlineStr">
        <x:is>
          <x:t xml:space="preserve">Programme</x:t>
        </x:is>
      </x:c>
      <x:c r="F83" s="9" t="inlineStr">
        <x:is>
          <x:t xml:space="preserve"/>
        </x:is>
      </x:c>
      <x:c r="G83" s="9" t="inlineStr">
        <x:is>
          <x:t xml:space="preserve"/>
        </x:is>
      </x:c>
      <x:c r="H83" s="52" t="n">
        <x:v>1</x:v>
      </x:c>
      <x:c r="I83" s="53" t="n">
        <x:f>IF(H83="","",H83*(C83-B83+1))</x:f>
        <x:v>1</x:v>
      </x:c>
      <x:c r="J83" s="9" t="inlineStr">
        <x:is>
          <x:t xml:space="preserve">No</x:t>
        </x:is>
      </x:c>
      <x:c r="K83" s="9" t="inlineStr">
        <x:is>
          <x:t xml:space="preserve">Proposed</x:t>
        </x:is>
      </x:c>
      <x:c r="L83" s="9" t="inlineStr">
        <x:is>
          <x:t xml:space="preserve">§30</x:t>
        </x:is>
      </x:c>
      <x:c r="M83" s="54" t="inlineStr">
        <x:is>
          <x:t xml:space="preserve">Model estimate</x:t>
        </x:is>
      </x:c>
    </x:row>
    <x:row r="84">
      <x:c r="A84" s="9" t="inlineStr">
        <x:is>
          <x:t xml:space="preserve">E79</x:t>
        </x:is>
      </x:c>
      <x:c r="B84" s="50" t="n">
        <x:v>1922</x:v>
      </x:c>
      <x:c r="C84" s="50" t="n">
        <x:v>1932</x:v>
      </x:c>
      <x:c r="D84" s="51" t="inlineStr">
        <x:is>
          <x:t xml:space="preserve">Lena gold concessions</x:t>
        </x:is>
      </x:c>
      <x:c r="E84" s="9" t="inlineStr">
        <x:is>
          <x:t xml:space="preserve">Receipt</x:t>
        </x:is>
      </x:c>
      <x:c r="F84" s="9" t="inlineStr">
        <x:is>
          <x:t xml:space="preserve"/>
        </x:is>
      </x:c>
      <x:c r="G84" s="9" t="inlineStr">
        <x:is>
          <x:t xml:space="preserve">Siberia</x:t>
        </x:is>
      </x:c>
      <x:c r="H84" s="52" t="n">
        <x:v>3</x:v>
      </x:c>
      <x:c r="I84" s="53" t="n">
        <x:f>IF(H84="","",H84*(C84-B84+1))</x:f>
        <x:v>33</x:v>
      </x:c>
      <x:c r="J84" s="9" t="inlineStr">
        <x:is>
          <x:t xml:space="preserve">No</x:t>
        </x:is>
      </x:c>
      <x:c r="K84" s="9" t="inlineStr">
        <x:is>
          <x:t xml:space="preserve">Proposed</x:t>
        </x:is>
      </x:c>
      <x:c r="L84" s="9" t="inlineStr">
        <x:is>
          <x:t xml:space="preserve">§32</x:t>
        </x:is>
      </x:c>
      <x:c r="M84" s="54" t="inlineStr">
        <x:is>
          <x:t xml:space="preserve">Model estimate</x:t>
        </x:is>
      </x:c>
    </x:row>
    <x:row r="85">
      <x:c r="A85" s="9" t="inlineStr">
        <x:is>
          <x:t xml:space="preserve">E92</x:t>
        </x:is>
      </x:c>
      <x:c r="B85" s="50" t="n">
        <x:v>1849</x:v>
      </x:c>
      <x:c r="C85" s="50" t="n">
        <x:v>1932</x:v>
      </x:c>
      <x:c r="D85" s="51" t="inlineStr">
        <x:is>
          <x:t xml:space="preserve">Miner licences ($2 residents, $4 foreigners a month)</x:t>
        </x:is>
      </x:c>
      <x:c r="E85" s="9" t="inlineStr">
        <x:is>
          <x:t xml:space="preserve">Receipt</x:t>
        </x:is>
      </x:c>
      <x:c r="F85" s="9" t="inlineStr">
        <x:is>
          <x:t xml:space="preserve"/>
        </x:is>
      </x:c>
      <x:c r="G85" s="9" t="inlineStr">
        <x:is>
          <x:t xml:space="preserve"/>
        </x:is>
      </x:c>
      <x:c r="H85" s="52" t="n">
        <x:v>1</x:v>
      </x:c>
      <x:c r="I85" s="53" t="n">
        <x:f>IF(H85="","",H85*(C85-B85+1))</x:f>
        <x:v>84</x:v>
      </x:c>
      <x:c r="J85" s="9" t="inlineStr">
        <x:is>
          <x:t xml:space="preserve">No</x:t>
        </x:is>
      </x:c>
      <x:c r="K85" s="9" t="inlineStr">
        <x:is>
          <x:t xml:space="preserve">Canon</x:t>
        </x:is>
      </x:c>
      <x:c r="L85" s="9" t="inlineStr">
        <x:is>
          <x:t xml:space="preserve">§5</x:t>
        </x:is>
      </x:c>
      <x:c r="M85" s="54" t="inlineStr">
        <x:is>
          <x:t xml:space="preserve">Old model: $0.4-1.4m a year</x:t>
        </x:is>
      </x:c>
    </x:row>
    <x:row r="86">
      <x:c r="A86" s="9" t="inlineStr">
        <x:is>
          <x:t xml:space="preserve">E80</x:t>
        </x:is>
      </x:c>
      <x:c r="B86" s="50" t="n">
        <x:v>1885</x:v>
      </x:c>
      <x:c r="C86" s="50" t="n">
        <x:v>1928</x:v>
      </x:c>
      <x:c r="D86" s="51" t="inlineStr">
        <x:is>
          <x:t xml:space="preserve">Chinese customs agency fee</x:t>
        </x:is>
      </x:c>
      <x:c r="E86" s="9" t="inlineStr">
        <x:is>
          <x:t xml:space="preserve">Receipt</x:t>
        </x:is>
      </x:c>
      <x:c r="F86" s="9" t="inlineStr">
        <x:is>
          <x:t xml:space="preserve"/>
        </x:is>
      </x:c>
      <x:c r="G86" s="9" t="inlineStr">
        <x:is>
          <x:t xml:space="preserve">China</x:t>
        </x:is>
      </x:c>
      <x:c r="H86" s="52" t="n">
        <x:v>0.05</x:v>
      </x:c>
      <x:c r="I86" s="53" t="n">
        <x:f>IF(H86="","",H86*(C86-B86+1))</x:f>
        <x:v>2.2</x:v>
      </x:c>
      <x:c r="J86" s="9" t="inlineStr">
        <x:is>
          <x:t xml:space="preserve">No</x:t>
        </x:is>
      </x:c>
      <x:c r="K86" s="9" t="inlineStr">
        <x:is>
          <x:t xml:space="preserve">Canon</x:t>
        </x:is>
      </x:c>
      <x:c r="L86" s="9" t="inlineStr">
        <x:is>
          <x:t xml:space="preserve">§16</x:t>
        </x:is>
      </x:c>
      <x:c r="M86" s="54" t="inlineStr">
        <x:is>
          <x:t xml:space="preserve">Old model value</x:t>
        </x:is>
      </x:c>
    </x:row>
    <x:row r="87">
      <x:c r="A87" s="9" t="inlineStr">
        <x:is>
          <x:t xml:space="preserve">E81</x:t>
        </x:is>
      </x:c>
      <x:c r="B87" s="50" t="n">
        <x:v>1923</x:v>
      </x:c>
      <x:c r="C87" s="50" t="n">
        <x:v>1932</x:v>
      </x:c>
      <x:c r="D87" s="51" t="inlineStr">
        <x:is>
          <x:t xml:space="preserve">Permanent Siberian front (Pacifica's quota)</x:t>
        </x:is>
      </x:c>
      <x:c r="E87" s="9" t="inlineStr">
        <x:is>
          <x:t xml:space="preserve">War &amp; operations</x:t>
        </x:is>
      </x:c>
      <x:c r="F87" s="9" t="inlineStr">
        <x:is>
          <x:t xml:space="preserve"/>
        </x:is>
      </x:c>
      <x:c r="G87" s="9" t="inlineStr">
        <x:is>
          <x:t xml:space="preserve">Siberia</x:t>
        </x:is>
      </x:c>
      <x:c r="H87" s="52" t="n">
        <x:f>siberia_front*pac_quota</x:f>
        <x:v>52</x:v>
      </x:c>
      <x:c r="I87" s="53" t="n">
        <x:f>IF(H87="","",H87*(C87-B87+1))</x:f>
        <x:v>520</x:v>
      </x:c>
      <x:c r="J87" s="9" t="inlineStr">
        <x:is>
          <x:t xml:space="preserve">No</x:t>
        </x:is>
      </x:c>
      <x:c r="K87" s="9" t="inlineStr">
        <x:is>
          <x:t xml:space="preserve">Proposed</x:t>
        </x:is>
      </x:c>
      <x:c r="L87" s="9" t="inlineStr">
        <x:is>
          <x:t xml:space="preserve">§32</x:t>
        </x:is>
      </x:c>
      <x:c r="M87" s="54" t="inlineStr">
        <x:is>
          <x:t xml:space="preserve">Old model $80m a year shared</x:t>
        </x:is>
      </x:c>
    </x:row>
    <x:row r="88">
      <x:c r="A88" s="9" t="inlineStr">
        <x:is>
          <x:t xml:space="preserve">E82</x:t>
        </x:is>
      </x:c>
      <x:c r="B88" s="50" t="n">
        <x:v>1923</x:v>
      </x:c>
      <x:c r="C88" s="50" t="n">
        <x:v>1923</x:v>
      </x:c>
      <x:c r="D88" s="51" t="inlineStr">
        <x:is>
          <x:t xml:space="preserve">Earthquake reconstruction credit for Japan (public share)</x:t>
        </x:is>
      </x:c>
      <x:c r="E88" s="9" t="inlineStr">
        <x:is>
          <x:t xml:space="preserve">Loan</x:t>
        </x:is>
      </x:c>
      <x:c r="F88" s="9" t="inlineStr">
        <x:is>
          <x:t xml:space="preserve">Asia</x:t>
        </x:is>
      </x:c>
      <x:c r="G88" s="9" t="inlineStr">
        <x:is>
          <x:t xml:space="preserve">Japan</x:t>
        </x:is>
      </x:c>
      <x:c r="H88" s="52" t="n">
        <x:v>50</x:v>
      </x:c>
      <x:c r="I88" s="53" t="n">
        <x:f>IF(H88="","",H88*(C88-B88+1))</x:f>
        <x:v>50</x:v>
      </x:c>
      <x:c r="J88" s="9" t="inlineStr">
        <x:is>
          <x:t xml:space="preserve">No</x:t>
        </x:is>
      </x:c>
      <x:c r="K88" s="9" t="inlineStr">
        <x:is>
          <x:t xml:space="preserve">Canon</x:t>
        </x:is>
      </x:c>
      <x:c r="L88" s="9" t="inlineStr">
        <x:is>
          <x:t xml:space="preserve">§33</x:t>
        </x:is>
      </x:c>
      <x:c r="M88" s="54" t="inlineStr">
        <x:is>
          <x:t xml:space="preserve">Public third of $150m</x:t>
        </x:is>
      </x:c>
    </x:row>
    <x:row r="89">
      <x:c r="A89" s="9" t="inlineStr">
        <x:is>
          <x:t xml:space="preserve">E83</x:t>
        </x:is>
      </x:c>
      <x:c r="B89" s="50" t="n">
        <x:v>1924</x:v>
      </x:c>
      <x:c r="C89" s="50" t="n">
        <x:v>1928</x:v>
      </x:c>
      <x:c r="D89" s="51" t="inlineStr">
        <x:is>
          <x:t xml:space="preserve">Whampoa and Northern Expedition support</x:t>
        </x:is>
      </x:c>
      <x:c r="E89" s="9" t="inlineStr">
        <x:is>
          <x:t xml:space="preserve">Subsidy &amp; guarantee</x:t>
        </x:is>
      </x:c>
      <x:c r="F89" s="9" t="inlineStr">
        <x:is>
          <x:t xml:space="preserve"/>
        </x:is>
      </x:c>
      <x:c r="G89" s="9" t="inlineStr">
        <x:is>
          <x:t xml:space="preserve">China</x:t>
        </x:is>
      </x:c>
      <x:c r="H89" s="52" t="n">
        <x:v>2</x:v>
      </x:c>
      <x:c r="I89" s="53" t="n">
        <x:f>IF(H89="","",H89*(C89-B89+1))</x:f>
        <x:v>10</x:v>
      </x:c>
      <x:c r="J89" s="9" t="inlineStr">
        <x:is>
          <x:t xml:space="preserve">No</x:t>
        </x:is>
      </x:c>
      <x:c r="K89" s="9" t="inlineStr">
        <x:is>
          <x:t xml:space="preserve">Proposed</x:t>
        </x:is>
      </x:c>
      <x:c r="L89" s="9" t="inlineStr">
        <x:is>
          <x:t xml:space="preserve">§33</x:t>
        </x:is>
      </x:c>
      <x:c r="M89" s="54" t="inlineStr">
        <x:is>
          <x:t xml:space="preserve">Model estimate</x:t>
        </x:is>
      </x:c>
    </x:row>
    <x:row r="90">
      <x:c r="A90" s="9" t="inlineStr">
        <x:is>
          <x:t xml:space="preserve">E84</x:t>
        </x:is>
      </x:c>
      <x:c r="B90" s="50" t="n">
        <x:v>1927</x:v>
      </x:c>
      <x:c r="C90" s="50" t="n">
        <x:v>1927</x:v>
      </x:c>
      <x:c r="D90" s="51" t="str">
        <x:v>Japan foreign-settlement facility (public commitment)</x:v>
      </x:c>
      <x:c r="E90" s="9" t="str">
        <x:v>Commitment</x:v>
      </x:c>
      <x:c r="F90" s="9" t="inlineStr">
        <x:is>
          <x:t xml:space="preserve">Asia</x:t>
        </x:is>
      </x:c>
      <x:c r="G90" s="9" t="inlineStr">
        <x:is>
          <x:t xml:space="preserve">Japan</x:t>
        </x:is>
      </x:c>
      <x:c r="H90" s="52" t="n">
        <x:f>'Japan rescue'!E46*'Japan rescue'!E47</x:f>
        <x:v>200</x:v>
      </x:c>
      <x:c r="I90" s="53" t="n">
        <x:f>IF(H90="","",H90*(C90-B90+1))</x:f>
        <x:v>200</x:v>
      </x:c>
      <x:c r="J90" s="9" t="str">
        <x:v>No</x:v>
      </x:c>
      <x:c r="K90" s="9" t="inlineStr">
        <x:is>
          <x:t xml:space="preserve">Canon</x:t>
        </x:is>
      </x:c>
      <x:c r="L90" s="9" t="inlineStr">
        <x:is>
          <x:t xml:space="preserve">§33</x:t>
        </x:is>
      </x:c>
      <x:c r="M90" s="54" t="str">
        <x:v>CR-022: commitment only. Actual public drawings feed Loans directly; private two-thirds reroutes Abroad investment.</x:v>
      </x:c>
    </x:row>
    <x:row r="91">
      <x:c r="A91" s="9" t="inlineStr">
        <x:is>
          <x:t xml:space="preserve">E85</x:t>
        </x:is>
      </x:c>
      <x:c r="B91" s="50" t="n">
        <x:v>1927</x:v>
      </x:c>
      <x:c r="C91" s="50" t="n">
        <x:v>1932</x:v>
      </x:c>
      <x:c r="D91" s="51" t="inlineStr">
        <x:is>
          <x:t xml:space="preserve">Common ministries and overseas command (quota)</x:t>
        </x:is>
      </x:c>
      <x:c r="E91" s="9" t="inlineStr">
        <x:is>
          <x:t xml:space="preserve">Programme</x:t>
        </x:is>
      </x:c>
      <x:c r="F91" s="9" t="inlineStr">
        <x:is>
          <x:t xml:space="preserve"/>
        </x:is>
      </x:c>
      <x:c r="G91" s="9" t="inlineStr">
        <x:is>
          <x:t xml:space="preserve">Japan</x:t>
        </x:is>
      </x:c>
      <x:c r="H91" s="52" t="n">
        <x:f>10*pac_quota</x:f>
        <x:v>6.5</x:v>
      </x:c>
      <x:c r="I91" s="53" t="n">
        <x:f>IF(H91="","",H91*(C91-B91+1))</x:f>
        <x:v>39</x:v>
      </x:c>
      <x:c r="J91" s="9" t="inlineStr">
        <x:is>
          <x:t xml:space="preserve">No</x:t>
        </x:is>
      </x:c>
      <x:c r="K91" s="9" t="inlineStr">
        <x:is>
          <x:t xml:space="preserve">Proposed</x:t>
        </x:is>
      </x:c>
      <x:c r="L91" s="9" t="inlineStr">
        <x:is>
          <x:t xml:space="preserve">§33</x:t>
        </x:is>
      </x:c>
      <x:c r="M91" s="54" t="inlineStr">
        <x:is>
          <x:t xml:space="preserve">Old model $10m a year shared</x:t>
        </x:is>
      </x:c>
    </x:row>
    <x:row r="92">
      <x:c r="A92" s="9" t="inlineStr">
        <x:is>
          <x:t xml:space="preserve">E86</x:t>
        </x:is>
      </x:c>
      <x:c r="B92" s="50" t="n">
        <x:v>1929</x:v>
      </x:c>
      <x:c r="C92" s="50" t="n">
        <x:v>1929</x:v>
      </x:c>
      <x:c r="D92" s="51" t="inlineStr">
        <x:is>
          <x:t xml:space="preserve">Soviet probe defeated</x:t>
        </x:is>
      </x:c>
      <x:c r="E92" s="9" t="inlineStr">
        <x:is>
          <x:t xml:space="preserve">War &amp; operations</x:t>
        </x:is>
      </x:c>
      <x:c r="F92" s="9" t="inlineStr">
        <x:is>
          <x:t xml:space="preserve"/>
        </x:is>
      </x:c>
      <x:c r="G92" s="9" t="inlineStr">
        <x:is>
          <x:t xml:space="preserve">USSR</x:t>
        </x:is>
      </x:c>
      <x:c r="H92" s="52" t="n">
        <x:v>10</x:v>
      </x:c>
      <x:c r="I92" s="53" t="n">
        <x:f>IF(H92="","",H92*(C92-B92+1))</x:f>
        <x:v>10</x:v>
      </x:c>
      <x:c r="J92" s="9" t="inlineStr">
        <x:is>
          <x:t xml:space="preserve">No</x:t>
        </x:is>
      </x:c>
      <x:c r="K92" s="9" t="inlineStr">
        <x:is>
          <x:t xml:space="preserve">Proposed</x:t>
        </x:is>
      </x:c>
      <x:c r="L92" s="9" t="inlineStr">
        <x:is>
          <x:t xml:space="preserve">§33</x:t>
        </x:is>
      </x:c>
      <x:c r="M92" s="54" t="inlineStr">
        <x:is>
          <x:t xml:space="preserve">Model estimate</x:t>
        </x:is>
      </x:c>
    </x:row>
    <x:row r="93">
      <x:c r="A93" s="9" t="inlineStr">
        <x:is>
          <x:t xml:space="preserve">E87</x:t>
        </x:is>
      </x:c>
      <x:c r="B93" s="50" t="n">
        <x:v>1931</x:v>
      </x:c>
      <x:c r="C93" s="50" t="n">
        <x:v>1931</x:v>
      </x:c>
      <x:c r="D93" s="51" t="inlineStr">
        <x:is>
          <x:t xml:space="preserve">Manchurian plot: transport prohibition</x:t>
        </x:is>
      </x:c>
      <x:c r="E93" s="9" t="inlineStr">
        <x:is>
          <x:t xml:space="preserve">War &amp; operations</x:t>
        </x:is>
      </x:c>
      <x:c r="F93" s="9" t="inlineStr">
        <x:is>
          <x:t xml:space="preserve"/>
        </x:is>
      </x:c>
      <x:c r="G93" s="9" t="inlineStr">
        <x:is>
          <x:t xml:space="preserve">Japan</x:t>
        </x:is>
      </x:c>
      <x:c r="H93" s="52" t="n">
        <x:v>5</x:v>
      </x:c>
      <x:c r="I93" s="53" t="n">
        <x:f>IF(H93="","",H93*(C93-B93+1))</x:f>
        <x:v>5</x:v>
      </x:c>
      <x:c r="J93" s="9" t="inlineStr">
        <x:is>
          <x:t xml:space="preserve">No</x:t>
        </x:is>
      </x:c>
      <x:c r="K93" s="9" t="inlineStr">
        <x:is>
          <x:t xml:space="preserve">Canon</x:t>
        </x:is>
      </x:c>
      <x:c r="L93" s="9" t="inlineStr">
        <x:is>
          <x:t xml:space="preserve">§35</x:t>
        </x:is>
      </x:c>
      <x:c r="M93" s="54" t="inlineStr">
        <x:is>
          <x:t xml:space="preserve">Model estimate</x:t>
        </x:is>
      </x:c>
    </x:row>
    <x:row r="94">
      <x:c r="A94" s="9" t="inlineStr">
        <x:is>
          <x:t xml:space="preserve">E88</x:t>
        </x:is>
      </x:c>
      <x:c r="B94" s="50" t="n">
        <x:v>1931</x:v>
      </x:c>
      <x:c r="C94" s="50" t="n">
        <x:v>1931</x:v>
      </x:c>
      <x:c r="D94" s="51" t="inlineStr">
        <x:is>
          <x:t xml:space="preserve">Second gold rescue of the Union, first tranche</x:t>
        </x:is>
      </x:c>
      <x:c r="E94" s="9" t="inlineStr">
        <x:is>
          <x:t xml:space="preserve">Loan</x:t>
        </x:is>
      </x:c>
      <x:c r="F94" s="9" t="inlineStr">
        <x:is>
          <x:t xml:space="preserve">Rescue</x:t>
        </x:is>
      </x:c>
      <x:c r="G94" s="9" t="inlineStr">
        <x:is>
          <x:t xml:space="preserve">Union</x:t>
        </x:is>
      </x:c>
      <x:c r="H94" s="52" t="n">
        <x:f>union_rescue*0.6</x:f>
        <x:v>240</x:v>
      </x:c>
      <x:c r="I94" s="53" t="n">
        <x:f>IF(H94="","",H94*(C94-B94+1))</x:f>
        <x:v>240</x:v>
      </x:c>
      <x:c r="J94" s="9" t="inlineStr">
        <x:is>
          <x:t xml:space="preserve">Yes</x:t>
        </x:is>
      </x:c>
      <x:c r="K94" s="9" t="inlineStr">
        <x:is>
          <x:t xml:space="preserve">Canon</x:t>
        </x:is>
      </x:c>
      <x:c r="L94" s="9" t="inlineStr">
        <x:is>
          <x:t xml:space="preserve">§34</x:t>
        </x:is>
      </x:c>
      <x:c r="M94" s="54" t="inlineStr">
        <x:is>
          <x:t xml:space="preserve">Size proposed</x:t>
        </x:is>
      </x:c>
    </x:row>
    <x:row r="95">
      <x:c r="A95" s="9" t="inlineStr">
        <x:is>
          <x:t xml:space="preserve">E89</x:t>
        </x:is>
      </x:c>
      <x:c r="B95" s="50" t="n">
        <x:v>1932</x:v>
      </x:c>
      <x:c r="C95" s="50" t="n">
        <x:v>1932</x:v>
      </x:c>
      <x:c r="D95" s="51" t="inlineStr">
        <x:is>
          <x:t xml:space="preserve">Second gold rescue of the Union, second tranche</x:t>
        </x:is>
      </x:c>
      <x:c r="E95" s="9" t="inlineStr">
        <x:is>
          <x:t xml:space="preserve">Loan</x:t>
        </x:is>
      </x:c>
      <x:c r="F95" s="9" t="inlineStr">
        <x:is>
          <x:t xml:space="preserve">Rescue</x:t>
        </x:is>
      </x:c>
      <x:c r="G95" s="9" t="inlineStr">
        <x:is>
          <x:t xml:space="preserve">Union</x:t>
        </x:is>
      </x:c>
      <x:c r="H95" s="52" t="n">
        <x:f>union_rescue*0.4</x:f>
        <x:v>160</x:v>
      </x:c>
      <x:c r="I95" s="53" t="n">
        <x:f>IF(H95="","",H95*(C95-B95+1))</x:f>
        <x:v>160</x:v>
      </x:c>
      <x:c r="J95" s="9" t="inlineStr">
        <x:is>
          <x:t xml:space="preserve">Yes</x:t>
        </x:is>
      </x:c>
      <x:c r="K95" s="9" t="inlineStr">
        <x:is>
          <x:t xml:space="preserve">Canon</x:t>
        </x:is>
      </x:c>
      <x:c r="L95" s="9" t="inlineStr">
        <x:is>
          <x:t xml:space="preserve">§34</x:t>
        </x:is>
      </x:c>
      <x:c r="M95" s="54" t="inlineStr">
        <x:is>
          <x:t xml:space="preserve">Size proposed</x:t>
        </x:is>
      </x:c>
    </x:row>
    <x:row r="96">
      <x:c r="A96" s="9" t="inlineStr">
        <x:is>
          <x:t xml:space="preserve">E90</x:t>
        </x:is>
      </x:c>
      <x:c r="B96" s="50" t="n">
        <x:v>1931</x:v>
      </x:c>
      <x:c r="C96" s="50" t="n">
        <x:v>1932</x:v>
      </x:c>
      <x:c r="D96" s="51" t="inlineStr">
        <x:is>
          <x:t xml:space="preserve">Recapitalisation of Pacifican banks</x:t>
        </x:is>
      </x:c>
      <x:c r="E96" s="9" t="inlineStr">
        <x:is>
          <x:t xml:space="preserve">Bank rescue &amp; capital</x:t>
        </x:is>
      </x:c>
      <x:c r="F96" s="9" t="inlineStr">
        <x:is>
          <x:t xml:space="preserve"/>
        </x:is>
      </x:c>
      <x:c r="G96" s="9" t="inlineStr">
        <x:is>
          <x:t xml:space="preserve"/>
        </x:is>
      </x:c>
      <x:c r="H96" s="52" t="n">
        <x:f>bank_recap/2</x:f>
        <x:v>75</x:v>
      </x:c>
      <x:c r="I96" s="53" t="n">
        <x:f>IF(H96="","",H96*(C96-B96+1))</x:f>
        <x:v>150</x:v>
      </x:c>
      <x:c r="J96" s="9" t="inlineStr">
        <x:is>
          <x:t xml:space="preserve">No</x:t>
        </x:is>
      </x:c>
      <x:c r="K96" s="9" t="inlineStr">
        <x:is>
          <x:t xml:space="preserve">Proposed</x:t>
        </x:is>
      </x:c>
      <x:c r="L96" s="9" t="inlineStr">
        <x:is>
          <x:t xml:space="preserve">§34</x:t>
        </x:is>
      </x:c>
      <x:c r="M96" s="54" t="inlineStr">
        <x:is>
          <x:t xml:space="preserve">Model estimate</x:t>
        </x:is>
      </x:c>
    </x:row>
    <x:row r="97">
      <x:c r="A97" s="9" t="inlineStr">
        <x:is>
          <x:t xml:space="preserve">E91</x:t>
        </x:is>
      </x:c>
      <x:c r="B97" s="50" t="n">
        <x:v>1932</x:v>
      </x:c>
      <x:c r="C97" s="50" t="n">
        <x:v>1932</x:v>
      </x:c>
      <x:c r="D97" s="51" t="inlineStr">
        <x:is>
          <x:t xml:space="preserve">Thalassia Conference</x:t>
        </x:is>
      </x:c>
      <x:c r="E97" s="9" t="inlineStr">
        <x:is>
          <x:t xml:space="preserve">Programme</x:t>
        </x:is>
      </x:c>
      <x:c r="F97" s="9" t="inlineStr">
        <x:is>
          <x:t xml:space="preserve"/>
        </x:is>
      </x:c>
      <x:c r="G97" s="9" t="inlineStr">
        <x:is>
          <x:t xml:space="preserve"/>
        </x:is>
      </x:c>
      <x:c r="H97" s="52" t="n">
        <x:v>1</x:v>
      </x:c>
      <x:c r="I97" s="53" t="n">
        <x:f>IF(H97="","",H97*(C97-B97+1))</x:f>
        <x:v>1</x:v>
      </x:c>
      <x:c r="J97" s="9" t="inlineStr">
        <x:is>
          <x:t xml:space="preserve">No</x:t>
        </x:is>
      </x:c>
      <x:c r="K97" s="9" t="inlineStr">
        <x:is>
          <x:t xml:space="preserve">Proposed</x:t>
        </x:is>
      </x:c>
      <x:c r="L97" s="9" t="inlineStr">
        <x:is>
          <x:t xml:space="preserve">§37</x:t>
        </x:is>
      </x:c>
      <x:c r="M97" s="54" t="inlineStr">
        <x:is>
          <x:t xml:space="preserve">Model estimate</x:t>
        </x:is>
      </x:c>
    </x:row>
    <x:row r="98">
      <x:c r="A98" s="9" t="inlineStr">
        <x:is>
          <x:t xml:space="preserve">E93</x:t>
        </x:is>
      </x:c>
      <x:c r="B98" s="50" t="n">
        <x:v>1919</x:v>
      </x:c>
      <x:c r="C98" s="50" t="n">
        <x:v>1923</x:v>
      </x:c>
      <x:c r="D98" s="51" t="inlineStr">
        <x:is>
          <x:t xml:space="preserve">The Living Bay: sewage tunnel beyond Mokapu, slope forests, restored fishponds, marine reserve</x:t>
        </x:is>
      </x:c>
      <x:c r="E98" s="9" t="inlineStr">
        <x:is>
          <x:t xml:space="preserve">Programme</x:t>
        </x:is>
      </x:c>
      <x:c r="F98" s="9" t="inlineStr">
        <x:is>
          <x:t xml:space="preserve"/>
        </x:is>
      </x:c>
      <x:c r="G98" s="9" t="inlineStr">
        <x:is>
          <x:t xml:space="preserve"/>
        </x:is>
      </x:c>
      <x:c r="H98" s="52" t="n">
        <x:v>1.8</x:v>
      </x:c>
      <x:c r="I98" s="53" t="n">
        <x:f>IF(H98="","",H98*(C98-B98+1))</x:f>
        <x:v>9</x:v>
      </x:c>
      <x:c r="J98" s="9" t="inlineStr">
        <x:is>
          <x:t xml:space="preserve">No</x:t>
        </x:is>
      </x:c>
      <x:c r="K98" s="9" t="inlineStr">
        <x:is>
          <x:t xml:space="preserve">Approved</x:t>
        </x:is>
      </x:c>
      <x:c r="L98" s="9" t="inlineStr">
        <x:is>
          <x:t xml:space="preserve">CR-020 B7</x:t>
        </x:is>
      </x:c>
      <x:c r="M98" s="54" t="inlineStr">
        <x:is>
          <x:t xml:space="preserve">Keawe's first scheme (1923 marine reserve); the restored fishponds feed the capital</x:t>
        </x:is>
      </x:c>
    </x:row>
    <x:row r="99">
      <x:c r="A99" s="9" t="inlineStr">
        <x:is>
          <x:t xml:space="preserve">E113</x:t>
        </x:is>
      </x:c>
      <x:c r="B99" s="50" t="n">
        <x:v>1876</x:v>
      </x:c>
      <x:c r="C99" s="50" t="n">
        <x:v>1882</x:v>
      </x:c>
      <x:c r="D99" s="51" t="inlineStr">
        <x:is>
          <x:t xml:space="preserve">Pali railway tunnel to Honolulu and Pearl Harbor, and Kaneohe Bay channel</x:t>
        </x:is>
      </x:c>
      <x:c r="E99" s="9" t="inlineStr">
        <x:is>
          <x:t xml:space="preserve">Investment</x:t>
        </x:is>
      </x:c>
      <x:c r="F99" s="9" t="inlineStr">
        <x:is>
          <x:t xml:space="preserve"/>
        </x:is>
      </x:c>
      <x:c r="G99" s="9" t="inlineStr">
        <x:is>
          <x:t xml:space="preserve"/>
        </x:is>
      </x:c>
      <x:c r="H99" s="52" t="n">
        <x:v>1</x:v>
      </x:c>
      <x:c r="I99" s="53" t="n">
        <x:f>IF(H99="","",H99*(C99-B99+1))</x:f>
        <x:v>7</x:v>
      </x:c>
      <x:c r="J99" s="9" t="inlineStr">
        <x:is>
          <x:t xml:space="preserve">No</x:t>
        </x:is>
      </x:c>
      <x:c r="K99" s="9" t="inlineStr">
        <x:is>
          <x:t xml:space="preserve">Proposed</x:t>
        </x:is>
      </x:c>
      <x:c r="L99" s="9" t="inlineStr">
        <x:is>
          <x:t xml:space="preserve">CR-021 B6</x:t>
        </x:is>
      </x:c>
      <x:c r="M99" s="54" t="inlineStr">
        <x:is>
          <x:t xml:space="preserve">Model estimate, about $7m; the Waiahole water tunnel (1913-16) ran 2.7 miles through the same range</x:t>
        </x:is>
      </x:c>
    </x:row>
    <x:row r="100">
      <x:c r="A100" s="9" t="inlineStr">
        <x:is>
          <x:t xml:space="preserve">E94</x:t>
        </x:is>
      </x:c>
      <x:c r="B100" s="50" t="n">
        <x:v>1923</x:v>
      </x:c>
      <x:c r="C100" s="50" t="n">
        <x:v>1932</x:v>
      </x:c>
      <x:c r="D100" s="51" t="inlineStr">
        <x:is>
          <x:t xml:space="preserve">Watershed reserves, minimum stream flows, quarantine (all islands)</x:t>
        </x:is>
      </x:c>
      <x:c r="E100" s="9" t="inlineStr">
        <x:is>
          <x:t xml:space="preserve">Programme</x:t>
        </x:is>
      </x:c>
      <x:c r="F100" s="9" t="inlineStr">
        <x:is>
          <x:t xml:space="preserve"/>
        </x:is>
      </x:c>
      <x:c r="G100" s="9" t="inlineStr">
        <x:is>
          <x:t xml:space="preserve"/>
        </x:is>
      </x:c>
      <x:c r="H100" s="52" t="n">
        <x:v>1</x:v>
      </x:c>
      <x:c r="I100" s="53" t="n">
        <x:f>IF(H100="","",H100*(C100-B100+1))</x:f>
        <x:v>10</x:v>
      </x:c>
      <x:c r="J100" s="9" t="inlineStr">
        <x:is>
          <x:t xml:space="preserve">No</x:t>
        </x:is>
      </x:c>
      <x:c r="K100" s="9" t="inlineStr">
        <x:is>
          <x:t xml:space="preserve">Proposed</x:t>
        </x:is>
      </x:c>
      <x:c r="L100" s="9" t="inlineStr">
        <x:is>
          <x:t xml:space="preserve">CR-020 B7</x:t>
        </x:is>
      </x:c>
      <x:c r="M100" s="54" t="inlineStr">
        <x:is>
          <x:t xml:space="preserve">Model estimate</x:t>
        </x:is>
      </x:c>
    </x:row>
    <x:row r="101">
      <x:c r="A101" s="9" t="inlineStr">
        <x:is>
          <x:t xml:space="preserve">E95</x:t>
        </x:is>
      </x:c>
      <x:c r="B101" s="50" t="n">
        <x:v>1928</x:v>
      </x:c>
      <x:c r="C101" s="50" t="n">
        <x:v>1932</x:v>
      </x:c>
      <x:c r="D101" s="51" t="inlineStr">
        <x:is>
          <x:t xml:space="preserve">Thalassia Plan: electric transit, sewers, reef outfalls, boulevards</x:t>
        </x:is>
      </x:c>
      <x:c r="E101" s="9" t="inlineStr">
        <x:is>
          <x:t xml:space="preserve">Programme</x:t>
        </x:is>
      </x:c>
      <x:c r="F101" s="9" t="inlineStr">
        <x:is>
          <x:t xml:space="preserve"/>
        </x:is>
      </x:c>
      <x:c r="G101" s="9" t="inlineStr">
        <x:is>
          <x:t xml:space="preserve"/>
        </x:is>
      </x:c>
      <x:c r="H101" s="52" t="n">
        <x:v>20</x:v>
      </x:c>
      <x:c r="I101" s="53" t="n">
        <x:f>IF(H101="","",H101*(C101-B101+1))</x:f>
        <x:v>100</x:v>
      </x:c>
      <x:c r="J101" s="9" t="inlineStr">
        <x:is>
          <x:t xml:space="preserve">No</x:t>
        </x:is>
      </x:c>
      <x:c r="K101" s="9" t="inlineStr">
        <x:is>
          <x:t xml:space="preserve">Proposed</x:t>
        </x:is>
      </x:c>
      <x:c r="L101" s="9" t="inlineStr">
        <x:is>
          <x:t xml:space="preserve">CR-020 B7</x:t>
        </x:is>
      </x:c>
      <x:c r="M101" s="54" t="inlineStr">
        <x:is>
          <x:t xml:space="preserve">About 0.1% of GDP</x:t>
        </x:is>
      </x:c>
    </x:row>
    <x:row r="102">
      <x:c r="A102" s="9" t="inlineStr">
        <x:is>
          <x:t xml:space="preserve">E96</x:t>
        </x:is>
      </x:c>
      <x:c r="B102" s="50" t="n">
        <x:v>1928</x:v>
      </x:c>
      <x:c r="C102" s="50" t="n">
        <x:v>1932</x:v>
      </x:c>
      <x:c r="D102" s="51" t="inlineStr">
        <x:is>
          <x:t xml:space="preserve">Lease premiums on government land</x:t>
        </x:is>
      </x:c>
      <x:c r="E102" s="9" t="inlineStr">
        <x:is>
          <x:t xml:space="preserve">Receipt</x:t>
        </x:is>
      </x:c>
      <x:c r="F102" s="9" t="inlineStr">
        <x:is>
          <x:t xml:space="preserve"/>
        </x:is>
      </x:c>
      <x:c r="G102" s="9" t="inlineStr">
        <x:is>
          <x:t xml:space="preserve"/>
        </x:is>
      </x:c>
      <x:c r="H102" s="52" t="n">
        <x:v>7</x:v>
      </x:c>
      <x:c r="I102" s="53" t="n">
        <x:f>IF(H102="","",H102*(C102-B102+1))</x:f>
        <x:v>35</x:v>
      </x:c>
      <x:c r="J102" s="9" t="inlineStr">
        <x:is>
          <x:t xml:space="preserve">No</x:t>
        </x:is>
      </x:c>
      <x:c r="K102" s="9" t="inlineStr">
        <x:is>
          <x:t xml:space="preserve">Proposed</x:t>
        </x:is>
      </x:c>
      <x:c r="L102" s="9" t="inlineStr">
        <x:is>
          <x:t xml:space="preserve">CR-020 B7, CR-021 B6</x:t>
        </x:is>
      </x:c>
      <x:c r="M102" s="54" t="inlineStr">
        <x:is>
          <x:t xml:space="preserve">Leasehold, not sale. Thalassia stands on Crown land of the Hawaiian throne: its premiums, about $5m a year, go to the Hawaiian crown, off-budget</x:t>
        </x:is>
      </x:c>
    </x:row>
    <x:row r="103">
      <x:c r="A103" s="9" t="inlineStr">
        <x:is>
          <x:t xml:space="preserve">E97</x:t>
        </x:is>
      </x:c>
      <x:c r="B103" s="50" t="n">
        <x:v>1932</x:v>
      </x:c>
      <x:c r="C103" s="50" t="n">
        <x:v>1932</x:v>
      </x:c>
      <x:c r="D103" s="51" t="inlineStr">
        <x:is>
          <x:t xml:space="preserve">Lands and Waters Charter: reserves, mined-land restoration, islands index</x:t>
        </x:is>
      </x:c>
      <x:c r="E103" s="9" t="inlineStr">
        <x:is>
          <x:t xml:space="preserve">Programme</x:t>
        </x:is>
      </x:c>
      <x:c r="F103" s="9" t="inlineStr">
        <x:is>
          <x:t xml:space="preserve"/>
        </x:is>
      </x:c>
      <x:c r="G103" s="9" t="inlineStr">
        <x:is>
          <x:t xml:space="preserve"/>
        </x:is>
      </x:c>
      <x:c r="H103" s="52" t="n">
        <x:v>3</x:v>
      </x:c>
      <x:c r="I103" s="53" t="n">
        <x:f>IF(H103="","",H103*(C103-B103+1))</x:f>
        <x:v>3</x:v>
      </x:c>
      <x:c r="J103" s="9" t="inlineStr">
        <x:is>
          <x:t xml:space="preserve">No</x:t>
        </x:is>
      </x:c>
      <x:c r="K103" s="9" t="inlineStr">
        <x:is>
          <x:t xml:space="preserve">Proposed</x:t>
        </x:is>
      </x:c>
      <x:c r="L103" s="9" t="inlineStr">
        <x:is>
          <x:t xml:space="preserve">CR-020 B7</x:t>
        </x:is>
      </x:c>
      <x:c r="M103" s="54" t="inlineStr">
        <x:is>
          <x:t xml:space="preserve">Model estimate</x:t>
        </x:is>
      </x:c>
    </x:row>
    <x:row r="104">
      <x:c r="A104" s="9" t="inlineStr">
        <x:is>
          <x:t xml:space="preserve">E98</x:t>
        </x:is>
      </x:c>
      <x:c r="B104" s="50" t="n">
        <x:v>1931</x:v>
      </x:c>
      <x:c r="C104" s="50" t="n">
        <x:v>1932</x:v>
      </x:c>
      <x:c r="D104" s="51" t="inlineStr">
        <x:is>
          <x:t xml:space="preserve">Oil compact with the Gulf: administration</x:t>
        </x:is>
      </x:c>
      <x:c r="E104" s="9" t="inlineStr">
        <x:is>
          <x:t xml:space="preserve">Programme</x:t>
        </x:is>
      </x:c>
      <x:c r="F104" s="9" t="inlineStr">
        <x:is>
          <x:t xml:space="preserve"/>
        </x:is>
      </x:c>
      <x:c r="G104" s="9" t="inlineStr">
        <x:is>
          <x:t xml:space="preserve">Gulf Republic</x:t>
        </x:is>
      </x:c>
      <x:c r="H104" s="52" t="n">
        <x:f>0.5*oil_compact</x:f>
        <x:v>0.5</x:v>
      </x:c>
      <x:c r="I104" s="53" t="n">
        <x:f>IF(H104="","",H104*(C104-B104+1))</x:f>
        <x:v>1</x:v>
      </x:c>
      <x:c r="J104" s="9" t="inlineStr">
        <x:is>
          <x:t xml:space="preserve">No</x:t>
        </x:is>
      </x:c>
      <x:c r="K104" s="9" t="inlineStr">
        <x:is>
          <x:t xml:space="preserve">Proposed</x:t>
        </x:is>
      </x:c>
      <x:c r="L104" s="9" t="inlineStr">
        <x:is>
          <x:t xml:space="preserve">CR-020 B6</x:t>
        </x:is>
      </x:c>
      <x:c r="M104" s="54" t="inlineStr">
        <x:is>
          <x:t xml:space="preserve">Zero if the compact lever is off</x:t>
        </x:is>
      </x:c>
    </x:row>
    <x:row r="105">
      <x:c r="A105" s="9" t="inlineStr">
        <x:is>
          <x:t xml:space="preserve">E99</x:t>
        </x:is>
      </x:c>
      <x:c r="B105" s="50" t="n">
        <x:v>1895</x:v>
      </x:c>
      <x:c r="C105" s="50" t="n">
        <x:v>1928</x:v>
      </x:c>
      <x:c r="D105" s="51" t="inlineStr">
        <x:is>
          <x:t xml:space="preserve">Fee for the Formosan revenue administration (camphor, Keelung, customs)</x:t>
        </x:is>
      </x:c>
      <x:c r="E105" s="9" t="inlineStr">
        <x:is>
          <x:t xml:space="preserve">Receipt</x:t>
        </x:is>
      </x:c>
      <x:c r="F105" s="9" t="inlineStr">
        <x:is>
          <x:t xml:space="preserve"/>
        </x:is>
      </x:c>
      <x:c r="G105" s="9" t="inlineStr">
        <x:is>
          <x:t xml:space="preserve">China</x:t>
        </x:is>
      </x:c>
      <x:c r="H105" s="52" t="n">
        <x:v>0.5</x:v>
      </x:c>
      <x:c r="I105" s="53" t="n">
        <x:f>IF(H105="","",H105*(C105-B105+1))</x:f>
        <x:v>17</x:v>
      </x:c>
      <x:c r="J105" s="9" t="inlineStr">
        <x:is>
          <x:t xml:space="preserve">No</x:t>
        </x:is>
      </x:c>
      <x:c r="K105" s="9" t="inlineStr">
        <x:is>
          <x:t xml:space="preserve">Approved</x:t>
        </x:is>
      </x:c>
      <x:c r="L105" s="9" t="inlineStr">
        <x:is>
          <x:t xml:space="preserve">CR-020 B4, CR-021 G1</x:t>
        </x:is>
      </x:c>
      <x:c r="M105" s="54" t="inlineStr">
        <x:is>
          <x:t xml:space="preserve">Formosan Revenue Convention, 1895; the revenue itself goes to the indemnity and Japan</x:t>
        </x:is>
      </x:c>
    </x:row>
    <x:row r="106">
      <x:c r="A106" s="9" t="inlineStr">
        <x:is>
          <x:t xml:space="preserve">E100</x:t>
        </x:is>
      </x:c>
      <x:c r="B106" s="50" t="n">
        <x:v>1875</x:v>
      </x:c>
      <x:c r="C106" s="50" t="n">
        <x:v>1885</x:v>
      </x:c>
      <x:c r="D106" s="51" t="inlineStr">
        <x:is>
          <x:t xml:space="preserve">Pearl Harbor works: bar dredged, lochs deepened for the fleet</x:t>
        </x:is>
      </x:c>
      <x:c r="E106" s="9" t="inlineStr">
        <x:is>
          <x:t xml:space="preserve">Investment</x:t>
        </x:is>
      </x:c>
      <x:c r="F106" s="9" t="inlineStr">
        <x:is>
          <x:t xml:space="preserve"/>
        </x:is>
      </x:c>
      <x:c r="G106" s="9" t="inlineStr">
        <x:is>
          <x:t xml:space="preserve"/>
        </x:is>
      </x:c>
      <x:c r="H106" s="52" t="n">
        <x:v>1.2</x:v>
      </x:c>
      <x:c r="I106" s="53" t="n">
        <x:f>IF(H106="","",H106*(C106-B106+1))</x:f>
        <x:v>13.2</x:v>
      </x:c>
      <x:c r="J106" s="9" t="inlineStr">
        <x:is>
          <x:t xml:space="preserve">No</x:t>
        </x:is>
      </x:c>
      <x:c r="K106" s="9" t="inlineStr">
        <x:is>
          <x:t xml:space="preserve">Proposed</x:t>
        </x:is>
      </x:c>
      <x:c r="L106" s="9" t="inlineStr">
        <x:is>
          <x:t xml:space="preserve">CR-021 B6</x:t>
        </x:is>
      </x:c>
      <x:c r="M106" s="54" t="inlineStr">
        <x:is>
          <x:t xml:space="preserve">Model estimate; the US dredged the bar in 1908-11</x:t>
        </x:is>
      </x:c>
    </x:row>
    <x:row r="107">
      <x:c r="A107" s="9" t="inlineStr">
        <x:is>
          <x:t xml:space="preserve">E101</x:t>
        </x:is>
      </x:c>
      <x:c r="B107" s="50" t="n">
        <x:v>1878</x:v>
      </x:c>
      <x:c r="C107" s="50" t="n">
        <x:v>1879</x:v>
      </x:c>
      <x:c r="D107" s="51" t="inlineStr">
        <x:is>
          <x:t xml:space="preserve">San Francisco-Oahu telegraph cable</x:t>
        </x:is>
      </x:c>
      <x:c r="E107" s="9" t="inlineStr">
        <x:is>
          <x:t xml:space="preserve">Investment</x:t>
        </x:is>
      </x:c>
      <x:c r="F107" s="9" t="inlineStr">
        <x:is>
          <x:t xml:space="preserve"/>
        </x:is>
      </x:c>
      <x:c r="G107" s="9" t="inlineStr">
        <x:is>
          <x:t xml:space="preserve"/>
        </x:is>
      </x:c>
      <x:c r="H107" s="52" t="n">
        <x:v>2.5</x:v>
      </x:c>
      <x:c r="I107" s="53" t="n">
        <x:f>IF(H107="","",H107*(C107-B107+1))</x:f>
        <x:v>5</x:v>
      </x:c>
      <x:c r="J107" s="9" t="inlineStr">
        <x:is>
          <x:t xml:space="preserve">No</x:t>
        </x:is>
      </x:c>
      <x:c r="K107" s="9" t="inlineStr">
        <x:is>
          <x:t xml:space="preserve">Proposed</x:t>
        </x:is>
      </x:c>
      <x:c r="L107" s="9" t="inlineStr">
        <x:is>
          <x:t xml:space="preserve">CR-021 B6</x:t>
        </x:is>
      </x:c>
      <x:c r="M107" s="54" t="inlineStr">
        <x:is>
          <x:t xml:space="preserve">About the length of the 1866 Atlantic cable, in deeper water; model estimate $5m</x:t>
        </x:is>
      </x:c>
    </x:row>
    <x:row r="108">
      <x:c r="A108" s="9" t="inlineStr">
        <x:is>
          <x:t xml:space="preserve">E102</x:t>
        </x:is>
      </x:c>
      <x:c r="B108" s="50" t="n">
        <x:v>1880</x:v>
      </x:c>
      <x:c r="C108" s="50" t="n">
        <x:v>1881</x:v>
      </x:c>
      <x:c r="D108" s="51" t="inlineStr">
        <x:is>
          <x:t xml:space="preserve">Inter-island cables (Oahu, Maui, Hawaii, Kauai)</x:t>
        </x:is>
      </x:c>
      <x:c r="E108" s="9" t="inlineStr">
        <x:is>
          <x:t xml:space="preserve">Investment</x:t>
        </x:is>
      </x:c>
      <x:c r="F108" s="9" t="inlineStr">
        <x:is>
          <x:t xml:space="preserve"/>
        </x:is>
      </x:c>
      <x:c r="G108" s="9" t="inlineStr">
        <x:is>
          <x:t xml:space="preserve"/>
        </x:is>
      </x:c>
      <x:c r="H108" s="52" t="n">
        <x:v>0.3</x:v>
      </x:c>
      <x:c r="I108" s="53" t="n">
        <x:f>IF(H108="","",H108*(C108-B108+1))</x:f>
        <x:v>0.6</x:v>
      </x:c>
      <x:c r="J108" s="9" t="inlineStr">
        <x:is>
          <x:t xml:space="preserve">No</x:t>
        </x:is>
      </x:c>
      <x:c r="K108" s="9" t="inlineStr">
        <x:is>
          <x:t xml:space="preserve">Proposed</x:t>
        </x:is>
      </x:c>
      <x:c r="L108" s="9" t="inlineStr">
        <x:is>
          <x:t xml:space="preserve">CR-021 B6</x:t>
        </x:is>
      </x:c>
      <x:c r="M108" s="54" t="inlineStr">
        <x:is>
          <x:t xml:space="preserve">Model estimate</x:t>
        </x:is>
      </x:c>
    </x:row>
    <x:row r="109">
      <x:c r="A109" s="9" t="inlineStr">
        <x:is>
          <x:t xml:space="preserve">E103</x:t>
        </x:is>
      </x:c>
      <x:c r="B109" s="50" t="n">
        <x:v>1876</x:v>
      </x:c>
      <x:c r="C109" s="50" t="n">
        <x:v>1886</x:v>
      </x:c>
      <x:c r="D109" s="51" t="inlineStr">
        <x:is>
          <x:t xml:space="preserve">Thalassia, first phase: bay city, temporary halls, ministries, housing, waterworks</x:t>
        </x:is>
      </x:c>
      <x:c r="E109" s="9" t="inlineStr">
        <x:is>
          <x:t xml:space="preserve">Programme</x:t>
        </x:is>
      </x:c>
      <x:c r="F109" s="9" t="inlineStr">
        <x:is>
          <x:t xml:space="preserve"/>
        </x:is>
      </x:c>
      <x:c r="G109" s="9" t="inlineStr">
        <x:is>
          <x:t xml:space="preserve"/>
        </x:is>
      </x:c>
      <x:c r="H109" s="52" t="n">
        <x:v>2</x:v>
      </x:c>
      <x:c r="I109" s="53" t="n">
        <x:f>IF(H109="","",H109*(C109-B109+1))</x:f>
        <x:v>22</x:v>
      </x:c>
      <x:c r="J109" s="9" t="inlineStr">
        <x:is>
          <x:t xml:space="preserve">No</x:t>
        </x:is>
      </x:c>
      <x:c r="K109" s="9" t="inlineStr">
        <x:is>
          <x:t xml:space="preserve">Proposed</x:t>
        </x:is>
      </x:c>
      <x:c r="L109" s="9" t="inlineStr">
        <x:is>
          <x:t xml:space="preserve">CR-021 B6</x:t>
        </x:is>
      </x:c>
      <x:c r="M109" s="54" t="inlineStr">
        <x:is>
          <x:t xml:space="preserve">Model estimate, about $22m in the Thalassian style: basalt, dredge-spoil lime, timber and copper instead of imported marble</x:t>
        </x:is>
      </x:c>
    </x:row>
    <x:row r="110">
      <x:c r="A110" s="9" t="inlineStr">
        <x:is>
          <x:t xml:space="preserve">E104</x:t>
        </x:is>
      </x:c>
      <x:c r="B110" s="50" t="n">
        <x:v>1887</x:v>
      </x:c>
      <x:c r="C110" s="50" t="n">
        <x:v>1905</x:v>
      </x:c>
      <x:c r="D110" s="51" t="inlineStr">
        <x:is>
          <x:t xml:space="preserve">Thalassia, second phase: palace, glass-domed Senate, ministries, canals from the fishponds</x:t>
        </x:is>
      </x:c>
      <x:c r="E110" s="9" t="inlineStr">
        <x:is>
          <x:t xml:space="preserve">Programme</x:t>
        </x:is>
      </x:c>
      <x:c r="F110" s="9" t="inlineStr">
        <x:is>
          <x:t xml:space="preserve"/>
        </x:is>
      </x:c>
      <x:c r="G110" s="9" t="inlineStr">
        <x:is>
          <x:t xml:space="preserve"/>
        </x:is>
      </x:c>
      <x:c r="H110" s="52" t="n">
        <x:v>1.6</x:v>
      </x:c>
      <x:c r="I110" s="53" t="n">
        <x:f>IF(H110="","",H110*(C110-B110+1))</x:f>
        <x:v>30.400000000000002</x:v>
      </x:c>
      <x:c r="J110" s="9" t="inlineStr">
        <x:is>
          <x:t xml:space="preserve">No</x:t>
        </x:is>
      </x:c>
      <x:c r="K110" s="9" t="inlineStr">
        <x:is>
          <x:t xml:space="preserve">Proposed</x:t>
        </x:is>
      </x:c>
      <x:c r="L110" s="9" t="inlineStr">
        <x:is>
          <x:t xml:space="preserve">CR-021 B6</x:t>
        </x:is>
      </x:c>
      <x:c r="M110" s="54" t="inlineStr">
        <x:is>
          <x:t xml:space="preserve">Model estimate, about $30m; local materials, a fifth below a marble build</x:t>
        </x:is>
      </x:c>
    </x:row>
    <x:row r="111">
      <x:c r="A111" s="9" t="inlineStr">
        <x:is>
          <x:t xml:space="preserve">E105</x:t>
        </x:is>
      </x:c>
      <x:c r="B111" s="50" t="n">
        <x:v>1906</x:v>
      </x:c>
      <x:c r="C111" s="50" t="n">
        <x:v>1927</x:v>
      </x:c>
      <x:c r="D111" s="51" t="inlineStr">
        <x:is>
          <x:t xml:space="preserve">Thalassia, growth of the capital's public buildings</x:t>
        </x:is>
      </x:c>
      <x:c r="E111" s="9" t="inlineStr">
        <x:is>
          <x:t xml:space="preserve">Programme</x:t>
        </x:is>
      </x:c>
      <x:c r="F111" s="9" t="inlineStr">
        <x:is>
          <x:t xml:space="preserve"/>
        </x:is>
      </x:c>
      <x:c r="G111" s="9" t="inlineStr">
        <x:is>
          <x:t xml:space="preserve"/>
        </x:is>
      </x:c>
      <x:c r="H111" s="52" t="n">
        <x:v>3.2</x:v>
      </x:c>
      <x:c r="I111" s="53" t="n">
        <x:f>IF(H111="","",H111*(C111-B111+1))</x:f>
        <x:v>70.4</x:v>
      </x:c>
      <x:c r="J111" s="9" t="inlineStr">
        <x:is>
          <x:t xml:space="preserve">No</x:t>
        </x:is>
      </x:c>
      <x:c r="K111" s="9" t="inlineStr">
        <x:is>
          <x:t xml:space="preserve">Proposed</x:t>
        </x:is>
      </x:c>
      <x:c r="L111" s="9" t="inlineStr">
        <x:is>
          <x:t xml:space="preserve">CR-021 B6</x:t>
        </x:is>
      </x:c>
      <x:c r="M111" s="54" t="inlineStr">
        <x:is>
          <x:t xml:space="preserve">Model estimate; from 1928 the Thalassia Plan (E95) and the Concord's ministries (E85)</x:t>
        </x:is>
      </x:c>
    </x:row>
    <x:row r="112">
      <x:c r="A112" s="9" t="inlineStr">
        <x:is>
          <x:t xml:space="preserve">E106</x:t>
        </x:is>
      </x:c>
      <x:c r="B112" s="50" t="n">
        <x:v>1885</x:v>
      </x:c>
      <x:c r="C112" s="50" t="n">
        <x:v>1910</x:v>
      </x:c>
      <x:c r="D112" s="51" t="inlineStr">
        <x:is>
          <x:t xml:space="preserve">Island premium: packets, allowances and freight for a government at Thalassia</x:t>
        </x:is>
      </x:c>
      <x:c r="E112" s="9" t="inlineStr">
        <x:is>
          <x:t xml:space="preserve">Programme</x:t>
        </x:is>
      </x:c>
      <x:c r="F112" s="9" t="inlineStr">
        <x:is>
          <x:t xml:space="preserve"/>
        </x:is>
      </x:c>
      <x:c r="G112" s="9" t="inlineStr">
        <x:is>
          <x:t xml:space="preserve"/>
        </x:is>
      </x:c>
      <x:c r="H112" s="52" t="n">
        <x:v>0.8</x:v>
      </x:c>
      <x:c r="I112" s="53" t="n">
        <x:f>IF(H112="","",H112*(C112-B112+1))</x:f>
        <x:v>20.8</x:v>
      </x:c>
      <x:c r="J112" s="9" t="inlineStr">
        <x:is>
          <x:t xml:space="preserve">No</x:t>
        </x:is>
      </x:c>
      <x:c r="K112" s="9" t="inlineStr">
        <x:is>
          <x:t xml:space="preserve">Proposed</x:t>
        </x:is>
      </x:c>
      <x:c r="L112" s="9" t="inlineStr">
        <x:is>
          <x:t xml:space="preserve">CR-021 B6</x:t>
        </x:is>
      </x:c>
      <x:c r="M112" s="54" t="inlineStr">
        <x:is>
          <x:t xml:space="preserve">Model estimate: a fifth to a third above continental costs for the capital's staff</x:t>
        </x:is>
      </x:c>
    </x:row>
    <x:row r="113">
      <x:c r="A113" s="9" t="inlineStr">
        <x:is>
          <x:t xml:space="preserve">E107</x:t>
        </x:is>
      </x:c>
      <x:c r="B113" s="50" t="n">
        <x:v>1911</x:v>
      </x:c>
      <x:c r="C113" s="50" t="n">
        <x:v>1932</x:v>
      </x:c>
      <x:c r="D113" s="51" t="inlineStr">
        <x:is>
          <x:t xml:space="preserve">Island premium: packets, allowances and freight for a government at Thalassia</x:t>
        </x:is>
      </x:c>
      <x:c r="E113" s="9" t="inlineStr">
        <x:is>
          <x:t xml:space="preserve">Programme</x:t>
        </x:is>
      </x:c>
      <x:c r="F113" s="9" t="inlineStr">
        <x:is>
          <x:t xml:space="preserve"/>
        </x:is>
      </x:c>
      <x:c r="G113" s="9" t="inlineStr">
        <x:is>
          <x:t xml:space="preserve"/>
        </x:is>
      </x:c>
      <x:c r="H113" s="52" t="n">
        <x:v>2.5</x:v>
      </x:c>
      <x:c r="I113" s="53" t="n">
        <x:f>IF(H113="","",H113*(C113-B113+1))</x:f>
        <x:v>55</x:v>
      </x:c>
      <x:c r="J113" s="9" t="inlineStr">
        <x:is>
          <x:t xml:space="preserve">No</x:t>
        </x:is>
      </x:c>
      <x:c r="K113" s="9" t="inlineStr">
        <x:is>
          <x:t xml:space="preserve">Proposed</x:t>
        </x:is>
      </x:c>
      <x:c r="L113" s="9" t="inlineStr">
        <x:is>
          <x:t xml:space="preserve">CR-021 B6</x:t>
        </x:is>
      </x:c>
      <x:c r="M113" s="54" t="inlineStr">
        <x:is>
          <x:t xml:space="preserve">Model estimate; a larger capital</x:t>
        </x:is>
      </x:c>
    </x:row>
    <x:row r="114">
      <x:c r="A114" s="9" t="inlineStr">
        <x:is>
          <x:t xml:space="preserve">E108</x:t>
        </x:is>
      </x:c>
      <x:c r="B114" s="50" t="n">
        <x:v>1914</x:v>
      </x:c>
      <x:c r="C114" s="50" t="n">
        <x:v>1932</x:v>
      </x:c>
      <x:c r="D114" s="51" t="inlineStr">
        <x:is>
          <x:t xml:space="preserve">Hawaiian-medium schools restored (Act of Settlement)</x:t>
        </x:is>
      </x:c>
      <x:c r="E114" s="9" t="inlineStr">
        <x:is>
          <x:t xml:space="preserve">Programme</x:t>
        </x:is>
      </x:c>
      <x:c r="F114" s="9" t="inlineStr">
        <x:is>
          <x:t xml:space="preserve"/>
        </x:is>
      </x:c>
      <x:c r="G114" s="9" t="inlineStr">
        <x:is>
          <x:t xml:space="preserve"/>
        </x:is>
      </x:c>
      <x:c r="H114" s="52" t="n">
        <x:v>0.3</x:v>
      </x:c>
      <x:c r="I114" s="53" t="n">
        <x:f>IF(H114="","",H114*(C114-B114+1))</x:f>
        <x:v>5.7</x:v>
      </x:c>
      <x:c r="J114" s="9" t="inlineStr">
        <x:is>
          <x:t xml:space="preserve">No</x:t>
        </x:is>
      </x:c>
      <x:c r="K114" s="9" t="inlineStr">
        <x:is>
          <x:t xml:space="preserve">Proposed</x:t>
        </x:is>
      </x:c>
      <x:c r="L114" s="9" t="inlineStr">
        <x:is>
          <x:t xml:space="preserve">CR-021 C2</x:t>
        </x:is>
      </x:c>
      <x:c r="M114" s="54" t="inlineStr">
        <x:is>
          <x:t xml:space="preserve">Model estimate</x:t>
        </x:is>
      </x:c>
    </x:row>
    <x:row r="115">
      <x:c r="A115" s="9" t="inlineStr">
        <x:is>
          <x:t xml:space="preserve">E109</x:t>
        </x:is>
      </x:c>
      <x:c r="B115" s="50" t="n">
        <x:v>1927</x:v>
      </x:c>
      <x:c r="C115" s="50" t="n">
        <x:v>1932</x:v>
      </x:c>
      <x:c r="D115" s="51" t="inlineStr">
        <x:is>
          <x:t xml:space="preserve">Subsidy for Japanese and Chinese community schools</x:t>
        </x:is>
      </x:c>
      <x:c r="E115" s="9" t="inlineStr">
        <x:is>
          <x:t xml:space="preserve">Subsidy &amp; guarantee</x:t>
        </x:is>
      </x:c>
      <x:c r="F115" s="9" t="inlineStr">
        <x:is>
          <x:t xml:space="preserve"/>
        </x:is>
      </x:c>
      <x:c r="G115" s="9" t="inlineStr">
        <x:is>
          <x:t xml:space="preserve"/>
        </x:is>
      </x:c>
      <x:c r="H115" s="52" t="n">
        <x:v>0.5</x:v>
      </x:c>
      <x:c r="I115" s="53" t="n">
        <x:f>IF(H115="","",H115*(C115-B115+1))</x:f>
        <x:v>3</x:v>
      </x:c>
      <x:c r="J115" s="9" t="inlineStr">
        <x:is>
          <x:t xml:space="preserve">No</x:t>
        </x:is>
      </x:c>
      <x:c r="K115" s="9" t="inlineStr">
        <x:is>
          <x:t xml:space="preserve">Proposed</x:t>
        </x:is>
      </x:c>
      <x:c r="L115" s="9" t="inlineStr">
        <x:is>
          <x:t xml:space="preserve">CR-021 C3</x:t>
        </x:is>
      </x:c>
      <x:c r="M115" s="54" t="inlineStr">
        <x:is>
          <x:t xml:space="preserve">Model estimate</x:t>
        </x:is>
      </x:c>
    </x:row>
    <x:row r="116">
      <x:c r="A116" s="9" t="inlineStr">
        <x:is>
          <x:t xml:space="preserve">E111</x:t>
        </x:is>
      </x:c>
      <x:c r="B116" s="50" t="n">
        <x:v>1906</x:v>
      </x:c>
      <x:c r="C116" s="50" t="n">
        <x:v>1932</x:v>
      </x:c>
      <x:c r="D116" s="51" t="inlineStr">
        <x:is>
          <x:t xml:space="preserve">Polytechnic of Formosa: Chinese examination and technical university</x:t>
        </x:is>
      </x:c>
      <x:c r="E116" s="9" t="inlineStr">
        <x:is>
          <x:t xml:space="preserve">Investment</x:t>
        </x:is>
      </x:c>
      <x:c r="F116" s="9" t="inlineStr">
        <x:is>
          <x:t xml:space="preserve"/>
        </x:is>
      </x:c>
      <x:c r="G116" s="9" t="inlineStr">
        <x:is>
          <x:t xml:space="preserve">China</x:t>
        </x:is>
      </x:c>
      <x:c r="H116" s="52" t="n">
        <x:v>1.2</x:v>
      </x:c>
      <x:c r="I116" s="53" t="n">
        <x:f>IF(H116="","",H116*(C116-B116+1))</x:f>
        <x:v>32.4</x:v>
      </x:c>
      <x:c r="J116" s="9" t="inlineStr">
        <x:is>
          <x:t xml:space="preserve">No</x:t>
        </x:is>
      </x:c>
      <x:c r="K116" s="9" t="inlineStr">
        <x:is>
          <x:t xml:space="preserve">Proposed</x:t>
        </x:is>
      </x:c>
      <x:c r="L116" s="9" t="inlineStr">
        <x:is>
          <x:t xml:space="preserve">CR-021 G2</x:t>
        </x:is>
      </x:c>
      <x:c r="M116" s="54" t="inlineStr">
        <x:is>
          <x:t xml:space="preserve">Net of Boxer indemnity funds; model estimate</x:t>
        </x:is>
      </x:c>
    </x:row>
    <x:row r="117">
      <x:c r="A117" s="9" t="inlineStr">
        <x:is>
          <x:t xml:space="preserve">E112</x:t>
        </x:is>
      </x:c>
      <x:c r="B117" s="50" t="n">
        <x:v>1928</x:v>
      </x:c>
      <x:c r="C117" s="50" t="n">
        <x:v>1932</x:v>
      </x:c>
      <x:c r="D117" s="51" t="inlineStr">
        <x:is>
          <x:t xml:space="preserve">Joint examination board with Japan's school on Formosa</x:t>
        </x:is>
      </x:c>
      <x:c r="E117" s="9" t="inlineStr">
        <x:is>
          <x:t xml:space="preserve">Programme</x:t>
        </x:is>
      </x:c>
      <x:c r="F117" s="9" t="inlineStr">
        <x:is>
          <x:t xml:space="preserve"/>
        </x:is>
      </x:c>
      <x:c r="G117" s="9" t="inlineStr">
        <x:is>
          <x:t xml:space="preserve">Japan</x:t>
        </x:is>
      </x:c>
      <x:c r="H117" s="52" t="n">
        <x:v>0.2</x:v>
      </x:c>
      <x:c r="I117" s="53" t="n">
        <x:f>IF(H117="","",H117*(C117-B117+1))</x:f>
        <x:v>1</x:v>
      </x:c>
      <x:c r="J117" s="9" t="inlineStr">
        <x:is>
          <x:t xml:space="preserve">No</x:t>
        </x:is>
      </x:c>
      <x:c r="K117" s="9" t="inlineStr">
        <x:is>
          <x:t xml:space="preserve">Proposed</x:t>
        </x:is>
      </x:c>
      <x:c r="L117" s="9" t="inlineStr">
        <x:is>
          <x:t xml:space="preserve">CR-021 G2</x:t>
        </x:is>
      </x:c>
      <x:c r="M117" s="54" t="inlineStr">
        <x:is>
          <x:t xml:space="preserve">Japan pays for its own school</x:t>
        </x:is>
      </x:c>
    </x:row>
    <x:row r="118">
      <x:c r="A118" s="9" t="inlineStr">
        <x:is>
          <x:t xml:space="preserve">E110</x:t>
        </x:is>
      </x:c>
      <x:c r="B118" s="50" t="n">
        <x:v>1929</x:v>
      </x:c>
      <x:c r="C118" s="50" t="n">
        <x:v>1932</x:v>
      </x:c>
      <x:c r="D118" s="51" t="inlineStr">
        <x:is>
          <x:t xml:space="preserve">Formosan administration fee, now an affair of the Concord (Pacifica's quota)</x:t>
        </x:is>
      </x:c>
      <x:c r="E118" s="9" t="inlineStr">
        <x:is>
          <x:t xml:space="preserve">Receipt</x:t>
        </x:is>
      </x:c>
      <x:c r="F118" s="9" t="inlineStr">
        <x:is>
          <x:t xml:space="preserve"/>
        </x:is>
      </x:c>
      <x:c r="G118" s="9" t="inlineStr">
        <x:is>
          <x:t xml:space="preserve">China</x:t>
        </x:is>
      </x:c>
      <x:c r="H118" s="52" t="n">
        <x:f>0.5*pac_quota</x:f>
        <x:v>0.325</x:v>
      </x:c>
      <x:c r="I118" s="53" t="n">
        <x:f>IF(H118="","",H118*(C118-B118+1))</x:f>
        <x:v>1.3</x:v>
      </x:c>
      <x:c r="J118" s="9" t="inlineStr">
        <x:is>
          <x:t xml:space="preserve">No</x:t>
        </x:is>
      </x:c>
      <x:c r="K118" s="9" t="inlineStr">
        <x:is>
          <x:t xml:space="preserve">Approved</x:t>
        </x:is>
      </x:c>
      <x:c r="L118" s="9" t="inlineStr">
        <x:is>
          <x:t xml:space="preserve">CR-021 G1</x:t>
        </x:is>
      </x:c>
      <x:c r="M118" s="54" t="inlineStr">
        <x:is>
          <x:t xml:space="preserve">OPEN-015-30 option 2: a Japanese deputy director-general from 1928-29</x:t>
        </x:is>
      </x:c>
    </x:row>
    <x:row r="119">
      <x:c r="B119" s="50" t="n"/>
      <x:c r="C119" s="50" t="n"/>
      <x:c r="H119" s="50" t="n"/>
      <x:c r="I119" s="55" t="str">
        <x:f>IF(H119="","",H119*(C119-B119+1))</x:f>
      </x:c>
    </x:row>
    <x:row r="120">
      <x:c r="B120" s="50" t="n"/>
      <x:c r="C120" s="50" t="n"/>
      <x:c r="H120" s="50" t="n"/>
      <x:c r="I120" s="55" t="str">
        <x:f>IF(H120="","",H120*(C120-B120+1))</x:f>
      </x:c>
    </x:row>
    <x:row r="121">
      <x:c r="B121" s="50" t="n"/>
      <x:c r="C121" s="50" t="n"/>
      <x:c r="H121" s="50" t="n"/>
      <x:c r="I121" s="55" t="str">
        <x:f>IF(H121="","",H121*(C121-B121+1))</x:f>
      </x:c>
    </x:row>
    <x:row r="122">
      <x:c r="B122" s="50" t="n"/>
      <x:c r="C122" s="50" t="n"/>
      <x:c r="H122" s="50" t="n"/>
      <x:c r="I122" s="55" t="str">
        <x:f>IF(H122="","",H122*(C122-B122+1))</x:f>
      </x:c>
    </x:row>
    <x:row r="123">
      <x:c r="B123" s="50" t="n"/>
      <x:c r="C123" s="50" t="n"/>
      <x:c r="H123" s="50" t="n"/>
      <x:c r="I123" s="55" t="str">
        <x:f>IF(H123="","",H123*(C123-B123+1))</x:f>
      </x:c>
    </x:row>
    <x:row r="124">
      <x:c r="B124" s="50" t="n"/>
      <x:c r="C124" s="50" t="n"/>
      <x:c r="H124" s="50" t="n"/>
      <x:c r="I124" s="55" t="str">
        <x:f>IF(H124="","",H124*(C124-B124+1))</x:f>
      </x:c>
    </x:row>
    <x:row r="125">
      <x:c r="B125" s="50" t="n"/>
      <x:c r="C125" s="50" t="n"/>
      <x:c r="H125" s="50" t="n"/>
      <x:c r="I125" s="55" t="str">
        <x:f>IF(H125="","",H125*(C125-B125+1))</x:f>
      </x:c>
    </x:row>
    <x:row r="126">
      <x:c r="B126" s="50" t="n"/>
      <x:c r="C126" s="50" t="n"/>
      <x:c r="H126" s="50" t="n"/>
      <x:c r="I126" s="55" t="str">
        <x:f>IF(H126="","",H126*(C126-B126+1))</x:f>
      </x:c>
    </x:row>
    <x:row r="127">
      <x:c r="B127" s="50" t="n"/>
      <x:c r="C127" s="50" t="n"/>
      <x:c r="H127" s="50" t="n"/>
      <x:c r="I127" s="55" t="str">
        <x:f>IF(H127="","",H127*(C127-B127+1))</x:f>
      </x:c>
    </x:row>
    <x:row r="128">
      <x:c r="B128" s="50" t="n"/>
      <x:c r="C128" s="50" t="n"/>
      <x:c r="H128" s="50" t="n"/>
      <x:c r="I128" s="55" t="str">
        <x:f>IF(H128="","",H128*(C128-B128+1))</x:f>
      </x:c>
    </x:row>
    <x:row r="129">
      <x:c r="B129" s="50" t="n"/>
      <x:c r="C129" s="50" t="n"/>
      <x:c r="H129" s="50" t="n"/>
      <x:c r="I129" s="55" t="str">
        <x:f>IF(H129="","",H129*(C129-B129+1))</x:f>
      </x:c>
    </x:row>
    <x:row r="130">
      <x:c r="B130" s="50" t="n"/>
      <x:c r="C130" s="50" t="n"/>
      <x:c r="H130" s="50" t="n"/>
      <x:c r="I130" s="55" t="str">
        <x:f>IF(H130="","",H130*(C130-B130+1))</x:f>
      </x:c>
    </x:row>
    <x:row r="131">
      <x:c r="B131" s="50" t="n"/>
      <x:c r="C131" s="50" t="n"/>
      <x:c r="H131" s="50" t="n"/>
      <x:c r="I131" s="55" t="str">
        <x:f>IF(H131="","",H131*(C131-B131+1))</x:f>
      </x:c>
    </x:row>
    <x:row r="132">
      <x:c r="B132" s="50" t="n"/>
      <x:c r="C132" s="50" t="n"/>
      <x:c r="H132" s="50" t="n"/>
      <x:c r="I132" s="55" t="str">
        <x:f>IF(H132="","",H132*(C132-B132+1))</x:f>
      </x:c>
    </x:row>
    <x:row r="133">
      <x:c r="B133" s="50" t="n"/>
      <x:c r="C133" s="50" t="n"/>
      <x:c r="H133" s="50" t="n"/>
      <x:c r="I133" s="55" t="str">
        <x:f>IF(H133="","",H133*(C133-B133+1))</x:f>
      </x:c>
    </x:row>
    <x:row r="134">
      <x:c r="B134" s="50" t="n"/>
      <x:c r="C134" s="50" t="n"/>
      <x:c r="H134" s="50" t="n"/>
      <x:c r="I134" s="55" t="str">
        <x:f>IF(H134="","",H134*(C134-B134+1))</x:f>
      </x:c>
    </x:row>
    <x:row r="135">
      <x:c r="B135" s="50" t="n"/>
      <x:c r="C135" s="50" t="n"/>
      <x:c r="H135" s="50" t="n"/>
      <x:c r="I135" s="55" t="str">
        <x:f>IF(H135="","",H135*(C135-B135+1))</x:f>
      </x:c>
    </x:row>
    <x:row r="136">
      <x:c r="B136" s="50" t="n"/>
      <x:c r="C136" s="50" t="n"/>
      <x:c r="H136" s="50" t="n"/>
      <x:c r="I136" s="55" t="str">
        <x:f>IF(H136="","",H136*(C136-B136+1))</x:f>
      </x:c>
    </x:row>
    <x:row r="137">
      <x:c r="B137" s="50" t="n"/>
      <x:c r="C137" s="50" t="n"/>
      <x:c r="H137" s="50" t="n"/>
      <x:c r="I137" s="55" t="str">
        <x:f>IF(H137="","",H137*(C137-B137+1))</x:f>
      </x:c>
    </x:row>
    <x:row r="138">
      <x:c r="B138" s="50" t="n"/>
      <x:c r="C138" s="50" t="n"/>
      <x:c r="H138" s="50" t="n"/>
      <x:c r="I138" s="55" t="str">
        <x:f>IF(H138="","",H138*(C138-B138+1))</x:f>
      </x:c>
    </x:row>
    <x:row r="139">
      <x:c r="B139" s="50" t="n"/>
      <x:c r="C139" s="50" t="n"/>
      <x:c r="H139" s="50" t="n"/>
      <x:c r="I139" s="55" t="str">
        <x:f>IF(H139="","",H139*(C139-B139+1))</x:f>
      </x:c>
    </x:row>
    <x:row r="140">
      <x:c r="B140" s="50" t="n"/>
      <x:c r="C140" s="50" t="n"/>
      <x:c r="H140" s="50" t="n"/>
      <x:c r="I140" s="55" t="str">
        <x:f>IF(H140="","",H140*(C140-B140+1))</x:f>
      </x:c>
    </x:row>
    <x:row r="141">
      <x:c r="B141" s="50" t="n"/>
      <x:c r="C141" s="50" t="n"/>
      <x:c r="H141" s="50" t="n"/>
      <x:c r="I141" s="55" t="str">
        <x:f>IF(H141="","",H141*(C141-B141+1))</x:f>
      </x:c>
    </x:row>
    <x:row r="142">
      <x:c r="B142" s="50" t="n"/>
      <x:c r="C142" s="50" t="n"/>
      <x:c r="H142" s="50" t="n"/>
      <x:c r="I142" s="55" t="str">
        <x:f>IF(H142="","",H142*(C142-B142+1))</x:f>
      </x:c>
    </x:row>
    <x:row r="143">
      <x:c r="B143" s="50" t="n"/>
      <x:c r="C143" s="50" t="n"/>
      <x:c r="H143" s="50" t="n"/>
      <x:c r="I143" s="55" t="str">
        <x:f>IF(H143="","",H143*(C143-B143+1))</x:f>
      </x:c>
    </x:row>
    <x:row r="144">
      <x:c r="B144" s="50" t="n"/>
      <x:c r="C144" s="50" t="n"/>
      <x:c r="H144" s="50" t="n"/>
      <x:c r="I144" s="55" t="str">
        <x:f>IF(H144="","",H144*(C144-B144+1))</x:f>
      </x:c>
    </x:row>
    <x:row r="145">
      <x:c r="B145" s="50" t="n"/>
      <x:c r="C145" s="50" t="n"/>
      <x:c r="H145" s="50" t="n"/>
      <x:c r="I145" s="55" t="str">
        <x:f>IF(H145="","",H145*(C145-B145+1))</x:f>
      </x:c>
    </x:row>
    <x:row r="146">
      <x:c r="B146" s="50" t="n"/>
      <x:c r="C146" s="50" t="n"/>
      <x:c r="H146" s="50" t="n"/>
      <x:c r="I146" s="55" t="str">
        <x:f>IF(H146="","",H146*(C146-B146+1))</x:f>
      </x:c>
    </x:row>
    <x:row r="147">
      <x:c r="B147" s="50" t="n"/>
      <x:c r="C147" s="50" t="n"/>
      <x:c r="H147" s="50" t="n"/>
      <x:c r="I147" s="55" t="str">
        <x:f>IF(H147="","",H147*(C147-B147+1))</x:f>
      </x:c>
    </x:row>
    <x:row r="148">
      <x:c r="B148" s="50" t="n"/>
      <x:c r="C148" s="50" t="n"/>
      <x:c r="H148" s="50" t="n"/>
      <x:c r="I148" s="55" t="str">
        <x:f>IF(H148="","",H148*(C148-B148+1))</x:f>
      </x:c>
    </x:row>
    <x:row r="149">
      <x:c r="B149" s="50" t="n"/>
      <x:c r="C149" s="50" t="n"/>
      <x:c r="H149" s="50" t="n"/>
      <x:c r="I149" s="55" t="str">
        <x:f>IF(H149="","",H149*(C149-B149+1))</x:f>
      </x:c>
    </x:row>
    <x:row r="150">
      <x:c r="B150" s="50" t="n"/>
      <x:c r="C150" s="50" t="n"/>
      <x:c r="H150" s="50" t="n"/>
      <x:c r="I150" s="55" t="str">
        <x:f>IF(H150="","",H150*(C150-B150+1))</x:f>
      </x:c>
    </x:row>
    <x:row r="151">
      <x:c r="B151" s="50" t="n"/>
      <x:c r="C151" s="50" t="n"/>
      <x:c r="H151" s="50" t="n"/>
      <x:c r="I151" s="55" t="str">
        <x:f>IF(H151="","",H151*(C151-B151+1))</x:f>
      </x:c>
    </x:row>
    <x:row r="152">
      <x:c r="B152" s="50" t="n"/>
      <x:c r="C152" s="50" t="n"/>
      <x:c r="H152" s="50" t="n"/>
      <x:c r="I152" s="55" t="str">
        <x:f>IF(H152="","",H152*(C152-B152+1))</x:f>
      </x:c>
    </x:row>
    <x:row r="153">
      <x:c r="B153" s="50" t="n"/>
      <x:c r="C153" s="50" t="n"/>
      <x:c r="H153" s="50" t="n"/>
      <x:c r="I153" s="55" t="str">
        <x:f>IF(H153="","",H153*(C153-B153+1))</x:f>
      </x:c>
    </x:row>
    <x:row r="154">
      <x:c r="B154" s="50" t="n"/>
      <x:c r="C154" s="50" t="n"/>
      <x:c r="H154" s="50" t="n"/>
      <x:c r="I154" s="55" t="str">
        <x:f>IF(H154="","",H154*(C154-B154+1))</x:f>
      </x:c>
    </x:row>
    <x:row r="155">
      <x:c r="B155" s="50" t="n"/>
      <x:c r="C155" s="50" t="n"/>
      <x:c r="H155" s="50" t="n"/>
      <x:c r="I155" s="55" t="str">
        <x:f>IF(H155="","",H155*(C155-B155+1))</x:f>
      </x:c>
    </x:row>
    <x:row r="156">
      <x:c r="B156" s="50" t="n"/>
      <x:c r="C156" s="50" t="n"/>
      <x:c r="H156" s="50" t="n"/>
      <x:c r="I156" s="55" t="str">
        <x:f>IF(H156="","",H156*(C156-B156+1))</x:f>
      </x:c>
    </x:row>
    <x:row r="157">
      <x:c r="B157" s="50" t="n"/>
      <x:c r="C157" s="50" t="n"/>
      <x:c r="H157" s="50" t="n"/>
      <x:c r="I157" s="55" t="str">
        <x:f>IF(H157="","",H157*(C157-B157+1))</x:f>
      </x:c>
    </x:row>
    <x:row r="158">
      <x:c r="B158" s="50" t="n"/>
      <x:c r="C158" s="50" t="n"/>
      <x:c r="H158" s="50" t="n"/>
      <x:c r="I158" s="55" t="str">
        <x:f>IF(H158="","",H158*(C158-B158+1))</x:f>
      </x:c>
    </x:row>
  </x:sheetData>
  <x:pageMargins left="0.7" right="0.7" top="0.75" bottom="0.75" header="0.3" footer="0.3"/>
</x:worksheet>
</file>

<file path=xl/worksheets/sheet5.xml><?xml version="1.0" encoding="utf-8"?>
<x:worksheet xmlns:x="http://schemas.openxmlformats.org/spreadsheetml/2006/main">
  <x:sheetPr>
    <x:tabColor rgb="FFC00000"/>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2.5" customWidth="1"/>
    <x:col min="20" max="20" width="12.5" customWidth="1"/>
    <x:col min="21" max="21" width="12.5" customWidth="1"/>
    <x:col min="22" max="22" width="12.5" customWidth="1"/>
    <x:col min="23" max="23" width="12.5" customWidth="1"/>
    <x:col min="24" max="24" width="12.5" customWidth="1"/>
    <x:col min="25" max="25" width="12.5" customWidth="1"/>
    <x:col min="26" max="26" width="12.5" customWidth="1"/>
    <x:col min="27" max="27" width="12.5" customWidth="1"/>
    <x:col min="28" max="28" width="12.5" customWidth="1"/>
    <x:col min="29" max="29" width="12.5" customWidth="1"/>
    <x:col min="30" max="30" width="12.5" customWidth="1"/>
  </x:cols>
  <x:sheetData>
    <x:row r="1">
      <x:c r="A1" s="18" t="inlineStr">
        <x:is>
          <x:t xml:space="preserve">Year-by-year inputs</x:t>
        </x:is>
      </x:c>
    </x:row>
    <x:row r="2">
      <x:c r="A2" s="2" t="inlineStr">
        <x:is>
          <x:t xml:space="preserve">Time paths behind the model: prices, migration, growth, tax rates, army size and loan terms.</x:t>
        </x:is>
      </x:c>
    </x:row>
    <x:row r="3">
      <x:c r="A3" s="19" t="inlineStr">
        <x:is>
          <x:t xml:space="preserve">Years run down the page. Blue = input you can change · black = formula · green = link to another sheet. Hover a column heading for its definition.</x:t>
        </x:is>
      </x:c>
    </x:row>
    <x:row r="4">
      <x:c r="B4" s="56" t="inlineStr">
        <x:is>
          <x:t xml:space="preserve">Prices &amp; people</x:t>
        </x:is>
      </x:c>
      <x:c r="E4" s="56" t="inlineStr">
        <x:is>
          <x:t xml:space="preserve">Gross arrivals (story case)</x:t>
        </x:is>
      </x:c>
      <x:c r="K4" s="56" t="inlineStr">
        <x:is>
          <x:t xml:space="preserve">Prices &amp; people</x:t>
        </x:is>
      </x:c>
      <x:c r="L4" s="56" t="inlineStr">
        <x:is>
          <x:t xml:space="preserve">Economy</x:t>
        </x:is>
      </x:c>
      <x:c r="N4" s="56" t="inlineStr">
        <x:is>
          <x:t xml:space="preserve">Taxes</x:t>
        </x:is>
      </x:c>
      <x:c r="T4" s="56" t="inlineStr">
        <x:is>
          <x:t xml:space="preserve">Spending</x:t>
        </x:is>
      </x:c>
      <x:c r="Y4" s="56" t="inlineStr">
        <x:is>
          <x:t xml:space="preserve">Financing</x:t>
        </x:is>
      </x:c>
    </x:row>
    <x:row r="5" ht="54" customHeight="1">
      <x:c r="A5" s="57" t="inlineStr">
        <x:is>
          <x:t xml:space="preserve">Year</x:t>
        </x:is>
      </x:c>
      <x:c r="B5" s="6" t="inlineStr">
        <x:is>
          <x:t xml:space="preserve">Price level (1913 = 1)</x:t>
        </x:is>
      </x:c>
      <x:c r="C5" s="6" t="inlineStr">
        <x:is>
          <x:t xml:space="preserve">Natural increase</x:t>
        </x:is>
      </x:c>
      <x:c r="D5" s="6" t="inlineStr">
        <x:is>
          <x:t xml:space="preserve">Residents joining with territory</x:t>
        </x:is>
      </x:c>
      <x:c r="E5" s="6" t="inlineStr">
        <x:is>
          <x:t xml:space="preserve">Arrivals: Americas &amp; Europe</x:t>
        </x:is>
      </x:c>
      <x:c r="F5" s="6" t="inlineStr">
        <x:is>
          <x:t xml:space="preserve">Arrivals: Chinese</x:t>
        </x:is>
      </x:c>
      <x:c r="G5" s="6" t="inlineStr">
        <x:is>
          <x:t xml:space="preserve">Arrivals: Japanese</x:t>
        </x:is>
      </x:c>
      <x:c r="H5" s="6" t="inlineStr">
        <x:is>
          <x:t xml:space="preserve">Arrivals: Filipino</x:t>
        </x:is>
      </x:c>
      <x:c r="I5" s="6" t="inlineStr">
        <x:is>
          <x:t xml:space="preserve">Return migration, Americas &amp; Europe</x:t>
        </x:is>
      </x:c>
      <x:c r="J5" s="6" t="inlineStr">
        <x:is>
          <x:t xml:space="preserve">Share of arrivals assisted</x:t>
        </x:is>
      </x:c>
      <x:c r="K5" s="6" t="inlineStr">
        <x:is>
          <x:t xml:space="preserve">Philippine crown residents (separate)</x:t>
        </x:is>
      </x:c>
      <x:c r="L5" s="6" t="inlineStr">
        <x:is>
          <x:t xml:space="preserve">Real output growth per resident (story)</x:t>
        </x:is>
      </x:c>
      <x:c r="M5" s="6" t="inlineStr">
        <x:is>
          <x:t xml:space="preserve">Output vs trend (slumps)</x:t>
        </x:is>
      </x:c>
      <x:c r="N5" s="6" t="inlineStr">
        <x:is>
          <x:t xml:space="preserve">Dutiable imports / GDP</x:t>
        </x:is>
      </x:c>
      <x:c r="O5" s="6" t="inlineStr">
        <x:is>
          <x:t xml:space="preserve">Average tariff</x:t>
        </x:is>
      </x:c>
      <x:c r="P5" s="6" t="inlineStr">
        <x:is>
          <x:t xml:space="preserve">Domestic taxes / non-mining GDP</x:t>
        </x:is>
      </x:c>
      <x:c r="Q5" s="6" t="inlineStr">
        <x:is>
          <x:t xml:space="preserve">Tax collection</x:t>
        </x:is>
      </x:c>
      <x:c r="R5" s="6" t="inlineStr">
        <x:is>
          <x:t xml:space="preserve">State enterprises &amp; concessions / GDP</x:t>
        </x:is>
      </x:c>
      <x:c r="S5" s="6" t="inlineStr">
        <x:is>
          <x:t xml:space="preserve">Panama canal tolls ($m)</x:t>
        </x:is>
      </x:c>
      <x:c r="T5" s="6" t="inlineStr">
        <x:is>
          <x:t xml:space="preserve">Civil services / GDP</x:t>
        </x:is>
      </x:c>
      <x:c r="U5" s="6" t="inlineStr">
        <x:is>
          <x:t xml:space="preserve">Public works / GDP</x:t>
        </x:is>
      </x:c>
      <x:c r="V5" s="6" t="inlineStr">
        <x:is>
          <x:t xml:space="preserve">Technical &amp; industrial programmes / GDP</x:t>
        </x:is>
      </x:c>
      <x:c r="W5" s="6" t="inlineStr">
        <x:is>
          <x:t xml:space="preserve">Active army</x:t>
        </x:is>
      </x:c>
      <x:c r="X5" s="6" t="inlineStr">
        <x:is>
          <x:t xml:space="preserve">Trained reserves</x:t>
        </x:is>
      </x:c>
      <x:c r="Y5" s="6" t="inlineStr">
        <x:is>
          <x:t xml:space="preserve">Average coupon on public debt</x:t>
        </x:is>
      </x:c>
      <x:c r="Z5" s="6" t="inlineStr">
        <x:is>
          <x:t xml:space="preserve">Coupon on Entente / European loans</x:t>
        </x:is>
      </x:c>
      <x:c r="AA5" s="6" t="inlineStr">
        <x:is>
          <x:t xml:space="preserve">Repayment rate on European loans</x:t>
        </x:is>
      </x:c>
      <x:c r="AB5" s="6" t="inlineStr">
        <x:is>
          <x:t xml:space="preserve">European debtors paying (1/0)</x:t>
        </x:is>
      </x:c>
      <x:c r="AC5" s="6" t="inlineStr">
        <x:is>
          <x:t xml:space="preserve">War year (1/0)</x:t>
        </x:is>
      </x:c>
      <x:c r="AD5" s="6" t="inlineStr">
        <x:is>
          <x:t xml:space="preserve">World monetary gold ($m)</x:t>
        </x:is>
      </x:c>
    </x:row>
    <x:row r="6">
      <x:c r="A6" s="58" t="n">
        <x:v>1846</x:v>
      </x:c>
      <x:c r="B6" s="46" t="n">
        <x:v>0.74</x:v>
      </x:c>
      <x:c r="C6" s="59" t="n">
        <x:v>0.015</x:v>
      </x:c>
      <x:c r="D6" s="45" t="n">
        <x:v>0</x:v>
      </x:c>
      <x:c r="E6" s="45" t="n">
        <x:v>2000</x:v>
      </x:c>
      <x:c r="F6" s="45" t="n">
        <x:v>0</x:v>
      </x:c>
      <x:c r="G6" s="45" t="n">
        <x:v>0</x:v>
      </x:c>
      <x:c r="H6" s="45" t="n">
        <x:v>0</x:v>
      </x:c>
      <x:c r="I6" s="59" t="n">
        <x:v>0.2</x:v>
      </x:c>
      <x:c r="J6" s="59" t="n">
        <x:v>0.2</x:v>
      </x:c>
      <x:c r="K6" s="45" t="n">
        <x:v>0</x:v>
      </x:c>
      <x:c r="L6" s="59" t="n">
        <x:v>0</x:v>
      </x:c>
      <x:c r="M6" s="46" t="n">
        <x:v>1</x:v>
      </x:c>
      <x:c r="N6" s="59" t="n">
        <x:v>0.3</x:v>
      </x:c>
      <x:c r="O6" s="59" t="n">
        <x:v>0.08</x:v>
      </x:c>
      <x:c r="P6" s="59" t="n">
        <x:v>0.03</x:v>
      </x:c>
      <x:c r="Q6" s="59" t="n">
        <x:v>0.85</x:v>
      </x:c>
      <x:c r="R6" s="60" t="n">
        <x:v>0</x:v>
      </x:c>
      <x:c r="S6" s="52" t="n">
        <x:v>0</x:v>
      </x:c>
      <x:c r="T6" s="59" t="n">
        <x:v>0.018</x:v>
      </x:c>
      <x:c r="U6" s="59" t="n">
        <x:v>0.01</x:v>
      </x:c>
      <x:c r="V6" s="59" t="n">
        <x:v>0</x:v>
      </x:c>
      <x:c r="W6" s="45" t="n">
        <x:v>500</x:v>
      </x:c>
      <x:c r="X6" s="45" t="n">
        <x:v>0</x:v>
      </x:c>
      <x:c r="Y6" s="59" t="n">
        <x:v>0.06</x:v>
      </x:c>
      <x:c r="Z6" s="59" t="n">
        <x:v>0.05</x:v>
      </x:c>
      <x:c r="AA6" s="59" t="n">
        <x:v>0.03</x:v>
      </x:c>
      <x:c r="AB6" s="45" t="n">
        <x:v>1</x:v>
      </x:c>
      <x:c r="AC6" s="45" t="n">
        <x:v>0</x:v>
      </x:c>
      <x:c r="AD6" s="45" t="n">
        <x:v>1500</x:v>
      </x:c>
    </x:row>
    <x:row r="7">
      <x:c r="A7" s="58" t="n">
        <x:v>1847</x:v>
      </x:c>
      <x:c r="B7" s="46" t="n">
        <x:v>0.74</x:v>
      </x:c>
      <x:c r="C7" s="59" t="n">
        <x:v>0.015</x:v>
      </x:c>
      <x:c r="D7" s="45" t="n">
        <x:v>0</x:v>
      </x:c>
      <x:c r="E7" s="45" t="n">
        <x:v>3000</x:v>
      </x:c>
      <x:c r="F7" s="45" t="n">
        <x:v>0</x:v>
      </x:c>
      <x:c r="G7" s="45" t="n">
        <x:v>0</x:v>
      </x:c>
      <x:c r="H7" s="45" t="n">
        <x:v>0</x:v>
      </x:c>
      <x:c r="I7" s="59" t="n">
        <x:v>0.2</x:v>
      </x:c>
      <x:c r="J7" s="59" t="n">
        <x:v>0.2</x:v>
      </x:c>
      <x:c r="K7" s="45" t="n">
        <x:v>0</x:v>
      </x:c>
      <x:c r="L7" s="59" t="n">
        <x:v>0.04</x:v>
      </x:c>
      <x:c r="M7" s="46" t="n">
        <x:v>1</x:v>
      </x:c>
      <x:c r="N7" s="59" t="n">
        <x:v>0.2967</x:v>
      </x:c>
      <x:c r="O7" s="59" t="n">
        <x:v>0.08</x:v>
      </x:c>
      <x:c r="P7" s="59" t="n">
        <x:v>0.03</x:v>
      </x:c>
      <x:c r="Q7" s="59" t="n">
        <x:v>0.85</x:v>
      </x:c>
      <x:c r="R7" s="60" t="n">
        <x:v>2e-05</x:v>
      </x:c>
      <x:c r="S7" s="52" t="n">
        <x:v>0</x:v>
      </x:c>
      <x:c r="T7" s="59" t="n">
        <x:v>0.0183</x:v>
      </x:c>
      <x:c r="U7" s="59" t="n">
        <x:v>0.0108</x:v>
      </x:c>
      <x:c r="V7" s="59" t="n">
        <x:v>0.0007</x:v>
      </x:c>
      <x:c r="W7" s="45" t="n">
        <x:v>1500</x:v>
      </x:c>
      <x:c r="X7" s="45" t="n">
        <x:v>1000</x:v>
      </x:c>
      <x:c r="Y7" s="59" t="n">
        <x:v>0.0603</x:v>
      </x:c>
      <x:c r="Z7" s="59" t="n">
        <x:v>0.05</x:v>
      </x:c>
      <x:c r="AA7" s="59" t="n">
        <x:v>0.03</x:v>
      </x:c>
      <x:c r="AB7" s="45" t="n">
        <x:v>1</x:v>
      </x:c>
      <x:c r="AC7" s="45" t="n">
        <x:v>0</x:v>
      </x:c>
      <x:c r="AD7" s="45" t="n">
        <x:v>1500</x:v>
      </x:c>
    </x:row>
    <x:row r="8">
      <x:c r="A8" s="58" t="n">
        <x:v>1848</x:v>
      </x:c>
      <x:c r="B8" s="46" t="n">
        <x:v>0.74</x:v>
      </x:c>
      <x:c r="C8" s="59" t="n">
        <x:v>0.008</x:v>
      </x:c>
      <x:c r="D8" s="45" t="n">
        <x:v>0</x:v>
      </x:c>
      <x:c r="E8" s="45" t="n">
        <x:v>15000</x:v>
      </x:c>
      <x:c r="F8" s="45" t="n">
        <x:v>0</x:v>
      </x:c>
      <x:c r="G8" s="45" t="n">
        <x:v>0</x:v>
      </x:c>
      <x:c r="H8" s="45" t="n">
        <x:v>0</x:v>
      </x:c>
      <x:c r="I8" s="59" t="n">
        <x:v>0.2</x:v>
      </x:c>
      <x:c r="J8" s="59" t="n">
        <x:v>0.2</x:v>
      </x:c>
      <x:c r="K8" s="45" t="n">
        <x:v>0</x:v>
      </x:c>
      <x:c r="L8" s="59" t="n">
        <x:v>0.04</x:v>
      </x:c>
      <x:c r="M8" s="46" t="n">
        <x:v>1</x:v>
      </x:c>
      <x:c r="N8" s="59" t="n">
        <x:v>0.2933</x:v>
      </x:c>
      <x:c r="O8" s="59" t="n">
        <x:v>0.08</x:v>
      </x:c>
      <x:c r="P8" s="59" t="n">
        <x:v>0.03</x:v>
      </x:c>
      <x:c r="Q8" s="59" t="n">
        <x:v>0.85</x:v>
      </x:c>
      <x:c r="R8" s="60" t="n">
        <x:v>4e-05</x:v>
      </x:c>
      <x:c r="S8" s="52" t="n">
        <x:v>0</x:v>
      </x:c>
      <x:c r="T8" s="59" t="n">
        <x:v>0.0187</x:v>
      </x:c>
      <x:c r="U8" s="59" t="n">
        <x:v>0.0117</x:v>
      </x:c>
      <x:c r="V8" s="59" t="n">
        <x:v>0.0013</x:v>
      </x:c>
      <x:c r="W8" s="45" t="n">
        <x:v>1000</x:v>
      </x:c>
      <x:c r="X8" s="45" t="n">
        <x:v>2000</x:v>
      </x:c>
      <x:c r="Y8" s="59" t="n">
        <x:v>0.0605</x:v>
      </x:c>
      <x:c r="Z8" s="59" t="n">
        <x:v>0.05</x:v>
      </x:c>
      <x:c r="AA8" s="59" t="n">
        <x:v>0.03</x:v>
      </x:c>
      <x:c r="AB8" s="45" t="n">
        <x:v>1</x:v>
      </x:c>
      <x:c r="AC8" s="45" t="n">
        <x:v>0</x:v>
      </x:c>
      <x:c r="AD8" s="45" t="n">
        <x:v>1500</x:v>
      </x:c>
    </x:row>
    <x:row r="9">
      <x:c r="A9" s="58" t="n">
        <x:v>1849</x:v>
      </x:c>
      <x:c r="B9" s="46" t="n">
        <x:v>1.18</x:v>
      </x:c>
      <x:c r="C9" s="59" t="n">
        <x:v>0.008</x:v>
      </x:c>
      <x:c r="D9" s="45" t="n">
        <x:v>0</x:v>
      </x:c>
      <x:c r="E9" s="45" t="n">
        <x:v>60000</x:v>
      </x:c>
      <x:c r="F9" s="45" t="n">
        <x:v>300</x:v>
      </x:c>
      <x:c r="G9" s="45" t="n">
        <x:v>0</x:v>
      </x:c>
      <x:c r="H9" s="45" t="n">
        <x:v>0</x:v>
      </x:c>
      <x:c r="I9" s="59" t="n">
        <x:v>0.35</x:v>
      </x:c>
      <x:c r="J9" s="59" t="n">
        <x:v>0.2</x:v>
      </x:c>
      <x:c r="K9" s="45" t="n">
        <x:v>0</x:v>
      </x:c>
      <x:c r="L9" s="59" t="n">
        <x:v>0.04</x:v>
      </x:c>
      <x:c r="M9" s="46" t="n">
        <x:v>1</x:v>
      </x:c>
      <x:c r="N9" s="59" t="n">
        <x:v>0.29</x:v>
      </x:c>
      <x:c r="O9" s="59" t="n">
        <x:v>0.08</x:v>
      </x:c>
      <x:c r="P9" s="59" t="n">
        <x:v>0.06</x:v>
      </x:c>
      <x:c r="Q9" s="59" t="n">
        <x:v>0.85</x:v>
      </x:c>
      <x:c r="R9" s="60" t="n">
        <x:v>6e-05</x:v>
      </x:c>
      <x:c r="S9" s="52" t="n">
        <x:v>0</x:v>
      </x:c>
      <x:c r="T9" s="59" t="n">
        <x:v>0.019</x:v>
      </x:c>
      <x:c r="U9" s="59" t="n">
        <x:v>0.0125</x:v>
      </x:c>
      <x:c r="V9" s="59" t="n">
        <x:v>0.002</x:v>
      </x:c>
      <x:c r="W9" s="45" t="n">
        <x:v>1200</x:v>
      </x:c>
      <x:c r="X9" s="45" t="n">
        <x:v>3000</x:v>
      </x:c>
      <x:c r="Y9" s="59" t="n">
        <x:v>0.0608</x:v>
      </x:c>
      <x:c r="Z9" s="59" t="n">
        <x:v>0.05</x:v>
      </x:c>
      <x:c r="AA9" s="59" t="n">
        <x:v>0.03</x:v>
      </x:c>
      <x:c r="AB9" s="45" t="n">
        <x:v>1</x:v>
      </x:c>
      <x:c r="AC9" s="45" t="n">
        <x:v>0</x:v>
      </x:c>
      <x:c r="AD9" s="45" t="n">
        <x:v>1500</x:v>
      </x:c>
    </x:row>
    <x:row r="10">
      <x:c r="A10" s="58" t="n">
        <x:v>1850</x:v>
      </x:c>
      <x:c r="B10" s="46" t="n">
        <x:v>1.1</x:v>
      </x:c>
      <x:c r="C10" s="59" t="n">
        <x:v>0.008</x:v>
      </x:c>
      <x:c r="D10" s="45" t="n">
        <x:v>0</x:v>
      </x:c>
      <x:c r="E10" s="45" t="n">
        <x:v>50000</x:v>
      </x:c>
      <x:c r="F10" s="45" t="n">
        <x:v>4000</x:v>
      </x:c>
      <x:c r="G10" s="45" t="n">
        <x:v>0</x:v>
      </x:c>
      <x:c r="H10" s="45" t="n">
        <x:v>0</x:v>
      </x:c>
      <x:c r="I10" s="59" t="n">
        <x:v>0.35</x:v>
      </x:c>
      <x:c r="J10" s="59" t="n">
        <x:v>0.2</x:v>
      </x:c>
      <x:c r="K10" s="45" t="n">
        <x:v>0</x:v>
      </x:c>
      <x:c r="L10" s="59" t="n">
        <x:v>0.04</x:v>
      </x:c>
      <x:c r="M10" s="46" t="n">
        <x:v>1</x:v>
      </x:c>
      <x:c r="N10" s="59" t="n">
        <x:v>0.2867</x:v>
      </x:c>
      <x:c r="O10" s="59" t="n">
        <x:v>0.08</x:v>
      </x:c>
      <x:c r="P10" s="59" t="n">
        <x:v>0.06</x:v>
      </x:c>
      <x:c r="Q10" s="59" t="n">
        <x:v>0.85</x:v>
      </x:c>
      <x:c r="R10" s="60" t="n">
        <x:v>8.000000000000001e-05</x:v>
      </x:c>
      <x:c r="S10" s="52" t="n">
        <x:v>0</x:v>
      </x:c>
      <x:c r="T10" s="59" t="n">
        <x:v>0.0193</x:v>
      </x:c>
      <x:c r="U10" s="59" t="n">
        <x:v>0.0133</x:v>
      </x:c>
      <x:c r="V10" s="59" t="n">
        <x:v>0.0027</x:v>
      </x:c>
      <x:c r="W10" s="45" t="n">
        <x:v>1500</x:v>
      </x:c>
      <x:c r="X10" s="45" t="n">
        <x:v>4000</x:v>
      </x:c>
      <x:c r="Y10" s="59" t="n">
        <x:v>0.0611</x:v>
      </x:c>
      <x:c r="Z10" s="59" t="n">
        <x:v>0.05</x:v>
      </x:c>
      <x:c r="AA10" s="59" t="n">
        <x:v>0.03</x:v>
      </x:c>
      <x:c r="AB10" s="45" t="n">
        <x:v>1</x:v>
      </x:c>
      <x:c r="AC10" s="45" t="n">
        <x:v>0</x:v>
      </x:c>
      <x:c r="AD10" s="45" t="n">
        <x:v>1500</x:v>
      </x:c>
    </x:row>
    <x:row r="11">
      <x:c r="A11" s="58" t="n">
        <x:v>1851</x:v>
      </x:c>
      <x:c r="B11" s="46" t="n">
        <x:v>1.02</x:v>
      </x:c>
      <x:c r="C11" s="59" t="n">
        <x:v>0.008</x:v>
      </x:c>
      <x:c r="D11" s="45" t="n">
        <x:v>0</x:v>
      </x:c>
      <x:c r="E11" s="45" t="n">
        <x:v>40000</x:v>
      </x:c>
      <x:c r="F11" s="45" t="n">
        <x:v>3000</x:v>
      </x:c>
      <x:c r="G11" s="45" t="n">
        <x:v>0</x:v>
      </x:c>
      <x:c r="H11" s="45" t="n">
        <x:v>0</x:v>
      </x:c>
      <x:c r="I11" s="59" t="n">
        <x:v>0.35</x:v>
      </x:c>
      <x:c r="J11" s="59" t="n">
        <x:v>0.2</x:v>
      </x:c>
      <x:c r="K11" s="45" t="n">
        <x:v>0</x:v>
      </x:c>
      <x:c r="L11" s="59" t="n">
        <x:v>0.04</x:v>
      </x:c>
      <x:c r="M11" s="46" t="n">
        <x:v>1</x:v>
      </x:c>
      <x:c r="N11" s="59" t="n">
        <x:v>0.2833</x:v>
      </x:c>
      <x:c r="O11" s="59" t="n">
        <x:v>0.08</x:v>
      </x:c>
      <x:c r="P11" s="59" t="n">
        <x:v>0.06</x:v>
      </x:c>
      <x:c r="Q11" s="59" t="n">
        <x:v>0.85</x:v>
      </x:c>
      <x:c r="R11" s="60" t="n">
        <x:v>0.0001</x:v>
      </x:c>
      <x:c r="S11" s="52" t="n">
        <x:v>0</x:v>
      </x:c>
      <x:c r="T11" s="59" t="n">
        <x:v>0.0197</x:v>
      </x:c>
      <x:c r="U11" s="59" t="n">
        <x:v>0.0142</x:v>
      </x:c>
      <x:c r="V11" s="59" t="n">
        <x:v>0.0033</x:v>
      </x:c>
      <x:c r="W11" s="45" t="n">
        <x:v>2200</x:v>
      </x:c>
      <x:c r="X11" s="45" t="n">
        <x:v>6000</x:v>
      </x:c>
      <x:c r="Y11" s="59" t="n">
        <x:v>0.0613</x:v>
      </x:c>
      <x:c r="Z11" s="59" t="n">
        <x:v>0.05</x:v>
      </x:c>
      <x:c r="AA11" s="59" t="n">
        <x:v>0.03</x:v>
      </x:c>
      <x:c r="AB11" s="45" t="n">
        <x:v>1</x:v>
      </x:c>
      <x:c r="AC11" s="45" t="n">
        <x:v>0</x:v>
      </x:c>
      <x:c r="AD11" s="45" t="n">
        <x:v>1535</x:v>
      </x:c>
    </x:row>
    <x:row r="12">
      <x:c r="A12" s="58" t="n">
        <x:v>1852</x:v>
      </x:c>
      <x:c r="B12" s="46" t="n">
        <x:v>1</x:v>
      </x:c>
      <x:c r="C12" s="59" t="n">
        <x:v>0.008</x:v>
      </x:c>
      <x:c r="D12" s="45" t="n">
        <x:v>0</x:v>
      </x:c>
      <x:c r="E12" s="45" t="n">
        <x:v>55000</x:v>
      </x:c>
      <x:c r="F12" s="45" t="n">
        <x:v>20000</x:v>
      </x:c>
      <x:c r="G12" s="45" t="n">
        <x:v>0</x:v>
      </x:c>
      <x:c r="H12" s="45" t="n">
        <x:v>0</x:v>
      </x:c>
      <x:c r="I12" s="59" t="n">
        <x:v>0.35</x:v>
      </x:c>
      <x:c r="J12" s="59" t="n">
        <x:v>0.4</x:v>
      </x:c>
      <x:c r="K12" s="45" t="n">
        <x:v>0</x:v>
      </x:c>
      <x:c r="L12" s="59" t="n">
        <x:v>0.04</x:v>
      </x:c>
      <x:c r="M12" s="46" t="n">
        <x:v>1</x:v>
      </x:c>
      <x:c r="N12" s="59" t="n">
        <x:v>0.28</x:v>
      </x:c>
      <x:c r="O12" s="59" t="n">
        <x:v>0.12</x:v>
      </x:c>
      <x:c r="P12" s="59" t="n">
        <x:v>0.075</x:v>
      </x:c>
      <x:c r="Q12" s="59" t="n">
        <x:v>0.85</x:v>
      </x:c>
      <x:c r="R12" s="60" t="n">
        <x:v>0.00013</x:v>
      </x:c>
      <x:c r="S12" s="52" t="n">
        <x:v>0</x:v>
      </x:c>
      <x:c r="T12" s="59" t="n">
        <x:v>0.02</x:v>
      </x:c>
      <x:c r="U12" s="59" t="n">
        <x:v>0.015</x:v>
      </x:c>
      <x:c r="V12" s="59" t="n">
        <x:v>0.004</x:v>
      </x:c>
      <x:c r="W12" s="45" t="n">
        <x:v>3000</x:v>
      </x:c>
      <x:c r="X12" s="45" t="n">
        <x:v>7000</x:v>
      </x:c>
      <x:c r="Y12" s="59" t="n">
        <x:v>0.0616</x:v>
      </x:c>
      <x:c r="Z12" s="59" t="n">
        <x:v>0.05</x:v>
      </x:c>
      <x:c r="AA12" s="59" t="n">
        <x:v>0.03</x:v>
      </x:c>
      <x:c r="AB12" s="45" t="n">
        <x:v>1</x:v>
      </x:c>
      <x:c r="AC12" s="45" t="n">
        <x:v>0</x:v>
      </x:c>
      <x:c r="AD12" s="45" t="n">
        <x:v>1570</x:v>
      </x:c>
    </x:row>
    <x:row r="13">
      <x:c r="A13" s="58" t="n">
        <x:v>1853</x:v>
      </x:c>
      <x:c r="B13" s="46" t="n">
        <x:v>0.99</x:v>
      </x:c>
      <x:c r="C13" s="59" t="n">
        <x:v>0.008</x:v>
      </x:c>
      <x:c r="D13" s="45" t="n">
        <x:v>0</x:v>
      </x:c>
      <x:c r="E13" s="45" t="n">
        <x:v>40000</x:v>
      </x:c>
      <x:c r="F13" s="45" t="n">
        <x:v>6000</x:v>
      </x:c>
      <x:c r="G13" s="45" t="n">
        <x:v>0</x:v>
      </x:c>
      <x:c r="H13" s="45" t="n">
        <x:v>0</x:v>
      </x:c>
      <x:c r="I13" s="59" t="n">
        <x:v>0.35</x:v>
      </x:c>
      <x:c r="J13" s="59" t="n">
        <x:v>0.4</x:v>
      </x:c>
      <x:c r="K13" s="45" t="n">
        <x:v>0</x:v>
      </x:c>
      <x:c r="L13" s="59" t="n">
        <x:v>0.04</x:v>
      </x:c>
      <x:c r="M13" s="46" t="n">
        <x:v>1</x:v>
      </x:c>
      <x:c r="N13" s="59" t="n">
        <x:v>0.2783</x:v>
      </x:c>
      <x:c r="O13" s="59" t="n">
        <x:v>0.12</x:v>
      </x:c>
      <x:c r="P13" s="59" t="n">
        <x:v>0.075</x:v>
      </x:c>
      <x:c r="Q13" s="59" t="n">
        <x:v>0.85</x:v>
      </x:c>
      <x:c r="R13" s="60" t="n">
        <x:v>0.00015</x:v>
      </x:c>
      <x:c r="S13" s="52" t="n">
        <x:v>0</x:v>
      </x:c>
      <x:c r="T13" s="59" t="n">
        <x:v>0.0202</x:v>
      </x:c>
      <x:c r="U13" s="59" t="n">
        <x:v>0.0158</x:v>
      </x:c>
      <x:c r="V13" s="59" t="n">
        <x:v>0.0045</x:v>
      </x:c>
      <x:c r="W13" s="45" t="n">
        <x:v>3700</x:v>
      </x:c>
      <x:c r="X13" s="45" t="n">
        <x:v>8000</x:v>
      </x:c>
      <x:c r="Y13" s="59" t="n">
        <x:v>0.0618</x:v>
      </x:c>
      <x:c r="Z13" s="59" t="n">
        <x:v>0.05</x:v>
      </x:c>
      <x:c r="AA13" s="59" t="n">
        <x:v>0.03</x:v>
      </x:c>
      <x:c r="AB13" s="45" t="n">
        <x:v>1</x:v>
      </x:c>
      <x:c r="AC13" s="45" t="n">
        <x:v>0</x:v>
      </x:c>
      <x:c r="AD13" s="45" t="n">
        <x:v>1605</x:v>
      </x:c>
    </x:row>
    <x:row r="14">
      <x:c r="A14" s="58" t="n">
        <x:v>1854</x:v>
      </x:c>
      <x:c r="B14" s="46" t="n">
        <x:v>0.97</x:v>
      </x:c>
      <x:c r="C14" s="59" t="n">
        <x:v>0.008</x:v>
      </x:c>
      <x:c r="D14" s="45" t="n">
        <x:v>0</x:v>
      </x:c>
      <x:c r="E14" s="45" t="n">
        <x:v>35000</x:v>
      </x:c>
      <x:c r="F14" s="45" t="n">
        <x:v>6000</x:v>
      </x:c>
      <x:c r="G14" s="45" t="n">
        <x:v>0</x:v>
      </x:c>
      <x:c r="H14" s="45" t="n">
        <x:v>0</x:v>
      </x:c>
      <x:c r="I14" s="59" t="n">
        <x:v>0.35</x:v>
      </x:c>
      <x:c r="J14" s="59" t="n">
        <x:v>0.4</x:v>
      </x:c>
      <x:c r="K14" s="45" t="n">
        <x:v>0</x:v>
      </x:c>
      <x:c r="L14" s="59" t="n">
        <x:v>0.04</x:v>
      </x:c>
      <x:c r="M14" s="46" t="n">
        <x:v>1</x:v>
      </x:c>
      <x:c r="N14" s="59" t="n">
        <x:v>0.2767</x:v>
      </x:c>
      <x:c r="O14" s="59" t="n">
        <x:v>0.12</x:v>
      </x:c>
      <x:c r="P14" s="59" t="n">
        <x:v>0.075</x:v>
      </x:c>
      <x:c r="Q14" s="59" t="n">
        <x:v>0.85</x:v>
      </x:c>
      <x:c r="R14" s="60" t="n">
        <x:v>0.00017</x:v>
      </x:c>
      <x:c r="S14" s="52" t="n">
        <x:v>0</x:v>
      </x:c>
      <x:c r="T14" s="59" t="n">
        <x:v>0.0203</x:v>
      </x:c>
      <x:c r="U14" s="59" t="n">
        <x:v>0.0165</x:v>
      </x:c>
      <x:c r="V14" s="59" t="n">
        <x:v>0.005</x:v>
      </x:c>
      <x:c r="W14" s="45" t="n">
        <x:v>4300</x:v>
      </x:c>
      <x:c r="X14" s="45" t="n">
        <x:v>9000</x:v>
      </x:c>
      <x:c r="Y14" s="59" t="n">
        <x:v>0.0621</x:v>
      </x:c>
      <x:c r="Z14" s="59" t="n">
        <x:v>0.05</x:v>
      </x:c>
      <x:c r="AA14" s="59" t="n">
        <x:v>0.03</x:v>
      </x:c>
      <x:c r="AB14" s="45" t="n">
        <x:v>1</x:v>
      </x:c>
      <x:c r="AC14" s="45" t="n">
        <x:v>0</x:v>
      </x:c>
      <x:c r="AD14" s="45" t="n">
        <x:v>1640</x:v>
      </x:c>
    </x:row>
    <x:row r="15">
      <x:c r="A15" s="58" t="n">
        <x:v>1855</x:v>
      </x:c>
      <x:c r="B15" s="46" t="n">
        <x:v>0.95</x:v>
      </x:c>
      <x:c r="C15" s="59" t="n">
        <x:v>0.008</x:v>
      </x:c>
      <x:c r="D15" s="45" t="n">
        <x:v>0</x:v>
      </x:c>
      <x:c r="E15" s="45" t="n">
        <x:v>30000</x:v>
      </x:c>
      <x:c r="F15" s="45" t="n">
        <x:v>6000</x:v>
      </x:c>
      <x:c r="G15" s="45" t="n">
        <x:v>0</x:v>
      </x:c>
      <x:c r="H15" s="45" t="n">
        <x:v>0</x:v>
      </x:c>
      <x:c r="I15" s="59" t="n">
        <x:v>0.35</x:v>
      </x:c>
      <x:c r="J15" s="59" t="n">
        <x:v>0.4</x:v>
      </x:c>
      <x:c r="K15" s="45" t="n">
        <x:v>0</x:v>
      </x:c>
      <x:c r="L15" s="59" t="n">
        <x:v>0.04</x:v>
      </x:c>
      <x:c r="M15" s="46" t="n">
        <x:v>1</x:v>
      </x:c>
      <x:c r="N15" s="59" t="n">
        <x:v>0.275</x:v>
      </x:c>
      <x:c r="O15" s="59" t="n">
        <x:v>0.12</x:v>
      </x:c>
      <x:c r="P15" s="59" t="n">
        <x:v>0.08500000000000001</x:v>
      </x:c>
      <x:c r="Q15" s="59" t="n">
        <x:v>0.85</x:v>
      </x:c>
      <x:c r="R15" s="60" t="n">
        <x:v>0.00019</x:v>
      </x:c>
      <x:c r="S15" s="52" t="n">
        <x:v>0</x:v>
      </x:c>
      <x:c r="T15" s="59" t="n">
        <x:v>0.0205</x:v>
      </x:c>
      <x:c r="U15" s="59" t="n">
        <x:v>0.0172</x:v>
      </x:c>
      <x:c r="V15" s="59" t="n">
        <x:v>0.0055</x:v>
      </x:c>
      <x:c r="W15" s="45" t="n">
        <x:v>5000</x:v>
      </x:c>
      <x:c r="X15" s="45" t="n">
        <x:v>10000</x:v>
      </x:c>
      <x:c r="Y15" s="59" t="n">
        <x:v>0.0624</x:v>
      </x:c>
      <x:c r="Z15" s="59" t="n">
        <x:v>0.05</x:v>
      </x:c>
      <x:c r="AA15" s="59" t="n">
        <x:v>0.03</x:v>
      </x:c>
      <x:c r="AB15" s="45" t="n">
        <x:v>1</x:v>
      </x:c>
      <x:c r="AC15" s="45" t="n">
        <x:v>0</x:v>
      </x:c>
      <x:c r="AD15" s="45" t="n">
        <x:v>1675</x:v>
      </x:c>
    </x:row>
    <x:row r="16">
      <x:c r="A16" s="58" t="n">
        <x:v>1856</x:v>
      </x:c>
      <x:c r="B16" s="46" t="n">
        <x:v>0.9350000000000001</x:v>
      </x:c>
      <x:c r="C16" s="59" t="n">
        <x:v>0.011</x:v>
      </x:c>
      <x:c r="D16" s="45" t="n">
        <x:v>72000</x:v>
      </x:c>
      <x:c r="E16" s="45" t="n">
        <x:v>30000</x:v>
      </x:c>
      <x:c r="F16" s="45" t="n">
        <x:v>6000</x:v>
      </x:c>
      <x:c r="G16" s="45" t="n">
        <x:v>0</x:v>
      </x:c>
      <x:c r="H16" s="45" t="n">
        <x:v>0</x:v>
      </x:c>
      <x:c r="I16" s="59" t="n">
        <x:v>0.2</x:v>
      </x:c>
      <x:c r="J16" s="59" t="n">
        <x:v>0.4</x:v>
      </x:c>
      <x:c r="K16" s="45" t="n">
        <x:v>0</x:v>
      </x:c>
      <x:c r="L16" s="59" t="n">
        <x:v>0.025</x:v>
      </x:c>
      <x:c r="M16" s="46" t="n">
        <x:v>1</x:v>
      </x:c>
      <x:c r="N16" s="59" t="n">
        <x:v>0.2733</x:v>
      </x:c>
      <x:c r="O16" s="59" t="n">
        <x:v>0.12</x:v>
      </x:c>
      <x:c r="P16" s="59" t="n">
        <x:v>0.08500000000000001</x:v>
      </x:c>
      <x:c r="Q16" s="59" t="n">
        <x:v>0.85</x:v>
      </x:c>
      <x:c r="R16" s="60" t="n">
        <x:v>0.00021</x:v>
      </x:c>
      <x:c r="S16" s="52" t="n">
        <x:v>0</x:v>
      </x:c>
      <x:c r="T16" s="59" t="n">
        <x:v>0.0206</x:v>
      </x:c>
      <x:c r="U16" s="59" t="n">
        <x:v>0.018</x:v>
      </x:c>
      <x:c r="V16" s="59" t="n">
        <x:v>0.006</x:v>
      </x:c>
      <x:c r="W16" s="45" t="n">
        <x:v>6300</x:v>
      </x:c>
      <x:c r="X16" s="45" t="n">
        <x:v>23000</x:v>
      </x:c>
      <x:c r="Y16" s="59" t="n">
        <x:v>0.0626</x:v>
      </x:c>
      <x:c r="Z16" s="59" t="n">
        <x:v>0.05</x:v>
      </x:c>
      <x:c r="AA16" s="59" t="n">
        <x:v>0.03</x:v>
      </x:c>
      <x:c r="AB16" s="45" t="n">
        <x:v>1</x:v>
      </x:c>
      <x:c r="AC16" s="45" t="n">
        <x:v>0</x:v>
      </x:c>
      <x:c r="AD16" s="45" t="n">
        <x:v>1710</x:v>
      </x:c>
    </x:row>
    <x:row r="17">
      <x:c r="A17" s="58" t="n">
        <x:v>1857</x:v>
      </x:c>
      <x:c r="B17" s="46" t="n">
        <x:v>0.92</x:v>
      </x:c>
      <x:c r="C17" s="59" t="n">
        <x:v>0.011</x:v>
      </x:c>
      <x:c r="D17" s="45" t="n">
        <x:v>0</x:v>
      </x:c>
      <x:c r="E17" s="45" t="n">
        <x:v>30000</x:v>
      </x:c>
      <x:c r="F17" s="45" t="n">
        <x:v>6000</x:v>
      </x:c>
      <x:c r="G17" s="45" t="n">
        <x:v>0</x:v>
      </x:c>
      <x:c r="H17" s="45" t="n">
        <x:v>0</x:v>
      </x:c>
      <x:c r="I17" s="59" t="n">
        <x:v>0.2</x:v>
      </x:c>
      <x:c r="J17" s="59" t="n">
        <x:v>0.4</x:v>
      </x:c>
      <x:c r="K17" s="45" t="n">
        <x:v>0</x:v>
      </x:c>
      <x:c r="L17" s="59" t="n">
        <x:v>0.025</x:v>
      </x:c>
      <x:c r="M17" s="46" t="n">
        <x:v>0.97</x:v>
      </x:c>
      <x:c r="N17" s="59" t="n">
        <x:v>0.2717</x:v>
      </x:c>
      <x:c r="O17" s="59" t="n">
        <x:v>0.12</x:v>
      </x:c>
      <x:c r="P17" s="59" t="n">
        <x:v>0.08500000000000001</x:v>
      </x:c>
      <x:c r="Q17" s="59" t="n">
        <x:v>0.85</x:v>
      </x:c>
      <x:c r="R17" s="60" t="n">
        <x:v>0.00023</x:v>
      </x:c>
      <x:c r="S17" s="52" t="n">
        <x:v>0</x:v>
      </x:c>
      <x:c r="T17" s="59" t="n">
        <x:v>0.0208</x:v>
      </x:c>
      <x:c r="U17" s="59" t="n">
        <x:v>0.0181</x:v>
      </x:c>
      <x:c r="V17" s="59" t="n">
        <x:v>0.0061</x:v>
      </x:c>
      <x:c r="W17" s="45" t="n">
        <x:v>7700</x:v>
      </x:c>
      <x:c r="X17" s="45" t="n">
        <x:v>37000</x:v>
      </x:c>
      <x:c r="Y17" s="59" t="n">
        <x:v>0.0629</x:v>
      </x:c>
      <x:c r="Z17" s="59" t="n">
        <x:v>0.05</x:v>
      </x:c>
      <x:c r="AA17" s="59" t="n">
        <x:v>0.03</x:v>
      </x:c>
      <x:c r="AB17" s="45" t="n">
        <x:v>1</x:v>
      </x:c>
      <x:c r="AC17" s="45" t="n">
        <x:v>0</x:v>
      </x:c>
      <x:c r="AD17" s="45" t="n">
        <x:v>1745</x:v>
      </x:c>
    </x:row>
    <x:row r="18">
      <x:c r="A18" s="58" t="n">
        <x:v>1858</x:v>
      </x:c>
      <x:c r="B18" s="46" t="n">
        <x:v>0.9067</x:v>
      </x:c>
      <x:c r="C18" s="59" t="n">
        <x:v>0.011</x:v>
      </x:c>
      <x:c r="D18" s="45" t="n">
        <x:v>0</x:v>
      </x:c>
      <x:c r="E18" s="45" t="n">
        <x:v>30000</x:v>
      </x:c>
      <x:c r="F18" s="45" t="n">
        <x:v>6000</x:v>
      </x:c>
      <x:c r="G18" s="45" t="n">
        <x:v>0</x:v>
      </x:c>
      <x:c r="H18" s="45" t="n">
        <x:v>0</x:v>
      </x:c>
      <x:c r="I18" s="59" t="n">
        <x:v>0.2</x:v>
      </x:c>
      <x:c r="J18" s="59" t="n">
        <x:v>0.4</x:v>
      </x:c>
      <x:c r="K18" s="45" t="n">
        <x:v>0</x:v>
      </x:c>
      <x:c r="L18" s="59" t="n">
        <x:v>0.025</x:v>
      </x:c>
      <x:c r="M18" s="46" t="n">
        <x:v>0.98</x:v>
      </x:c>
      <x:c r="N18" s="59" t="n">
        <x:v>0.27</x:v>
      </x:c>
      <x:c r="O18" s="59" t="n">
        <x:v>0.12</x:v>
      </x:c>
      <x:c r="P18" s="59" t="n">
        <x:v>0.08500000000000001</x:v>
      </x:c>
      <x:c r="Q18" s="59" t="n">
        <x:v>0.85</x:v>
      </x:c>
      <x:c r="R18" s="60" t="n">
        <x:v>0.00025</x:v>
      </x:c>
      <x:c r="S18" s="52" t="n">
        <x:v>0</x:v>
      </x:c>
      <x:c r="T18" s="59" t="n">
        <x:v>0.0209</x:v>
      </x:c>
      <x:c r="U18" s="59" t="n">
        <x:v>0.0182</x:v>
      </x:c>
      <x:c r="V18" s="59" t="n">
        <x:v>0.0062</x:v>
      </x:c>
      <x:c r="W18" s="45" t="n">
        <x:v>9000</x:v>
      </x:c>
      <x:c r="X18" s="45" t="n">
        <x:v>50000</x:v>
      </x:c>
      <x:c r="Y18" s="59" t="n">
        <x:v>0.06320000000000001</x:v>
      </x:c>
      <x:c r="Z18" s="59" t="n">
        <x:v>0.05</x:v>
      </x:c>
      <x:c r="AA18" s="59" t="n">
        <x:v>0.03</x:v>
      </x:c>
      <x:c r="AB18" s="45" t="n">
        <x:v>1</x:v>
      </x:c>
      <x:c r="AC18" s="45" t="n">
        <x:v>0</x:v>
      </x:c>
      <x:c r="AD18" s="45" t="n">
        <x:v>1780</x:v>
      </x:c>
    </x:row>
    <x:row r="19">
      <x:c r="A19" s="58" t="n">
        <x:v>1859</x:v>
      </x:c>
      <x:c r="B19" s="46" t="n">
        <x:v>0.8933</x:v>
      </x:c>
      <x:c r="C19" s="59" t="n">
        <x:v>0.011</x:v>
      </x:c>
      <x:c r="D19" s="45" t="n">
        <x:v>0</x:v>
      </x:c>
      <x:c r="E19" s="45" t="n">
        <x:v>30000</x:v>
      </x:c>
      <x:c r="F19" s="45" t="n">
        <x:v>6000</x:v>
      </x:c>
      <x:c r="G19" s="45" t="n">
        <x:v>0</x:v>
      </x:c>
      <x:c r="H19" s="45" t="n">
        <x:v>0</x:v>
      </x:c>
      <x:c r="I19" s="59" t="n">
        <x:v>0.2</x:v>
      </x:c>
      <x:c r="J19" s="59" t="n">
        <x:v>0.4</x:v>
      </x:c>
      <x:c r="K19" s="45" t="n">
        <x:v>0</x:v>
      </x:c>
      <x:c r="L19" s="59" t="n">
        <x:v>0.025</x:v>
      </x:c>
      <x:c r="M19" s="46" t="n">
        <x:v>1</x:v>
      </x:c>
      <x:c r="N19" s="59" t="n">
        <x:v>0.2683</x:v>
      </x:c>
      <x:c r="O19" s="59" t="n">
        <x:v>0.12</x:v>
      </x:c>
      <x:c r="P19" s="59" t="n">
        <x:v>0.08500000000000001</x:v>
      </x:c>
      <x:c r="Q19" s="59" t="n">
        <x:v>0.85</x:v>
      </x:c>
      <x:c r="R19" s="60" t="n">
        <x:v>0.00027</x:v>
      </x:c>
      <x:c r="S19" s="52" t="n">
        <x:v>0</x:v>
      </x:c>
      <x:c r="T19" s="59" t="n">
        <x:v>0.0211</x:v>
      </x:c>
      <x:c r="U19" s="59" t="n">
        <x:v>0.0182</x:v>
      </x:c>
      <x:c r="V19" s="59" t="n">
        <x:v>0.0063</x:v>
      </x:c>
      <x:c r="W19" s="45" t="n">
        <x:v>12000</x:v>
      </x:c>
      <x:c r="X19" s="45" t="n">
        <x:v>63000</x:v>
      </x:c>
      <x:c r="Y19" s="59" t="n">
        <x:v>0.0634</x:v>
      </x:c>
      <x:c r="Z19" s="59" t="n">
        <x:v>0.05</x:v>
      </x:c>
      <x:c r="AA19" s="59" t="n">
        <x:v>0.03</x:v>
      </x:c>
      <x:c r="AB19" s="45" t="n">
        <x:v>1</x:v>
      </x:c>
      <x:c r="AC19" s="45" t="n">
        <x:v>0</x:v>
      </x:c>
      <x:c r="AD19" s="45" t="n">
        <x:v>1815</x:v>
      </x:c>
    </x:row>
    <x:row r="20">
      <x:c r="A20" s="58" t="n">
        <x:v>1860</x:v>
      </x:c>
      <x:c r="B20" s="46" t="n">
        <x:v>0.88</x:v>
      </x:c>
      <x:c r="C20" s="59" t="n">
        <x:v>0.011</x:v>
      </x:c>
      <x:c r="D20" s="45" t="n">
        <x:v>0</x:v>
      </x:c>
      <x:c r="E20" s="45" t="n">
        <x:v>30000</x:v>
      </x:c>
      <x:c r="F20" s="45" t="n">
        <x:v>8000</x:v>
      </x:c>
      <x:c r="G20" s="45" t="n">
        <x:v>0</x:v>
      </x:c>
      <x:c r="H20" s="45" t="n">
        <x:v>0</x:v>
      </x:c>
      <x:c r="I20" s="59" t="n">
        <x:v>0.2</x:v>
      </x:c>
      <x:c r="J20" s="59" t="n">
        <x:v>0.4</x:v>
      </x:c>
      <x:c r="K20" s="45" t="n">
        <x:v>0</x:v>
      </x:c>
      <x:c r="L20" s="59" t="n">
        <x:v>0.025</x:v>
      </x:c>
      <x:c r="M20" s="46" t="n">
        <x:v>1</x:v>
      </x:c>
      <x:c r="N20" s="59" t="n">
        <x:v>0.2667</x:v>
      </x:c>
      <x:c r="O20" s="59" t="n">
        <x:v>0.12</x:v>
      </x:c>
      <x:c r="P20" s="59" t="n">
        <x:v>0.08500000000000001</x:v>
      </x:c>
      <x:c r="Q20" s="59" t="n">
        <x:v>0.85</x:v>
      </x:c>
      <x:c r="R20" s="60" t="n">
        <x:v>0.00029</x:v>
      </x:c>
      <x:c r="S20" s="52" t="n">
        <x:v>0</x:v>
      </x:c>
      <x:c r="T20" s="59" t="n">
        <x:v>0.0212</x:v>
      </x:c>
      <x:c r="U20" s="59" t="n">
        <x:v>0.0183</x:v>
      </x:c>
      <x:c r="V20" s="59" t="n">
        <x:v>0.0064</x:v>
      </x:c>
      <x:c r="W20" s="45" t="n">
        <x:v>15000</x:v>
      </x:c>
      <x:c r="X20" s="45" t="n">
        <x:v>77000</x:v>
      </x:c>
      <x:c r="Y20" s="59" t="n">
        <x:v>0.06370000000000001</x:v>
      </x:c>
      <x:c r="Z20" s="59" t="n">
        <x:v>0.05</x:v>
      </x:c>
      <x:c r="AA20" s="59" t="n">
        <x:v>0.03</x:v>
      </x:c>
      <x:c r="AB20" s="45" t="n">
        <x:v>1</x:v>
      </x:c>
      <x:c r="AC20" s="45" t="n">
        <x:v>0</x:v>
      </x:c>
      <x:c r="AD20" s="45" t="n">
        <x:v>1850</x:v>
      </x:c>
    </x:row>
    <x:row r="21">
      <x:c r="A21" s="61" t="n">
        <x:v>1861</x:v>
      </x:c>
      <x:c r="B21" s="46" t="n">
        <x:v>0.88</x:v>
      </x:c>
      <x:c r="C21" s="59" t="n">
        <x:v>0.011</x:v>
      </x:c>
      <x:c r="D21" s="45" t="n">
        <x:v>0</x:v>
      </x:c>
      <x:c r="E21" s="45" t="n">
        <x:v>35000</x:v>
      </x:c>
      <x:c r="F21" s="45" t="n">
        <x:v>8000</x:v>
      </x:c>
      <x:c r="G21" s="45" t="n">
        <x:v>0</x:v>
      </x:c>
      <x:c r="H21" s="45" t="n">
        <x:v>0</x:v>
      </x:c>
      <x:c r="I21" s="59" t="n">
        <x:v>0.2</x:v>
      </x:c>
      <x:c r="J21" s="59" t="n">
        <x:v>0.4</x:v>
      </x:c>
      <x:c r="K21" s="45" t="n">
        <x:v>0</x:v>
      </x:c>
      <x:c r="L21" s="59" t="n">
        <x:v>0.02</x:v>
      </x:c>
      <x:c r="M21" s="46" t="n">
        <x:v>0.98</x:v>
      </x:c>
      <x:c r="N21" s="59" t="n">
        <x:v>0.265</x:v>
      </x:c>
      <x:c r="O21" s="59" t="n">
        <x:v>0.12</x:v>
      </x:c>
      <x:c r="P21" s="59" t="n">
        <x:v>0.12</x:v>
      </x:c>
      <x:c r="Q21" s="59" t="n">
        <x:v>0.85</x:v>
      </x:c>
      <x:c r="R21" s="60" t="n">
        <x:v>0.00031</x:v>
      </x:c>
      <x:c r="S21" s="52" t="n">
        <x:v>0</x:v>
      </x:c>
      <x:c r="T21" s="59" t="n">
        <x:v>0.0214</x:v>
      </x:c>
      <x:c r="U21" s="59" t="n">
        <x:v>0.0184</x:v>
      </x:c>
      <x:c r="V21" s="59" t="n">
        <x:v>0.0065</x:v>
      </x:c>
      <x:c r="W21" s="45" t="n">
        <x:v>20000</x:v>
      </x:c>
      <x:c r="X21" s="45" t="n">
        <x:v>90000</x:v>
      </x:c>
      <x:c r="Y21" s="59" t="n">
        <x:v>0.0639</x:v>
      </x:c>
      <x:c r="Z21" s="59" t="n">
        <x:v>0.05</x:v>
      </x:c>
      <x:c r="AA21" s="59" t="n">
        <x:v>0.03</x:v>
      </x:c>
      <x:c r="AB21" s="45" t="n">
        <x:v>1</x:v>
      </x:c>
      <x:c r="AC21" s="45" t="n">
        <x:v>1</x:v>
      </x:c>
      <x:c r="AD21" s="45" t="n">
        <x:v>1885</x:v>
      </x:c>
    </x:row>
    <x:row r="22">
      <x:c r="A22" s="61" t="n">
        <x:v>1862</x:v>
      </x:c>
      <x:c r="B22" s="46" t="n">
        <x:v>0.88</x:v>
      </x:c>
      <x:c r="C22" s="59" t="n">
        <x:v>0.014</x:v>
      </x:c>
      <x:c r="D22" s="45" t="n">
        <x:v>177000</x:v>
      </x:c>
      <x:c r="E22" s="45" t="n">
        <x:v>35000</x:v>
      </x:c>
      <x:c r="F22" s="45" t="n">
        <x:v>8000</x:v>
      </x:c>
      <x:c r="G22" s="45" t="n">
        <x:v>0</x:v>
      </x:c>
      <x:c r="H22" s="45" t="n">
        <x:v>0</x:v>
      </x:c>
      <x:c r="I22" s="59" t="n">
        <x:v>0.2</x:v>
      </x:c>
      <x:c r="J22" s="59" t="n">
        <x:v>0.4</x:v>
      </x:c>
      <x:c r="K22" s="45" t="n">
        <x:v>0</x:v>
      </x:c>
      <x:c r="L22" s="59" t="n">
        <x:v>0.02</x:v>
      </x:c>
      <x:c r="M22" s="46" t="n">
        <x:v>0.97</x:v>
      </x:c>
      <x:c r="N22" s="59" t="n">
        <x:v>0.2633</x:v>
      </x:c>
      <x:c r="O22" s="59" t="n">
        <x:v>0.12</x:v>
      </x:c>
      <x:c r="P22" s="59" t="n">
        <x:v>0.12</x:v>
      </x:c>
      <x:c r="Q22" s="59" t="n">
        <x:v>0.85</x:v>
      </x:c>
      <x:c r="R22" s="60" t="n">
        <x:v>0.00033</x:v>
      </x:c>
      <x:c r="S22" s="52" t="n">
        <x:v>0</x:v>
      </x:c>
      <x:c r="T22" s="59" t="n">
        <x:v>0.0215</x:v>
      </x:c>
      <x:c r="U22" s="59" t="n">
        <x:v>0.0185</x:v>
      </x:c>
      <x:c r="V22" s="59" t="n">
        <x:v>0.0066</x:v>
      </x:c>
      <x:c r="W22" s="45" t="n">
        <x:v>38000</x:v>
      </x:c>
      <x:c r="X22" s="45" t="n">
        <x:v>98000</x:v>
      </x:c>
      <x:c r="Y22" s="59" t="n">
        <x:v>0.06419999999999999</x:v>
      </x:c>
      <x:c r="Z22" s="59" t="n">
        <x:v>0.05</x:v>
      </x:c>
      <x:c r="AA22" s="59" t="n">
        <x:v>0.03</x:v>
      </x:c>
      <x:c r="AB22" s="45" t="n">
        <x:v>1</x:v>
      </x:c>
      <x:c r="AC22" s="45" t="n">
        <x:v>1</x:v>
      </x:c>
      <x:c r="AD22" s="45" t="n">
        <x:v>1920</x:v>
      </x:c>
    </x:row>
    <x:row r="23">
      <x:c r="A23" s="61" t="n">
        <x:v>1863</x:v>
      </x:c>
      <x:c r="B23" s="46" t="n">
        <x:v>0.9033</x:v>
      </x:c>
      <x:c r="C23" s="59" t="n">
        <x:v>0.014</x:v>
      </x:c>
      <x:c r="D23" s="45" t="n">
        <x:v>85000</x:v>
      </x:c>
      <x:c r="E23" s="45" t="n">
        <x:v>35000</x:v>
      </x:c>
      <x:c r="F23" s="45" t="n">
        <x:v>8000</x:v>
      </x:c>
      <x:c r="G23" s="45" t="n">
        <x:v>0</x:v>
      </x:c>
      <x:c r="H23" s="45" t="n">
        <x:v>0</x:v>
      </x:c>
      <x:c r="I23" s="59" t="n">
        <x:v>0.2</x:v>
      </x:c>
      <x:c r="J23" s="59" t="n">
        <x:v>0.4</x:v>
      </x:c>
      <x:c r="K23" s="45" t="n">
        <x:v>0</x:v>
      </x:c>
      <x:c r="L23" s="59" t="n">
        <x:v>0.02</x:v>
      </x:c>
      <x:c r="M23" s="46" t="n">
        <x:v>0.98</x:v>
      </x:c>
      <x:c r="N23" s="59" t="n">
        <x:v>0.2617</x:v>
      </x:c>
      <x:c r="O23" s="59" t="n">
        <x:v>0.12</x:v>
      </x:c>
      <x:c r="P23" s="59" t="n">
        <x:v>0.12</x:v>
      </x:c>
      <x:c r="Q23" s="59" t="n">
        <x:v>0.85</x:v>
      </x:c>
      <x:c r="R23" s="60" t="n">
        <x:v>0.00035</x:v>
      </x:c>
      <x:c r="S23" s="52" t="n">
        <x:v>0</x:v>
      </x:c>
      <x:c r="T23" s="59" t="n">
        <x:v>0.0217</x:v>
      </x:c>
      <x:c r="U23" s="59" t="n">
        <x:v>0.0186</x:v>
      </x:c>
      <x:c r="V23" s="59" t="n">
        <x:v>0.0067</x:v>
      </x:c>
      <x:c r="W23" s="45" t="n">
        <x:v>42000</x:v>
      </x:c>
      <x:c r="X23" s="45" t="n">
        <x:v>105000</x:v>
      </x:c>
      <x:c r="Y23" s="59" t="n">
        <x:v>0.0645</x:v>
      </x:c>
      <x:c r="Z23" s="59" t="n">
        <x:v>0.05</x:v>
      </x:c>
      <x:c r="AA23" s="59" t="n">
        <x:v>0.03</x:v>
      </x:c>
      <x:c r="AB23" s="45" t="n">
        <x:v>1</x:v>
      </x:c>
      <x:c r="AC23" s="45" t="n">
        <x:v>1</x:v>
      </x:c>
      <x:c r="AD23" s="45" t="n">
        <x:v>1955</x:v>
      </x:c>
    </x:row>
    <x:row r="24">
      <x:c r="A24" s="61" t="n">
        <x:v>1864</x:v>
      </x:c>
      <x:c r="B24" s="46" t="n">
        <x:v>0.9267</x:v>
      </x:c>
      <x:c r="C24" s="59" t="n">
        <x:v>0.014</x:v>
      </x:c>
      <x:c r="D24" s="45" t="n">
        <x:v>25000</x:v>
      </x:c>
      <x:c r="E24" s="45" t="n">
        <x:v>35000</x:v>
      </x:c>
      <x:c r="F24" s="45" t="n">
        <x:v>8000</x:v>
      </x:c>
      <x:c r="G24" s="45" t="n">
        <x:v>0</x:v>
      </x:c>
      <x:c r="H24" s="45" t="n">
        <x:v>0</x:v>
      </x:c>
      <x:c r="I24" s="59" t="n">
        <x:v>0.2</x:v>
      </x:c>
      <x:c r="J24" s="59" t="n">
        <x:v>0.4</x:v>
      </x:c>
      <x:c r="K24" s="45" t="n">
        <x:v>0</x:v>
      </x:c>
      <x:c r="L24" s="59" t="n">
        <x:v>0.02</x:v>
      </x:c>
      <x:c r="M24" s="46" t="n">
        <x:v>1</x:v>
      </x:c>
      <x:c r="N24" s="59" t="n">
        <x:v>0.26</x:v>
      </x:c>
      <x:c r="O24" s="59" t="n">
        <x:v>0.12</x:v>
      </x:c>
      <x:c r="P24" s="59" t="n">
        <x:v>0.12</x:v>
      </x:c>
      <x:c r="Q24" s="59" t="n">
        <x:v>0.85</x:v>
      </x:c>
      <x:c r="R24" s="60" t="n">
        <x:v>0.00038</x:v>
      </x:c>
      <x:c r="S24" s="52" t="n">
        <x:v>0</x:v>
      </x:c>
      <x:c r="T24" s="59" t="n">
        <x:v>0.0218</x:v>
      </x:c>
      <x:c r="U24" s="59" t="n">
        <x:v>0.0187</x:v>
      </x:c>
      <x:c r="V24" s="59" t="n">
        <x:v>0.0068</x:v>
      </x:c>
      <x:c r="W24" s="45" t="n">
        <x:v>42000</x:v>
      </x:c>
      <x:c r="X24" s="45" t="n">
        <x:v>112000</x:v>
      </x:c>
      <x:c r="Y24" s="59" t="n">
        <x:v>0.06469999999999999</x:v>
      </x:c>
      <x:c r="Z24" s="59" t="n">
        <x:v>0.05</x:v>
      </x:c>
      <x:c r="AA24" s="59" t="n">
        <x:v>0.03</x:v>
      </x:c>
      <x:c r="AB24" s="45" t="n">
        <x:v>1</x:v>
      </x:c>
      <x:c r="AC24" s="45" t="n">
        <x:v>1</x:v>
      </x:c>
      <x:c r="AD24" s="45" t="n">
        <x:v>1990</x:v>
      </x:c>
    </x:row>
    <x:row r="25">
      <x:c r="A25" s="61" t="n">
        <x:v>1865</x:v>
      </x:c>
      <x:c r="B25" s="46" t="n">
        <x:v>0.95</x:v>
      </x:c>
      <x:c r="C25" s="59" t="n">
        <x:v>0.014</x:v>
      </x:c>
      <x:c r="D25" s="45" t="n">
        <x:v>10000</x:v>
      </x:c>
      <x:c r="E25" s="45" t="n">
        <x:v>35000</x:v>
      </x:c>
      <x:c r="F25" s="45" t="n">
        <x:v>8000</x:v>
      </x:c>
      <x:c r="G25" s="45" t="n">
        <x:v>0</x:v>
      </x:c>
      <x:c r="H25" s="45" t="n">
        <x:v>0</x:v>
      </x:c>
      <x:c r="I25" s="59" t="n">
        <x:v>0.2</x:v>
      </x:c>
      <x:c r="J25" s="59" t="n">
        <x:v>0.4</x:v>
      </x:c>
      <x:c r="K25" s="45" t="n">
        <x:v>0</x:v>
      </x:c>
      <x:c r="L25" s="59" t="n">
        <x:v>0.02</x:v>
      </x:c>
      <x:c r="M25" s="46" t="n">
        <x:v>1</x:v>
      </x:c>
      <x:c r="N25" s="59" t="n">
        <x:v>0.2583</x:v>
      </x:c>
      <x:c r="O25" s="59" t="n">
        <x:v>0.12</x:v>
      </x:c>
      <x:c r="P25" s="59" t="n">
        <x:v>0.12</x:v>
      </x:c>
      <x:c r="Q25" s="59" t="n">
        <x:v>0.85</x:v>
      </x:c>
      <x:c r="R25" s="60" t="n">
        <x:v>0.0004</x:v>
      </x:c>
      <x:c r="S25" s="52" t="n">
        <x:v>0</x:v>
      </x:c>
      <x:c r="T25" s="59" t="n">
        <x:v>0.022</x:v>
      </x:c>
      <x:c r="U25" s="59" t="n">
        <x:v>0.0187</x:v>
      </x:c>
      <x:c r="V25" s="59" t="n">
        <x:v>0.0069</x:v>
      </x:c>
      <x:c r="W25" s="45" t="n">
        <x:v>32000</x:v>
      </x:c>
      <x:c r="X25" s="45" t="n">
        <x:v>120000</x:v>
      </x:c>
      <x:c r="Y25" s="59" t="n">
        <x:v>0.065</x:v>
      </x:c>
      <x:c r="Z25" s="59" t="n">
        <x:v>0.05</x:v>
      </x:c>
      <x:c r="AA25" s="59" t="n">
        <x:v>0.03</x:v>
      </x:c>
      <x:c r="AB25" s="45" t="n">
        <x:v>1</x:v>
      </x:c>
      <x:c r="AC25" s="45" t="n">
        <x:v>1</x:v>
      </x:c>
      <x:c r="AD25" s="45" t="n">
        <x:v>2025</x:v>
      </x:c>
    </x:row>
    <x:row r="26">
      <x:c r="A26" s="58" t="n">
        <x:v>1866</x:v>
      </x:c>
      <x:c r="B26" s="46" t="n">
        <x:v>0.95</x:v>
      </x:c>
      <x:c r="C26" s="59" t="n">
        <x:v>0.014</x:v>
      </x:c>
      <x:c r="D26" s="45" t="n">
        <x:v>0</x:v>
      </x:c>
      <x:c r="E26" s="45" t="n">
        <x:v>80000</x:v>
      </x:c>
      <x:c r="F26" s="45" t="n">
        <x:v>8000</x:v>
      </x:c>
      <x:c r="G26" s="45" t="n">
        <x:v>0</x:v>
      </x:c>
      <x:c r="H26" s="45" t="n">
        <x:v>0</x:v>
      </x:c>
      <x:c r="I26" s="59" t="n">
        <x:v>0.2</x:v>
      </x:c>
      <x:c r="J26" s="59" t="n">
        <x:v>0.4</x:v>
      </x:c>
      <x:c r="K26" s="45" t="n">
        <x:v>0</x:v>
      </x:c>
      <x:c r="L26" s="59" t="n">
        <x:v>0.02</x:v>
      </x:c>
      <x:c r="M26" s="46" t="n">
        <x:v>1</x:v>
      </x:c>
      <x:c r="N26" s="59" t="n">
        <x:v>0.2567</x:v>
      </x:c>
      <x:c r="O26" s="59" t="n">
        <x:v>0.12</x:v>
      </x:c>
      <x:c r="P26" s="59" t="n">
        <x:v>0.115</x:v>
      </x:c>
      <x:c r="Q26" s="59" t="n">
        <x:v>0.85</x:v>
      </x:c>
      <x:c r="R26" s="60" t="n">
        <x:v>0.00042</x:v>
      </x:c>
      <x:c r="S26" s="52" t="n">
        <x:v>0</x:v>
      </x:c>
      <x:c r="T26" s="59" t="n">
        <x:v>0.0223</x:v>
      </x:c>
      <x:c r="U26" s="59" t="n">
        <x:v>0.0188</x:v>
      </x:c>
      <x:c r="V26" s="59" t="n">
        <x:v>0.007</x:v>
      </x:c>
      <x:c r="W26" s="45" t="n">
        <x:v>22000</x:v>
      </x:c>
      <x:c r="X26" s="45" t="n">
        <x:v>120000</x:v>
      </x:c>
      <x:c r="Y26" s="59" t="n">
        <x:v>0.0643</x:v>
      </x:c>
      <x:c r="Z26" s="59" t="n">
        <x:v>0.05</x:v>
      </x:c>
      <x:c r="AA26" s="59" t="n">
        <x:v>0.03</x:v>
      </x:c>
      <x:c r="AB26" s="45" t="n">
        <x:v>1</x:v>
      </x:c>
      <x:c r="AC26" s="45" t="n">
        <x:v>0</x:v>
      </x:c>
      <x:c r="AD26" s="45" t="n">
        <x:v>2060</x:v>
      </x:c>
    </x:row>
    <x:row r="27">
      <x:c r="A27" s="58" t="n">
        <x:v>1867</x:v>
      </x:c>
      <x:c r="B27" s="46" t="n">
        <x:v>0.95</x:v>
      </x:c>
      <x:c r="C27" s="59" t="n">
        <x:v>0.014</x:v>
      </x:c>
      <x:c r="D27" s="45" t="n">
        <x:v>50000</x:v>
      </x:c>
      <x:c r="E27" s="45" t="n">
        <x:v>80000</x:v>
      </x:c>
      <x:c r="F27" s="45" t="n">
        <x:v>8000</x:v>
      </x:c>
      <x:c r="G27" s="45" t="n">
        <x:v>0</x:v>
      </x:c>
      <x:c r="H27" s="45" t="n">
        <x:v>0</x:v>
      </x:c>
      <x:c r="I27" s="59" t="n">
        <x:v>0.2</x:v>
      </x:c>
      <x:c r="J27" s="59" t="n">
        <x:v>0.4</x:v>
      </x:c>
      <x:c r="K27" s="45" t="n">
        <x:v>0</x:v>
      </x:c>
      <x:c r="L27" s="59" t="n">
        <x:v>0.02</x:v>
      </x:c>
      <x:c r="M27" s="46" t="n">
        <x:v>1</x:v>
      </x:c>
      <x:c r="N27" s="59" t="n">
        <x:v>0.255</x:v>
      </x:c>
      <x:c r="O27" s="59" t="n">
        <x:v>0.12</x:v>
      </x:c>
      <x:c r="P27" s="59" t="n">
        <x:v>0.115</x:v>
      </x:c>
      <x:c r="Q27" s="59" t="n">
        <x:v>0.85</x:v>
      </x:c>
      <x:c r="R27" s="60" t="n">
        <x:v>0.00044</x:v>
      </x:c>
      <x:c r="S27" s="52" t="n">
        <x:v>0</x:v>
      </x:c>
      <x:c r="T27" s="59" t="n">
        <x:v>0.0225</x:v>
      </x:c>
      <x:c r="U27" s="59" t="n">
        <x:v>0.0189</x:v>
      </x:c>
      <x:c r="V27" s="59" t="n">
        <x:v>0.0071</x:v>
      </x:c>
      <x:c r="W27" s="45" t="n">
        <x:v>18000</x:v>
      </x:c>
      <x:c r="X27" s="45" t="n">
        <x:v>120000</x:v>
      </x:c>
      <x:c r="Y27" s="59" t="n">
        <x:v>0.0636</x:v>
      </x:c>
      <x:c r="Z27" s="59" t="n">
        <x:v>0.05</x:v>
      </x:c>
      <x:c r="AA27" s="59" t="n">
        <x:v>0.03</x:v>
      </x:c>
      <x:c r="AB27" s="45" t="n">
        <x:v>1</x:v>
      </x:c>
      <x:c r="AC27" s="45" t="n">
        <x:v>0</x:v>
      </x:c>
      <x:c r="AD27" s="45" t="n">
        <x:v>2095</x:v>
      </x:c>
    </x:row>
    <x:row r="28">
      <x:c r="A28" s="58" t="n">
        <x:v>1868</x:v>
      </x:c>
      <x:c r="B28" s="46" t="n">
        <x:v>0.95</x:v>
      </x:c>
      <x:c r="C28" s="59" t="n">
        <x:v>0.019</x:v>
      </x:c>
      <x:c r="D28" s="45" t="n">
        <x:v>0</x:v>
      </x:c>
      <x:c r="E28" s="45" t="n">
        <x:v>80000</x:v>
      </x:c>
      <x:c r="F28" s="45" t="n">
        <x:v>15000</x:v>
      </x:c>
      <x:c r="G28" s="45" t="n">
        <x:v>0</x:v>
      </x:c>
      <x:c r="H28" s="45" t="n">
        <x:v>0</x:v>
      </x:c>
      <x:c r="I28" s="59" t="n">
        <x:v>0.2</x:v>
      </x:c>
      <x:c r="J28" s="59" t="n">
        <x:v>0.4</x:v>
      </x:c>
      <x:c r="K28" s="45" t="n">
        <x:v>0</x:v>
      </x:c>
      <x:c r="L28" s="59" t="n">
        <x:v>0.02</x:v>
      </x:c>
      <x:c r="M28" s="46" t="n">
        <x:v>1</x:v>
      </x:c>
      <x:c r="N28" s="59" t="n">
        <x:v>0.2533</x:v>
      </x:c>
      <x:c r="O28" s="59" t="n">
        <x:v>0.12</x:v>
      </x:c>
      <x:c r="P28" s="59" t="n">
        <x:v>0.115</x:v>
      </x:c>
      <x:c r="Q28" s="59" t="n">
        <x:v>0.85</x:v>
      </x:c>
      <x:c r="R28" s="60" t="n">
        <x:v>0.00046</x:v>
      </x:c>
      <x:c r="S28" s="52" t="n">
        <x:v>0</x:v>
      </x:c>
      <x:c r="T28" s="59" t="n">
        <x:v>0.0228</x:v>
      </x:c>
      <x:c r="U28" s="59" t="n">
        <x:v>0.019</x:v>
      </x:c>
      <x:c r="V28" s="59" t="n">
        <x:v>0.0072</x:v>
      </x:c>
      <x:c r="W28" s="45" t="n">
        <x:v>18000</x:v>
      </x:c>
      <x:c r="X28" s="45" t="n">
        <x:v>120000</x:v>
      </x:c>
      <x:c r="Y28" s="59" t="n">
        <x:v>0.0629</x:v>
      </x:c>
      <x:c r="Z28" s="59" t="n">
        <x:v>0.05</x:v>
      </x:c>
      <x:c r="AA28" s="59" t="n">
        <x:v>0.03</x:v>
      </x:c>
      <x:c r="AB28" s="45" t="n">
        <x:v>1</x:v>
      </x:c>
      <x:c r="AC28" s="45" t="n">
        <x:v>0</x:v>
      </x:c>
      <x:c r="AD28" s="45" t="n">
        <x:v>2130</x:v>
      </x:c>
    </x:row>
    <x:row r="29">
      <x:c r="A29" s="58" t="n">
        <x:v>1869</x:v>
      </x:c>
      <x:c r="B29" s="46" t="n">
        <x:v>0.95</x:v>
      </x:c>
      <x:c r="C29" s="59" t="n">
        <x:v>0.019</x:v>
      </x:c>
      <x:c r="D29" s="45" t="n">
        <x:v>0</x:v>
      </x:c>
      <x:c r="E29" s="45" t="n">
        <x:v>80000</x:v>
      </x:c>
      <x:c r="F29" s="45" t="n">
        <x:v>25000</x:v>
      </x:c>
      <x:c r="G29" s="45" t="n">
        <x:v>200</x:v>
      </x:c>
      <x:c r="H29" s="45" t="n">
        <x:v>0</x:v>
      </x:c>
      <x:c r="I29" s="59" t="n">
        <x:v>0.2</x:v>
      </x:c>
      <x:c r="J29" s="59" t="n">
        <x:v>0.4</x:v>
      </x:c>
      <x:c r="K29" s="45" t="n">
        <x:v>0</x:v>
      </x:c>
      <x:c r="L29" s="59" t="n">
        <x:v>0.02</x:v>
      </x:c>
      <x:c r="M29" s="46" t="n">
        <x:v>1</x:v>
      </x:c>
      <x:c r="N29" s="59" t="n">
        <x:v>0.2517</x:v>
      </x:c>
      <x:c r="O29" s="59" t="n">
        <x:v>0.12</x:v>
      </x:c>
      <x:c r="P29" s="59" t="n">
        <x:v>0.115</x:v>
      </x:c>
      <x:c r="Q29" s="59" t="n">
        <x:v>0.85</x:v>
      </x:c>
      <x:c r="R29" s="60" t="n">
        <x:v>0.00048</x:v>
      </x:c>
      <x:c r="S29" s="52" t="n">
        <x:v>0</x:v>
      </x:c>
      <x:c r="T29" s="59" t="n">
        <x:v>0.0231</x:v>
      </x:c>
      <x:c r="U29" s="59" t="n">
        <x:v>0.0191</x:v>
      </x:c>
      <x:c r="V29" s="59" t="n">
        <x:v>0.0073</x:v>
      </x:c>
      <x:c r="W29" s="45" t="n">
        <x:v>18000</x:v>
      </x:c>
      <x:c r="X29" s="45" t="n">
        <x:v>120000</x:v>
      </x:c>
      <x:c r="Y29" s="59" t="n">
        <x:v>0.0621</x:v>
      </x:c>
      <x:c r="Z29" s="59" t="n">
        <x:v>0.05</x:v>
      </x:c>
      <x:c r="AA29" s="59" t="n">
        <x:v>0.03</x:v>
      </x:c>
      <x:c r="AB29" s="45" t="n">
        <x:v>1</x:v>
      </x:c>
      <x:c r="AC29" s="45" t="n">
        <x:v>0</x:v>
      </x:c>
      <x:c r="AD29" s="45" t="n">
        <x:v>2165</x:v>
      </x:c>
    </x:row>
    <x:row r="30">
      <x:c r="A30" s="61" t="n">
        <x:v>1870</x:v>
      </x:c>
      <x:c r="B30" s="46" t="n">
        <x:v>0.95</x:v>
      </x:c>
      <x:c r="C30" s="59" t="n">
        <x:v>0.019</x:v>
      </x:c>
      <x:c r="D30" s="45" t="n">
        <x:v>0</x:v>
      </x:c>
      <x:c r="E30" s="45" t="n">
        <x:v>80000</x:v>
      </x:c>
      <x:c r="F30" s="45" t="n">
        <x:v>25000</x:v>
      </x:c>
      <x:c r="G30" s="45" t="n">
        <x:v>500</x:v>
      </x:c>
      <x:c r="H30" s="45" t="n">
        <x:v>0</x:v>
      </x:c>
      <x:c r="I30" s="59" t="n">
        <x:v>0.2</x:v>
      </x:c>
      <x:c r="J30" s="59" t="n">
        <x:v>0.4</x:v>
      </x:c>
      <x:c r="K30" s="45" t="n">
        <x:v>0</x:v>
      </x:c>
      <x:c r="L30" s="59" t="n">
        <x:v>0.02</x:v>
      </x:c>
      <x:c r="M30" s="46" t="n">
        <x:v>1</x:v>
      </x:c>
      <x:c r="N30" s="59" t="n">
        <x:v>0.25</x:v>
      </x:c>
      <x:c r="O30" s="59" t="n">
        <x:v>0.12</x:v>
      </x:c>
      <x:c r="P30" s="59" t="n">
        <x:v>0.115</x:v>
      </x:c>
      <x:c r="Q30" s="59" t="n">
        <x:v>0.85</x:v>
      </x:c>
      <x:c r="R30" s="60" t="n">
        <x:v>0.0005</x:v>
      </x:c>
      <x:c r="S30" s="52" t="n">
        <x:v>0</x:v>
      </x:c>
      <x:c r="T30" s="59" t="n">
        <x:v>0.0233</x:v>
      </x:c>
      <x:c r="U30" s="59" t="n">
        <x:v>0.0192</x:v>
      </x:c>
      <x:c r="V30" s="59" t="n">
        <x:v>0.0074</x:v>
      </x:c>
      <x:c r="W30" s="45" t="n">
        <x:v>18000</x:v>
      </x:c>
      <x:c r="X30" s="45" t="n">
        <x:v>120000</x:v>
      </x:c>
      <x:c r="Y30" s="59" t="n">
        <x:v>0.0614</x:v>
      </x:c>
      <x:c r="Z30" s="59" t="n">
        <x:v>0.05</x:v>
      </x:c>
      <x:c r="AA30" s="59" t="n">
        <x:v>0.03</x:v>
      </x:c>
      <x:c r="AB30" s="45" t="n">
        <x:v>1</x:v>
      </x:c>
      <x:c r="AC30" s="45" t="n">
        <x:v>1</x:v>
      </x:c>
      <x:c r="AD30" s="45" t="n">
        <x:v>2200</x:v>
      </x:c>
    </x:row>
    <x:row r="31">
      <x:c r="A31" s="61" t="n">
        <x:v>1871</x:v>
      </x:c>
      <x:c r="B31" s="46" t="n">
        <x:v>0.9360000000000001</x:v>
      </x:c>
      <x:c r="C31" s="59" t="n">
        <x:v>0.019</x:v>
      </x:c>
      <x:c r="D31" s="45" t="n">
        <x:v>0</x:v>
      </x:c>
      <x:c r="E31" s="45" t="n">
        <x:v>80000</x:v>
      </x:c>
      <x:c r="F31" s="45" t="n">
        <x:v>25000</x:v>
      </x:c>
      <x:c r="G31" s="45" t="n">
        <x:v>500</x:v>
      </x:c>
      <x:c r="H31" s="45" t="n">
        <x:v>0</x:v>
      </x:c>
      <x:c r="I31" s="59" t="n">
        <x:v>0.2</x:v>
      </x:c>
      <x:c r="J31" s="59" t="n">
        <x:v>0.4</x:v>
      </x:c>
      <x:c r="K31" s="45" t="n">
        <x:v>0</x:v>
      </x:c>
      <x:c r="L31" s="59" t="n">
        <x:v>0.022</x:v>
      </x:c>
      <x:c r="M31" s="46" t="n">
        <x:v>1</x:v>
      </x:c>
      <x:c r="N31" s="59" t="n">
        <x:v>0.2483</x:v>
      </x:c>
      <x:c r="O31" s="59" t="n">
        <x:v>0.12</x:v>
      </x:c>
      <x:c r="P31" s="59" t="n">
        <x:v>0.115</x:v>
      </x:c>
      <x:c r="Q31" s="59" t="n">
        <x:v>0.85</x:v>
      </x:c>
      <x:c r="R31" s="60" t="n">
        <x:v>0.00065</x:v>
      </x:c>
      <x:c r="S31" s="52" t="n">
        <x:v>0</x:v>
      </x:c>
      <x:c r="T31" s="59" t="n">
        <x:v>0.0236</x:v>
      </x:c>
      <x:c r="U31" s="59" t="n">
        <x:v>0.0192</x:v>
      </x:c>
      <x:c r="V31" s="59" t="n">
        <x:v>0.0075</x:v>
      </x:c>
      <x:c r="W31" s="45" t="n">
        <x:v>18200</x:v>
      </x:c>
      <x:c r="X31" s="45" t="n">
        <x:v>120000</x:v>
      </x:c>
      <x:c r="Y31" s="59" t="n">
        <x:v>0.0607</x:v>
      </x:c>
      <x:c r="Z31" s="59" t="n">
        <x:v>0.05</x:v>
      </x:c>
      <x:c r="AA31" s="59" t="n">
        <x:v>0.03</x:v>
      </x:c>
      <x:c r="AB31" s="45" t="n">
        <x:v>1</x:v>
      </x:c>
      <x:c r="AC31" s="45" t="n">
        <x:v>1</x:v>
      </x:c>
      <x:c r="AD31" s="45" t="n">
        <x:v>2265</x:v>
      </x:c>
    </x:row>
    <x:row r="32">
      <x:c r="A32" s="58" t="n">
        <x:v>1872</x:v>
      </x:c>
      <x:c r="B32" s="46" t="n">
        <x:v>0.922</x:v>
      </x:c>
      <x:c r="C32" s="59" t="n">
        <x:v>0.019</x:v>
      </x:c>
      <x:c r="D32" s="45" t="n">
        <x:v>0</x:v>
      </x:c>
      <x:c r="E32" s="45" t="n">
        <x:v>80000</x:v>
      </x:c>
      <x:c r="F32" s="45" t="n">
        <x:v>25000</x:v>
      </x:c>
      <x:c r="G32" s="45" t="n">
        <x:v>500</x:v>
      </x:c>
      <x:c r="H32" s="45" t="n">
        <x:v>0</x:v>
      </x:c>
      <x:c r="I32" s="59" t="n">
        <x:v>0.2</x:v>
      </x:c>
      <x:c r="J32" s="59" t="n">
        <x:v>0.4</x:v>
      </x:c>
      <x:c r="K32" s="45" t="n">
        <x:v>0</x:v>
      </x:c>
      <x:c r="L32" s="59" t="n">
        <x:v>0.022</x:v>
      </x:c>
      <x:c r="M32" s="46" t="n">
        <x:v>1</x:v>
      </x:c>
      <x:c r="N32" s="59" t="n">
        <x:v>0.2467</x:v>
      </x:c>
      <x:c r="O32" s="59" t="n">
        <x:v>0.12</x:v>
      </x:c>
      <x:c r="P32" s="59" t="n">
        <x:v>0.115</x:v>
      </x:c>
      <x:c r="Q32" s="59" t="n">
        <x:v>0.85</x:v>
      </x:c>
      <x:c r="R32" s="60" t="n">
        <x:v>0.0008</x:v>
      </x:c>
      <x:c r="S32" s="52" t="n">
        <x:v>0</x:v>
      </x:c>
      <x:c r="T32" s="59" t="n">
        <x:v>0.0239</x:v>
      </x:c>
      <x:c r="U32" s="59" t="n">
        <x:v>0.0193</x:v>
      </x:c>
      <x:c r="V32" s="59" t="n">
        <x:v>0.0076</x:v>
      </x:c>
      <x:c r="W32" s="45" t="n">
        <x:v>18400</x:v>
      </x:c>
      <x:c r="X32" s="45" t="n">
        <x:v>120000</x:v>
      </x:c>
      <x:c r="Y32" s="59" t="n">
        <x:v>0.06</x:v>
      </x:c>
      <x:c r="Z32" s="59" t="n">
        <x:v>0.05</x:v>
      </x:c>
      <x:c r="AA32" s="59" t="n">
        <x:v>0.03</x:v>
      </x:c>
      <x:c r="AB32" s="45" t="n">
        <x:v>1</x:v>
      </x:c>
      <x:c r="AC32" s="45" t="n">
        <x:v>0</x:v>
      </x:c>
      <x:c r="AD32" s="45" t="n">
        <x:v>2330</x:v>
      </x:c>
    </x:row>
    <x:row r="33">
      <x:c r="A33" s="58" t="n">
        <x:v>1873</x:v>
      </x:c>
      <x:c r="B33" s="46" t="n">
        <x:v>0.908</x:v>
      </x:c>
      <x:c r="C33" s="59" t="n">
        <x:v>0.019</x:v>
      </x:c>
      <x:c r="D33" s="45" t="n">
        <x:v>0</x:v>
      </x:c>
      <x:c r="E33" s="45" t="n">
        <x:v>110000</x:v>
      </x:c>
      <x:c r="F33" s="45" t="n">
        <x:v>25000</x:v>
      </x:c>
      <x:c r="G33" s="45" t="n">
        <x:v>500</x:v>
      </x:c>
      <x:c r="H33" s="45" t="n">
        <x:v>0</x:v>
      </x:c>
      <x:c r="I33" s="59" t="n">
        <x:v>0.2</x:v>
      </x:c>
      <x:c r="J33" s="59" t="n">
        <x:v>0.4</x:v>
      </x:c>
      <x:c r="K33" s="45" t="n">
        <x:v>0</x:v>
      </x:c>
      <x:c r="L33" s="59" t="n">
        <x:v>0.022</x:v>
      </x:c>
      <x:c r="M33" s="46" t="n">
        <x:v>0.98</x:v>
      </x:c>
      <x:c r="N33" s="59" t="n">
        <x:v>0.245</x:v>
      </x:c>
      <x:c r="O33" s="59" t="n">
        <x:v>0.12</x:v>
      </x:c>
      <x:c r="P33" s="59" t="n">
        <x:v>0.105</x:v>
      </x:c>
      <x:c r="Q33" s="59" t="n">
        <x:v>0.85</x:v>
      </x:c>
      <x:c r="R33" s="60" t="n">
        <x:v>0.00095</x:v>
      </x:c>
      <x:c r="S33" s="52" t="n">
        <x:v>0</x:v>
      </x:c>
      <x:c r="T33" s="59" t="n">
        <x:v>0.0241</x:v>
      </x:c>
      <x:c r="U33" s="59" t="n">
        <x:v>0.0194</x:v>
      </x:c>
      <x:c r="V33" s="59" t="n">
        <x:v>0.0077</x:v>
      </x:c>
      <x:c r="W33" s="45" t="n">
        <x:v>18600</x:v>
      </x:c>
      <x:c r="X33" s="45" t="n">
        <x:v>120000</x:v>
      </x:c>
      <x:c r="Y33" s="59" t="n">
        <x:v>0.0593</x:v>
      </x:c>
      <x:c r="Z33" s="59" t="n">
        <x:v>0.05</x:v>
      </x:c>
      <x:c r="AA33" s="59" t="n">
        <x:v>0.03</x:v>
      </x:c>
      <x:c r="AB33" s="45" t="n">
        <x:v>1</x:v>
      </x:c>
      <x:c r="AC33" s="45" t="n">
        <x:v>0</x:v>
      </x:c>
      <x:c r="AD33" s="45" t="n">
        <x:v>2395</x:v>
      </x:c>
    </x:row>
    <x:row r="34">
      <x:c r="A34" s="58" t="n">
        <x:v>1874</x:v>
      </x:c>
      <x:c r="B34" s="46" t="n">
        <x:v>0.894</x:v>
      </x:c>
      <x:c r="C34" s="59" t="n">
        <x:v>0.019</x:v>
      </x:c>
      <x:c r="D34" s="45" t="n">
        <x:v>0</x:v>
      </x:c>
      <x:c r="E34" s="45" t="n">
        <x:v>110000</x:v>
      </x:c>
      <x:c r="F34" s="45" t="n">
        <x:v>25000</x:v>
      </x:c>
      <x:c r="G34" s="45" t="n">
        <x:v>500</x:v>
      </x:c>
      <x:c r="H34" s="45" t="n">
        <x:v>0</x:v>
      </x:c>
      <x:c r="I34" s="59" t="n">
        <x:v>0.2</x:v>
      </x:c>
      <x:c r="J34" s="59" t="n">
        <x:v>0.4</x:v>
      </x:c>
      <x:c r="K34" s="45" t="n">
        <x:v>0</x:v>
      </x:c>
      <x:c r="L34" s="59" t="n">
        <x:v>0.022</x:v>
      </x:c>
      <x:c r="M34" s="46" t="n">
        <x:v>0.97</x:v>
      </x:c>
      <x:c r="N34" s="59" t="n">
        <x:v>0.2433</x:v>
      </x:c>
      <x:c r="O34" s="59" t="n">
        <x:v>0.12</x:v>
      </x:c>
      <x:c r="P34" s="59" t="n">
        <x:v>0.105</x:v>
      </x:c>
      <x:c r="Q34" s="59" t="n">
        <x:v>0.85</x:v>
      </x:c>
      <x:c r="R34" s="60" t="n">
        <x:v>0.0011</x:v>
      </x:c>
      <x:c r="S34" s="52" t="n">
        <x:v>0</x:v>
      </x:c>
      <x:c r="T34" s="59" t="n">
        <x:v>0.0244</x:v>
      </x:c>
      <x:c r="U34" s="59" t="n">
        <x:v>0.0195</x:v>
      </x:c>
      <x:c r="V34" s="59" t="n">
        <x:v>0.0078</x:v>
      </x:c>
      <x:c r="W34" s="45" t="n">
        <x:v>18800</x:v>
      </x:c>
      <x:c r="X34" s="45" t="n">
        <x:v>120000</x:v>
      </x:c>
      <x:c r="Y34" s="59" t="n">
        <x:v>0.0587</x:v>
      </x:c>
      <x:c r="Z34" s="59" t="n">
        <x:v>0.05</x:v>
      </x:c>
      <x:c r="AA34" s="59" t="n">
        <x:v>0.03</x:v>
      </x:c>
      <x:c r="AB34" s="45" t="n">
        <x:v>1</x:v>
      </x:c>
      <x:c r="AC34" s="45" t="n">
        <x:v>0</x:v>
      </x:c>
      <x:c r="AD34" s="45" t="n">
        <x:v>2460</x:v>
      </x:c>
    </x:row>
    <x:row r="35">
      <x:c r="A35" s="58" t="n">
        <x:v>1875</x:v>
      </x:c>
      <x:c r="B35" s="46" t="n">
        <x:v>0.88</x:v>
      </x:c>
      <x:c r="C35" s="59" t="n">
        <x:v>0.019</x:v>
      </x:c>
      <x:c r="D35" s="45" t="n">
        <x:v>0</x:v>
      </x:c>
      <x:c r="E35" s="45" t="n">
        <x:v>110000</x:v>
      </x:c>
      <x:c r="F35" s="45" t="n">
        <x:v>25000</x:v>
      </x:c>
      <x:c r="G35" s="45" t="n">
        <x:v>500</x:v>
      </x:c>
      <x:c r="H35" s="45" t="n">
        <x:v>0</x:v>
      </x:c>
      <x:c r="I35" s="59" t="n">
        <x:v>0.2</x:v>
      </x:c>
      <x:c r="J35" s="59" t="n">
        <x:v>0.4</x:v>
      </x:c>
      <x:c r="K35" s="45" t="n">
        <x:v>0</x:v>
      </x:c>
      <x:c r="L35" s="59" t="n">
        <x:v>0.022</x:v>
      </x:c>
      <x:c r="M35" s="46" t="n">
        <x:v>0.98</x:v>
      </x:c>
      <x:c r="N35" s="59" t="n">
        <x:v>0.2417</x:v>
      </x:c>
      <x:c r="O35" s="59" t="n">
        <x:v>0.12</x:v>
      </x:c>
      <x:c r="P35" s="59" t="n">
        <x:v>0.105</x:v>
      </x:c>
      <x:c r="Q35" s="59" t="n">
        <x:v>0.85</x:v>
      </x:c>
      <x:c r="R35" s="60" t="n">
        <x:v>0.00125</x:v>
      </x:c>
      <x:c r="S35" s="52" t="n">
        <x:v>0</x:v>
      </x:c>
      <x:c r="T35" s="59" t="n">
        <x:v>0.0247</x:v>
      </x:c>
      <x:c r="U35" s="59" t="n">
        <x:v>0.0196</x:v>
      </x:c>
      <x:c r="V35" s="59" t="n">
        <x:v>0.007900000000000001</x:v>
      </x:c>
      <x:c r="W35" s="45" t="n">
        <x:v>19000</x:v>
      </x:c>
      <x:c r="X35" s="45" t="n">
        <x:v>120000</x:v>
      </x:c>
      <x:c r="Y35" s="59" t="n">
        <x:v>0.058</x:v>
      </x:c>
      <x:c r="Z35" s="59" t="n">
        <x:v>0.05</x:v>
      </x:c>
      <x:c r="AA35" s="59" t="n">
        <x:v>0.03</x:v>
      </x:c>
      <x:c r="AB35" s="45" t="n">
        <x:v>1</x:v>
      </x:c>
      <x:c r="AC35" s="45" t="n">
        <x:v>0</x:v>
      </x:c>
      <x:c r="AD35" s="45" t="n">
        <x:v>2525</x:v>
      </x:c>
    </x:row>
    <x:row r="36">
      <x:c r="A36" s="58" t="n">
        <x:v>1876</x:v>
      </x:c>
      <x:c r="B36" s="46" t="n">
        <x:v>0.864</x:v>
      </x:c>
      <x:c r="C36" s="59" t="n">
        <x:v>0.019</x:v>
      </x:c>
      <x:c r="D36" s="45" t="n">
        <x:v>0</x:v>
      </x:c>
      <x:c r="E36" s="45" t="n">
        <x:v>110000</x:v>
      </x:c>
      <x:c r="F36" s="45" t="n">
        <x:v>25000</x:v>
      </x:c>
      <x:c r="G36" s="45" t="n">
        <x:v>500</x:v>
      </x:c>
      <x:c r="H36" s="45" t="n">
        <x:v>0</x:v>
      </x:c>
      <x:c r="I36" s="59" t="n">
        <x:v>0.2</x:v>
      </x:c>
      <x:c r="J36" s="59" t="n">
        <x:v>0.4</x:v>
      </x:c>
      <x:c r="K36" s="45" t="n">
        <x:v>6000000</x:v>
      </x:c>
      <x:c r="L36" s="59" t="n">
        <x:v>0.022</x:v>
      </x:c>
      <x:c r="M36" s="46" t="n">
        <x:v>1</x:v>
      </x:c>
      <x:c r="N36" s="59" t="n">
        <x:v>0.24</x:v>
      </x:c>
      <x:c r="O36" s="59" t="n">
        <x:v>0.12</x:v>
      </x:c>
      <x:c r="P36" s="59" t="n">
        <x:v>0.105</x:v>
      </x:c>
      <x:c r="Q36" s="59" t="n">
        <x:v>0.85</x:v>
      </x:c>
      <x:c r="R36" s="60" t="n">
        <x:v>0.0014</x:v>
      </x:c>
      <x:c r="S36" s="52" t="n">
        <x:v>0</x:v>
      </x:c>
      <x:c r="T36" s="59" t="n">
        <x:v>0.0249</x:v>
      </x:c>
      <x:c r="U36" s="59" t="n">
        <x:v>0.0197</x:v>
      </x:c>
      <x:c r="V36" s="59" t="n">
        <x:v>0.008</x:v>
      </x:c>
      <x:c r="W36" s="45" t="n">
        <x:v>19200</x:v>
      </x:c>
      <x:c r="X36" s="45" t="n">
        <x:v>120000</x:v>
      </x:c>
      <x:c r="Y36" s="59" t="n">
        <x:v>0.0574</x:v>
      </x:c>
      <x:c r="Z36" s="59" t="n">
        <x:v>0.05</x:v>
      </x:c>
      <x:c r="AA36" s="59" t="n">
        <x:v>0.03</x:v>
      </x:c>
      <x:c r="AB36" s="45" t="n">
        <x:v>1</x:v>
      </x:c>
      <x:c r="AC36" s="45" t="n">
        <x:v>0</x:v>
      </x:c>
      <x:c r="AD36" s="45" t="n">
        <x:v>2590</x:v>
      </x:c>
    </x:row>
    <x:row r="37">
      <x:c r="A37" s="58" t="n">
        <x:v>1877</x:v>
      </x:c>
      <x:c r="B37" s="46" t="n">
        <x:v>0.848</x:v>
      </x:c>
      <x:c r="C37" s="59" t="n">
        <x:v>0.019</x:v>
      </x:c>
      <x:c r="D37" s="45" t="n">
        <x:v>0</x:v>
      </x:c>
      <x:c r="E37" s="45" t="n">
        <x:v>110000</x:v>
      </x:c>
      <x:c r="F37" s="45" t="n">
        <x:v>25000</x:v>
      </x:c>
      <x:c r="G37" s="45" t="n">
        <x:v>500</x:v>
      </x:c>
      <x:c r="H37" s="45" t="n">
        <x:v>1000</x:v>
      </x:c>
      <x:c r="I37" s="59" t="n">
        <x:v>0.2</x:v>
      </x:c>
      <x:c r="J37" s="59" t="n">
        <x:v>0.4</x:v>
      </x:c>
      <x:c r="K37" s="45" t="n">
        <x:v>6055000</x:v>
      </x:c>
      <x:c r="L37" s="59" t="n">
        <x:v>0.022</x:v>
      </x:c>
      <x:c r="M37" s="46" t="n">
        <x:v>0.98</x:v>
      </x:c>
      <x:c r="N37" s="59" t="n">
        <x:v>0.2383</x:v>
      </x:c>
      <x:c r="O37" s="59" t="n">
        <x:v>0.12</x:v>
      </x:c>
      <x:c r="P37" s="59" t="n">
        <x:v>0.105</x:v>
      </x:c>
      <x:c r="Q37" s="59" t="n">
        <x:v>0.85</x:v>
      </x:c>
      <x:c r="R37" s="60" t="n">
        <x:v>0.00155</x:v>
      </x:c>
      <x:c r="S37" s="52" t="n">
        <x:v>0</x:v>
      </x:c>
      <x:c r="T37" s="59" t="n">
        <x:v>0.0252</x:v>
      </x:c>
      <x:c r="U37" s="59" t="n">
        <x:v>0.0198</x:v>
      </x:c>
      <x:c r="V37" s="59" t="n">
        <x:v>0.008200000000000001</x:v>
      </x:c>
      <x:c r="W37" s="45" t="n">
        <x:v>19400</x:v>
      </x:c>
      <x:c r="X37" s="45" t="n">
        <x:v>120000</x:v>
      </x:c>
      <x:c r="Y37" s="59" t="n">
        <x:v>0.0567</x:v>
      </x:c>
      <x:c r="Z37" s="59" t="n">
        <x:v>0.05</x:v>
      </x:c>
      <x:c r="AA37" s="59" t="n">
        <x:v>0.03</x:v>
      </x:c>
      <x:c r="AB37" s="45" t="n">
        <x:v>1</x:v>
      </x:c>
      <x:c r="AC37" s="45" t="n">
        <x:v>0</x:v>
      </x:c>
      <x:c r="AD37" s="45" t="n">
        <x:v>2655</x:v>
      </x:c>
    </x:row>
    <x:row r="38">
      <x:c r="A38" s="58" t="n">
        <x:v>1878</x:v>
      </x:c>
      <x:c r="B38" s="46" t="n">
        <x:v>0.832</x:v>
      </x:c>
      <x:c r="C38" s="59" t="n">
        <x:v>0.019</x:v>
      </x:c>
      <x:c r="D38" s="45" t="n">
        <x:v>0</x:v>
      </x:c>
      <x:c r="E38" s="45" t="n">
        <x:v>110000</x:v>
      </x:c>
      <x:c r="F38" s="45" t="n">
        <x:v>25000</x:v>
      </x:c>
      <x:c r="G38" s="45" t="n">
        <x:v>500</x:v>
      </x:c>
      <x:c r="H38" s="45" t="n">
        <x:v>1000</x:v>
      </x:c>
      <x:c r="I38" s="59" t="n">
        <x:v>0.2</x:v>
      </x:c>
      <x:c r="J38" s="59" t="n">
        <x:v>0.4</x:v>
      </x:c>
      <x:c r="K38" s="45" t="n">
        <x:v>6109000</x:v>
      </x:c>
      <x:c r="L38" s="59" t="n">
        <x:v>0.022</x:v>
      </x:c>
      <x:c r="M38" s="46" t="n">
        <x:v>1</x:v>
      </x:c>
      <x:c r="N38" s="59" t="n">
        <x:v>0.2367</x:v>
      </x:c>
      <x:c r="O38" s="59" t="n">
        <x:v>0.12</x:v>
      </x:c>
      <x:c r="P38" s="59" t="n">
        <x:v>0.105</x:v>
      </x:c>
      <x:c r="Q38" s="59" t="n">
        <x:v>0.85</x:v>
      </x:c>
      <x:c r="R38" s="60" t="n">
        <x:v>0.0017</x:v>
      </x:c>
      <x:c r="S38" s="52" t="n">
        <x:v>0</x:v>
      </x:c>
      <x:c r="T38" s="59" t="n">
        <x:v>0.0255</x:v>
      </x:c>
      <x:c r="U38" s="59" t="n">
        <x:v>0.0198</x:v>
      </x:c>
      <x:c r="V38" s="59" t="n">
        <x:v>0.008399999999999999</x:v>
      </x:c>
      <x:c r="W38" s="45" t="n">
        <x:v>19600</x:v>
      </x:c>
      <x:c r="X38" s="45" t="n">
        <x:v>120000</x:v>
      </x:c>
      <x:c r="Y38" s="59" t="n">
        <x:v>0.0561</x:v>
      </x:c>
      <x:c r="Z38" s="59" t="n">
        <x:v>0.05</x:v>
      </x:c>
      <x:c r="AA38" s="59" t="n">
        <x:v>0.03</x:v>
      </x:c>
      <x:c r="AB38" s="45" t="n">
        <x:v>1</x:v>
      </x:c>
      <x:c r="AC38" s="45" t="n">
        <x:v>0</x:v>
      </x:c>
      <x:c r="AD38" s="45" t="n">
        <x:v>2720</x:v>
      </x:c>
    </x:row>
    <x:row r="39">
      <x:c r="A39" s="58" t="n">
        <x:v>1879</x:v>
      </x:c>
      <x:c r="B39" s="46" t="n">
        <x:v>0.8159999999999999</x:v>
      </x:c>
      <x:c r="C39" s="59" t="n">
        <x:v>0.019</x:v>
      </x:c>
      <x:c r="D39" s="45" t="n">
        <x:v>0</x:v>
      </x:c>
      <x:c r="E39" s="45" t="n">
        <x:v>110000</x:v>
      </x:c>
      <x:c r="F39" s="45" t="n">
        <x:v>25000</x:v>
      </x:c>
      <x:c r="G39" s="45" t="n">
        <x:v>500</x:v>
      </x:c>
      <x:c r="H39" s="45" t="n">
        <x:v>1000</x:v>
      </x:c>
      <x:c r="I39" s="59" t="n">
        <x:v>0.2</x:v>
      </x:c>
      <x:c r="J39" s="59" t="n">
        <x:v>0.4</x:v>
      </x:c>
      <x:c r="K39" s="45" t="n">
        <x:v>6164000</x:v>
      </x:c>
      <x:c r="L39" s="59" t="n">
        <x:v>0.022</x:v>
      </x:c>
      <x:c r="M39" s="46" t="n">
        <x:v>1</x:v>
      </x:c>
      <x:c r="N39" s="59" t="n">
        <x:v>0.235</x:v>
      </x:c>
      <x:c r="O39" s="59" t="n">
        <x:v>0.12</x:v>
      </x:c>
      <x:c r="P39" s="59" t="n">
        <x:v>0.105</x:v>
      </x:c>
      <x:c r="Q39" s="59" t="n">
        <x:v>0.85</x:v>
      </x:c>
      <x:c r="R39" s="60" t="n">
        <x:v>0.00185</x:v>
      </x:c>
      <x:c r="S39" s="52" t="n">
        <x:v>0</x:v>
      </x:c>
      <x:c r="T39" s="59" t="n">
        <x:v>0.0257</x:v>
      </x:c>
      <x:c r="U39" s="59" t="n">
        <x:v>0.0199</x:v>
      </x:c>
      <x:c r="V39" s="59" t="n">
        <x:v>0.008699999999999999</x:v>
      </x:c>
      <x:c r="W39" s="45" t="n">
        <x:v>19800</x:v>
      </x:c>
      <x:c r="X39" s="45" t="n">
        <x:v>120000</x:v>
      </x:c>
      <x:c r="Y39" s="59" t="n">
        <x:v>0.0554</x:v>
      </x:c>
      <x:c r="Z39" s="59" t="n">
        <x:v>0.05</x:v>
      </x:c>
      <x:c r="AA39" s="59" t="n">
        <x:v>0.03</x:v>
      </x:c>
      <x:c r="AB39" s="45" t="n">
        <x:v>1</x:v>
      </x:c>
      <x:c r="AC39" s="45" t="n">
        <x:v>0</x:v>
      </x:c>
      <x:c r="AD39" s="45" t="n">
        <x:v>2785</x:v>
      </x:c>
    </x:row>
    <x:row r="40">
      <x:c r="A40" s="58" t="n">
        <x:v>1880</x:v>
      </x:c>
      <x:c r="B40" s="46" t="n">
        <x:v>0.8</x:v>
      </x:c>
      <x:c r="C40" s="59" t="n">
        <x:v>0.019</x:v>
      </x:c>
      <x:c r="D40" s="45" t="n">
        <x:v>0</x:v>
      </x:c>
      <x:c r="E40" s="45" t="n">
        <x:v>110000</x:v>
      </x:c>
      <x:c r="F40" s="45" t="n">
        <x:v>25000</x:v>
      </x:c>
      <x:c r="G40" s="45" t="n">
        <x:v>500</x:v>
      </x:c>
      <x:c r="H40" s="45" t="n">
        <x:v>1000</x:v>
      </x:c>
      <x:c r="I40" s="59" t="n">
        <x:v>0.2</x:v>
      </x:c>
      <x:c r="J40" s="59" t="n">
        <x:v>0.4</x:v>
      </x:c>
      <x:c r="K40" s="45" t="n">
        <x:v>6218000</x:v>
      </x:c>
      <x:c r="L40" s="59" t="n">
        <x:v>0.022</x:v>
      </x:c>
      <x:c r="M40" s="46" t="n">
        <x:v>1</x:v>
      </x:c>
      <x:c r="N40" s="59" t="n">
        <x:v>0.2333</x:v>
      </x:c>
      <x:c r="O40" s="59" t="n">
        <x:v>0.12</x:v>
      </x:c>
      <x:c r="P40" s="59" t="n">
        <x:v>0.105</x:v>
      </x:c>
      <x:c r="Q40" s="59" t="n">
        <x:v>0.85</x:v>
      </x:c>
      <x:c r="R40" s="60" t="n">
        <x:v>0.002</x:v>
      </x:c>
      <x:c r="S40" s="52" t="n">
        <x:v>0</x:v>
      </x:c>
      <x:c r="T40" s="59" t="n">
        <x:v>0.026</x:v>
      </x:c>
      <x:c r="U40" s="59" t="n">
        <x:v>0.02</x:v>
      </x:c>
      <x:c r="V40" s="59" t="n">
        <x:v>0.0089</x:v>
      </x:c>
      <x:c r="W40" s="45" t="n">
        <x:v>20000</x:v>
      </x:c>
      <x:c r="X40" s="45" t="n">
        <x:v>120000</x:v>
      </x:c>
      <x:c r="Y40" s="59" t="n">
        <x:v>0.0548</x:v>
      </x:c>
      <x:c r="Z40" s="59" t="n">
        <x:v>0.05</x:v>
      </x:c>
      <x:c r="AA40" s="59" t="n">
        <x:v>0.03</x:v>
      </x:c>
      <x:c r="AB40" s="45" t="n">
        <x:v>1</x:v>
      </x:c>
      <x:c r="AC40" s="45" t="n">
        <x:v>0</x:v>
      </x:c>
      <x:c r="AD40" s="45" t="n">
        <x:v>2850</x:v>
      </x:c>
    </x:row>
    <x:row r="41">
      <x:c r="A41" s="58" t="n">
        <x:v>1881</x:v>
      </x:c>
      <x:c r="B41" s="46" t="n">
        <x:v>0.788</x:v>
      </x:c>
      <x:c r="C41" s="59" t="n">
        <x:v>0.019</x:v>
      </x:c>
      <x:c r="D41" s="45" t="n">
        <x:v>0</x:v>
      </x:c>
      <x:c r="E41" s="45" t="n">
        <x:v>110000</x:v>
      </x:c>
      <x:c r="F41" s="45" t="n">
        <x:v>25000</x:v>
      </x:c>
      <x:c r="G41" s="45" t="n">
        <x:v>500</x:v>
      </x:c>
      <x:c r="H41" s="45" t="n">
        <x:v>1000</x:v>
      </x:c>
      <x:c r="I41" s="59" t="n">
        <x:v>0.2</x:v>
      </x:c>
      <x:c r="J41" s="59" t="n">
        <x:v>0.4</x:v>
      </x:c>
      <x:c r="K41" s="45" t="n">
        <x:v>6273000</x:v>
      </x:c>
      <x:c r="L41" s="59" t="n">
        <x:v>0.018</x:v>
      </x:c>
      <x:c r="M41" s="46" t="n">
        <x:v>1</x:v>
      </x:c>
      <x:c r="N41" s="59" t="n">
        <x:v>0.2317</x:v>
      </x:c>
      <x:c r="O41" s="59" t="n">
        <x:v>0.12</x:v>
      </x:c>
      <x:c r="P41" s="59" t="n">
        <x:v>0.09</x:v>
      </x:c>
      <x:c r="Q41" s="59" t="n">
        <x:v>0.85</x:v>
      </x:c>
      <x:c r="R41" s="60" t="n">
        <x:v>0.002</x:v>
      </x:c>
      <x:c r="S41" s="52" t="n">
        <x:v>0</x:v>
      </x:c>
      <x:c r="T41" s="59" t="n">
        <x:v>0.0265</x:v>
      </x:c>
      <x:c r="U41" s="59" t="n">
        <x:v>0.02</x:v>
      </x:c>
      <x:c r="V41" s="59" t="n">
        <x:v>0.0091</x:v>
      </x:c>
      <x:c r="W41" s="45" t="n">
        <x:v>20800</x:v>
      </x:c>
      <x:c r="X41" s="45" t="n">
        <x:v>122000</x:v>
      </x:c>
      <x:c r="Y41" s="59" t="n">
        <x:v>0.0541</x:v>
      </x:c>
      <x:c r="Z41" s="59" t="n">
        <x:v>0.05</x:v>
      </x:c>
      <x:c r="AA41" s="59" t="n">
        <x:v>0.03</x:v>
      </x:c>
      <x:c r="AB41" s="45" t="n">
        <x:v>1</x:v>
      </x:c>
      <x:c r="AC41" s="45" t="n">
        <x:v>0</x:v>
      </x:c>
      <x:c r="AD41" s="45" t="n">
        <x:v>2915</x:v>
      </x:c>
    </x:row>
    <x:row r="42">
      <x:c r="A42" s="58" t="n">
        <x:v>1882</x:v>
      </x:c>
      <x:c r="B42" s="46" t="n">
        <x:v>0.776</x:v>
      </x:c>
      <x:c r="C42" s="59" t="n">
        <x:v>0.019</x:v>
      </x:c>
      <x:c r="D42" s="45" t="n">
        <x:v>0</x:v>
      </x:c>
      <x:c r="E42" s="45" t="n">
        <x:v>110000</x:v>
      </x:c>
      <x:c r="F42" s="45" t="n">
        <x:v>25000</x:v>
      </x:c>
      <x:c r="G42" s="45" t="n">
        <x:v>500</x:v>
      </x:c>
      <x:c r="H42" s="45" t="n">
        <x:v>1000</x:v>
      </x:c>
      <x:c r="I42" s="59" t="n">
        <x:v>0.2</x:v>
      </x:c>
      <x:c r="J42" s="59" t="n">
        <x:v>0.4</x:v>
      </x:c>
      <x:c r="K42" s="45" t="n">
        <x:v>6327000</x:v>
      </x:c>
      <x:c r="L42" s="59" t="n">
        <x:v>0.018</x:v>
      </x:c>
      <x:c r="M42" s="46" t="n">
        <x:v>1</x:v>
      </x:c>
      <x:c r="N42" s="59" t="n">
        <x:v>0.23</x:v>
      </x:c>
      <x:c r="O42" s="59" t="n">
        <x:v>0.12</x:v>
      </x:c>
      <x:c r="P42" s="59" t="n">
        <x:v>0.09</x:v>
      </x:c>
      <x:c r="Q42" s="59" t="n">
        <x:v>0.85</x:v>
      </x:c>
      <x:c r="R42" s="60" t="n">
        <x:v>0.002</x:v>
      </x:c>
      <x:c r="S42" s="52" t="n">
        <x:v>0</x:v>
      </x:c>
      <x:c r="T42" s="59" t="n">
        <x:v>0.027</x:v>
      </x:c>
      <x:c r="U42" s="59" t="n">
        <x:v>0.02</x:v>
      </x:c>
      <x:c r="V42" s="59" t="n">
        <x:v>0.009299999999999999</x:v>
      </x:c>
      <x:c r="W42" s="45" t="n">
        <x:v>21600</x:v>
      </x:c>
      <x:c r="X42" s="45" t="n">
        <x:v>123000</x:v>
      </x:c>
      <x:c r="Y42" s="59" t="n">
        <x:v>0.0535</x:v>
      </x:c>
      <x:c r="Z42" s="59" t="n">
        <x:v>0.05</x:v>
      </x:c>
      <x:c r="AA42" s="59" t="n">
        <x:v>0.03</x:v>
      </x:c>
      <x:c r="AB42" s="45" t="n">
        <x:v>1</x:v>
      </x:c>
      <x:c r="AC42" s="45" t="n">
        <x:v>0</x:v>
      </x:c>
      <x:c r="AD42" s="45" t="n">
        <x:v>2980</x:v>
      </x:c>
    </x:row>
    <x:row r="43">
      <x:c r="A43" s="58" t="n">
        <x:v>1883</x:v>
      </x:c>
      <x:c r="B43" s="46" t="n">
        <x:v>0.764</x:v>
      </x:c>
      <x:c r="C43" s="59" t="n">
        <x:v>0.019</x:v>
      </x:c>
      <x:c r="D43" s="45" t="n">
        <x:v>0</x:v>
      </x:c>
      <x:c r="E43" s="45" t="n">
        <x:v>110000</x:v>
      </x:c>
      <x:c r="F43" s="45" t="n">
        <x:v>25000</x:v>
      </x:c>
      <x:c r="G43" s="45" t="n">
        <x:v>500</x:v>
      </x:c>
      <x:c r="H43" s="45" t="n">
        <x:v>1000</x:v>
      </x:c>
      <x:c r="I43" s="59" t="n">
        <x:v>0.2</x:v>
      </x:c>
      <x:c r="J43" s="59" t="n">
        <x:v>0.4</x:v>
      </x:c>
      <x:c r="K43" s="45" t="n">
        <x:v>6382000</x:v>
      </x:c>
      <x:c r="L43" s="59" t="n">
        <x:v>0.018</x:v>
      </x:c>
      <x:c r="M43" s="46" t="n">
        <x:v>1</x:v>
      </x:c>
      <x:c r="N43" s="59" t="n">
        <x:v>0.2283</x:v>
      </x:c>
      <x:c r="O43" s="59" t="n">
        <x:v>0.12</x:v>
      </x:c>
      <x:c r="P43" s="59" t="n">
        <x:v>0.09</x:v>
      </x:c>
      <x:c r="Q43" s="59" t="n">
        <x:v>0.85</x:v>
      </x:c>
      <x:c r="R43" s="60" t="n">
        <x:v>0.002</x:v>
      </x:c>
      <x:c r="S43" s="52" t="n">
        <x:v>0</x:v>
      </x:c>
      <x:c r="T43" s="59" t="n">
        <x:v>0.0275</x:v>
      </x:c>
      <x:c r="U43" s="59" t="n">
        <x:v>0.02</x:v>
      </x:c>
      <x:c r="V43" s="59" t="n">
        <x:v>0.009599999999999999</x:v>
      </x:c>
      <x:c r="W43" s="45" t="n">
        <x:v>22400</x:v>
      </x:c>
      <x:c r="X43" s="45" t="n">
        <x:v>124000</x:v>
      </x:c>
      <x:c r="Y43" s="59" t="n">
        <x:v>0.0528</x:v>
      </x:c>
      <x:c r="Z43" s="59" t="n">
        <x:v>0.05</x:v>
      </x:c>
      <x:c r="AA43" s="59" t="n">
        <x:v>0.03</x:v>
      </x:c>
      <x:c r="AB43" s="45" t="n">
        <x:v>1</x:v>
      </x:c>
      <x:c r="AC43" s="45" t="n">
        <x:v>0</x:v>
      </x:c>
      <x:c r="AD43" s="45" t="n">
        <x:v>3045</x:v>
      </x:c>
    </x:row>
    <x:row r="44">
      <x:c r="A44" s="58" t="n">
        <x:v>1884</x:v>
      </x:c>
      <x:c r="B44" s="46" t="n">
        <x:v>0.752</x:v>
      </x:c>
      <x:c r="C44" s="59" t="n">
        <x:v>0.019</x:v>
      </x:c>
      <x:c r="D44" s="45" t="n">
        <x:v>0</x:v>
      </x:c>
      <x:c r="E44" s="45" t="n">
        <x:v>110000</x:v>
      </x:c>
      <x:c r="F44" s="45" t="n">
        <x:v>25000</x:v>
      </x:c>
      <x:c r="G44" s="45" t="n">
        <x:v>500</x:v>
      </x:c>
      <x:c r="H44" s="45" t="n">
        <x:v>1000</x:v>
      </x:c>
      <x:c r="I44" s="59" t="n">
        <x:v>0.2</x:v>
      </x:c>
      <x:c r="J44" s="59" t="n">
        <x:v>0.4</x:v>
      </x:c>
      <x:c r="K44" s="45" t="n">
        <x:v>6436000</x:v>
      </x:c>
      <x:c r="L44" s="59" t="n">
        <x:v>0.018</x:v>
      </x:c>
      <x:c r="M44" s="46" t="n">
        <x:v>0.98</x:v>
      </x:c>
      <x:c r="N44" s="59" t="n">
        <x:v>0.2267</x:v>
      </x:c>
      <x:c r="O44" s="59" t="n">
        <x:v>0.12</x:v>
      </x:c>
      <x:c r="P44" s="59" t="n">
        <x:v>0.09</x:v>
      </x:c>
      <x:c r="Q44" s="59" t="n">
        <x:v>0.85</x:v>
      </x:c>
      <x:c r="R44" s="60" t="n">
        <x:v>0.002</x:v>
      </x:c>
      <x:c r="S44" s="52" t="n">
        <x:v>0</x:v>
      </x:c>
      <x:c r="T44" s="59" t="n">
        <x:v>0.028</x:v>
      </x:c>
      <x:c r="U44" s="59" t="n">
        <x:v>0.02</x:v>
      </x:c>
      <x:c r="V44" s="59" t="n">
        <x:v>0.0098</x:v>
      </x:c>
      <x:c r="W44" s="45" t="n">
        <x:v>23200</x:v>
      </x:c>
      <x:c r="X44" s="45" t="n">
        <x:v>126000</x:v>
      </x:c>
      <x:c r="Y44" s="59" t="n">
        <x:v>0.0522</x:v>
      </x:c>
      <x:c r="Z44" s="59" t="n">
        <x:v>0.05</x:v>
      </x:c>
      <x:c r="AA44" s="59" t="n">
        <x:v>0.03</x:v>
      </x:c>
      <x:c r="AB44" s="45" t="n">
        <x:v>1</x:v>
      </x:c>
      <x:c r="AC44" s="45" t="n">
        <x:v>0</x:v>
      </x:c>
      <x:c r="AD44" s="45" t="n">
        <x:v>3110</x:v>
      </x:c>
    </x:row>
    <x:row r="45">
      <x:c r="A45" s="58" t="n">
        <x:v>1885</x:v>
      </x:c>
      <x:c r="B45" s="46" t="n">
        <x:v>0.74</x:v>
      </x:c>
      <x:c r="C45" s="59" t="n">
        <x:v>0.019</x:v>
      </x:c>
      <x:c r="D45" s="45" t="n">
        <x:v>0</x:v>
      </x:c>
      <x:c r="E45" s="45" t="n">
        <x:v>110000</x:v>
      </x:c>
      <x:c r="F45" s="45" t="n">
        <x:v>25000</x:v>
      </x:c>
      <x:c r="G45" s="45" t="n">
        <x:v>3000</x:v>
      </x:c>
      <x:c r="H45" s="45" t="n">
        <x:v>1000</x:v>
      </x:c>
      <x:c r="I45" s="59" t="n">
        <x:v>0.2</x:v>
      </x:c>
      <x:c r="J45" s="59" t="n">
        <x:v>0.4</x:v>
      </x:c>
      <x:c r="K45" s="45" t="n">
        <x:v>6491000</x:v>
      </x:c>
      <x:c r="L45" s="59" t="n">
        <x:v>0.018</x:v>
      </x:c>
      <x:c r="M45" s="46" t="n">
        <x:v>0.98</x:v>
      </x:c>
      <x:c r="N45" s="59" t="n">
        <x:v>0.225</x:v>
      </x:c>
      <x:c r="O45" s="59" t="n">
        <x:v>0.12</x:v>
      </x:c>
      <x:c r="P45" s="59" t="n">
        <x:v>0.09</x:v>
      </x:c>
      <x:c r="Q45" s="59" t="n">
        <x:v>0.85</x:v>
      </x:c>
      <x:c r="R45" s="60" t="n">
        <x:v>0.002</x:v>
      </x:c>
      <x:c r="S45" s="52" t="n">
        <x:v>0</x:v>
      </x:c>
      <x:c r="T45" s="59" t="n">
        <x:v>0.0285</x:v>
      </x:c>
      <x:c r="U45" s="59" t="n">
        <x:v>0.02</x:v>
      </x:c>
      <x:c r="V45" s="59" t="n">
        <x:v>0.01</x:v>
      </x:c>
      <x:c r="W45" s="45" t="n">
        <x:v>24000</x:v>
      </x:c>
      <x:c r="X45" s="45" t="n">
        <x:v>128000</x:v>
      </x:c>
      <x:c r="Y45" s="59" t="n">
        <x:v>0.0515</x:v>
      </x:c>
      <x:c r="Z45" s="59" t="n">
        <x:v>0.05</x:v>
      </x:c>
      <x:c r="AA45" s="59" t="n">
        <x:v>0.03</x:v>
      </x:c>
      <x:c r="AB45" s="45" t="n">
        <x:v>1</x:v>
      </x:c>
      <x:c r="AC45" s="45" t="n">
        <x:v>0</x:v>
      </x:c>
      <x:c r="AD45" s="45" t="n">
        <x:v>3175</x:v>
      </x:c>
    </x:row>
    <x:row r="46">
      <x:c r="A46" s="58" t="n">
        <x:v>1886</x:v>
      </x:c>
      <x:c r="B46" s="46" t="n">
        <x:v>0.738</x:v>
      </x:c>
      <x:c r="C46" s="59" t="n">
        <x:v>0.019</x:v>
      </x:c>
      <x:c r="D46" s="45" t="n">
        <x:v>0</x:v>
      </x:c>
      <x:c r="E46" s="45" t="n">
        <x:v>110000</x:v>
      </x:c>
      <x:c r="F46" s="45" t="n">
        <x:v>25000</x:v>
      </x:c>
      <x:c r="G46" s="45" t="n">
        <x:v>8000</x:v>
      </x:c>
      <x:c r="H46" s="45" t="n">
        <x:v>1000</x:v>
      </x:c>
      <x:c r="I46" s="59" t="n">
        <x:v>0.2</x:v>
      </x:c>
      <x:c r="J46" s="59" t="n">
        <x:v>0.4</x:v>
      </x:c>
      <x:c r="K46" s="45" t="n">
        <x:v>6545000</x:v>
      </x:c>
      <x:c r="L46" s="59" t="n">
        <x:v>0.018</x:v>
      </x:c>
      <x:c r="M46" s="46" t="n">
        <x:v>1</x:v>
      </x:c>
      <x:c r="N46" s="59" t="n">
        <x:v>0.2233</x:v>
      </x:c>
      <x:c r="O46" s="59" t="n">
        <x:v>0.12</x:v>
      </x:c>
      <x:c r="P46" s="59" t="n">
        <x:v>0.09</x:v>
      </x:c>
      <x:c r="Q46" s="59" t="n">
        <x:v>0.85</x:v>
      </x:c>
      <x:c r="R46" s="60" t="n">
        <x:v>0.002</x:v>
      </x:c>
      <x:c r="S46" s="52" t="n">
        <x:v>0</x:v>
      </x:c>
      <x:c r="T46" s="59" t="n">
        <x:v>0.029</x:v>
      </x:c>
      <x:c r="U46" s="59" t="n">
        <x:v>0.02</x:v>
      </x:c>
      <x:c r="V46" s="59" t="n">
        <x:v>0.009900000000000001</x:v>
      </x:c>
      <x:c r="W46" s="45" t="n">
        <x:v>26000</x:v>
      </x:c>
      <x:c r="X46" s="45" t="n">
        <x:v>129000</x:v>
      </x:c>
      <x:c r="Y46" s="59" t="n">
        <x:v>0.0509</x:v>
      </x:c>
      <x:c r="Z46" s="59" t="n">
        <x:v>0.05</x:v>
      </x:c>
      <x:c r="AA46" s="59" t="n">
        <x:v>0.03</x:v>
      </x:c>
      <x:c r="AB46" s="45" t="n">
        <x:v>1</x:v>
      </x:c>
      <x:c r="AC46" s="45" t="n">
        <x:v>0</x:v>
      </x:c>
      <x:c r="AD46" s="45" t="n">
        <x:v>3240</x:v>
      </x:c>
    </x:row>
    <x:row r="47">
      <x:c r="A47" s="58" t="n">
        <x:v>1887</x:v>
      </x:c>
      <x:c r="B47" s="46" t="n">
        <x:v>0.736</x:v>
      </x:c>
      <x:c r="C47" s="59" t="n">
        <x:v>0.019</x:v>
      </x:c>
      <x:c r="D47" s="45" t="n">
        <x:v>0</x:v>
      </x:c>
      <x:c r="E47" s="45" t="n">
        <x:v>110000</x:v>
      </x:c>
      <x:c r="F47" s="45" t="n">
        <x:v>25000</x:v>
      </x:c>
      <x:c r="G47" s="45" t="n">
        <x:v>8000</x:v>
      </x:c>
      <x:c r="H47" s="45" t="n">
        <x:v>1000</x:v>
      </x:c>
      <x:c r="I47" s="59" t="n">
        <x:v>0.2</x:v>
      </x:c>
      <x:c r="J47" s="59" t="n">
        <x:v>0.4</x:v>
      </x:c>
      <x:c r="K47" s="45" t="n">
        <x:v>6600000</x:v>
      </x:c>
      <x:c r="L47" s="59" t="n">
        <x:v>0.018</x:v>
      </x:c>
      <x:c r="M47" s="46" t="n">
        <x:v>1</x:v>
      </x:c>
      <x:c r="N47" s="59" t="n">
        <x:v>0.2217</x:v>
      </x:c>
      <x:c r="O47" s="59" t="n">
        <x:v>0.12</x:v>
      </x:c>
      <x:c r="P47" s="59" t="n">
        <x:v>0.09</x:v>
      </x:c>
      <x:c r="Q47" s="59" t="n">
        <x:v>0.85</x:v>
      </x:c>
      <x:c r="R47" s="60" t="n">
        <x:v>0.002</x:v>
      </x:c>
      <x:c r="S47" s="52" t="n">
        <x:v>0</x:v>
      </x:c>
      <x:c r="T47" s="59" t="n">
        <x:v>0.0295</x:v>
      </x:c>
      <x:c r="U47" s="59" t="n">
        <x:v>0.02</x:v>
      </x:c>
      <x:c r="V47" s="59" t="n">
        <x:v>0.009900000000000001</x:v>
      </x:c>
      <x:c r="W47" s="45" t="n">
        <x:v>28000</x:v>
      </x:c>
      <x:c r="X47" s="45" t="n">
        <x:v>130000</x:v>
      </x:c>
      <x:c r="Y47" s="59" t="n">
        <x:v>0.0502</x:v>
      </x:c>
      <x:c r="Z47" s="59" t="n">
        <x:v>0.05</x:v>
      </x:c>
      <x:c r="AA47" s="59" t="n">
        <x:v>0.03</x:v>
      </x:c>
      <x:c r="AB47" s="45" t="n">
        <x:v>1</x:v>
      </x:c>
      <x:c r="AC47" s="45" t="n">
        <x:v>0</x:v>
      </x:c>
      <x:c r="AD47" s="45" t="n">
        <x:v>3305</x:v>
      </x:c>
    </x:row>
    <x:row r="48">
      <x:c r="A48" s="58" t="n">
        <x:v>1888</x:v>
      </x:c>
      <x:c r="B48" s="46" t="n">
        <x:v>0.734</x:v>
      </x:c>
      <x:c r="C48" s="59" t="n">
        <x:v>0.019</x:v>
      </x:c>
      <x:c r="D48" s="45" t="n">
        <x:v>0</x:v>
      </x:c>
      <x:c r="E48" s="45" t="n">
        <x:v>65000</x:v>
      </x:c>
      <x:c r="F48" s="45" t="n">
        <x:v>22000</x:v>
      </x:c>
      <x:c r="G48" s="45" t="n">
        <x:v>8000</x:v>
      </x:c>
      <x:c r="H48" s="45" t="n">
        <x:v>1000</x:v>
      </x:c>
      <x:c r="I48" s="59" t="n">
        <x:v>0.2</x:v>
      </x:c>
      <x:c r="J48" s="59" t="n">
        <x:v>0.3</x:v>
      </x:c>
      <x:c r="K48" s="45" t="n">
        <x:v>6662000</x:v>
      </x:c>
      <x:c r="L48" s="59" t="n">
        <x:v>0.018</x:v>
      </x:c>
      <x:c r="M48" s="46" t="n">
        <x:v>1</x:v>
      </x:c>
      <x:c r="N48" s="59" t="n">
        <x:v>0.22</x:v>
      </x:c>
      <x:c r="O48" s="59" t="n">
        <x:v>0.12</x:v>
      </x:c>
      <x:c r="P48" s="59" t="n">
        <x:v>0.08500000000000001</x:v>
      </x:c>
      <x:c r="Q48" s="59" t="n">
        <x:v>0.85</x:v>
      </x:c>
      <x:c r="R48" s="60" t="n">
        <x:v>0.002</x:v>
      </x:c>
      <x:c r="S48" s="52" t="n">
        <x:v>0</x:v>
      </x:c>
      <x:c r="T48" s="59" t="n">
        <x:v>0.03</x:v>
      </x:c>
      <x:c r="U48" s="59" t="n">
        <x:v>0.02</x:v>
      </x:c>
      <x:c r="V48" s="59" t="n">
        <x:v>0.0098</x:v>
      </x:c>
      <x:c r="W48" s="45" t="n">
        <x:v>27000</x:v>
      </x:c>
      <x:c r="X48" s="45" t="n">
        <x:v>132000</x:v>
      </x:c>
      <x:c r="Y48" s="59" t="n">
        <x:v>0.0496</x:v>
      </x:c>
      <x:c r="Z48" s="59" t="n">
        <x:v>0.05</x:v>
      </x:c>
      <x:c r="AA48" s="59" t="n">
        <x:v>0.03</x:v>
      </x:c>
      <x:c r="AB48" s="45" t="n">
        <x:v>1</x:v>
      </x:c>
      <x:c r="AC48" s="45" t="n">
        <x:v>0</x:v>
      </x:c>
      <x:c r="AD48" s="45" t="n">
        <x:v>3370</x:v>
      </x:c>
    </x:row>
    <x:row r="49">
      <x:c r="A49" s="58" t="n">
        <x:v>1889</x:v>
      </x:c>
      <x:c r="B49" s="46" t="n">
        <x:v>0.732</x:v>
      </x:c>
      <x:c r="C49" s="59" t="n">
        <x:v>0.019</x:v>
      </x:c>
      <x:c r="D49" s="45" t="n">
        <x:v>0</x:v>
      </x:c>
      <x:c r="E49" s="45" t="n">
        <x:v>65000</x:v>
      </x:c>
      <x:c r="F49" s="45" t="n">
        <x:v>22000</x:v>
      </x:c>
      <x:c r="G49" s="45" t="n">
        <x:v>8000</x:v>
      </x:c>
      <x:c r="H49" s="45" t="n">
        <x:v>1000</x:v>
      </x:c>
      <x:c r="I49" s="59" t="n">
        <x:v>0.2</x:v>
      </x:c>
      <x:c r="J49" s="59" t="n">
        <x:v>0.3</x:v>
      </x:c>
      <x:c r="K49" s="45" t="n">
        <x:v>6725000</x:v>
      </x:c>
      <x:c r="L49" s="59" t="n">
        <x:v>0.018</x:v>
      </x:c>
      <x:c r="M49" s="46" t="n">
        <x:v>1</x:v>
      </x:c>
      <x:c r="N49" s="59" t="n">
        <x:v>0.2183</x:v>
      </x:c>
      <x:c r="O49" s="59" t="n">
        <x:v>0.12</x:v>
      </x:c>
      <x:c r="P49" s="59" t="n">
        <x:v>0.08500000000000001</x:v>
      </x:c>
      <x:c r="Q49" s="59" t="n">
        <x:v>0.85</x:v>
      </x:c>
      <x:c r="R49" s="60" t="n">
        <x:v>0.002</x:v>
      </x:c>
      <x:c r="S49" s="52" t="n">
        <x:v>0</x:v>
      </x:c>
      <x:c r="T49" s="59" t="n">
        <x:v>0.0305</x:v>
      </x:c>
      <x:c r="U49" s="59" t="n">
        <x:v>0.02</x:v>
      </x:c>
      <x:c r="V49" s="59" t="n">
        <x:v>0.0097</x:v>
      </x:c>
      <x:c r="W49" s="45" t="n">
        <x:v>26000</x:v>
      </x:c>
      <x:c r="X49" s="45" t="n">
        <x:v>134000</x:v>
      </x:c>
      <x:c r="Y49" s="59" t="n">
        <x:v>0.0489</x:v>
      </x:c>
      <x:c r="Z49" s="59" t="n">
        <x:v>0.05</x:v>
      </x:c>
      <x:c r="AA49" s="59" t="n">
        <x:v>0.03</x:v>
      </x:c>
      <x:c r="AB49" s="45" t="n">
        <x:v>1</x:v>
      </x:c>
      <x:c r="AC49" s="45" t="n">
        <x:v>0</x:v>
      </x:c>
      <x:c r="AD49" s="45" t="n">
        <x:v>3435</x:v>
      </x:c>
    </x:row>
    <x:row r="50">
      <x:c r="A50" s="58" t="n">
        <x:v>1890</x:v>
      </x:c>
      <x:c r="B50" s="46" t="n">
        <x:v>0.73</x:v>
      </x:c>
      <x:c r="C50" s="59" t="n">
        <x:v>0.019</x:v>
      </x:c>
      <x:c r="D50" s="45" t="n">
        <x:v>0</x:v>
      </x:c>
      <x:c r="E50" s="45" t="n">
        <x:v>65000</x:v>
      </x:c>
      <x:c r="F50" s="45" t="n">
        <x:v>22000</x:v>
      </x:c>
      <x:c r="G50" s="45" t="n">
        <x:v>8000</x:v>
      </x:c>
      <x:c r="H50" s="45" t="n">
        <x:v>5000</x:v>
      </x:c>
      <x:c r="I50" s="59" t="n">
        <x:v>0.2</x:v>
      </x:c>
      <x:c r="J50" s="59" t="n">
        <x:v>0.3</x:v>
      </x:c>
      <x:c r="K50" s="45" t="n">
        <x:v>6788000</x:v>
      </x:c>
      <x:c r="L50" s="59" t="n">
        <x:v>0.018</x:v>
      </x:c>
      <x:c r="M50" s="46" t="n">
        <x:v>1</x:v>
      </x:c>
      <x:c r="N50" s="59" t="n">
        <x:v>0.2167</x:v>
      </x:c>
      <x:c r="O50" s="59" t="n">
        <x:v>0.12</x:v>
      </x:c>
      <x:c r="P50" s="59" t="n">
        <x:v>0.08500000000000001</x:v>
      </x:c>
      <x:c r="Q50" s="59" t="n">
        <x:v>0.85</x:v>
      </x:c>
      <x:c r="R50" s="60" t="n">
        <x:v>0.002</x:v>
      </x:c>
      <x:c r="S50" s="52" t="n">
        <x:v>0</x:v>
      </x:c>
      <x:c r="T50" s="59" t="n">
        <x:v>0.031</x:v>
      </x:c>
      <x:c r="U50" s="59" t="n">
        <x:v>0.02</x:v>
      </x:c>
      <x:c r="V50" s="59" t="n">
        <x:v>0.0097</x:v>
      </x:c>
      <x:c r="W50" s="45" t="n">
        <x:v>25000</x:v>
      </x:c>
      <x:c r="X50" s="45" t="n">
        <x:v>135000</x:v>
      </x:c>
      <x:c r="Y50" s="59" t="n">
        <x:v>0.0483</x:v>
      </x:c>
      <x:c r="Z50" s="59" t="n">
        <x:v>0.05</x:v>
      </x:c>
      <x:c r="AA50" s="59" t="n">
        <x:v>0.03</x:v>
      </x:c>
      <x:c r="AB50" s="45" t="n">
        <x:v>1</x:v>
      </x:c>
      <x:c r="AC50" s="45" t="n">
        <x:v>0</x:v>
      </x:c>
      <x:c r="AD50" s="45" t="n">
        <x:v>3500</x:v>
      </x:c>
    </x:row>
    <x:row r="51">
      <x:c r="A51" s="58" t="n">
        <x:v>1891</x:v>
      </x:c>
      <x:c r="B51" s="46" t="n">
        <x:v>0.7217</x:v>
      </x:c>
      <x:c r="C51" s="59" t="n">
        <x:v>0.019</x:v>
      </x:c>
      <x:c r="D51" s="45" t="n">
        <x:v>0</x:v>
      </x:c>
      <x:c r="E51" s="45" t="n">
        <x:v>65000</x:v>
      </x:c>
      <x:c r="F51" s="45" t="n">
        <x:v>22000</x:v>
      </x:c>
      <x:c r="G51" s="45" t="n">
        <x:v>8000</x:v>
      </x:c>
      <x:c r="H51" s="45" t="n">
        <x:v>5000</x:v>
      </x:c>
      <x:c r="I51" s="59" t="n">
        <x:v>0.2</x:v>
      </x:c>
      <x:c r="J51" s="59" t="n">
        <x:v>0.3</x:v>
      </x:c>
      <x:c r="K51" s="45" t="n">
        <x:v>6850000</x:v>
      </x:c>
      <x:c r="L51" s="59" t="n">
        <x:v>0.018</x:v>
      </x:c>
      <x:c r="M51" s="46" t="n">
        <x:v>1</x:v>
      </x:c>
      <x:c r="N51" s="59" t="n">
        <x:v>0.215</x:v>
      </x:c>
      <x:c r="O51" s="59" t="n">
        <x:v>0.12</x:v>
      </x:c>
      <x:c r="P51" s="59" t="n">
        <x:v>0.08500000000000001</x:v>
      </x:c>
      <x:c r="Q51" s="59" t="n">
        <x:v>0.85</x:v>
      </x:c>
      <x:c r="R51" s="60" t="n">
        <x:v>0.002</x:v>
      </x:c>
      <x:c r="S51" s="52" t="n">
        <x:v>0</x:v>
      </x:c>
      <x:c r="T51" s="59" t="n">
        <x:v>0.0315</x:v>
      </x:c>
      <x:c r="U51" s="59" t="n">
        <x:v>0.02</x:v>
      </x:c>
      <x:c r="V51" s="59" t="n">
        <x:v>0.009599999999999999</x:v>
      </x:c>
      <x:c r="W51" s="45" t="n">
        <x:v>25600</x:v>
      </x:c>
      <x:c r="X51" s="45" t="n">
        <x:v>136000</x:v>
      </x:c>
      <x:c r="Y51" s="59" t="n">
        <x:v>0.0476</x:v>
      </x:c>
      <x:c r="Z51" s="59" t="n">
        <x:v>0.05</x:v>
      </x:c>
      <x:c r="AA51" s="59" t="n">
        <x:v>0.03</x:v>
      </x:c>
      <x:c r="AB51" s="45" t="n">
        <x:v>1</x:v>
      </x:c>
      <x:c r="AC51" s="45" t="n">
        <x:v>0</x:v>
      </x:c>
      <x:c r="AD51" s="45" t="n">
        <x:v>3630</x:v>
      </x:c>
    </x:row>
    <x:row r="52">
      <x:c r="A52" s="58" t="n">
        <x:v>1892</x:v>
      </x:c>
      <x:c r="B52" s="46" t="n">
        <x:v>0.7133</x:v>
      </x:c>
      <x:c r="C52" s="59" t="n">
        <x:v>0.019</x:v>
      </x:c>
      <x:c r="D52" s="45" t="n">
        <x:v>0</x:v>
      </x:c>
      <x:c r="E52" s="45" t="n">
        <x:v>65000</x:v>
      </x:c>
      <x:c r="F52" s="45" t="n">
        <x:v>22000</x:v>
      </x:c>
      <x:c r="G52" s="45" t="n">
        <x:v>8000</x:v>
      </x:c>
      <x:c r="H52" s="45" t="n">
        <x:v>5000</x:v>
      </x:c>
      <x:c r="I52" s="59" t="n">
        <x:v>0.2</x:v>
      </x:c>
      <x:c r="J52" s="59" t="n">
        <x:v>0.3</x:v>
      </x:c>
      <x:c r="K52" s="45" t="n">
        <x:v>6912000</x:v>
      </x:c>
      <x:c r="L52" s="59" t="n">
        <x:v>0.018</x:v>
      </x:c>
      <x:c r="M52" s="46" t="n">
        <x:v>1</x:v>
      </x:c>
      <x:c r="N52" s="59" t="n">
        <x:v>0.2133</x:v>
      </x:c>
      <x:c r="O52" s="59" t="n">
        <x:v>0.12</x:v>
      </x:c>
      <x:c r="P52" s="59" t="n">
        <x:v>0.08500000000000001</x:v>
      </x:c>
      <x:c r="Q52" s="59" t="n">
        <x:v>0.85</x:v>
      </x:c>
      <x:c r="R52" s="60" t="n">
        <x:v>0.002</x:v>
      </x:c>
      <x:c r="S52" s="52" t="n">
        <x:v>0</x:v>
      </x:c>
      <x:c r="T52" s="59" t="n">
        <x:v>0.032</x:v>
      </x:c>
      <x:c r="U52" s="59" t="n">
        <x:v>0.02</x:v>
      </x:c>
      <x:c r="V52" s="59" t="n">
        <x:v>0.0095</x:v>
      </x:c>
      <x:c r="W52" s="45" t="n">
        <x:v>26200</x:v>
      </x:c>
      <x:c r="X52" s="45" t="n">
        <x:v>138000</x:v>
      </x:c>
      <x:c r="Y52" s="59" t="n">
        <x:v>0.047</x:v>
      </x:c>
      <x:c r="Z52" s="59" t="n">
        <x:v>0.05</x:v>
      </x:c>
      <x:c r="AA52" s="59" t="n">
        <x:v>0.03</x:v>
      </x:c>
      <x:c r="AB52" s="45" t="n">
        <x:v>1</x:v>
      </x:c>
      <x:c r="AC52" s="45" t="n">
        <x:v>0</x:v>
      </x:c>
      <x:c r="AD52" s="45" t="n">
        <x:v>3760</x:v>
      </x:c>
    </x:row>
    <x:row r="53">
      <x:c r="A53" s="58" t="n">
        <x:v>1893</x:v>
      </x:c>
      <x:c r="B53" s="46" t="n">
        <x:v>0.705</x:v>
      </x:c>
      <x:c r="C53" s="59" t="n">
        <x:v>0.019</x:v>
      </x:c>
      <x:c r="D53" s="45" t="n">
        <x:v>0</x:v>
      </x:c>
      <x:c r="E53" s="45" t="n">
        <x:v>65000</x:v>
      </x:c>
      <x:c r="F53" s="45" t="n">
        <x:v>22000</x:v>
      </x:c>
      <x:c r="G53" s="45" t="n">
        <x:v>8000</x:v>
      </x:c>
      <x:c r="H53" s="45" t="n">
        <x:v>5000</x:v>
      </x:c>
      <x:c r="I53" s="59" t="n">
        <x:v>0.2</x:v>
      </x:c>
      <x:c r="J53" s="59" t="n">
        <x:v>0.3</x:v>
      </x:c>
      <x:c r="K53" s="45" t="n">
        <x:v>6975000</x:v>
      </x:c>
      <x:c r="L53" s="59" t="n">
        <x:v>0.018</x:v>
      </x:c>
      <x:c r="M53" s="46" t="n">
        <x:v>0.95</x:v>
      </x:c>
      <x:c r="N53" s="59" t="n">
        <x:v>0.2117</x:v>
      </x:c>
      <x:c r="O53" s="59" t="n">
        <x:v>0.12</x:v>
      </x:c>
      <x:c r="P53" s="59" t="n">
        <x:v>0.08500000000000001</x:v>
      </x:c>
      <x:c r="Q53" s="59" t="n">
        <x:v>0.85</x:v>
      </x:c>
      <x:c r="R53" s="60" t="n">
        <x:v>0.002</x:v>
      </x:c>
      <x:c r="S53" s="52" t="n">
        <x:v>0</x:v>
      </x:c>
      <x:c r="T53" s="59" t="n">
        <x:v>0.0325</x:v>
      </x:c>
      <x:c r="U53" s="59" t="n">
        <x:v>0.02</x:v>
      </x:c>
      <x:c r="V53" s="59" t="n">
        <x:v>0.0095</x:v>
      </x:c>
      <x:c r="W53" s="45" t="n">
        <x:v>26800</x:v>
      </x:c>
      <x:c r="X53" s="45" t="n">
        <x:v>140000</x:v>
      </x:c>
      <x:c r="Y53" s="59" t="n">
        <x:v>0.0463</x:v>
      </x:c>
      <x:c r="Z53" s="59" t="n">
        <x:v>0.05</x:v>
      </x:c>
      <x:c r="AA53" s="59" t="n">
        <x:v>0.03</x:v>
      </x:c>
      <x:c r="AB53" s="45" t="n">
        <x:v>1</x:v>
      </x:c>
      <x:c r="AC53" s="45" t="n">
        <x:v>0</x:v>
      </x:c>
      <x:c r="AD53" s="45" t="n">
        <x:v>3890</x:v>
      </x:c>
    </x:row>
    <x:row r="54">
      <x:c r="A54" s="58" t="n">
        <x:v>1894</x:v>
      </x:c>
      <x:c r="B54" s="46" t="n">
        <x:v>0.6967</x:v>
      </x:c>
      <x:c r="C54" s="59" t="n">
        <x:v>0.019</x:v>
      </x:c>
      <x:c r="D54" s="45" t="n">
        <x:v>0</x:v>
      </x:c>
      <x:c r="E54" s="45" t="n">
        <x:v>65000</x:v>
      </x:c>
      <x:c r="F54" s="45" t="n">
        <x:v>22000</x:v>
      </x:c>
      <x:c r="G54" s="45" t="n">
        <x:v>8000</x:v>
      </x:c>
      <x:c r="H54" s="45" t="n">
        <x:v>5000</x:v>
      </x:c>
      <x:c r="I54" s="59" t="n">
        <x:v>0.2</x:v>
      </x:c>
      <x:c r="J54" s="59" t="n">
        <x:v>0.3</x:v>
      </x:c>
      <x:c r="K54" s="45" t="n">
        <x:v>7038000</x:v>
      </x:c>
      <x:c r="L54" s="59" t="n">
        <x:v>0.018</x:v>
      </x:c>
      <x:c r="M54" s="46" t="n">
        <x:v>0.9399999999999999</x:v>
      </x:c>
      <x:c r="N54" s="59" t="n">
        <x:v>0.21</x:v>
      </x:c>
      <x:c r="O54" s="59" t="n">
        <x:v>0.12</x:v>
      </x:c>
      <x:c r="P54" s="59" t="n">
        <x:v>0.08500000000000001</x:v>
      </x:c>
      <x:c r="Q54" s="59" t="n">
        <x:v>0.85</x:v>
      </x:c>
      <x:c r="R54" s="60" t="n">
        <x:v>0.002</x:v>
      </x:c>
      <x:c r="S54" s="52" t="n">
        <x:v>0</x:v>
      </x:c>
      <x:c r="T54" s="59" t="n">
        <x:v>0.033</x:v>
      </x:c>
      <x:c r="U54" s="59" t="n">
        <x:v>0.02</x:v>
      </x:c>
      <x:c r="V54" s="59" t="n">
        <x:v>0.0094</x:v>
      </x:c>
      <x:c r="W54" s="45" t="n">
        <x:v>27400</x:v>
      </x:c>
      <x:c r="X54" s="45" t="n">
        <x:v>141000</x:v>
      </x:c>
      <x:c r="Y54" s="59" t="n">
        <x:v>0.0457</x:v>
      </x:c>
      <x:c r="Z54" s="59" t="n">
        <x:v>0.05</x:v>
      </x:c>
      <x:c r="AA54" s="59" t="n">
        <x:v>0.03</x:v>
      </x:c>
      <x:c r="AB54" s="45" t="n">
        <x:v>1</x:v>
      </x:c>
      <x:c r="AC54" s="45" t="n">
        <x:v>0</x:v>
      </x:c>
      <x:c r="AD54" s="45" t="n">
        <x:v>4020</x:v>
      </x:c>
    </x:row>
    <x:row r="55">
      <x:c r="A55" s="58" t="n">
        <x:v>1895</x:v>
      </x:c>
      <x:c r="B55" s="46" t="n">
        <x:v>0.6883</x:v>
      </x:c>
      <x:c r="C55" s="59" t="n">
        <x:v>0.019</x:v>
      </x:c>
      <x:c r="D55" s="45" t="n">
        <x:v>0</x:v>
      </x:c>
      <x:c r="E55" s="45" t="n">
        <x:v>65000</x:v>
      </x:c>
      <x:c r="F55" s="45" t="n">
        <x:v>22000</x:v>
      </x:c>
      <x:c r="G55" s="45" t="n">
        <x:v>8000</x:v>
      </x:c>
      <x:c r="H55" s="45" t="n">
        <x:v>5000</x:v>
      </x:c>
      <x:c r="I55" s="59" t="n">
        <x:v>0.2</x:v>
      </x:c>
      <x:c r="J55" s="59" t="n">
        <x:v>0.3</x:v>
      </x:c>
      <x:c r="K55" s="45" t="n">
        <x:v>7100000</x:v>
      </x:c>
      <x:c r="L55" s="59" t="n">
        <x:v>0.018</x:v>
      </x:c>
      <x:c r="M55" s="46" t="n">
        <x:v>0.97</x:v>
      </x:c>
      <x:c r="N55" s="59" t="n">
        <x:v>0.2083</x:v>
      </x:c>
      <x:c r="O55" s="59" t="n">
        <x:v>0.12</x:v>
      </x:c>
      <x:c r="P55" s="59" t="n">
        <x:v>0.08500000000000001</x:v>
      </x:c>
      <x:c r="Q55" s="59" t="n">
        <x:v>0.85</x:v>
      </x:c>
      <x:c r="R55" s="60" t="n">
        <x:v>0.002</x:v>
      </x:c>
      <x:c r="S55" s="52" t="n">
        <x:v>0</x:v>
      </x:c>
      <x:c r="T55" s="59" t="n">
        <x:v>0.0335</x:v>
      </x:c>
      <x:c r="U55" s="59" t="n">
        <x:v>0.02</x:v>
      </x:c>
      <x:c r="V55" s="59" t="n">
        <x:v>0.009299999999999999</x:v>
      </x:c>
      <x:c r="W55" s="45" t="n">
        <x:v>28000</x:v>
      </x:c>
      <x:c r="X55" s="45" t="n">
        <x:v>142000</x:v>
      </x:c>
      <x:c r="Y55" s="59" t="n">
        <x:v>0.045</x:v>
      </x:c>
      <x:c r="Z55" s="59" t="n">
        <x:v>0.05</x:v>
      </x:c>
      <x:c r="AA55" s="59" t="n">
        <x:v>0.03</x:v>
      </x:c>
      <x:c r="AB55" s="45" t="n">
        <x:v>1</x:v>
      </x:c>
      <x:c r="AC55" s="45" t="n">
        <x:v>0</x:v>
      </x:c>
      <x:c r="AD55" s="45" t="n">
        <x:v>4150</x:v>
      </x:c>
    </x:row>
    <x:row r="56">
      <x:c r="A56" s="58" t="n">
        <x:v>1896</x:v>
      </x:c>
      <x:c r="B56" s="46" t="n">
        <x:v>0.68</x:v>
      </x:c>
      <x:c r="C56" s="59" t="n">
        <x:v>0.019</x:v>
      </x:c>
      <x:c r="D56" s="45" t="n">
        <x:v>0</x:v>
      </x:c>
      <x:c r="E56" s="45" t="n">
        <x:v>65000</x:v>
      </x:c>
      <x:c r="F56" s="45" t="n">
        <x:v>22000</x:v>
      </x:c>
      <x:c r="G56" s="45" t="n">
        <x:v>8000</x:v>
      </x:c>
      <x:c r="H56" s="45" t="n">
        <x:v>5000</x:v>
      </x:c>
      <x:c r="I56" s="59" t="n">
        <x:v>0.2</x:v>
      </x:c>
      <x:c r="J56" s="59" t="n">
        <x:v>0.3</x:v>
      </x:c>
      <x:c r="K56" s="45" t="n">
        <x:v>7162000</x:v>
      </x:c>
      <x:c r="L56" s="59" t="n">
        <x:v>0.015</x:v>
      </x:c>
      <x:c r="M56" s="46" t="n">
        <x:v>0.98</x:v>
      </x:c>
      <x:c r="N56" s="59" t="n">
        <x:v>0.2067</x:v>
      </x:c>
      <x:c r="O56" s="59" t="n">
        <x:v>0.12</x:v>
      </x:c>
      <x:c r="P56" s="59" t="n">
        <x:v>0.074</x:v>
      </x:c>
      <x:c r="Q56" s="59" t="n">
        <x:v>0.85</x:v>
      </x:c>
      <x:c r="R56" s="60" t="n">
        <x:v>0.002</x:v>
      </x:c>
      <x:c r="S56" s="52" t="n">
        <x:v>0</x:v>
      </x:c>
      <x:c r="T56" s="59" t="n">
        <x:v>0.034</x:v>
      </x:c>
      <x:c r="U56" s="59" t="n">
        <x:v>0.02</x:v>
      </x:c>
      <x:c r="V56" s="59" t="n">
        <x:v>0.009299999999999999</x:v>
      </x:c>
      <x:c r="W56" s="45" t="n">
        <x:v>28400</x:v>
      </x:c>
      <x:c r="X56" s="45" t="n">
        <x:v>144000</x:v>
      </x:c>
      <x:c r="Y56" s="59" t="n">
        <x:v>0.0445</x:v>
      </x:c>
      <x:c r="Z56" s="59" t="n">
        <x:v>0.05</x:v>
      </x:c>
      <x:c r="AA56" s="59" t="n">
        <x:v>0.03</x:v>
      </x:c>
      <x:c r="AB56" s="45" t="n">
        <x:v>1</x:v>
      </x:c>
      <x:c r="AC56" s="45" t="n">
        <x:v>0</x:v>
      </x:c>
      <x:c r="AD56" s="45" t="n">
        <x:v>4280</x:v>
      </x:c>
    </x:row>
    <x:row r="57">
      <x:c r="A57" s="58" t="n">
        <x:v>1897</x:v>
      </x:c>
      <x:c r="B57" s="46" t="n">
        <x:v>0.7</x:v>
      </x:c>
      <x:c r="C57" s="59" t="n">
        <x:v>0.019</x:v>
      </x:c>
      <x:c r="D57" s="45" t="n">
        <x:v>0</x:v>
      </x:c>
      <x:c r="E57" s="45" t="n">
        <x:v>65000</x:v>
      </x:c>
      <x:c r="F57" s="45" t="n">
        <x:v>22000</x:v>
      </x:c>
      <x:c r="G57" s="45" t="n">
        <x:v>8000</x:v>
      </x:c>
      <x:c r="H57" s="45" t="n">
        <x:v>5000</x:v>
      </x:c>
      <x:c r="I57" s="59" t="n">
        <x:v>0.2</x:v>
      </x:c>
      <x:c r="J57" s="59" t="n">
        <x:v>0.3</x:v>
      </x:c>
      <x:c r="K57" s="45" t="n">
        <x:v>7225000</x:v>
      </x:c>
      <x:c r="L57" s="59" t="n">
        <x:v>0.015</x:v>
      </x:c>
      <x:c r="M57" s="46" t="n">
        <x:v>1</x:v>
      </x:c>
      <x:c r="N57" s="59" t="n">
        <x:v>0.205</x:v>
      </x:c>
      <x:c r="O57" s="59" t="n">
        <x:v>0.12</x:v>
      </x:c>
      <x:c r="P57" s="59" t="n">
        <x:v>0.074</x:v>
      </x:c>
      <x:c r="Q57" s="59" t="n">
        <x:v>0.85</x:v>
      </x:c>
      <x:c r="R57" s="60" t="n">
        <x:v>0.002</x:v>
      </x:c>
      <x:c r="S57" s="52" t="n">
        <x:v>0</x:v>
      </x:c>
      <x:c r="T57" s="59" t="n">
        <x:v>0.0345</x:v>
      </x:c>
      <x:c r="U57" s="59" t="n">
        <x:v>0.02</x:v>
      </x:c>
      <x:c r="V57" s="59" t="n">
        <x:v>0.0092</x:v>
      </x:c>
      <x:c r="W57" s="45" t="n">
        <x:v>28800</x:v>
      </x:c>
      <x:c r="X57" s="45" t="n">
        <x:v>146000</x:v>
      </x:c>
      <x:c r="Y57" s="59" t="n">
        <x:v>0.044</x:v>
      </x:c>
      <x:c r="Z57" s="59" t="n">
        <x:v>0.05</x:v>
      </x:c>
      <x:c r="AA57" s="59" t="n">
        <x:v>0.03</x:v>
      </x:c>
      <x:c r="AB57" s="45" t="n">
        <x:v>1</x:v>
      </x:c>
      <x:c r="AC57" s="45" t="n">
        <x:v>0</x:v>
      </x:c>
      <x:c r="AD57" s="45" t="n">
        <x:v>4410</x:v>
      </x:c>
    </x:row>
    <x:row r="58">
      <x:c r="A58" s="58" t="n">
        <x:v>1898</x:v>
      </x:c>
      <x:c r="B58" s="46" t="n">
        <x:v>0.72</x:v>
      </x:c>
      <x:c r="C58" s="59" t="n">
        <x:v>0.019</x:v>
      </x:c>
      <x:c r="D58" s="45" t="n">
        <x:v>0</x:v>
      </x:c>
      <x:c r="E58" s="45" t="n">
        <x:v>65000</x:v>
      </x:c>
      <x:c r="F58" s="45" t="n">
        <x:v>22000</x:v>
      </x:c>
      <x:c r="G58" s="45" t="n">
        <x:v>8000</x:v>
      </x:c>
      <x:c r="H58" s="45" t="n">
        <x:v>5000</x:v>
      </x:c>
      <x:c r="I58" s="59" t="n">
        <x:v>0.2</x:v>
      </x:c>
      <x:c r="J58" s="59" t="n">
        <x:v>0.3</x:v>
      </x:c>
      <x:c r="K58" s="45" t="n">
        <x:v>7288000</x:v>
      </x:c>
      <x:c r="L58" s="59" t="n">
        <x:v>0.015</x:v>
      </x:c>
      <x:c r="M58" s="46" t="n">
        <x:v>1</x:v>
      </x:c>
      <x:c r="N58" s="59" t="n">
        <x:v>0.2033</x:v>
      </x:c>
      <x:c r="O58" s="59" t="n">
        <x:v>0.12</x:v>
      </x:c>
      <x:c r="P58" s="59" t="n">
        <x:v>0.074</x:v>
      </x:c>
      <x:c r="Q58" s="59" t="n">
        <x:v>0.85</x:v>
      </x:c>
      <x:c r="R58" s="60" t="n">
        <x:v>0.002</x:v>
      </x:c>
      <x:c r="S58" s="52" t="n">
        <x:v>0</x:v>
      </x:c>
      <x:c r="T58" s="59" t="n">
        <x:v>0.035</x:v>
      </x:c>
      <x:c r="U58" s="59" t="n">
        <x:v>0.02</x:v>
      </x:c>
      <x:c r="V58" s="59" t="n">
        <x:v>0.0091</x:v>
      </x:c>
      <x:c r="W58" s="45" t="n">
        <x:v>29200</x:v>
      </x:c>
      <x:c r="X58" s="45" t="n">
        <x:v>147000</x:v>
      </x:c>
      <x:c r="Y58" s="59" t="n">
        <x:v>0.0435</x:v>
      </x:c>
      <x:c r="Z58" s="59" t="n">
        <x:v>0.05</x:v>
      </x:c>
      <x:c r="AA58" s="59" t="n">
        <x:v>0.03</x:v>
      </x:c>
      <x:c r="AB58" s="45" t="n">
        <x:v>1</x:v>
      </x:c>
      <x:c r="AC58" s="45" t="n">
        <x:v>0</x:v>
      </x:c>
      <x:c r="AD58" s="45" t="n">
        <x:v>4540</x:v>
      </x:c>
    </x:row>
    <x:row r="59">
      <x:c r="A59" s="58" t="n">
        <x:v>1899</x:v>
      </x:c>
      <x:c r="B59" s="46" t="n">
        <x:v>0.74</x:v>
      </x:c>
      <x:c r="C59" s="59" t="n">
        <x:v>0.019</x:v>
      </x:c>
      <x:c r="D59" s="45" t="n">
        <x:v>0</x:v>
      </x:c>
      <x:c r="E59" s="45" t="n">
        <x:v>65000</x:v>
      </x:c>
      <x:c r="F59" s="45" t="n">
        <x:v>22000</x:v>
      </x:c>
      <x:c r="G59" s="45" t="n">
        <x:v>8000</x:v>
      </x:c>
      <x:c r="H59" s="45" t="n">
        <x:v>5000</x:v>
      </x:c>
      <x:c r="I59" s="59" t="n">
        <x:v>0.2</x:v>
      </x:c>
      <x:c r="J59" s="59" t="n">
        <x:v>0.3</x:v>
      </x:c>
      <x:c r="K59" s="45" t="n">
        <x:v>7350000</x:v>
      </x:c>
      <x:c r="L59" s="59" t="n">
        <x:v>0.015</x:v>
      </x:c>
      <x:c r="M59" s="46" t="n">
        <x:v>1</x:v>
      </x:c>
      <x:c r="N59" s="59" t="n">
        <x:v>0.2017</x:v>
      </x:c>
      <x:c r="O59" s="59" t="n">
        <x:v>0.12</x:v>
      </x:c>
      <x:c r="P59" s="59" t="n">
        <x:v>0.074</x:v>
      </x:c>
      <x:c r="Q59" s="59" t="n">
        <x:v>0.85</x:v>
      </x:c>
      <x:c r="R59" s="60" t="n">
        <x:v>0.002</x:v>
      </x:c>
      <x:c r="S59" s="52" t="n">
        <x:v>0</x:v>
      </x:c>
      <x:c r="T59" s="59" t="n">
        <x:v>0.0355</x:v>
      </x:c>
      <x:c r="U59" s="59" t="n">
        <x:v>0.02</x:v>
      </x:c>
      <x:c r="V59" s="59" t="n">
        <x:v>0.0091</x:v>
      </x:c>
      <x:c r="W59" s="45" t="n">
        <x:v>29600</x:v>
      </x:c>
      <x:c r="X59" s="45" t="n">
        <x:v>148000</x:v>
      </x:c>
      <x:c r="Y59" s="59" t="n">
        <x:v>0.043</x:v>
      </x:c>
      <x:c r="Z59" s="59" t="n">
        <x:v>0.05</x:v>
      </x:c>
      <x:c r="AA59" s="59" t="n">
        <x:v>0.03</x:v>
      </x:c>
      <x:c r="AB59" s="45" t="n">
        <x:v>1</x:v>
      </x:c>
      <x:c r="AC59" s="45" t="n">
        <x:v>0</x:v>
      </x:c>
      <x:c r="AD59" s="45" t="n">
        <x:v>4670</x:v>
      </x:c>
    </x:row>
    <x:row r="60">
      <x:c r="A60" s="58" t="n">
        <x:v>1900</x:v>
      </x:c>
      <x:c r="B60" s="46" t="n">
        <x:v>0.76</x:v>
      </x:c>
      <x:c r="C60" s="59" t="n">
        <x:v>0.019</x:v>
      </x:c>
      <x:c r="D60" s="45" t="n">
        <x:v>0</x:v>
      </x:c>
      <x:c r="E60" s="45" t="n">
        <x:v>90000</x:v>
      </x:c>
      <x:c r="F60" s="45" t="n">
        <x:v>28000</x:v>
      </x:c>
      <x:c r="G60" s="45" t="n">
        <x:v>14000</x:v>
      </x:c>
      <x:c r="H60" s="45" t="n">
        <x:v>9000</x:v>
      </x:c>
      <x:c r="I60" s="59" t="n">
        <x:v>0.2</x:v>
      </x:c>
      <x:c r="J60" s="59" t="n">
        <x:v>0.3</x:v>
      </x:c>
      <x:c r="K60" s="45" t="n">
        <x:v>7412000</x:v>
      </x:c>
      <x:c r="L60" s="59" t="n">
        <x:v>0.015</x:v>
      </x:c>
      <x:c r="M60" s="46" t="n">
        <x:v>1</x:v>
      </x:c>
      <x:c r="N60" s="59" t="n">
        <x:v>0.2</x:v>
      </x:c>
      <x:c r="O60" s="59" t="n">
        <x:v>0.12</x:v>
      </x:c>
      <x:c r="P60" s="59" t="n">
        <x:v>0.074</x:v>
      </x:c>
      <x:c r="Q60" s="59" t="n">
        <x:v>0.85</x:v>
      </x:c>
      <x:c r="R60" s="60" t="n">
        <x:v>0.002</x:v>
      </x:c>
      <x:c r="S60" s="52" t="n">
        <x:v>0</x:v>
      </x:c>
      <x:c r="T60" s="59" t="n">
        <x:v>0.036</x:v>
      </x:c>
      <x:c r="U60" s="59" t="n">
        <x:v>0.02</x:v>
      </x:c>
      <x:c r="V60" s="59" t="n">
        <x:v>0.008999999999999999</x:v>
      </x:c>
      <x:c r="W60" s="45" t="n">
        <x:v>30000</x:v>
      </x:c>
      <x:c r="X60" s="45" t="n">
        <x:v>150000</x:v>
      </x:c>
      <x:c r="Y60" s="59" t="n">
        <x:v>0.0425</x:v>
      </x:c>
      <x:c r="Z60" s="59" t="n">
        <x:v>0.05</x:v>
      </x:c>
      <x:c r="AA60" s="59" t="n">
        <x:v>0.03</x:v>
      </x:c>
      <x:c r="AB60" s="45" t="n">
        <x:v>1</x:v>
      </x:c>
      <x:c r="AC60" s="45" t="n">
        <x:v>0</x:v>
      </x:c>
      <x:c r="AD60" s="45" t="n">
        <x:v>4800</x:v>
      </x:c>
    </x:row>
    <x:row r="61">
      <x:c r="A61" s="58" t="n">
        <x:v>1901</x:v>
      </x:c>
      <x:c r="B61" s="46" t="n">
        <x:v>0.772</x:v>
      </x:c>
      <x:c r="C61" s="59" t="n">
        <x:v>0.019</x:v>
      </x:c>
      <x:c r="D61" s="45" t="n">
        <x:v>0</x:v>
      </x:c>
      <x:c r="E61" s="45" t="n">
        <x:v>90000</x:v>
      </x:c>
      <x:c r="F61" s="45" t="n">
        <x:v>28000</x:v>
      </x:c>
      <x:c r="G61" s="45" t="n">
        <x:v>14000</x:v>
      </x:c>
      <x:c r="H61" s="45" t="n">
        <x:v>9000</x:v>
      </x:c>
      <x:c r="I61" s="59" t="n">
        <x:v>0.2</x:v>
      </x:c>
      <x:c r="J61" s="59" t="n">
        <x:v>0.3</x:v>
      </x:c>
      <x:c r="K61" s="45" t="n">
        <x:v>7475000</x:v>
      </x:c>
      <x:c r="L61" s="59" t="n">
        <x:v>0.015</x:v>
      </x:c>
      <x:c r="M61" s="46" t="n">
        <x:v>1</x:v>
      </x:c>
      <x:c r="N61" s="59" t="n">
        <x:v>0.1986</x:v>
      </x:c>
      <x:c r="O61" s="59" t="n">
        <x:v>0.12</x:v>
      </x:c>
      <x:c r="P61" s="59" t="n">
        <x:v>0.074</x:v>
      </x:c>
      <x:c r="Q61" s="59" t="n">
        <x:v>0.85</x:v>
      </x:c>
      <x:c r="R61" s="60" t="n">
        <x:v>0.002</x:v>
      </x:c>
      <x:c r="S61" s="52" t="n">
        <x:v>4</x:v>
      </x:c>
      <x:c r="T61" s="59" t="n">
        <x:v>0.0363</x:v>
      </x:c>
      <x:c r="U61" s="59" t="n">
        <x:v>0.02</x:v>
      </x:c>
      <x:c r="V61" s="59" t="n">
        <x:v>0.0089</x:v>
      </x:c>
      <x:c r="W61" s="45" t="n">
        <x:v>30400</x:v>
      </x:c>
      <x:c r="X61" s="45" t="n">
        <x:v>152000</x:v>
      </x:c>
      <x:c r="Y61" s="59" t="n">
        <x:v>0.042</x:v>
      </x:c>
      <x:c r="Z61" s="59" t="n">
        <x:v>0.05</x:v>
      </x:c>
      <x:c r="AA61" s="59" t="n">
        <x:v>0.03</x:v>
      </x:c>
      <x:c r="AB61" s="45" t="n">
        <x:v>1</x:v>
      </x:c>
      <x:c r="AC61" s="45" t="n">
        <x:v>0</x:v>
      </x:c>
      <x:c r="AD61" s="45" t="n">
        <x:v>5046</x:v>
      </x:c>
    </x:row>
    <x:row r="62">
      <x:c r="A62" s="58" t="n">
        <x:v>1902</x:v>
      </x:c>
      <x:c r="B62" s="46" t="n">
        <x:v>0.784</x:v>
      </x:c>
      <x:c r="C62" s="59" t="n">
        <x:v>0.019</x:v>
      </x:c>
      <x:c r="D62" s="45" t="n">
        <x:v>0</x:v>
      </x:c>
      <x:c r="E62" s="45" t="n">
        <x:v>90000</x:v>
      </x:c>
      <x:c r="F62" s="45" t="n">
        <x:v>28000</x:v>
      </x:c>
      <x:c r="G62" s="45" t="n">
        <x:v>14000</x:v>
      </x:c>
      <x:c r="H62" s="45" t="n">
        <x:v>9000</x:v>
      </x:c>
      <x:c r="I62" s="59" t="n">
        <x:v>0.2</x:v>
      </x:c>
      <x:c r="J62" s="59" t="n">
        <x:v>0.3</x:v>
      </x:c>
      <x:c r="K62" s="45" t="n">
        <x:v>7538000</x:v>
      </x:c>
      <x:c r="L62" s="59" t="n">
        <x:v>0.015</x:v>
      </x:c>
      <x:c r="M62" s="46" t="n">
        <x:v>1</x:v>
      </x:c>
      <x:c r="N62" s="59" t="n">
        <x:v>0.1972</x:v>
      </x:c>
      <x:c r="O62" s="59" t="n">
        <x:v>0.12</x:v>
      </x:c>
      <x:c r="P62" s="59" t="n">
        <x:v>0.074</x:v>
      </x:c>
      <x:c r="Q62" s="59" t="n">
        <x:v>0.85</x:v>
      </x:c>
      <x:c r="R62" s="60" t="n">
        <x:v>0.002</x:v>
      </x:c>
      <x:c r="S62" s="52" t="n">
        <x:v>6</x:v>
      </x:c>
      <x:c r="T62" s="59" t="n">
        <x:v>0.0366</x:v>
      </x:c>
      <x:c r="U62" s="59" t="n">
        <x:v>0.02</x:v>
      </x:c>
      <x:c r="V62" s="59" t="n">
        <x:v>0.008800000000000001</x:v>
      </x:c>
      <x:c r="W62" s="45" t="n">
        <x:v>30800</x:v>
      </x:c>
      <x:c r="X62" s="45" t="n">
        <x:v>155000</x:v>
      </x:c>
      <x:c r="Y62" s="59" t="n">
        <x:v>0.0415</x:v>
      </x:c>
      <x:c r="Z62" s="59" t="n">
        <x:v>0.05</x:v>
      </x:c>
      <x:c r="AA62" s="59" t="n">
        <x:v>0.03</x:v>
      </x:c>
      <x:c r="AB62" s="45" t="n">
        <x:v>1</x:v>
      </x:c>
      <x:c r="AC62" s="45" t="n">
        <x:v>0</x:v>
      </x:c>
      <x:c r="AD62" s="45" t="n">
        <x:v>5292</x:v>
      </x:c>
    </x:row>
    <x:row r="63">
      <x:c r="A63" s="58" t="n">
        <x:v>1903</x:v>
      </x:c>
      <x:c r="B63" s="46" t="n">
        <x:v>0.796</x:v>
      </x:c>
      <x:c r="C63" s="59" t="n">
        <x:v>0.019</x:v>
      </x:c>
      <x:c r="D63" s="45" t="n">
        <x:v>0</x:v>
      </x:c>
      <x:c r="E63" s="45" t="n">
        <x:v>90000</x:v>
      </x:c>
      <x:c r="F63" s="45" t="n">
        <x:v>28000</x:v>
      </x:c>
      <x:c r="G63" s="45" t="n">
        <x:v>14000</x:v>
      </x:c>
      <x:c r="H63" s="45" t="n">
        <x:v>9000</x:v>
      </x:c>
      <x:c r="I63" s="59" t="n">
        <x:v>0.2</x:v>
      </x:c>
      <x:c r="J63" s="59" t="n">
        <x:v>0.3</x:v>
      </x:c>
      <x:c r="K63" s="45" t="n">
        <x:v>7600000</x:v>
      </x:c>
      <x:c r="L63" s="59" t="n">
        <x:v>0.015</x:v>
      </x:c>
      <x:c r="M63" s="46" t="n">
        <x:v>1</x:v>
      </x:c>
      <x:c r="N63" s="59" t="n">
        <x:v>0.1959</x:v>
      </x:c>
      <x:c r="O63" s="59" t="n">
        <x:v>0.12</x:v>
      </x:c>
      <x:c r="P63" s="59" t="n">
        <x:v>0.074</x:v>
      </x:c>
      <x:c r="Q63" s="59" t="n">
        <x:v>0.85</x:v>
      </x:c>
      <x:c r="R63" s="60" t="n">
        <x:v>0.002</x:v>
      </x:c>
      <x:c r="S63" s="52" t="n">
        <x:v>8</x:v>
      </x:c>
      <x:c r="T63" s="59" t="n">
        <x:v>0.0369</x:v>
      </x:c>
      <x:c r="U63" s="59" t="n">
        <x:v>0.02</x:v>
      </x:c>
      <x:c r="V63" s="59" t="n">
        <x:v>0.008800000000000001</x:v>
      </x:c>
      <x:c r="W63" s="45" t="n">
        <x:v>31200</x:v>
      </x:c>
      <x:c r="X63" s="45" t="n">
        <x:v>157000</x:v>
      </x:c>
      <x:c r="Y63" s="59" t="n">
        <x:v>0.041</x:v>
      </x:c>
      <x:c r="Z63" s="59" t="n">
        <x:v>0.05</x:v>
      </x:c>
      <x:c r="AA63" s="59" t="n">
        <x:v>0.03</x:v>
      </x:c>
      <x:c r="AB63" s="45" t="n">
        <x:v>1</x:v>
      </x:c>
      <x:c r="AC63" s="45" t="n">
        <x:v>0</x:v>
      </x:c>
      <x:c r="AD63" s="45" t="n">
        <x:v>5538</x:v>
      </x:c>
    </x:row>
    <x:row r="64">
      <x:c r="A64" s="58" t="n">
        <x:v>1904</x:v>
      </x:c>
      <x:c r="B64" s="46" t="n">
        <x:v>0.8080000000000001</x:v>
      </x:c>
      <x:c r="C64" s="59" t="n">
        <x:v>0.019</x:v>
      </x:c>
      <x:c r="D64" s="45" t="n">
        <x:v>0</x:v>
      </x:c>
      <x:c r="E64" s="45" t="n">
        <x:v>90000</x:v>
      </x:c>
      <x:c r="F64" s="45" t="n">
        <x:v>28000</x:v>
      </x:c>
      <x:c r="G64" s="45" t="n">
        <x:v>14000</x:v>
      </x:c>
      <x:c r="H64" s="45" t="n">
        <x:v>9000</x:v>
      </x:c>
      <x:c r="I64" s="59" t="n">
        <x:v>0.2</x:v>
      </x:c>
      <x:c r="J64" s="59" t="n">
        <x:v>0.3</x:v>
      </x:c>
      <x:c r="K64" s="45" t="n">
        <x:v>7780000</x:v>
      </x:c>
      <x:c r="L64" s="59" t="n">
        <x:v>0.015</x:v>
      </x:c>
      <x:c r="M64" s="46" t="n">
        <x:v>1</x:v>
      </x:c>
      <x:c r="N64" s="59" t="n">
        <x:v>0.1945</x:v>
      </x:c>
      <x:c r="O64" s="59" t="n">
        <x:v>0.12</x:v>
      </x:c>
      <x:c r="P64" s="59" t="n">
        <x:v>0.074</x:v>
      </x:c>
      <x:c r="Q64" s="59" t="n">
        <x:v>0.85</x:v>
      </x:c>
      <x:c r="R64" s="60" t="n">
        <x:v>0.002</x:v>
      </x:c>
      <x:c r="S64" s="52" t="n">
        <x:v>9</x:v>
      </x:c>
      <x:c r="T64" s="59" t="n">
        <x:v>0.0372</x:v>
      </x:c>
      <x:c r="U64" s="59" t="n">
        <x:v>0.02</x:v>
      </x:c>
      <x:c r="V64" s="59" t="n">
        <x:v>0.008699999999999999</x:v>
      </x:c>
      <x:c r="W64" s="45" t="n">
        <x:v>31600</x:v>
      </x:c>
      <x:c r="X64" s="45" t="n">
        <x:v>159000</x:v>
      </x:c>
      <x:c r="Y64" s="59" t="n">
        <x:v>0.0405</x:v>
      </x:c>
      <x:c r="Z64" s="59" t="n">
        <x:v>0.05</x:v>
      </x:c>
      <x:c r="AA64" s="59" t="n">
        <x:v>0.03</x:v>
      </x:c>
      <x:c r="AB64" s="45" t="n">
        <x:v>1</x:v>
      </x:c>
      <x:c r="AC64" s="45" t="n">
        <x:v>0</x:v>
      </x:c>
      <x:c r="AD64" s="45" t="n">
        <x:v>5785</x:v>
      </x:c>
    </x:row>
    <x:row r="65">
      <x:c r="A65" s="58" t="n">
        <x:v>1905</x:v>
      </x:c>
      <x:c r="B65" s="46" t="n">
        <x:v>0.82</x:v>
      </x:c>
      <x:c r="C65" s="59" t="n">
        <x:v>0.019</x:v>
      </x:c>
      <x:c r="D65" s="45" t="n">
        <x:v>0</x:v>
      </x:c>
      <x:c r="E65" s="45" t="n">
        <x:v>90000</x:v>
      </x:c>
      <x:c r="F65" s="45" t="n">
        <x:v>28000</x:v>
      </x:c>
      <x:c r="G65" s="45" t="n">
        <x:v>14000</x:v>
      </x:c>
      <x:c r="H65" s="45" t="n">
        <x:v>9000</x:v>
      </x:c>
      <x:c r="I65" s="59" t="n">
        <x:v>0.2</x:v>
      </x:c>
      <x:c r="J65" s="59" t="n">
        <x:v>0.3</x:v>
      </x:c>
      <x:c r="K65" s="45" t="n">
        <x:v>7960000</x:v>
      </x:c>
      <x:c r="L65" s="59" t="n">
        <x:v>0.015</x:v>
      </x:c>
      <x:c r="M65" s="46" t="n">
        <x:v>1</x:v>
      </x:c>
      <x:c r="N65" s="59" t="n">
        <x:v>0.1931</x:v>
      </x:c>
      <x:c r="O65" s="59" t="n">
        <x:v>0.12</x:v>
      </x:c>
      <x:c r="P65" s="59" t="n">
        <x:v>0.074</x:v>
      </x:c>
      <x:c r="Q65" s="59" t="n">
        <x:v>0.85</x:v>
      </x:c>
      <x:c r="R65" s="60" t="n">
        <x:v>0.002</x:v>
      </x:c>
      <x:c r="S65" s="52" t="n">
        <x:v>10</x:v>
      </x:c>
      <x:c r="T65" s="59" t="n">
        <x:v>0.0375</x:v>
      </x:c>
      <x:c r="U65" s="59" t="n">
        <x:v>0.02</x:v>
      </x:c>
      <x:c r="V65" s="59" t="n">
        <x:v>0.0086</x:v>
      </x:c>
      <x:c r="W65" s="45" t="n">
        <x:v>32000</x:v>
      </x:c>
      <x:c r="X65" s="45" t="n">
        <x:v>162000</x:v>
      </x:c>
      <x:c r="Y65" s="59" t="n">
        <x:v>0.04</x:v>
      </x:c>
      <x:c r="Z65" s="59" t="n">
        <x:v>0.05</x:v>
      </x:c>
      <x:c r="AA65" s="59" t="n">
        <x:v>0.03</x:v>
      </x:c>
      <x:c r="AB65" s="45" t="n">
        <x:v>1</x:v>
      </x:c>
      <x:c r="AC65" s="45" t="n">
        <x:v>0</x:v>
      </x:c>
      <x:c r="AD65" s="45" t="n">
        <x:v>6031</x:v>
      </x:c>
    </x:row>
    <x:row r="66">
      <x:c r="A66" s="58" t="n">
        <x:v>1906</x:v>
      </x:c>
      <x:c r="B66" s="46" t="n">
        <x:v>0.844</x:v>
      </x:c>
      <x:c r="C66" s="59" t="n">
        <x:v>0.019</x:v>
      </x:c>
      <x:c r="D66" s="45" t="n">
        <x:v>0</x:v>
      </x:c>
      <x:c r="E66" s="45" t="n">
        <x:v>90000</x:v>
      </x:c>
      <x:c r="F66" s="45" t="n">
        <x:v>28000</x:v>
      </x:c>
      <x:c r="G66" s="45" t="n">
        <x:v>14000</x:v>
      </x:c>
      <x:c r="H66" s="45" t="n">
        <x:v>9000</x:v>
      </x:c>
      <x:c r="I66" s="59" t="n">
        <x:v>0.2</x:v>
      </x:c>
      <x:c r="J66" s="59" t="n">
        <x:v>0.3</x:v>
      </x:c>
      <x:c r="K66" s="45" t="n">
        <x:v>8140000</x:v>
      </x:c>
      <x:c r="L66" s="59" t="n">
        <x:v>0.015</x:v>
      </x:c>
      <x:c r="M66" s="46" t="n">
        <x:v>1</x:v>
      </x:c>
      <x:c r="N66" s="59" t="n">
        <x:v>0.1917</x:v>
      </x:c>
      <x:c r="O66" s="59" t="n">
        <x:v>0.12</x:v>
      </x:c>
      <x:c r="P66" s="59" t="n">
        <x:v>0.074</x:v>
      </x:c>
      <x:c r="Q66" s="59" t="n">
        <x:v>0.85</x:v>
      </x:c>
      <x:c r="R66" s="60" t="n">
        <x:v>0.002</x:v>
      </x:c>
      <x:c r="S66" s="52" t="n">
        <x:v>10.8</x:v>
      </x:c>
      <x:c r="T66" s="59" t="n">
        <x:v>0.0378</x:v>
      </x:c>
      <x:c r="U66" s="59" t="n">
        <x:v>0.02</x:v>
      </x:c>
      <x:c r="V66" s="59" t="n">
        <x:v>0.008500000000000001</x:v>
      </x:c>
      <x:c r="W66" s="45" t="n">
        <x:v>32500</x:v>
      </x:c>
      <x:c r="X66" s="45" t="n">
        <x:v>164000</x:v>
      </x:c>
      <x:c r="Y66" s="59" t="n">
        <x:v>0.0411</x:v>
      </x:c>
      <x:c r="Z66" s="59" t="n">
        <x:v>0.05</x:v>
      </x:c>
      <x:c r="AA66" s="59" t="n">
        <x:v>0.03</x:v>
      </x:c>
      <x:c r="AB66" s="45" t="n">
        <x:v>1</x:v>
      </x:c>
      <x:c r="AC66" s="45" t="n">
        <x:v>0</x:v>
      </x:c>
      <x:c r="AD66" s="45" t="n">
        <x:v>6277</x:v>
      </x:c>
    </x:row>
    <x:row r="67">
      <x:c r="A67" s="58" t="n">
        <x:v>1907</x:v>
      </x:c>
      <x:c r="B67" s="46" t="n">
        <x:v>0.868</x:v>
      </x:c>
      <x:c r="C67" s="59" t="n">
        <x:v>0.019</x:v>
      </x:c>
      <x:c r="D67" s="45" t="n">
        <x:v>0</x:v>
      </x:c>
      <x:c r="E67" s="45" t="n">
        <x:v>90000</x:v>
      </x:c>
      <x:c r="F67" s="45" t="n">
        <x:v>28000</x:v>
      </x:c>
      <x:c r="G67" s="45" t="n">
        <x:v>25000</x:v>
      </x:c>
      <x:c r="H67" s="45" t="n">
        <x:v>9000</x:v>
      </x:c>
      <x:c r="I67" s="59" t="n">
        <x:v>0.2</x:v>
      </x:c>
      <x:c r="J67" s="59" t="n">
        <x:v>0.3</x:v>
      </x:c>
      <x:c r="K67" s="45" t="n">
        <x:v>8320000</x:v>
      </x:c>
      <x:c r="L67" s="59" t="n">
        <x:v>0.015</x:v>
      </x:c>
      <x:c r="M67" s="46" t="n">
        <x:v>0.985</x:v>
      </x:c>
      <x:c r="N67" s="59" t="n">
        <x:v>0.1903</x:v>
      </x:c>
      <x:c r="O67" s="59" t="n">
        <x:v>0.12</x:v>
      </x:c>
      <x:c r="P67" s="59" t="n">
        <x:v>0.074</x:v>
      </x:c>
      <x:c r="Q67" s="59" t="n">
        <x:v>0.85</x:v>
      </x:c>
      <x:c r="R67" s="60" t="n">
        <x:v>0.002</x:v>
      </x:c>
      <x:c r="S67" s="52" t="n">
        <x:v>11.6</x:v>
      </x:c>
      <x:c r="T67" s="59" t="n">
        <x:v>0.0382</x:v>
      </x:c>
      <x:c r="U67" s="59" t="n">
        <x:v>0.02</x:v>
      </x:c>
      <x:c r="V67" s="59" t="n">
        <x:v>0.008500000000000001</x:v>
      </x:c>
      <x:c r="W67" s="45" t="n">
        <x:v>33000</x:v>
      </x:c>
      <x:c r="X67" s="45" t="n">
        <x:v>166000</x:v>
      </x:c>
      <x:c r="Y67" s="59" t="n">
        <x:v>0.0422</x:v>
      </x:c>
      <x:c r="Z67" s="59" t="n">
        <x:v>0.05</x:v>
      </x:c>
      <x:c r="AA67" s="59" t="n">
        <x:v>0.03</x:v>
      </x:c>
      <x:c r="AB67" s="45" t="n">
        <x:v>1</x:v>
      </x:c>
      <x:c r="AC67" s="45" t="n">
        <x:v>0</x:v>
      </x:c>
      <x:c r="AD67" s="45" t="n">
        <x:v>6523</x:v>
      </x:c>
    </x:row>
    <x:row r="68">
      <x:c r="A68" s="58" t="n">
        <x:v>1908</x:v>
      </x:c>
      <x:c r="B68" s="46" t="n">
        <x:v>0.892</x:v>
      </x:c>
      <x:c r="C68" s="59" t="n">
        <x:v>0.019</x:v>
      </x:c>
      <x:c r="D68" s="45" t="n">
        <x:v>0</x:v>
      </x:c>
      <x:c r="E68" s="45" t="n">
        <x:v>90000</x:v>
      </x:c>
      <x:c r="F68" s="45" t="n">
        <x:v>28000</x:v>
      </x:c>
      <x:c r="G68" s="45" t="n">
        <x:v>25000</x:v>
      </x:c>
      <x:c r="H68" s="45" t="n">
        <x:v>9000</x:v>
      </x:c>
      <x:c r="I68" s="59" t="n">
        <x:v>0.2</x:v>
      </x:c>
      <x:c r="J68" s="59" t="n">
        <x:v>0.3</x:v>
      </x:c>
      <x:c r="K68" s="45" t="n">
        <x:v>8500000</x:v>
      </x:c>
      <x:c r="L68" s="59" t="n">
        <x:v>0.015</x:v>
      </x:c>
      <x:c r="M68" s="46" t="n">
        <x:v>0.95</x:v>
      </x:c>
      <x:c r="N68" s="59" t="n">
        <x:v>0.189</x:v>
      </x:c>
      <x:c r="O68" s="59" t="n">
        <x:v>0.12</x:v>
      </x:c>
      <x:c r="P68" s="59" t="n">
        <x:v>0.074</x:v>
      </x:c>
      <x:c r="Q68" s="59" t="n">
        <x:v>0.85</x:v>
      </x:c>
      <x:c r="R68" s="60" t="n">
        <x:v>0.002</x:v>
      </x:c>
      <x:c r="S68" s="52" t="n">
        <x:v>12.4</x:v>
      </x:c>
      <x:c r="T68" s="59" t="n">
        <x:v>0.0385</x:v>
      </x:c>
      <x:c r="U68" s="59" t="n">
        <x:v>0.02</x:v>
      </x:c>
      <x:c r="V68" s="59" t="n">
        <x:v>0.008399999999999999</x:v>
      </x:c>
      <x:c r="W68" s="45" t="n">
        <x:v>33500</x:v>
      </x:c>
      <x:c r="X68" s="45" t="n">
        <x:v>168000</x:v>
      </x:c>
      <x:c r="Y68" s="59" t="n">
        <x:v>0.0433</x:v>
      </x:c>
      <x:c r="Z68" s="59" t="n">
        <x:v>0.05</x:v>
      </x:c>
      <x:c r="AA68" s="59" t="n">
        <x:v>0.03</x:v>
      </x:c>
      <x:c r="AB68" s="45" t="n">
        <x:v>1</x:v>
      </x:c>
      <x:c r="AC68" s="45" t="n">
        <x:v>0</x:v>
      </x:c>
      <x:c r="AD68" s="45" t="n">
        <x:v>6769</x:v>
      </x:c>
    </x:row>
    <x:row r="69">
      <x:c r="A69" s="58" t="n">
        <x:v>1909</x:v>
      </x:c>
      <x:c r="B69" s="46" t="n">
        <x:v>0.916</x:v>
      </x:c>
      <x:c r="C69" s="59" t="n">
        <x:v>0.019</x:v>
      </x:c>
      <x:c r="D69" s="45" t="n">
        <x:v>0</x:v>
      </x:c>
      <x:c r="E69" s="45" t="n">
        <x:v>90000</x:v>
      </x:c>
      <x:c r="F69" s="45" t="n">
        <x:v>28000</x:v>
      </x:c>
      <x:c r="G69" s="45" t="n">
        <x:v>25000</x:v>
      </x:c>
      <x:c r="H69" s="45" t="n">
        <x:v>9000</x:v>
      </x:c>
      <x:c r="I69" s="59" t="n">
        <x:v>0.2</x:v>
      </x:c>
      <x:c r="J69" s="59" t="n">
        <x:v>0.3</x:v>
      </x:c>
      <x:c r="K69" s="45" t="n">
        <x:v>8680000</x:v>
      </x:c>
      <x:c r="L69" s="59" t="n">
        <x:v>0.015</x:v>
      </x:c>
      <x:c r="M69" s="46" t="n">
        <x:v>1</x:v>
      </x:c>
      <x:c r="N69" s="59" t="n">
        <x:v>0.1876</x:v>
      </x:c>
      <x:c r="O69" s="59" t="n">
        <x:v>0.12</x:v>
      </x:c>
      <x:c r="P69" s="59" t="n">
        <x:v>0.074</x:v>
      </x:c>
      <x:c r="Q69" s="59" t="n">
        <x:v>0.85</x:v>
      </x:c>
      <x:c r="R69" s="60" t="n">
        <x:v>0.002</x:v>
      </x:c>
      <x:c r="S69" s="52" t="n">
        <x:v>13.2</x:v>
      </x:c>
      <x:c r="T69" s="59" t="n">
        <x:v>0.0388</x:v>
      </x:c>
      <x:c r="U69" s="59" t="n">
        <x:v>0.02</x:v>
      </x:c>
      <x:c r="V69" s="59" t="n">
        <x:v>0.0083</x:v>
      </x:c>
      <x:c r="W69" s="45" t="n">
        <x:v>34000</x:v>
      </x:c>
      <x:c r="X69" s="45" t="n">
        <x:v>171000</x:v>
      </x:c>
      <x:c r="Y69" s="59" t="n">
        <x:v>0.0444</x:v>
      </x:c>
      <x:c r="Z69" s="59" t="n">
        <x:v>0.05</x:v>
      </x:c>
      <x:c r="AA69" s="59" t="n">
        <x:v>0.03</x:v>
      </x:c>
      <x:c r="AB69" s="45" t="n">
        <x:v>1</x:v>
      </x:c>
      <x:c r="AC69" s="45" t="n">
        <x:v>0</x:v>
      </x:c>
      <x:c r="AD69" s="45" t="n">
        <x:v>7015</x:v>
      </x:c>
    </x:row>
    <x:row r="70">
      <x:c r="A70" s="58" t="n">
        <x:v>1910</x:v>
      </x:c>
      <x:c r="B70" s="46" t="n">
        <x:v>0.9399999999999999</x:v>
      </x:c>
      <x:c r="C70" s="59" t="n">
        <x:v>0.019</x:v>
      </x:c>
      <x:c r="D70" s="45" t="n">
        <x:v>0</x:v>
      </x:c>
      <x:c r="E70" s="45" t="n">
        <x:v>90000</x:v>
      </x:c>
      <x:c r="F70" s="45" t="n">
        <x:v>28000</x:v>
      </x:c>
      <x:c r="G70" s="45" t="n">
        <x:v>25000</x:v>
      </x:c>
      <x:c r="H70" s="45" t="n">
        <x:v>9000</x:v>
      </x:c>
      <x:c r="I70" s="59" t="n">
        <x:v>0.2</x:v>
      </x:c>
      <x:c r="J70" s="59" t="n">
        <x:v>0.3</x:v>
      </x:c>
      <x:c r="K70" s="45" t="n">
        <x:v>8860000</x:v>
      </x:c>
      <x:c r="L70" s="59" t="n">
        <x:v>0.015</x:v>
      </x:c>
      <x:c r="M70" s="46" t="n">
        <x:v>1</x:v>
      </x:c>
      <x:c r="N70" s="59" t="n">
        <x:v>0.1862</x:v>
      </x:c>
      <x:c r="O70" s="59" t="n">
        <x:v>0.12</x:v>
      </x:c>
      <x:c r="P70" s="59" t="n">
        <x:v>0.074</x:v>
      </x:c>
      <x:c r="Q70" s="59" t="n">
        <x:v>0.85</x:v>
      </x:c>
      <x:c r="R70" s="60" t="n">
        <x:v>0.002</x:v>
      </x:c>
      <x:c r="S70" s="52" t="n">
        <x:v>14</x:v>
      </x:c>
      <x:c r="T70" s="59" t="n">
        <x:v>0.0391</x:v>
      </x:c>
      <x:c r="U70" s="59" t="n">
        <x:v>0.02</x:v>
      </x:c>
      <x:c r="V70" s="59" t="n">
        <x:v>0.008200000000000001</x:v>
      </x:c>
      <x:c r="W70" s="45" t="n">
        <x:v>34500</x:v>
      </x:c>
      <x:c r="X70" s="45" t="n">
        <x:v>173000</x:v>
      </x:c>
      <x:c r="Y70" s="59" t="n">
        <x:v>0.0456</x:v>
      </x:c>
      <x:c r="Z70" s="59" t="n">
        <x:v>0.05</x:v>
      </x:c>
      <x:c r="AA70" s="59" t="n">
        <x:v>0.03</x:v>
      </x:c>
      <x:c r="AB70" s="45" t="n">
        <x:v>1</x:v>
      </x:c>
      <x:c r="AC70" s="45" t="n">
        <x:v>0</x:v>
      </x:c>
      <x:c r="AD70" s="45" t="n">
        <x:v>7262</x:v>
      </x:c>
    </x:row>
    <x:row r="71">
      <x:c r="A71" s="58" t="n">
        <x:v>1911</x:v>
      </x:c>
      <x:c r="B71" s="46" t="n">
        <x:v>0.96</x:v>
      </x:c>
      <x:c r="C71" s="59" t="n">
        <x:v>0.019</x:v>
      </x:c>
      <x:c r="D71" s="45" t="n">
        <x:v>0</x:v>
      </x:c>
      <x:c r="E71" s="45" t="n">
        <x:v>90000</x:v>
      </x:c>
      <x:c r="F71" s="45" t="n">
        <x:v>28000</x:v>
      </x:c>
      <x:c r="G71" s="45" t="n">
        <x:v>25000</x:v>
      </x:c>
      <x:c r="H71" s="45" t="n">
        <x:v>9000</x:v>
      </x:c>
      <x:c r="I71" s="59" t="n">
        <x:v>0.2</x:v>
      </x:c>
      <x:c r="J71" s="59" t="n">
        <x:v>0.3</x:v>
      </x:c>
      <x:c r="K71" s="45" t="n">
        <x:v>9040000</x:v>
      </x:c>
      <x:c r="L71" s="59" t="n">
        <x:v>0.015</x:v>
      </x:c>
      <x:c r="M71" s="46" t="n">
        <x:v>1</x:v>
      </x:c>
      <x:c r="N71" s="59" t="n">
        <x:v>0.1848</x:v>
      </x:c>
      <x:c r="O71" s="59" t="n">
        <x:v>0.12</x:v>
      </x:c>
      <x:c r="P71" s="59" t="n">
        <x:v>0.074</x:v>
      </x:c>
      <x:c r="Q71" s="59" t="n">
        <x:v>0.85</x:v>
      </x:c>
      <x:c r="R71" s="60" t="n">
        <x:v>0.002</x:v>
      </x:c>
      <x:c r="S71" s="52" t="n">
        <x:v>14.7</x:v>
      </x:c>
      <x:c r="T71" s="59" t="n">
        <x:v>0.0394</x:v>
      </x:c>
      <x:c r="U71" s="59" t="n">
        <x:v>0.02</x:v>
      </x:c>
      <x:c r="V71" s="59" t="n">
        <x:v>0.008200000000000001</x:v>
      </x:c>
      <x:c r="W71" s="45" t="n">
        <x:v>35000</x:v>
      </x:c>
      <x:c r="X71" s="45" t="n">
        <x:v>175000</x:v>
      </x:c>
      <x:c r="Y71" s="59" t="n">
        <x:v>0.0467</x:v>
      </x:c>
      <x:c r="Z71" s="59" t="n">
        <x:v>0.05</x:v>
      </x:c>
      <x:c r="AA71" s="59" t="n">
        <x:v>0.03</x:v>
      </x:c>
      <x:c r="AB71" s="45" t="n">
        <x:v>1</x:v>
      </x:c>
      <x:c r="AC71" s="45" t="n">
        <x:v>0</x:v>
      </x:c>
      <x:c r="AD71" s="45" t="n">
        <x:v>7508</x:v>
      </x:c>
    </x:row>
    <x:row r="72">
      <x:c r="A72" s="58" t="n">
        <x:v>1912</x:v>
      </x:c>
      <x:c r="B72" s="46" t="n">
        <x:v>0.98</x:v>
      </x:c>
      <x:c r="C72" s="59" t="n">
        <x:v>0.019</x:v>
      </x:c>
      <x:c r="D72" s="45" t="n">
        <x:v>0</x:v>
      </x:c>
      <x:c r="E72" s="45" t="n">
        <x:v>90000</x:v>
      </x:c>
      <x:c r="F72" s="45" t="n">
        <x:v>28000</x:v>
      </x:c>
      <x:c r="G72" s="45" t="n">
        <x:v>25000</x:v>
      </x:c>
      <x:c r="H72" s="45" t="n">
        <x:v>9000</x:v>
      </x:c>
      <x:c r="I72" s="59" t="n">
        <x:v>0.2</x:v>
      </x:c>
      <x:c r="J72" s="59" t="n">
        <x:v>0.3</x:v>
      </x:c>
      <x:c r="K72" s="45" t="n">
        <x:v>9220000</x:v>
      </x:c>
      <x:c r="L72" s="59" t="n">
        <x:v>0.015</x:v>
      </x:c>
      <x:c r="M72" s="46" t="n">
        <x:v>1</x:v>
      </x:c>
      <x:c r="N72" s="59" t="n">
        <x:v>0.1834</x:v>
      </x:c>
      <x:c r="O72" s="59" t="n">
        <x:v>0.12</x:v>
      </x:c>
      <x:c r="P72" s="59" t="n">
        <x:v>0.074</x:v>
      </x:c>
      <x:c r="Q72" s="59" t="n">
        <x:v>0.85</x:v>
      </x:c>
      <x:c r="R72" s="60" t="n">
        <x:v>0.002</x:v>
      </x:c>
      <x:c r="S72" s="52" t="n">
        <x:v>15.3</x:v>
      </x:c>
      <x:c r="T72" s="59" t="n">
        <x:v>0.0397</x:v>
      </x:c>
      <x:c r="U72" s="59" t="n">
        <x:v>0.02</x:v>
      </x:c>
      <x:c r="V72" s="59" t="n">
        <x:v>0.0081</x:v>
      </x:c>
      <x:c r="W72" s="45" t="n">
        <x:v>35500</x:v>
      </x:c>
      <x:c r="X72" s="45" t="n">
        <x:v>178000</x:v>
      </x:c>
      <x:c r="Y72" s="59" t="n">
        <x:v>0.0478</x:v>
      </x:c>
      <x:c r="Z72" s="59" t="n">
        <x:v>0.05</x:v>
      </x:c>
      <x:c r="AA72" s="59" t="n">
        <x:v>0.03</x:v>
      </x:c>
      <x:c r="AB72" s="45" t="n">
        <x:v>1</x:v>
      </x:c>
      <x:c r="AC72" s="45" t="n">
        <x:v>0</x:v>
      </x:c>
      <x:c r="AD72" s="45" t="n">
        <x:v>7754</x:v>
      </x:c>
    </x:row>
    <x:row r="73">
      <x:c r="A73" s="58" t="n">
        <x:v>1913</x:v>
      </x:c>
      <x:c r="B73" s="46" t="n">
        <x:v>1</x:v>
      </x:c>
      <x:c r="C73" s="59" t="n">
        <x:v>0.017</x:v>
      </x:c>
      <x:c r="D73" s="45" t="n">
        <x:v>0</x:v>
      </x:c>
      <x:c r="E73" s="45" t="n">
        <x:v>90000</x:v>
      </x:c>
      <x:c r="F73" s="45" t="n">
        <x:v>28000</x:v>
      </x:c>
      <x:c r="G73" s="45" t="n">
        <x:v>25000</x:v>
      </x:c>
      <x:c r="H73" s="45" t="n">
        <x:v>9000</x:v>
      </x:c>
      <x:c r="I73" s="59" t="n">
        <x:v>0.2</x:v>
      </x:c>
      <x:c r="J73" s="59" t="n">
        <x:v>0.3</x:v>
      </x:c>
      <x:c r="K73" s="45" t="n">
        <x:v>9400000</x:v>
      </x:c>
      <x:c r="L73" s="59" t="n">
        <x:v>0.015</x:v>
      </x:c>
      <x:c r="M73" s="46" t="n">
        <x:v>1</x:v>
      </x:c>
      <x:c r="N73" s="59" t="n">
        <x:v>0.1821</x:v>
      </x:c>
      <x:c r="O73" s="59" t="n">
        <x:v>0.12</x:v>
      </x:c>
      <x:c r="P73" s="59" t="n">
        <x:v>0.074</x:v>
      </x:c>
      <x:c r="Q73" s="59" t="n">
        <x:v>0.85</x:v>
      </x:c>
      <x:c r="R73" s="60" t="n">
        <x:v>0.002</x:v>
      </x:c>
      <x:c r="S73" s="52" t="n">
        <x:v>16</x:v>
      </x:c>
      <x:c r="T73" s="59" t="n">
        <x:v>0.04</x:v>
      </x:c>
      <x:c r="U73" s="59" t="n">
        <x:v>0.02</x:v>
      </x:c>
      <x:c r="V73" s="59" t="n">
        <x:v>0.008</x:v>
      </x:c>
      <x:c r="W73" s="45" t="n">
        <x:v>36000</x:v>
      </x:c>
      <x:c r="X73" s="45" t="n">
        <x:v>180000</x:v>
      </x:c>
      <x:c r="Y73" s="59" t="n">
        <x:v>0.0489</x:v>
      </x:c>
      <x:c r="Z73" s="59" t="n">
        <x:v>0.05</x:v>
      </x:c>
      <x:c r="AA73" s="59" t="n">
        <x:v>0.03</x:v>
      </x:c>
      <x:c r="AB73" s="45" t="n">
        <x:v>1</x:v>
      </x:c>
      <x:c r="AC73" s="45" t="n">
        <x:v>0</x:v>
      </x:c>
      <x:c r="AD73" s="45" t="n">
        <x:v>8000</x:v>
      </x:c>
    </x:row>
    <x:row r="74">
      <x:c r="A74" s="61" t="n">
        <x:v>1914</x:v>
      </x:c>
      <x:c r="B74" s="46" t="n">
        <x:v>1.01</x:v>
      </x:c>
      <x:c r="C74" s="59" t="n">
        <x:v>0.017</x:v>
      </x:c>
      <x:c r="D74" s="45" t="n">
        <x:v>0</x:v>
      </x:c>
      <x:c r="E74" s="45" t="n">
        <x:v>35000</x:v>
      </x:c>
      <x:c r="F74" s="45" t="n">
        <x:v>14000</x:v>
      </x:c>
      <x:c r="G74" s="45" t="n">
        <x:v>14000</x:v>
      </x:c>
      <x:c r="H74" s="45" t="n">
        <x:v>7000</x:v>
      </x:c>
      <x:c r="I74" s="59" t="n">
        <x:v>0.2</x:v>
      </x:c>
      <x:c r="J74" s="59" t="n">
        <x:v>0.3</x:v>
      </x:c>
      <x:c r="K74" s="45" t="n">
        <x:v>9580000</x:v>
      </x:c>
      <x:c r="L74" s="59" t="n">
        <x:v>0.008</x:v>
      </x:c>
      <x:c r="M74" s="46" t="n">
        <x:v>0.97</x:v>
      </x:c>
      <x:c r="N74" s="59" t="n">
        <x:v>0.1807</x:v>
      </x:c>
      <x:c r="O74" s="59" t="n">
        <x:v>0.12</x:v>
      </x:c>
      <x:c r="P74" s="59" t="n">
        <x:v>0.074</x:v>
      </x:c>
      <x:c r="Q74" s="59" t="n">
        <x:v>0.85</x:v>
      </x:c>
      <x:c r="R74" s="60" t="n">
        <x:v>0.002</x:v>
      </x:c>
      <x:c r="S74" s="52" t="n">
        <x:v>14</x:v>
      </x:c>
      <x:c r="T74" s="59" t="n">
        <x:v>0.0403</x:v>
      </x:c>
      <x:c r="U74" s="59" t="n">
        <x:v>0.02</x:v>
      </x:c>
      <x:c r="V74" s="59" t="n">
        <x:v>0.008</x:v>
      </x:c>
      <x:c r="W74" s="45" t="n">
        <x:v>40000</x:v>
      </x:c>
      <x:c r="X74" s="45" t="n">
        <x:v>182000</x:v>
      </x:c>
      <x:c r="Y74" s="59" t="n">
        <x:v>0.05</x:v>
      </x:c>
      <x:c r="Z74" s="59" t="n">
        <x:v>0.05</x:v>
      </x:c>
      <x:c r="AA74" s="59" t="n">
        <x:v>0</x:v>
      </x:c>
      <x:c r="AB74" s="45" t="n">
        <x:v>1</x:v>
      </x:c>
      <x:c r="AC74" s="45" t="n">
        <x:v>1</x:v>
      </x:c>
      <x:c r="AD74" s="45" t="n">
        <x:v>8071</x:v>
      </x:c>
    </x:row>
    <x:row r="75">
      <x:c r="A75" s="61" t="n">
        <x:v>1915</x:v>
      </x:c>
      <x:c r="B75" s="46" t="n">
        <x:v>1.04</x:v>
      </x:c>
      <x:c r="C75" s="59" t="n">
        <x:v>0.017</x:v>
      </x:c>
      <x:c r="D75" s="45" t="n">
        <x:v>0</x:v>
      </x:c>
      <x:c r="E75" s="45" t="n">
        <x:v>35000</x:v>
      </x:c>
      <x:c r="F75" s="45" t="n">
        <x:v>14000</x:v>
      </x:c>
      <x:c r="G75" s="45" t="n">
        <x:v>14000</x:v>
      </x:c>
      <x:c r="H75" s="45" t="n">
        <x:v>7000</x:v>
      </x:c>
      <x:c r="I75" s="59" t="n">
        <x:v>0.2</x:v>
      </x:c>
      <x:c r="J75" s="59" t="n">
        <x:v>0.3</x:v>
      </x:c>
      <x:c r="K75" s="45" t="n">
        <x:v>9760000</x:v>
      </x:c>
      <x:c r="L75" s="59" t="n">
        <x:v>0.008</x:v>
      </x:c>
      <x:c r="M75" s="46" t="n">
        <x:v>1</x:v>
      </x:c>
      <x:c r="N75" s="59" t="n">
        <x:v>0.1793</x:v>
      </x:c>
      <x:c r="O75" s="59" t="n">
        <x:v>0.12</x:v>
      </x:c>
      <x:c r="P75" s="59" t="n">
        <x:v>0.095</x:v>
      </x:c>
      <x:c r="Q75" s="59" t="n">
        <x:v>0.85</x:v>
      </x:c>
      <x:c r="R75" s="60" t="n">
        <x:v>0.002</x:v>
      </x:c>
      <x:c r="S75" s="52" t="n">
        <x:v>12</x:v>
      </x:c>
      <x:c r="T75" s="59" t="n">
        <x:v>0.0406</x:v>
      </x:c>
      <x:c r="U75" s="59" t="n">
        <x:v>0.02</x:v>
      </x:c>
      <x:c r="V75" s="59" t="n">
        <x:v>0.008</x:v>
      </x:c>
      <x:c r="W75" s="45" t="n">
        <x:v>41200</x:v>
      </x:c>
      <x:c r="X75" s="45" t="n">
        <x:v>185000</x:v>
      </x:c>
      <x:c r="Y75" s="59" t="n">
        <x:v>0.0498</x:v>
      </x:c>
      <x:c r="Z75" s="59" t="n">
        <x:v>0.05</x:v>
      </x:c>
      <x:c r="AA75" s="59" t="n">
        <x:v>0</x:v>
      </x:c>
      <x:c r="AB75" s="45" t="n">
        <x:v>1</x:v>
      </x:c>
      <x:c r="AC75" s="45" t="n">
        <x:v>1</x:v>
      </x:c>
      <x:c r="AD75" s="45" t="n">
        <x:v>8143</x:v>
      </x:c>
    </x:row>
    <x:row r="76">
      <x:c r="A76" s="61" t="n">
        <x:v>1916</x:v>
      </x:c>
      <x:c r="B76" s="46" t="n">
        <x:v>1.17</x:v>
      </x:c>
      <x:c r="C76" s="59" t="n">
        <x:v>0.017</x:v>
      </x:c>
      <x:c r="D76" s="45" t="n">
        <x:v>0</x:v>
      </x:c>
      <x:c r="E76" s="45" t="n">
        <x:v>35000</x:v>
      </x:c>
      <x:c r="F76" s="45" t="n">
        <x:v>14000</x:v>
      </x:c>
      <x:c r="G76" s="45" t="n">
        <x:v>14000</x:v>
      </x:c>
      <x:c r="H76" s="45" t="n">
        <x:v>7000</x:v>
      </x:c>
      <x:c r="I76" s="59" t="n">
        <x:v>0.2</x:v>
      </x:c>
      <x:c r="J76" s="59" t="n">
        <x:v>0.3</x:v>
      </x:c>
      <x:c r="K76" s="45" t="n">
        <x:v>9940000</x:v>
      </x:c>
      <x:c r="L76" s="59" t="n">
        <x:v>0.008</x:v>
      </x:c>
      <x:c r="M76" s="46" t="n">
        <x:v>1</x:v>
      </x:c>
      <x:c r="N76" s="59" t="n">
        <x:v>0.1779</x:v>
      </x:c>
      <x:c r="O76" s="59" t="n">
        <x:v>0.12</x:v>
      </x:c>
      <x:c r="P76" s="59" t="n">
        <x:v>0.095</x:v>
      </x:c>
      <x:c r="Q76" s="59" t="n">
        <x:v>0.85</x:v>
      </x:c>
      <x:c r="R76" s="60" t="n">
        <x:v>0.002</x:v>
      </x:c>
      <x:c r="S76" s="52" t="n">
        <x:v>12.7</x:v>
      </x:c>
      <x:c r="T76" s="59" t="n">
        <x:v>0.0409</x:v>
      </x:c>
      <x:c r="U76" s="59" t="n">
        <x:v>0.02</x:v>
      </x:c>
      <x:c r="V76" s="59" t="n">
        <x:v>0.008</x:v>
      </x:c>
      <x:c r="W76" s="45" t="n">
        <x:v>42500</x:v>
      </x:c>
      <x:c r="X76" s="45" t="n">
        <x:v>188000</x:v>
      </x:c>
      <x:c r="Y76" s="59" t="n">
        <x:v>0.0496</x:v>
      </x:c>
      <x:c r="Z76" s="59" t="n">
        <x:v>0.05</x:v>
      </x:c>
      <x:c r="AA76" s="59" t="n">
        <x:v>0</x:v>
      </x:c>
      <x:c r="AB76" s="45" t="n">
        <x:v>1</x:v>
      </x:c>
      <x:c r="AC76" s="45" t="n">
        <x:v>1</x:v>
      </x:c>
      <x:c r="AD76" s="45" t="n">
        <x:v>8214</x:v>
      </x:c>
    </x:row>
    <x:row r="77">
      <x:c r="A77" s="61" t="n">
        <x:v>1917</x:v>
      </x:c>
      <x:c r="B77" s="46" t="n">
        <x:v>1.42</x:v>
      </x:c>
      <x:c r="C77" s="59" t="n">
        <x:v>0.015</x:v>
      </x:c>
      <x:c r="D77" s="45" t="n">
        <x:v>0</x:v>
      </x:c>
      <x:c r="E77" s="45" t="n">
        <x:v>35000</x:v>
      </x:c>
      <x:c r="F77" s="45" t="n">
        <x:v>14000</x:v>
      </x:c>
      <x:c r="G77" s="45" t="n">
        <x:v>14000</x:v>
      </x:c>
      <x:c r="H77" s="45" t="n">
        <x:v>7000</x:v>
      </x:c>
      <x:c r="I77" s="59" t="n">
        <x:v>0.2</x:v>
      </x:c>
      <x:c r="J77" s="59" t="n">
        <x:v>0.3</x:v>
      </x:c>
      <x:c r="K77" s="45" t="n">
        <x:v>10120000</x:v>
      </x:c>
      <x:c r="L77" s="59" t="n">
        <x:v>0.008</x:v>
      </x:c>
      <x:c r="M77" s="46" t="n">
        <x:v>1</x:v>
      </x:c>
      <x:c r="N77" s="59" t="n">
        <x:v>0.1766</x:v>
      </x:c>
      <x:c r="O77" s="59" t="n">
        <x:v>0.12</x:v>
      </x:c>
      <x:c r="P77" s="59" t="n">
        <x:v>0.095</x:v>
      </x:c>
      <x:c r="Q77" s="59" t="n">
        <x:v>0.85</x:v>
      </x:c>
      <x:c r="R77" s="60" t="n">
        <x:v>0.002</x:v>
      </x:c>
      <x:c r="S77" s="52" t="n">
        <x:v>13.3</x:v>
      </x:c>
      <x:c r="T77" s="59" t="n">
        <x:v>0.0411</x:v>
      </x:c>
      <x:c r="U77" s="59" t="n">
        <x:v>0.02</x:v>
      </x:c>
      <x:c r="V77" s="59" t="n">
        <x:v>0.008</x:v>
      </x:c>
      <x:c r="W77" s="45" t="n">
        <x:v>43800</x:v>
      </x:c>
      <x:c r="X77" s="45" t="n">
        <x:v>190000</x:v>
      </x:c>
      <x:c r="Y77" s="59" t="n">
        <x:v>0.0493</x:v>
      </x:c>
      <x:c r="Z77" s="59" t="n">
        <x:v>0.05</x:v>
      </x:c>
      <x:c r="AA77" s="59" t="n">
        <x:v>0</x:v>
      </x:c>
      <x:c r="AB77" s="45" t="n">
        <x:v>1</x:v>
      </x:c>
      <x:c r="AC77" s="45" t="n">
        <x:v>1</x:v>
      </x:c>
      <x:c r="AD77" s="45" t="n">
        <x:v>8286</x:v>
      </x:c>
    </x:row>
    <x:row r="78">
      <x:c r="A78" s="61" t="n">
        <x:v>1918</x:v>
      </x:c>
      <x:c r="B78" s="46" t="n">
        <x:v>1.66</x:v>
      </x:c>
      <x:c r="C78" s="59" t="n">
        <x:v>0.005</x:v>
      </x:c>
      <x:c r="D78" s="45" t="n">
        <x:v>0</x:v>
      </x:c>
      <x:c r="E78" s="45" t="n">
        <x:v>35000</x:v>
      </x:c>
      <x:c r="F78" s="45" t="n">
        <x:v>14000</x:v>
      </x:c>
      <x:c r="G78" s="45" t="n">
        <x:v>14000</x:v>
      </x:c>
      <x:c r="H78" s="45" t="n">
        <x:v>7000</x:v>
      </x:c>
      <x:c r="I78" s="59" t="n">
        <x:v>0.2</x:v>
      </x:c>
      <x:c r="J78" s="59" t="n">
        <x:v>0.3</x:v>
      </x:c>
      <x:c r="K78" s="45" t="n">
        <x:v>10300000</x:v>
      </x:c>
      <x:c r="L78" s="59" t="n">
        <x:v>0.008</x:v>
      </x:c>
      <x:c r="M78" s="46" t="n">
        <x:v>1</x:v>
      </x:c>
      <x:c r="N78" s="59" t="n">
        <x:v>0.1752</x:v>
      </x:c>
      <x:c r="O78" s="59" t="n">
        <x:v>0.12</x:v>
      </x:c>
      <x:c r="P78" s="59" t="n">
        <x:v>0.095</x:v>
      </x:c>
      <x:c r="Q78" s="59" t="n">
        <x:v>0.85</x:v>
      </x:c>
      <x:c r="R78" s="60" t="n">
        <x:v>0.002</x:v>
      </x:c>
      <x:c r="S78" s="52" t="n">
        <x:v>14</x:v>
      </x:c>
      <x:c r="T78" s="59" t="n">
        <x:v>0.0414</x:v>
      </x:c>
      <x:c r="U78" s="59" t="n">
        <x:v>0.02</x:v>
      </x:c>
      <x:c r="V78" s="59" t="n">
        <x:v>0.008</x:v>
      </x:c>
      <x:c r="W78" s="45" t="n">
        <x:v>45000</x:v>
      </x:c>
      <x:c r="X78" s="45" t="n">
        <x:v>192000</x:v>
      </x:c>
      <x:c r="Y78" s="59" t="n">
        <x:v>0.0491</x:v>
      </x:c>
      <x:c r="Z78" s="59" t="n">
        <x:v>0.05</x:v>
      </x:c>
      <x:c r="AA78" s="59" t="n">
        <x:v>0</x:v>
      </x:c>
      <x:c r="AB78" s="45" t="n">
        <x:v>1</x:v>
      </x:c>
      <x:c r="AC78" s="45" t="n">
        <x:v>1</x:v>
      </x:c>
      <x:c r="AD78" s="45" t="n">
        <x:v>8357</x:v>
      </x:c>
    </x:row>
    <x:row r="79">
      <x:c r="A79" s="61" t="n">
        <x:v>1919</x:v>
      </x:c>
      <x:c r="B79" s="46" t="n">
        <x:v>1.83</x:v>
      </x:c>
      <x:c r="C79" s="59" t="n">
        <x:v>0.015</x:v>
      </x:c>
      <x:c r="D79" s="45" t="n">
        <x:v>0</x:v>
      </x:c>
      <x:c r="E79" s="45" t="n">
        <x:v>110000</x:v>
      </x:c>
      <x:c r="F79" s="45" t="n">
        <x:v>30000</x:v>
      </x:c>
      <x:c r="G79" s="45" t="n">
        <x:v>30000</x:v>
      </x:c>
      <x:c r="H79" s="45" t="n">
        <x:v>20000</x:v>
      </x:c>
      <x:c r="I79" s="59" t="n">
        <x:v>0.2</x:v>
      </x:c>
      <x:c r="J79" s="59" t="n">
        <x:v>0.3</x:v>
      </x:c>
      <x:c r="K79" s="45" t="n">
        <x:v>10493000</x:v>
      </x:c>
      <x:c r="L79" s="59" t="n">
        <x:v>0.008</x:v>
      </x:c>
      <x:c r="M79" s="46" t="n">
        <x:v>1</x:v>
      </x:c>
      <x:c r="N79" s="59" t="n">
        <x:v>0.1738</x:v>
      </x:c>
      <x:c r="O79" s="59" t="n">
        <x:v>0.12</x:v>
      </x:c>
      <x:c r="P79" s="59" t="n">
        <x:v>0.095</x:v>
      </x:c>
      <x:c r="Q79" s="59" t="n">
        <x:v>0.85</x:v>
      </x:c>
      <x:c r="R79" s="60" t="n">
        <x:v>0.002</x:v>
      </x:c>
      <x:c r="S79" s="52" t="n">
        <x:v>17</x:v>
      </x:c>
      <x:c r="T79" s="59" t="n">
        <x:v>0.0417</x:v>
      </x:c>
      <x:c r="U79" s="59" t="n">
        <x:v>0.02</x:v>
      </x:c>
      <x:c r="V79" s="59" t="n">
        <x:v>0.008</x:v>
      </x:c>
      <x:c r="W79" s="45" t="n">
        <x:v>45000</x:v>
      </x:c>
      <x:c r="X79" s="45" t="n">
        <x:v>195000</x:v>
      </x:c>
      <x:c r="Y79" s="59" t="n">
        <x:v>0.0489</x:v>
      </x:c>
      <x:c r="Z79" s="59" t="n">
        <x:v>0.05</x:v>
      </x:c>
      <x:c r="AA79" s="59" t="n">
        <x:v>0</x:v>
      </x:c>
      <x:c r="AB79" s="45" t="n">
        <x:v>1</x:v>
      </x:c>
      <x:c r="AC79" s="45" t="n">
        <x:v>1</x:v>
      </x:c>
      <x:c r="AD79" s="45" t="n">
        <x:v>8429</x:v>
      </x:c>
    </x:row>
    <x:row r="80">
      <x:c r="A80" s="61" t="n">
        <x:v>1920</x:v>
      </x:c>
      <x:c r="B80" s="46" t="n">
        <x:v>2.05</x:v>
      </x:c>
      <x:c r="C80" s="59" t="n">
        <x:v>0.015</x:v>
      </x:c>
      <x:c r="D80" s="45" t="n">
        <x:v>0</x:v>
      </x:c>
      <x:c r="E80" s="45" t="n">
        <x:v>110000</x:v>
      </x:c>
      <x:c r="F80" s="45" t="n">
        <x:v>30000</x:v>
      </x:c>
      <x:c r="G80" s="45" t="n">
        <x:v>30000</x:v>
      </x:c>
      <x:c r="H80" s="45" t="n">
        <x:v>20000</x:v>
      </x:c>
      <x:c r="I80" s="59" t="n">
        <x:v>0.2</x:v>
      </x:c>
      <x:c r="J80" s="59" t="n">
        <x:v>0.3</x:v>
      </x:c>
      <x:c r="K80" s="45" t="n">
        <x:v>10686000</x:v>
      </x:c>
      <x:c r="L80" s="59" t="n">
        <x:v>0.008</x:v>
      </x:c>
      <x:c r="M80" s="46" t="n">
        <x:v>1</x:v>
      </x:c>
      <x:c r="N80" s="59" t="n">
        <x:v>0.1724</x:v>
      </x:c>
      <x:c r="O80" s="59" t="n">
        <x:v>0.12</x:v>
      </x:c>
      <x:c r="P80" s="59" t="n">
        <x:v>0.095</x:v>
      </x:c>
      <x:c r="Q80" s="59" t="n">
        <x:v>0.85</x:v>
      </x:c>
      <x:c r="R80" s="60" t="n">
        <x:v>0.002</x:v>
      </x:c>
      <x:c r="S80" s="52" t="n">
        <x:v>20</x:v>
      </x:c>
      <x:c r="T80" s="59" t="n">
        <x:v>0.042</x:v>
      </x:c>
      <x:c r="U80" s="59" t="n">
        <x:v>0.02</x:v>
      </x:c>
      <x:c r="V80" s="59" t="n">
        <x:v>0.008</x:v>
      </x:c>
      <x:c r="W80" s="45" t="n">
        <x:v>45000</x:v>
      </x:c>
      <x:c r="X80" s="45" t="n">
        <x:v>198000</x:v>
      </x:c>
      <x:c r="Y80" s="59" t="n">
        <x:v>0.0487</x:v>
      </x:c>
      <x:c r="Z80" s="59" t="n">
        <x:v>0.05</x:v>
      </x:c>
      <x:c r="AA80" s="59" t="n">
        <x:v>0</x:v>
      </x:c>
      <x:c r="AB80" s="45" t="n">
        <x:v>1</x:v>
      </x:c>
      <x:c r="AC80" s="45" t="n">
        <x:v>1</x:v>
      </x:c>
      <x:c r="AD80" s="45" t="n">
        <x:v>8500</x:v>
      </x:c>
    </x:row>
    <x:row r="81">
      <x:c r="A81" s="61" t="n">
        <x:v>1921</x:v>
      </x:c>
      <x:c r="B81" s="46" t="n">
        <x:v>1.7</x:v>
      </x:c>
      <x:c r="C81" s="59" t="n">
        <x:v>0.015</x:v>
      </x:c>
      <x:c r="D81" s="45" t="n">
        <x:v>0</x:v>
      </x:c>
      <x:c r="E81" s="45" t="n">
        <x:v>110000</x:v>
      </x:c>
      <x:c r="F81" s="45" t="n">
        <x:v>30000</x:v>
      </x:c>
      <x:c r="G81" s="45" t="n">
        <x:v>30000</x:v>
      </x:c>
      <x:c r="H81" s="45" t="n">
        <x:v>20000</x:v>
      </x:c>
      <x:c r="I81" s="59" t="n">
        <x:v>0.2</x:v>
      </x:c>
      <x:c r="J81" s="59" t="n">
        <x:v>0.3</x:v>
      </x:c>
      <x:c r="K81" s="45" t="n">
        <x:v>10879000</x:v>
      </x:c>
      <x:c r="L81" s="59" t="n">
        <x:v>0.017</x:v>
      </x:c>
      <x:c r="M81" s="46" t="n">
        <x:v>0.93</x:v>
      </x:c>
      <x:c r="N81" s="59" t="n">
        <x:v>0.171</x:v>
      </x:c>
      <x:c r="O81" s="59" t="n">
        <x:v>0.12</x:v>
      </x:c>
      <x:c r="P81" s="59" t="n">
        <x:v>0.08</x:v>
      </x:c>
      <x:c r="Q81" s="59" t="n">
        <x:v>0.85</x:v>
      </x:c>
      <x:c r="R81" s="60" t="n">
        <x:v>0.002</x:v>
      </x:c>
      <x:c r="S81" s="52" t="n">
        <x:v>21.2</x:v>
      </x:c>
      <x:c r="T81" s="59" t="n">
        <x:v>0.0423</x:v>
      </x:c>
      <x:c r="U81" s="59" t="n">
        <x:v>0.02</x:v>
      </x:c>
      <x:c r="V81" s="59" t="n">
        <x:v>0.008</x:v>
      </x:c>
      <x:c r="W81" s="45" t="n">
        <x:v>42500</x:v>
      </x:c>
      <x:c r="X81" s="45" t="n">
        <x:v>200000</x:v>
      </x:c>
      <x:c r="Y81" s="59" t="n">
        <x:v>0.0484</x:v>
      </x:c>
      <x:c r="Z81" s="59" t="n">
        <x:v>0.05</x:v>
      </x:c>
      <x:c r="AA81" s="59" t="n">
        <x:v>0</x:v>
      </x:c>
      <x:c r="AB81" s="45" t="n">
        <x:v>1</x:v>
      </x:c>
      <x:c r="AC81" s="45" t="n">
        <x:v>1</x:v>
      </x:c>
      <x:c r="AD81" s="45" t="n">
        <x:v>8700</x:v>
      </x:c>
    </x:row>
    <x:row r="82">
      <x:c r="A82" s="61" t="n">
        <x:v>1922</x:v>
      </x:c>
      <x:c r="B82" s="46" t="n">
        <x:v>1.58</x:v>
      </x:c>
      <x:c r="C82" s="59" t="n">
        <x:v>0.015</x:v>
      </x:c>
      <x:c r="D82" s="45" t="n">
        <x:v>0</x:v>
      </x:c>
      <x:c r="E82" s="45" t="n">
        <x:v>110000</x:v>
      </x:c>
      <x:c r="F82" s="45" t="n">
        <x:v>30000</x:v>
      </x:c>
      <x:c r="G82" s="45" t="n">
        <x:v>30000</x:v>
      </x:c>
      <x:c r="H82" s="45" t="n">
        <x:v>20000</x:v>
      </x:c>
      <x:c r="I82" s="59" t="n">
        <x:v>0.2</x:v>
      </x:c>
      <x:c r="J82" s="59" t="n">
        <x:v>0.3</x:v>
      </x:c>
      <x:c r="K82" s="45" t="n">
        <x:v>11071000</x:v>
      </x:c>
      <x:c r="L82" s="59" t="n">
        <x:v>0.017</x:v>
      </x:c>
      <x:c r="M82" s="46" t="n">
        <x:v>0.97</x:v>
      </x:c>
      <x:c r="N82" s="59" t="n">
        <x:v>0.1697</x:v>
      </x:c>
      <x:c r="O82" s="59" t="n">
        <x:v>0.12</x:v>
      </x:c>
      <x:c r="P82" s="59" t="n">
        <x:v>0.08</x:v>
      </x:c>
      <x:c r="Q82" s="59" t="n">
        <x:v>0.85</x:v>
      </x:c>
      <x:c r="R82" s="60" t="n">
        <x:v>0.002</x:v>
      </x:c>
      <x:c r="S82" s="52" t="n">
        <x:v>22.4</x:v>
      </x:c>
      <x:c r="T82" s="59" t="n">
        <x:v>0.0427</x:v>
      </x:c>
      <x:c r="U82" s="59" t="n">
        <x:v>0.02</x:v>
      </x:c>
      <x:c r="V82" s="59" t="n">
        <x:v>0.008</x:v>
      </x:c>
      <x:c r="W82" s="45" t="n">
        <x:v>40000</x:v>
      </x:c>
      <x:c r="X82" s="45" t="n">
        <x:v>202000</x:v>
      </x:c>
      <x:c r="Y82" s="59" t="n">
        <x:v>0.0482</x:v>
      </x:c>
      <x:c r="Z82" s="59" t="n">
        <x:v>0.05</x:v>
      </x:c>
      <x:c r="AA82" s="59" t="n">
        <x:v>0</x:v>
      </x:c>
      <x:c r="AB82" s="45" t="n">
        <x:v>1</x:v>
      </x:c>
      <x:c r="AC82" s="45" t="n">
        <x:v>1</x:v>
      </x:c>
      <x:c r="AD82" s="45" t="n">
        <x:v>8900</x:v>
      </x:c>
    </x:row>
    <x:row r="83">
      <x:c r="A83" s="58" t="n">
        <x:v>1923</x:v>
      </x:c>
      <x:c r="B83" s="46" t="n">
        <x:v>1.62</x:v>
      </x:c>
      <x:c r="C83" s="59" t="n">
        <x:v>0.015</x:v>
      </x:c>
      <x:c r="D83" s="45" t="n">
        <x:v>0</x:v>
      </x:c>
      <x:c r="E83" s="45" t="n">
        <x:v>110000</x:v>
      </x:c>
      <x:c r="F83" s="45" t="n">
        <x:v>30000</x:v>
      </x:c>
      <x:c r="G83" s="45" t="n">
        <x:v>30000</x:v>
      </x:c>
      <x:c r="H83" s="45" t="n">
        <x:v>20000</x:v>
      </x:c>
      <x:c r="I83" s="59" t="n">
        <x:v>0.2</x:v>
      </x:c>
      <x:c r="J83" s="59" t="n">
        <x:v>0.3</x:v>
      </x:c>
      <x:c r="K83" s="45" t="n">
        <x:v>11264000</x:v>
      </x:c>
      <x:c r="L83" s="59" t="n">
        <x:v>0.017</x:v>
      </x:c>
      <x:c r="M83" s="46" t="n">
        <x:v>1</x:v>
      </x:c>
      <x:c r="N83" s="59" t="n">
        <x:v>0.1683</x:v>
      </x:c>
      <x:c r="O83" s="59" t="n">
        <x:v>0.12</x:v>
      </x:c>
      <x:c r="P83" s="59" t="n">
        <x:v>0.08</x:v>
      </x:c>
      <x:c r="Q83" s="59" t="n">
        <x:v>0.85</x:v>
      </x:c>
      <x:c r="R83" s="60" t="n">
        <x:v>0.002</x:v>
      </x:c>
      <x:c r="S83" s="52" t="n">
        <x:v>23.6</x:v>
      </x:c>
      <x:c r="T83" s="59" t="n">
        <x:v>0.043</x:v>
      </x:c>
      <x:c r="U83" s="59" t="n">
        <x:v>0.02</x:v>
      </x:c>
      <x:c r="V83" s="59" t="n">
        <x:v>0.008</x:v>
      </x:c>
      <x:c r="W83" s="45" t="n">
        <x:v>39300</x:v>
      </x:c>
      <x:c r="X83" s="45" t="n">
        <x:v>205000</x:v>
      </x:c>
      <x:c r="Y83" s="59" t="n">
        <x:v>0.048</x:v>
      </x:c>
      <x:c r="Z83" s="59" t="n">
        <x:v>0.033</x:v>
      </x:c>
      <x:c r="AA83" s="59" t="n">
        <x:v>0.016</x:v>
      </x:c>
      <x:c r="AB83" s="45" t="n">
        <x:v>1</x:v>
      </x:c>
      <x:c r="AC83" s="45" t="n">
        <x:v>0</x:v>
      </x:c>
      <x:c r="AD83" s="45" t="n">
        <x:v>9100</x:v>
      </x:c>
    </x:row>
    <x:row r="84">
      <x:c r="A84" s="58" t="n">
        <x:v>1924</x:v>
      </x:c>
      <x:c r="B84" s="46" t="n">
        <x:v>1.62</x:v>
      </x:c>
      <x:c r="C84" s="59" t="n">
        <x:v>0.015</x:v>
      </x:c>
      <x:c r="D84" s="45" t="n">
        <x:v>0</x:v>
      </x:c>
      <x:c r="E84" s="45" t="n">
        <x:v>110000</x:v>
      </x:c>
      <x:c r="F84" s="45" t="n">
        <x:v>30000</x:v>
      </x:c>
      <x:c r="G84" s="45" t="n">
        <x:v>30000</x:v>
      </x:c>
      <x:c r="H84" s="45" t="n">
        <x:v>20000</x:v>
      </x:c>
      <x:c r="I84" s="59" t="n">
        <x:v>0.2</x:v>
      </x:c>
      <x:c r="J84" s="59" t="n">
        <x:v>0.3</x:v>
      </x:c>
      <x:c r="K84" s="45" t="n">
        <x:v>11457000</x:v>
      </x:c>
      <x:c r="L84" s="59" t="n">
        <x:v>0.017</x:v>
      </x:c>
      <x:c r="M84" s="46" t="n">
        <x:v>1</x:v>
      </x:c>
      <x:c r="N84" s="59" t="n">
        <x:v>0.1669</x:v>
      </x:c>
      <x:c r="O84" s="59" t="n">
        <x:v>0.12</x:v>
      </x:c>
      <x:c r="P84" s="59" t="n">
        <x:v>0.08</x:v>
      </x:c>
      <x:c r="Q84" s="59" t="n">
        <x:v>0.85</x:v>
      </x:c>
      <x:c r="R84" s="60" t="n">
        <x:v>0.002</x:v>
      </x:c>
      <x:c r="S84" s="52" t="n">
        <x:v>24.8</x:v>
      </x:c>
      <x:c r="T84" s="59" t="n">
        <x:v>0.0433</x:v>
      </x:c>
      <x:c r="U84" s="59" t="n">
        <x:v>0.02</x:v>
      </x:c>
      <x:c r="V84" s="59" t="n">
        <x:v>0.008</x:v>
      </x:c>
      <x:c r="W84" s="45" t="n">
        <x:v>38700</x:v>
      </x:c>
      <x:c r="X84" s="45" t="n">
        <x:v>208000</x:v>
      </x:c>
      <x:c r="Y84" s="59" t="n">
        <x:v>0.0482</x:v>
      </x:c>
      <x:c r="Z84" s="59" t="n">
        <x:v>0.033</x:v>
      </x:c>
      <x:c r="AA84" s="59" t="n">
        <x:v>0.016</x:v>
      </x:c>
      <x:c r="AB84" s="45" t="n">
        <x:v>1</x:v>
      </x:c>
      <x:c r="AC84" s="45" t="n">
        <x:v>0</x:v>
      </x:c>
      <x:c r="AD84" s="45" t="n">
        <x:v>9300</x:v>
      </x:c>
    </x:row>
    <x:row r="85">
      <x:c r="A85" s="58" t="n">
        <x:v>1925</x:v>
      </x:c>
      <x:c r="B85" s="46" t="n">
        <x:v>1.65</x:v>
      </x:c>
      <x:c r="C85" s="59" t="n">
        <x:v>0.015</x:v>
      </x:c>
      <x:c r="D85" s="45" t="n">
        <x:v>0</x:v>
      </x:c>
      <x:c r="E85" s="45" t="n">
        <x:v>110000</x:v>
      </x:c>
      <x:c r="F85" s="45" t="n">
        <x:v>30000</x:v>
      </x:c>
      <x:c r="G85" s="45" t="n">
        <x:v>30000</x:v>
      </x:c>
      <x:c r="H85" s="45" t="n">
        <x:v>20000</x:v>
      </x:c>
      <x:c r="I85" s="59" t="n">
        <x:v>0.2</x:v>
      </x:c>
      <x:c r="J85" s="59" t="n">
        <x:v>0.3</x:v>
      </x:c>
      <x:c r="K85" s="45" t="n">
        <x:v>11650000</x:v>
      </x:c>
      <x:c r="L85" s="59" t="n">
        <x:v>0.017</x:v>
      </x:c>
      <x:c r="M85" s="46" t="n">
        <x:v>1</x:v>
      </x:c>
      <x:c r="N85" s="59" t="n">
        <x:v>0.1655</x:v>
      </x:c>
      <x:c r="O85" s="59" t="n">
        <x:v>0.12</x:v>
      </x:c>
      <x:c r="P85" s="59" t="n">
        <x:v>0.08</x:v>
      </x:c>
      <x:c r="Q85" s="59" t="n">
        <x:v>0.85</x:v>
      </x:c>
      <x:c r="R85" s="60" t="n">
        <x:v>0.002</x:v>
      </x:c>
      <x:c r="S85" s="52" t="n">
        <x:v>26</x:v>
      </x:c>
      <x:c r="T85" s="59" t="n">
        <x:v>0.0437</x:v>
      </x:c>
      <x:c r="U85" s="59" t="n">
        <x:v>0.02</x:v>
      </x:c>
      <x:c r="V85" s="59" t="n">
        <x:v>0.008</x:v>
      </x:c>
      <x:c r="W85" s="45" t="n">
        <x:v>38000</x:v>
      </x:c>
      <x:c r="X85" s="45" t="n">
        <x:v>210000</x:v>
      </x:c>
      <x:c r="Y85" s="59" t="n">
        <x:v>0.0484</x:v>
      </x:c>
      <x:c r="Z85" s="59" t="n">
        <x:v>0.033</x:v>
      </x:c>
      <x:c r="AA85" s="59" t="n">
        <x:v>0.016</x:v>
      </x:c>
      <x:c r="AB85" s="45" t="n">
        <x:v>1</x:v>
      </x:c>
      <x:c r="AC85" s="45" t="n">
        <x:v>0</x:v>
      </x:c>
      <x:c r="AD85" s="45" t="n">
        <x:v>9500</x:v>
      </x:c>
    </x:row>
    <x:row r="86">
      <x:c r="A86" s="58" t="n">
        <x:v>1926</x:v>
      </x:c>
      <x:c r="B86" s="46" t="n">
        <x:v>1.62</x:v>
      </x:c>
      <x:c r="C86" s="59" t="n">
        <x:v>0.015</x:v>
      </x:c>
      <x:c r="D86" s="45" t="n">
        <x:v>0</x:v>
      </x:c>
      <x:c r="E86" s="45" t="n">
        <x:v>110000</x:v>
      </x:c>
      <x:c r="F86" s="45" t="n">
        <x:v>30000</x:v>
      </x:c>
      <x:c r="G86" s="45" t="n">
        <x:v>30000</x:v>
      </x:c>
      <x:c r="H86" s="45" t="n">
        <x:v>20000</x:v>
      </x:c>
      <x:c r="I86" s="59" t="n">
        <x:v>0.2</x:v>
      </x:c>
      <x:c r="J86" s="59" t="n">
        <x:v>0.3</x:v>
      </x:c>
      <x:c r="K86" s="45" t="n">
        <x:v>11843000</x:v>
      </x:c>
      <x:c r="L86" s="59" t="n">
        <x:v>0.017</x:v>
      </x:c>
      <x:c r="M86" s="46" t="n">
        <x:v>1</x:v>
      </x:c>
      <x:c r="N86" s="59" t="n">
        <x:v>0.1641</x:v>
      </x:c>
      <x:c r="O86" s="59" t="n">
        <x:v>0.12</x:v>
      </x:c>
      <x:c r="P86" s="59" t="n">
        <x:v>0.08</x:v>
      </x:c>
      <x:c r="Q86" s="59" t="n">
        <x:v>0.85</x:v>
      </x:c>
      <x:c r="R86" s="60" t="n">
        <x:v>0.002</x:v>
      </x:c>
      <x:c r="S86" s="52" t="n">
        <x:v>27</x:v>
      </x:c>
      <x:c r="T86" s="59" t="n">
        <x:v>0.044</x:v>
      </x:c>
      <x:c r="U86" s="59" t="n">
        <x:v>0.02</x:v>
      </x:c>
      <x:c r="V86" s="59" t="n">
        <x:v>0.008</x:v>
      </x:c>
      <x:c r="W86" s="45" t="n">
        <x:v>38500</x:v>
      </x:c>
      <x:c r="X86" s="45" t="n">
        <x:v>212000</x:v>
      </x:c>
      <x:c r="Y86" s="59" t="n">
        <x:v>0.0487</x:v>
      </x:c>
      <x:c r="Z86" s="59" t="n">
        <x:v>0.033</x:v>
      </x:c>
      <x:c r="AA86" s="59" t="n">
        <x:v>0.016</x:v>
      </x:c>
      <x:c r="AB86" s="45" t="n">
        <x:v>1</x:v>
      </x:c>
      <x:c r="AC86" s="45" t="n">
        <x:v>0</x:v>
      </x:c>
      <x:c r="AD86" s="45" t="n">
        <x:v>9700</x:v>
      </x:c>
    </x:row>
    <x:row r="87">
      <x:c r="A87" s="58" t="n">
        <x:v>1927</x:v>
      </x:c>
      <x:c r="B87" s="46" t="n">
        <x:v>1.58</x:v>
      </x:c>
      <x:c r="C87" s="59" t="n">
        <x:v>0.015</x:v>
      </x:c>
      <x:c r="D87" s="45" t="n">
        <x:v>0</x:v>
      </x:c>
      <x:c r="E87" s="45" t="n">
        <x:v>110000</x:v>
      </x:c>
      <x:c r="F87" s="45" t="n">
        <x:v>30000</x:v>
      </x:c>
      <x:c r="G87" s="45" t="n">
        <x:v>30000</x:v>
      </x:c>
      <x:c r="H87" s="45" t="n">
        <x:v>20000</x:v>
      </x:c>
      <x:c r="I87" s="59" t="n">
        <x:v>0.2</x:v>
      </x:c>
      <x:c r="J87" s="59" t="n">
        <x:v>0.3</x:v>
      </x:c>
      <x:c r="K87" s="45" t="n">
        <x:v>12036000</x:v>
      </x:c>
      <x:c r="L87" s="59" t="n">
        <x:v>0.017</x:v>
      </x:c>
      <x:c r="M87" s="46" t="n">
        <x:v>1</x:v>
      </x:c>
      <x:c r="N87" s="59" t="n">
        <x:v>0.1628</x:v>
      </x:c>
      <x:c r="O87" s="59" t="n">
        <x:v>0.12</x:v>
      </x:c>
      <x:c r="P87" s="59" t="n">
        <x:v>0.08500000000000001</x:v>
      </x:c>
      <x:c r="Q87" s="59" t="n">
        <x:v>0.85</x:v>
      </x:c>
      <x:c r="R87" s="60" t="n">
        <x:v>0.002</x:v>
      </x:c>
      <x:c r="S87" s="52" t="n">
        <x:v>28</x:v>
      </x:c>
      <x:c r="T87" s="59" t="n">
        <x:v>0.0443</x:v>
      </x:c>
      <x:c r="U87" s="59" t="n">
        <x:v>0.02</x:v>
      </x:c>
      <x:c r="V87" s="59" t="n">
        <x:v>0.008</x:v>
      </x:c>
      <x:c r="W87" s="45" t="n">
        <x:v>39000</x:v>
      </x:c>
      <x:c r="X87" s="45" t="n">
        <x:v>215000</x:v>
      </x:c>
      <x:c r="Y87" s="59" t="n">
        <x:v>0.0489</x:v>
      </x:c>
      <x:c r="Z87" s="59" t="n">
        <x:v>0.033</x:v>
      </x:c>
      <x:c r="AA87" s="59" t="n">
        <x:v>0.016</x:v>
      </x:c>
      <x:c r="AB87" s="45" t="n">
        <x:v>1</x:v>
      </x:c>
      <x:c r="AC87" s="45" t="n">
        <x:v>0</x:v>
      </x:c>
      <x:c r="AD87" s="45" t="n">
        <x:v>9900</x:v>
      </x:c>
    </x:row>
    <x:row r="88">
      <x:c r="A88" s="58" t="n">
        <x:v>1928</x:v>
      </x:c>
      <x:c r="B88" s="46" t="n">
        <x:v>1.6</x:v>
      </x:c>
      <x:c r="C88" s="59" t="n">
        <x:v>0.015</x:v>
      </x:c>
      <x:c r="D88" s="45" t="n">
        <x:v>0</x:v>
      </x:c>
      <x:c r="E88" s="45" t="n">
        <x:v>110000</x:v>
      </x:c>
      <x:c r="F88" s="45" t="n">
        <x:v>30000</x:v>
      </x:c>
      <x:c r="G88" s="45" t="n">
        <x:v>30000</x:v>
      </x:c>
      <x:c r="H88" s="45" t="n">
        <x:v>20000</x:v>
      </x:c>
      <x:c r="I88" s="59" t="n">
        <x:v>0.2</x:v>
      </x:c>
      <x:c r="J88" s="59" t="n">
        <x:v>0.3</x:v>
      </x:c>
      <x:c r="K88" s="45" t="n">
        <x:v>12229000</x:v>
      </x:c>
      <x:c r="L88" s="59" t="n">
        <x:v>0.017</x:v>
      </x:c>
      <x:c r="M88" s="46" t="n">
        <x:v>1</x:v>
      </x:c>
      <x:c r="N88" s="59" t="n">
        <x:v>0.1614</x:v>
      </x:c>
      <x:c r="O88" s="59" t="n">
        <x:v>0.12</x:v>
      </x:c>
      <x:c r="P88" s="59" t="n">
        <x:v>0.08500000000000001</x:v>
      </x:c>
      <x:c r="Q88" s="59" t="n">
        <x:v>0.85</x:v>
      </x:c>
      <x:c r="R88" s="60" t="n">
        <x:v>0.002</x:v>
      </x:c>
      <x:c r="S88" s="52" t="n">
        <x:v>29</x:v>
      </x:c>
      <x:c r="T88" s="59" t="n">
        <x:v>0.0447</x:v>
      </x:c>
      <x:c r="U88" s="59" t="n">
        <x:v>0.02</x:v>
      </x:c>
      <x:c r="V88" s="59" t="n">
        <x:v>0.008</x:v>
      </x:c>
      <x:c r="W88" s="45" t="n">
        <x:v>39500</x:v>
      </x:c>
      <x:c r="X88" s="45" t="n">
        <x:v>218000</x:v>
      </x:c>
      <x:c r="Y88" s="59" t="n">
        <x:v>0.0491</x:v>
      </x:c>
      <x:c r="Z88" s="59" t="n">
        <x:v>0.033</x:v>
      </x:c>
      <x:c r="AA88" s="59" t="n">
        <x:v>0.016</x:v>
      </x:c>
      <x:c r="AB88" s="45" t="n">
        <x:v>1</x:v>
      </x:c>
      <x:c r="AC88" s="45" t="n">
        <x:v>0</x:v>
      </x:c>
      <x:c r="AD88" s="45" t="n">
        <x:v>10100</x:v>
      </x:c>
    </x:row>
    <x:row r="89">
      <x:c r="A89" s="58" t="n">
        <x:v>1929</x:v>
      </x:c>
      <x:c r="B89" s="46" t="n">
        <x:v>1.6</x:v>
      </x:c>
      <x:c r="C89" s="59" t="n">
        <x:v>0.015</x:v>
      </x:c>
      <x:c r="D89" s="45" t="n">
        <x:v>0</x:v>
      </x:c>
      <x:c r="E89" s="45" t="n">
        <x:v>110000</x:v>
      </x:c>
      <x:c r="F89" s="45" t="n">
        <x:v>30000</x:v>
      </x:c>
      <x:c r="G89" s="45" t="n">
        <x:v>30000</x:v>
      </x:c>
      <x:c r="H89" s="45" t="n">
        <x:v>20000</x:v>
      </x:c>
      <x:c r="I89" s="59" t="n">
        <x:v>0.2</x:v>
      </x:c>
      <x:c r="J89" s="59" t="n">
        <x:v>0.3</x:v>
      </x:c>
      <x:c r="K89" s="45" t="n">
        <x:v>12421000</x:v>
      </x:c>
      <x:c r="L89" s="59" t="n">
        <x:v>0.017</x:v>
      </x:c>
      <x:c r="M89" s="46" t="n">
        <x:v>1</x:v>
      </x:c>
      <x:c r="N89" s="59" t="n">
        <x:v>0.16</x:v>
      </x:c>
      <x:c r="O89" s="59" t="n">
        <x:v>0.12</x:v>
      </x:c>
      <x:c r="P89" s="59" t="n">
        <x:v>0.08500000000000001</x:v>
      </x:c>
      <x:c r="Q89" s="59" t="n">
        <x:v>0.85</x:v>
      </x:c>
      <x:c r="R89" s="60" t="n">
        <x:v>0.002</x:v>
      </x:c>
      <x:c r="S89" s="52" t="n">
        <x:v>30</x:v>
      </x:c>
      <x:c r="T89" s="59" t="n">
        <x:v>0.045</x:v>
      </x:c>
      <x:c r="U89" s="59" t="n">
        <x:v>0.02</x:v>
      </x:c>
      <x:c r="V89" s="59" t="n">
        <x:v>0.008</x:v>
      </x:c>
      <x:c r="W89" s="45" t="n">
        <x:v>40000</x:v>
      </x:c>
      <x:c r="X89" s="45" t="n">
        <x:v>220000</x:v>
      </x:c>
      <x:c r="Y89" s="59" t="n">
        <x:v>0.0493</x:v>
      </x:c>
      <x:c r="Z89" s="59" t="n">
        <x:v>0.033</x:v>
      </x:c>
      <x:c r="AA89" s="59" t="n">
        <x:v>0.016</x:v>
      </x:c>
      <x:c r="AB89" s="45" t="n">
        <x:v>1</x:v>
      </x:c>
      <x:c r="AC89" s="45" t="n">
        <x:v>0</x:v>
      </x:c>
      <x:c r="AD89" s="45" t="n">
        <x:v>10300</x:v>
      </x:c>
    </x:row>
    <x:row r="90">
      <x:c r="A90" s="58" t="n">
        <x:v>1930</x:v>
      </x:c>
      <x:c r="B90" s="46" t="n">
        <x:v>1.53</x:v>
      </x:c>
      <x:c r="C90" s="59" t="n">
        <x:v>0.012</x:v>
      </x:c>
      <x:c r="D90" s="45" t="n">
        <x:v>0</x:v>
      </x:c>
      <x:c r="E90" s="45" t="n">
        <x:v>30000</x:v>
      </x:c>
      <x:c r="F90" s="45" t="n">
        <x:v>12000</x:v>
      </x:c>
      <x:c r="G90" s="45" t="n">
        <x:v>12000</x:v>
      </x:c>
      <x:c r="H90" s="45" t="n">
        <x:v>8000</x:v>
      </x:c>
      <x:c r="I90" s="59" t="n">
        <x:v>0.2</x:v>
      </x:c>
      <x:c r="J90" s="59" t="n">
        <x:v>0.3</x:v>
      </x:c>
      <x:c r="K90" s="45" t="n">
        <x:v>12614000</x:v>
      </x:c>
      <x:c r="L90" s="59" t="n">
        <x:v>0</x:v>
      </x:c>
      <x:c r="M90" s="46" t="n">
        <x:v>0.9399999999999999</x:v>
      </x:c>
      <x:c r="N90" s="59" t="n">
        <x:v>0.15</x:v>
      </x:c>
      <x:c r="O90" s="59" t="n">
        <x:v>0.12</x:v>
      </x:c>
      <x:c r="P90" s="59" t="n">
        <x:v>0.08500000000000001</x:v>
      </x:c>
      <x:c r="Q90" s="59" t="n">
        <x:v>0.85</x:v>
      </x:c>
      <x:c r="R90" s="60" t="n">
        <x:v>0.002</x:v>
      </x:c>
      <x:c r="S90" s="52" t="n">
        <x:v>27.5</x:v>
      </x:c>
      <x:c r="T90" s="59" t="n">
        <x:v>0.0457</x:v>
      </x:c>
      <x:c r="U90" s="59" t="n">
        <x:v>0.024</x:v>
      </x:c>
      <x:c r="V90" s="59" t="n">
        <x:v>0.008</x:v>
      </x:c>
      <x:c r="W90" s="45" t="n">
        <x:v>40700</x:v>
      </x:c>
      <x:c r="X90" s="45" t="n">
        <x:v>220000</x:v>
      </x:c>
      <x:c r="Y90" s="59" t="n">
        <x:v>0.0496</x:v>
      </x:c>
      <x:c r="Z90" s="59" t="n">
        <x:v>0.033</x:v>
      </x:c>
      <x:c r="AA90" s="59" t="n">
        <x:v>0.016</x:v>
      </x:c>
      <x:c r="AB90" s="45" t="n">
        <x:v>1</x:v>
      </x:c>
      <x:c r="AC90" s="45" t="n">
        <x:v>0</x:v>
      </x:c>
      <x:c r="AD90" s="45" t="n">
        <x:v>10833</x:v>
      </x:c>
    </x:row>
    <x:row r="91">
      <x:c r="A91" s="58" t="n">
        <x:v>1931</x:v>
      </x:c>
      <x:c r="B91" s="46" t="n">
        <x:v>1.37</x:v>
      </x:c>
      <x:c r="C91" s="59" t="n">
        <x:v>0.012</x:v>
      </x:c>
      <x:c r="D91" s="45" t="n">
        <x:v>0</x:v>
      </x:c>
      <x:c r="E91" s="45" t="n">
        <x:v>30000</x:v>
      </x:c>
      <x:c r="F91" s="45" t="n">
        <x:v>12000</x:v>
      </x:c>
      <x:c r="G91" s="45" t="n">
        <x:v>12000</x:v>
      </x:c>
      <x:c r="H91" s="45" t="n">
        <x:v>8000</x:v>
      </x:c>
      <x:c r="I91" s="59" t="n">
        <x:v>0.2</x:v>
      </x:c>
      <x:c r="J91" s="59" t="n">
        <x:v>0.3</x:v>
      </x:c>
      <x:c r="K91" s="45" t="n">
        <x:v>12807000</x:v>
      </x:c>
      <x:c r="L91" s="59" t="n">
        <x:v>0</x:v>
      </x:c>
      <x:c r="M91" s="46" t="n">
        <x:v>0.89</x:v>
      </x:c>
      <x:c r="N91" s="59" t="n">
        <x:v>0.14</x:v>
      </x:c>
      <x:c r="O91" s="59" t="n">
        <x:v>0.12</x:v>
      </x:c>
      <x:c r="P91" s="59" t="n">
        <x:v>0.08500000000000001</x:v>
      </x:c>
      <x:c r="Q91" s="59" t="n">
        <x:v>0.82</x:v>
      </x:c>
      <x:c r="R91" s="60" t="n">
        <x:v>0.002</x:v>
      </x:c>
      <x:c r="S91" s="52" t="n">
        <x:v>25</x:v>
      </x:c>
      <x:c r="T91" s="59" t="n">
        <x:v>0.0463</x:v>
      </x:c>
      <x:c r="U91" s="59" t="n">
        <x:v>0.026</x:v>
      </x:c>
      <x:c r="V91" s="59" t="n">
        <x:v>0.008</x:v>
      </x:c>
      <x:c r="W91" s="45" t="n">
        <x:v>41300</x:v>
      </x:c>
      <x:c r="X91" s="45" t="n">
        <x:v>220000</x:v>
      </x:c>
      <x:c r="Y91" s="59" t="n">
        <x:v>0.0498</x:v>
      </x:c>
      <x:c r="Z91" s="59" t="n">
        <x:v>0.033</x:v>
      </x:c>
      <x:c r="AA91" s="59" t="n">
        <x:v>0</x:v>
      </x:c>
      <x:c r="AB91" s="45" t="n">
        <x:v>0</x:v>
      </x:c>
      <x:c r="AC91" s="45" t="n">
        <x:v>0</x:v>
      </x:c>
      <x:c r="AD91" s="45" t="n">
        <x:v>11367</x:v>
      </x:c>
    </x:row>
    <x:row r="92">
      <x:c r="A92" s="58" t="n">
        <x:v>1932</x:v>
      </x:c>
      <x:c r="B92" s="46" t="n">
        <x:v>1.22</x:v>
      </x:c>
      <x:c r="C92" s="59" t="n">
        <x:v>0.012</x:v>
      </x:c>
      <x:c r="D92" s="45" t="n">
        <x:v>0</x:v>
      </x:c>
      <x:c r="E92" s="45" t="n">
        <x:v>30000</x:v>
      </x:c>
      <x:c r="F92" s="45" t="n">
        <x:v>12000</x:v>
      </x:c>
      <x:c r="G92" s="45" t="n">
        <x:v>12000</x:v>
      </x:c>
      <x:c r="H92" s="45" t="n">
        <x:v>8000</x:v>
      </x:c>
      <x:c r="I92" s="59" t="n">
        <x:v>0.2</x:v>
      </x:c>
      <x:c r="J92" s="59" t="n">
        <x:v>0.3</x:v>
      </x:c>
      <x:c r="K92" s="45" t="n">
        <x:v>13000000</x:v>
      </x:c>
      <x:c r="L92" s="59" t="n">
        <x:v>0</x:v>
      </x:c>
      <x:c r="M92" s="46" t="n">
        <x:v>0.86</x:v>
      </x:c>
      <x:c r="N92" s="59" t="n">
        <x:v>0.13</x:v>
      </x:c>
      <x:c r="O92" s="59" t="n">
        <x:v>0.12</x:v>
      </x:c>
      <x:c r="P92" s="59" t="n">
        <x:v>0.08500000000000001</x:v>
      </x:c>
      <x:c r="Q92" s="59" t="n">
        <x:v>0.8</x:v>
      </x:c>
      <x:c r="R92" s="60" t="n">
        <x:v>0.002</x:v>
      </x:c>
      <x:c r="S92" s="52" t="n">
        <x:v>22</x:v>
      </x:c>
      <x:c r="T92" s="59" t="n">
        <x:v>0.047</x:v>
      </x:c>
      <x:c r="U92" s="59" t="n">
        <x:v>0.026</x:v>
      </x:c>
      <x:c r="V92" s="59" t="n">
        <x:v>0.008</x:v>
      </x:c>
      <x:c r="W92" s="45" t="n">
        <x:v>42000</x:v>
      </x:c>
      <x:c r="X92" s="45" t="n">
        <x:v>220000</x:v>
      </x:c>
      <x:c r="Y92" s="59" t="n">
        <x:v>0.05</x:v>
      </x:c>
      <x:c r="Z92" s="59" t="n">
        <x:v>0.033</x:v>
      </x:c>
      <x:c r="AA92" s="59" t="n">
        <x:v>0</x:v>
      </x:c>
      <x:c r="AB92" s="45" t="n">
        <x:v>0</x:v>
      </x:c>
      <x:c r="AC92" s="45" t="n">
        <x:v>0</x:v>
      </x:c>
      <x:c r="AD92" s="45" t="n">
        <x:v>11900</x:v>
      </x:c>
    </x:row>
  </x:sheetData>
  <x:mergeCells>
    <x:mergeCell ref="L4:M4"/>
    <x:mergeCell ref="B4:D4"/>
    <x:mergeCell ref="E4:J4"/>
    <x:mergeCell ref="Y4:AD4"/>
    <x:mergeCell ref="N4:S4"/>
    <x:mergeCell ref="T4:X4"/>
  </x:mergeCells>
  <x:pageMargins left="0.7" right="0.7" top="0.75" bottom="0.75" header="0.3" footer="0.3"/>
  <x:legacyDrawing xmlns:r="http://schemas.openxmlformats.org/officeDocument/2006/relationships" r:id="Rf103c9140e44401f"/>
</x:worksheet>
</file>

<file path=xl/worksheets/sheet6.xml><?xml version="1.0" encoding="utf-8"?>
<x:worksheet xmlns:x="http://schemas.openxmlformats.org/spreadsheetml/2006/main">
  <x:sheetPr>
    <x:tabColor rgb="FF548235"/>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2.5" customWidth="1"/>
    <x:col min="20" max="20" width="12.5" customWidth="1"/>
    <x:col min="21" max="21" width="12.5" customWidth="1"/>
    <x:col min="22" max="22" width="12.5" customWidth="1"/>
    <x:col min="23" max="23" width="12.5" customWidth="1"/>
    <x:col min="24" max="24" width="12.5" customWidth="1"/>
  </x:cols>
  <x:sheetData>
    <x:row r="1">
      <x:c r="A1" s="18" t="inlineStr">
        <x:is>
          <x:t xml:space="preserve">Population</x:t>
        </x:is>
      </x:c>
    </x:row>
    <x:row r="2">
      <x:c r="A2" s="2" t="inlineStr">
        <x:is>
          <x:t xml:space="preserve">Residents of core Pacifica: births, territory, and four migration streams.</x:t>
        </x:is>
      </x:c>
    </x:row>
    <x:row r="3">
      <x:c r="A3" s="19" t="inlineStr">
        <x:is>
          <x:t xml:space="preserve">Years run down the page. Blue = input you can change · black = formula · green = link to another sheet. Hover a column heading for its definition.</x:t>
        </x:is>
      </x:c>
    </x:row>
    <x:row r="4">
      <x:c r="B4" s="56" t="inlineStr">
        <x:is>
          <x:t xml:space="preserve">Residents</x:t>
        </x:is>
      </x:c>
      <x:c r="E4" s="56" t="inlineStr">
        <x:is>
          <x:t xml:space="preserve">Arrivals</x:t>
        </x:is>
      </x:c>
      <x:c r="L4" s="56" t="inlineStr">
        <x:is>
          <x:t xml:space="preserve">Residents</x:t>
        </x:is>
      </x:c>
      <x:c r="N4" s="56" t="inlineStr">
        <x:is>
          <x:t xml:space="preserve">Asian-origin residents</x:t>
        </x:is>
      </x:c>
      <x:c r="T4" s="56" t="inlineStr">
        <x:is>
          <x:t xml:space="preserve">Programme</x:t>
        </x:is>
      </x:c>
      <x:c r="V4" s="56" t="inlineStr">
        <x:is>
          <x:t xml:space="preserve">With the Gulf</x:t>
        </x:is>
      </x:c>
    </x:row>
    <x:row r="5" ht="54" customHeight="1">
      <x:c r="A5" s="57" t="inlineStr">
        <x:is>
          <x:t xml:space="preserve">Year</x:t>
        </x:is>
      </x:c>
      <x:c r="B5" s="6" t="inlineStr">
        <x:is>
          <x:t xml:space="preserve">Residents at start of year</x:t>
        </x:is>
      </x:c>
      <x:c r="C5" s="6" t="inlineStr">
        <x:is>
          <x:t xml:space="preserve">Join with territory</x:t>
        </x:is>
      </x:c>
      <x:c r="D5" s="6" t="inlineStr">
        <x:is>
          <x:t xml:space="preserve">Natural increase</x:t>
        </x:is>
      </x:c>
      <x:c r="E5" s="6" t="inlineStr">
        <x:is>
          <x:t xml:space="preserve">Arrivals: Americas &amp; Europe</x:t>
        </x:is>
      </x:c>
      <x:c r="F5" s="6" t="inlineStr">
        <x:is>
          <x:t xml:space="preserve">Arrivals: Chinese</x:t>
        </x:is>
      </x:c>
      <x:c r="G5" s="6" t="inlineStr">
        <x:is>
          <x:t xml:space="preserve">Arrivals: Japanese</x:t>
        </x:is>
      </x:c>
      <x:c r="H5" s="6" t="inlineStr">
        <x:is>
          <x:t xml:space="preserve">Arrivals: Filipino</x:t>
        </x:is>
      </x:c>
      <x:c r="I5" s="6" t="inlineStr">
        <x:is>
          <x:t xml:space="preserve">Leave again</x:t>
        </x:is>
      </x:c>
      <x:c r="J5" s="6" t="inlineStr">
        <x:is>
          <x:t xml:space="preserve">Extra arrivals drawn by Pacifica's lead</x:t>
        </x:is>
      </x:c>
      <x:c r="K5" s="6" t="inlineStr">
        <x:is>
          <x:t xml:space="preserve">Net migration</x:t>
        </x:is>
      </x:c>
      <x:c r="L5" s="6" t="inlineStr">
        <x:is>
          <x:t xml:space="preserve">Residents at end of year</x:t>
        </x:is>
      </x:c>
      <x:c r="M5" s="6" t="inlineStr">
        <x:is>
          <x:t xml:space="preserve">Growth</x:t>
        </x:is>
      </x:c>
      <x:c r="N5" s="6" t="inlineStr">
        <x:is>
          <x:t xml:space="preserve">Chinese-Pacificans</x:t>
        </x:is>
      </x:c>
      <x:c r="O5" s="6" t="inlineStr">
        <x:is>
          <x:t xml:space="preserve">Japanese-Pacificans</x:t>
        </x:is>
      </x:c>
      <x:c r="P5" s="6" t="inlineStr">
        <x:is>
          <x:t xml:space="preserve">Filipino-Pacificans</x:t>
        </x:is>
      </x:c>
      <x:c r="Q5" s="6" t="inlineStr">
        <x:is>
          <x:t xml:space="preserve">Settled guest workers of Asian origin, with descendants</x:t>
        </x:is>
      </x:c>
      <x:c r="R5" s="6" t="inlineStr">
        <x:is>
          <x:t xml:space="preserve">Asian talent migrants and families, with descendants</x:t>
        </x:is>
      </x:c>
      <x:c r="S5" s="6" t="inlineStr">
        <x:is>
          <x:t xml:space="preserve">Asian-origin share</x:t>
        </x:is>
      </x:c>
      <x:c r="T5" s="6" t="inlineStr">
        <x:is>
          <x:t xml:space="preserve">Assisted arrivals</x:t>
        </x:is>
      </x:c>
      <x:c r="U5" s="6" t="inlineStr">
        <x:is>
          <x:t xml:space="preserve">Philippine crown residents (separate)</x:t>
        </x:is>
      </x:c>
      <x:c r="V5" s="6" t="inlineStr">
        <x:is>
          <x:t xml:space="preserve">Gulf Republic residents (once a member)</x:t>
        </x:is>
      </x:c>
      <x:c r="W5" s="6" t="inlineStr">
        <x:is>
          <x:t xml:space="preserve">All residents incl. the Gulf</x:t>
        </x:is>
      </x:c>
      <x:c r="X5" s="6" t="inlineStr">
        <x:is>
          <x:t xml:space="preserve">Everyone present, incl. guest workers</x:t>
        </x:is>
      </x:c>
    </x:row>
    <x:row r="6">
      <x:c r="A6" s="58" t="n">
        <x:v>1846</x:v>
      </x:c>
      <x:c r="B6" s="47" t="n">
        <x:f>pop_1846</x:f>
        <x:v>170000</x:v>
      </x:c>
      <x:c r="C6" s="62" t="n">
        <x:f>Paths!D6</x:f>
        <x:v>0</x:v>
      </x:c>
      <x:c r="D6" s="47" t="n">
        <x:f>B6*Paths!C6</x:f>
        <x:v>2550</x:v>
      </x:c>
      <x:c r="E6" s="47" t="n">
        <x:f>Paths!E6*IF($A6&gt;=1896,mig_scale,1)</x:f>
        <x:v>2000</x:v>
      </x:c>
      <x:c r="F6" s="47" t="n">
        <x:f>Paths!F6*IF($A6&gt;=1896,mig_scale,1)</x:f>
        <x:v>0</x:v>
      </x:c>
      <x:c r="G6" s="47" t="n">
        <x:f>Paths!G6*IF($A6&gt;=1896,mig_scale,1)</x:f>
        <x:v>0</x:v>
      </x:c>
      <x:c r="H6" s="47" t="n">
        <x:f>Paths!H6*IF($A6&gt;=1896,mig_scale,1)</x:f>
        <x:v>0</x:v>
      </x:c>
      <x:c r="I6" s="47" t="n">
        <x:f>E6*Paths!I6+(F6+G6+H6)*dep_asia</x:f>
        <x:v>400</x:v>
      </x:c>
      <x:c r="J6" s="62" t="n">
        <x:f>Labour!AL6</x:f>
        <x:v>0</x:v>
      </x:c>
      <x:c r="K6" s="47" t="n">
        <x:f>SUM(E6:H6)-I6+J6</x:f>
        <x:v>1600</x:v>
      </x:c>
      <x:c r="L6" s="47" t="n">
        <x:f>B6+C6+D6+K6</x:f>
        <x:v>174150</x:v>
      </x:c>
      <x:c r="M6" s="63" t="n">
        <x:f>IF(B6&gt;0,L6/B6-1,0)</x:f>
        <x:v>0.024411764705882355</x:v>
      </x:c>
      <x:c r="N6" s="47" t="n">
        <x:f>0</x:f>
        <x:v>0</x:v>
      </x:c>
      <x:c r="O6" s="47" t="n">
        <x:f>0</x:f>
        <x:v>0</x:v>
      </x:c>
      <x:c r="P6" s="47" t="n">
        <x:f>0</x:f>
        <x:v>0</x:v>
      </x:c>
      <x:c r="Q6" s="47" t="n">
        <x:f>0</x:f>
        <x:v>0</x:v>
      </x:c>
      <x:c r="R6" s="47" t="n">
        <x:f>0</x:f>
        <x:v>0</x:v>
      </x:c>
      <x:c r="S6" s="63" t="n">
        <x:f>(N6+O6+P6+Q6+R6)/L6</x:f>
        <x:v>0</x:v>
      </x:c>
      <x:c r="T6" s="47" t="n">
        <x:f>SUM(E6:H6)*Paths!J6</x:f>
        <x:v>400</x:v>
      </x:c>
      <x:c r="U6" s="62" t="n">
        <x:f>Paths!K6</x:f>
        <x:v>0</x:v>
      </x:c>
      <x:c r="V6" s="47" t="n">
        <x:f>IF(Gulf!E6=1,Gulf!B6,0)</x:f>
        <x:v>0</x:v>
      </x:c>
      <x:c r="W6" s="47" t="n">
        <x:f>L6+V6</x:f>
        <x:v>174150</x:v>
      </x:c>
      <x:c r="X6" s="47" t="n">
        <x:f>W6+Labour!L6</x:f>
        <x:v>174150</x:v>
      </x:c>
    </x:row>
    <x:row r="7">
      <x:c r="A7" s="58" t="n">
        <x:v>1847</x:v>
      </x:c>
      <x:c r="B7" s="47" t="n">
        <x:f>L6</x:f>
        <x:v>174150</x:v>
      </x:c>
      <x:c r="C7" s="62" t="n">
        <x:f>Paths!D7</x:f>
        <x:v>0</x:v>
      </x:c>
      <x:c r="D7" s="47" t="n">
        <x:f>B7*Paths!C7</x:f>
        <x:v>2612.25</x:v>
      </x:c>
      <x:c r="E7" s="47" t="n">
        <x:f>Paths!E7*IF($A7&gt;=1896,mig_scale,1)</x:f>
        <x:v>3000</x:v>
      </x:c>
      <x:c r="F7" s="47" t="n">
        <x:f>Paths!F7*IF($A7&gt;=1896,mig_scale,1)</x:f>
        <x:v>0</x:v>
      </x:c>
      <x:c r="G7" s="47" t="n">
        <x:f>Paths!G7*IF($A7&gt;=1896,mig_scale,1)</x:f>
        <x:v>0</x:v>
      </x:c>
      <x:c r="H7" s="47" t="n">
        <x:f>Paths!H7*IF($A7&gt;=1896,mig_scale,1)</x:f>
        <x:v>0</x:v>
      </x:c>
      <x:c r="I7" s="47" t="n">
        <x:f>E7*Paths!I7+(F7+G7+H7)*dep_asia</x:f>
        <x:v>600</x:v>
      </x:c>
      <x:c r="J7" s="62" t="n">
        <x:f>Labour!AL7</x:f>
        <x:v>0</x:v>
      </x:c>
      <x:c r="K7" s="47" t="n">
        <x:f>SUM(E7:H7)-I7+J7</x:f>
        <x:v>2400</x:v>
      </x:c>
      <x:c r="L7" s="47" t="n">
        <x:f>B7+C7+D7+K7</x:f>
        <x:v>179162.25</x:v>
      </x:c>
      <x:c r="M7" s="63" t="n">
        <x:f>IF(B7&gt;0,L7/B7-1,0)</x:f>
        <x:v>0.02878122308354869</x:v>
      </x:c>
      <x:c r="N7" s="47" t="n">
        <x:f>N6*(1+Paths!C7)+F7*(1-dep_asia)</x:f>
        <x:v>0</x:v>
      </x:c>
      <x:c r="O7" s="47" t="n">
        <x:f>O6*(1+Paths!C7)+G7*(1-dep_asia)</x:f>
        <x:v>0</x:v>
      </x:c>
      <x:c r="P7" s="47" t="n">
        <x:f>P6*(1+Paths!C7)+H7*(1-dep_asia)</x:f>
        <x:v>0</x:v>
      </x:c>
      <x:c r="Q7" s="47" t="n">
        <x:f>Q6*(1+Paths!C7)+Labour!AK7*gw_asian</x:f>
        <x:v>0</x:v>
      </x:c>
      <x:c r="R7" s="47" t="n">
        <x:f>R6*(1+Paths!C7)+Labour!AF7*family_mult</x:f>
        <x:v>0</x:v>
      </x:c>
      <x:c r="S7" s="63" t="n">
        <x:f>(N7+O7+P7+Q7+R7)/L7</x:f>
        <x:v>0</x:v>
      </x:c>
      <x:c r="T7" s="47" t="n">
        <x:f>SUM(E7:H7)*Paths!J7</x:f>
        <x:v>600</x:v>
      </x:c>
      <x:c r="U7" s="62" t="n">
        <x:f>Paths!K7</x:f>
        <x:v>0</x:v>
      </x:c>
      <x:c r="V7" s="47" t="n">
        <x:f>IF(Gulf!E7=1,Gulf!B7,0)</x:f>
        <x:v>0</x:v>
      </x:c>
      <x:c r="W7" s="47" t="n">
        <x:f>L7+V7</x:f>
        <x:v>179162.25</x:v>
      </x:c>
      <x:c r="X7" s="47" t="n">
        <x:f>W7+Labour!L7</x:f>
        <x:v>179162.25</x:v>
      </x:c>
    </x:row>
    <x:row r="8">
      <x:c r="A8" s="58" t="n">
        <x:v>1848</x:v>
      </x:c>
      <x:c r="B8" s="47" t="n">
        <x:f>L7</x:f>
        <x:v>179162.25</x:v>
      </x:c>
      <x:c r="C8" s="62" t="n">
        <x:f>Paths!D8</x:f>
        <x:v>0</x:v>
      </x:c>
      <x:c r="D8" s="47" t="n">
        <x:f>B8*Paths!C8</x:f>
        <x:v>1433.298</x:v>
      </x:c>
      <x:c r="E8" s="47" t="n">
        <x:f>Paths!E8*IF($A8&gt;=1896,mig_scale,1)</x:f>
        <x:v>15000</x:v>
      </x:c>
      <x:c r="F8" s="47" t="n">
        <x:f>Paths!F8*IF($A8&gt;=1896,mig_scale,1)</x:f>
        <x:v>0</x:v>
      </x:c>
      <x:c r="G8" s="47" t="n">
        <x:f>Paths!G8*IF($A8&gt;=1896,mig_scale,1)</x:f>
        <x:v>0</x:v>
      </x:c>
      <x:c r="H8" s="47" t="n">
        <x:f>Paths!H8*IF($A8&gt;=1896,mig_scale,1)</x:f>
        <x:v>0</x:v>
      </x:c>
      <x:c r="I8" s="47" t="n">
        <x:f>E8*Paths!I8+(F8+G8+H8)*dep_asia</x:f>
        <x:v>3000</x:v>
      </x:c>
      <x:c r="J8" s="62" t="n">
        <x:f>Labour!AL8</x:f>
        <x:v>0</x:v>
      </x:c>
      <x:c r="K8" s="47" t="n">
        <x:f>SUM(E8:H8)-I8+J8</x:f>
        <x:v>12000</x:v>
      </x:c>
      <x:c r="L8" s="47" t="n">
        <x:f>B8+C8+D8+K8</x:f>
        <x:v>192595.548</x:v>
      </x:c>
      <x:c r="M8" s="63" t="n">
        <x:f>IF(B8&gt;0,L8/B8-1,0)</x:f>
        <x:v>0.07497839528137207</x:v>
      </x:c>
      <x:c r="N8" s="47" t="n">
        <x:f>N7*(1+Paths!C8)+F8*(1-dep_asia)</x:f>
        <x:v>0</x:v>
      </x:c>
      <x:c r="O8" s="47" t="n">
        <x:f>O7*(1+Paths!C8)+G8*(1-dep_asia)</x:f>
        <x:v>0</x:v>
      </x:c>
      <x:c r="P8" s="47" t="n">
        <x:f>P7*(1+Paths!C8)+H8*(1-dep_asia)</x:f>
        <x:v>0</x:v>
      </x:c>
      <x:c r="Q8" s="47" t="n">
        <x:f>Q7*(1+Paths!C8)+Labour!AK8*gw_asian</x:f>
        <x:v>0</x:v>
      </x:c>
      <x:c r="R8" s="47" t="n">
        <x:f>R7*(1+Paths!C8)+Labour!AF8*family_mult</x:f>
        <x:v>0</x:v>
      </x:c>
      <x:c r="S8" s="63" t="n">
        <x:f>(N8+O8+P8+Q8+R8)/L8</x:f>
        <x:v>0</x:v>
      </x:c>
      <x:c r="T8" s="47" t="n">
        <x:f>SUM(E8:H8)*Paths!J8</x:f>
        <x:v>3000</x:v>
      </x:c>
      <x:c r="U8" s="62" t="n">
        <x:f>Paths!K8</x:f>
        <x:v>0</x:v>
      </x:c>
      <x:c r="V8" s="47" t="n">
        <x:f>IF(Gulf!E8=1,Gulf!B8,0)</x:f>
        <x:v>0</x:v>
      </x:c>
      <x:c r="W8" s="47" t="n">
        <x:f>L8+V8</x:f>
        <x:v>192595.548</x:v>
      </x:c>
      <x:c r="X8" s="47" t="n">
        <x:f>W8+Labour!L8</x:f>
        <x:v>192595.548</x:v>
      </x:c>
    </x:row>
    <x:row r="9">
      <x:c r="A9" s="58" t="n">
        <x:v>1849</x:v>
      </x:c>
      <x:c r="B9" s="47" t="n">
        <x:f>L8</x:f>
        <x:v>192595.548</x:v>
      </x:c>
      <x:c r="C9" s="62" t="n">
        <x:f>Paths!D9</x:f>
        <x:v>0</x:v>
      </x:c>
      <x:c r="D9" s="47" t="n">
        <x:f>B9*Paths!C9</x:f>
        <x:v>1540.764384</x:v>
      </x:c>
      <x:c r="E9" s="47" t="n">
        <x:f>Paths!E9*IF($A9&gt;=1896,mig_scale,1)</x:f>
        <x:v>60000</x:v>
      </x:c>
      <x:c r="F9" s="47" t="n">
        <x:f>Paths!F9*IF($A9&gt;=1896,mig_scale,1)</x:f>
        <x:v>300</x:v>
      </x:c>
      <x:c r="G9" s="47" t="n">
        <x:f>Paths!G9*IF($A9&gt;=1896,mig_scale,1)</x:f>
        <x:v>0</x:v>
      </x:c>
      <x:c r="H9" s="47" t="n">
        <x:f>Paths!H9*IF($A9&gt;=1896,mig_scale,1)</x:f>
        <x:v>0</x:v>
      </x:c>
      <x:c r="I9" s="47" t="n">
        <x:f>E9*Paths!I9+(F9+G9+H9)*dep_asia</x:f>
        <x:v>21084</x:v>
      </x:c>
      <x:c r="J9" s="62" t="n">
        <x:f>Labour!AL9</x:f>
        <x:v>0</x:v>
      </x:c>
      <x:c r="K9" s="47" t="n">
        <x:f>SUM(E9:H9)-I9+J9</x:f>
        <x:v>39216</x:v>
      </x:c>
      <x:c r="L9" s="47" t="n">
        <x:f>B9+C9+D9+K9</x:f>
        <x:v>233352.31238400002</x:v>
      </x:c>
      <x:c r="M9" s="63" t="n">
        <x:f>IF(B9&gt;0,L9/B9-1,0)</x:f>
        <x:v>0.21161841385866298</x:v>
      </x:c>
      <x:c r="N9" s="47" t="n">
        <x:f>N8*(1+Paths!C9)+F9*(1-dep_asia)</x:f>
        <x:v>216</x:v>
      </x:c>
      <x:c r="O9" s="47" t="n">
        <x:f>O8*(1+Paths!C9)+G9*(1-dep_asia)</x:f>
        <x:v>0</x:v>
      </x:c>
      <x:c r="P9" s="47" t="n">
        <x:f>P8*(1+Paths!C9)+H9*(1-dep_asia)</x:f>
        <x:v>0</x:v>
      </x:c>
      <x:c r="Q9" s="47" t="n">
        <x:f>Q8*(1+Paths!C9)+Labour!AK9*gw_asian</x:f>
        <x:v>0</x:v>
      </x:c>
      <x:c r="R9" s="47" t="n">
        <x:f>R8*(1+Paths!C9)+Labour!AF9*family_mult</x:f>
        <x:v>0</x:v>
      </x:c>
      <x:c r="S9" s="63" t="n">
        <x:f>(N9+O9+P9+Q9+R9)/L9</x:f>
        <x:v>0.0009256389953597486</x:v>
      </x:c>
      <x:c r="T9" s="47" t="n">
        <x:f>SUM(E9:H9)*Paths!J9</x:f>
        <x:v>12060</x:v>
      </x:c>
      <x:c r="U9" s="62" t="n">
        <x:f>Paths!K9</x:f>
        <x:v>0</x:v>
      </x:c>
      <x:c r="V9" s="47" t="n">
        <x:f>IF(Gulf!E9=1,Gulf!B9,0)</x:f>
        <x:v>0</x:v>
      </x:c>
      <x:c r="W9" s="47" t="n">
        <x:f>L9+V9</x:f>
        <x:v>233352.31238400002</x:v>
      </x:c>
      <x:c r="X9" s="47" t="n">
        <x:f>W9+Labour!L9</x:f>
        <x:v>233352.31238400002</x:v>
      </x:c>
    </x:row>
    <x:row r="10">
      <x:c r="A10" s="58" t="n">
        <x:v>1850</x:v>
      </x:c>
      <x:c r="B10" s="47" t="n">
        <x:f>L9</x:f>
        <x:v>233352.31238400002</x:v>
      </x:c>
      <x:c r="C10" s="62" t="n">
        <x:f>Paths!D10</x:f>
        <x:v>0</x:v>
      </x:c>
      <x:c r="D10" s="47" t="n">
        <x:f>B10*Paths!C10</x:f>
        <x:v>1866.8184990720001</x:v>
      </x:c>
      <x:c r="E10" s="47" t="n">
        <x:f>Paths!E10*IF($A10&gt;=1896,mig_scale,1)</x:f>
        <x:v>50000</x:v>
      </x:c>
      <x:c r="F10" s="47" t="n">
        <x:f>Paths!F10*IF($A10&gt;=1896,mig_scale,1)</x:f>
        <x:v>4000</x:v>
      </x:c>
      <x:c r="G10" s="47" t="n">
        <x:f>Paths!G10*IF($A10&gt;=1896,mig_scale,1)</x:f>
        <x:v>0</x:v>
      </x:c>
      <x:c r="H10" s="47" t="n">
        <x:f>Paths!H10*IF($A10&gt;=1896,mig_scale,1)</x:f>
        <x:v>0</x:v>
      </x:c>
      <x:c r="I10" s="47" t="n">
        <x:f>E10*Paths!I10+(F10+G10+H10)*dep_asia</x:f>
        <x:v>18620</x:v>
      </x:c>
      <x:c r="J10" s="62" t="n">
        <x:f>Labour!AL10</x:f>
        <x:v>0</x:v>
      </x:c>
      <x:c r="K10" s="47" t="n">
        <x:f>SUM(E10:H10)-I10+J10</x:f>
        <x:v>35380</x:v>
      </x:c>
      <x:c r="L10" s="47" t="n">
        <x:f>B10+C10+D10+K10</x:f>
        <x:v>270599.13088307204</x:v>
      </x:c>
      <x:c r="M10" s="63" t="n">
        <x:f>IF(B10&gt;0,L10/B10-1,0)</x:f>
        <x:v>0.15961623914735146</x:v>
      </x:c>
      <x:c r="N10" s="47" t="n">
        <x:f>N9*(1+Paths!C10)+F10*(1-dep_asia)</x:f>
        <x:v>3097.728</x:v>
      </x:c>
      <x:c r="O10" s="47" t="n">
        <x:f>O9*(1+Paths!C10)+G10*(1-dep_asia)</x:f>
        <x:v>0</x:v>
      </x:c>
      <x:c r="P10" s="47" t="n">
        <x:f>P9*(1+Paths!C10)+H10*(1-dep_asia)</x:f>
        <x:v>0</x:v>
      </x:c>
      <x:c r="Q10" s="47" t="n">
        <x:f>Q9*(1+Paths!C10)+Labour!AK10*gw_asian</x:f>
        <x:v>0</x:v>
      </x:c>
      <x:c r="R10" s="47" t="n">
        <x:f>R9*(1+Paths!C10)+Labour!AF10*family_mult</x:f>
        <x:v>0</x:v>
      </x:c>
      <x:c r="S10" s="63" t="n">
        <x:f>(N10+O10+P10+Q10+R10)/L10</x:f>
        <x:v>0.011447664262227628</x:v>
      </x:c>
      <x:c r="T10" s="47" t="n">
        <x:f>SUM(E10:H10)*Paths!J10</x:f>
        <x:v>10800</x:v>
      </x:c>
      <x:c r="U10" s="62" t="n">
        <x:f>Paths!K10</x:f>
        <x:v>0</x:v>
      </x:c>
      <x:c r="V10" s="47" t="n">
        <x:f>IF(Gulf!E10=1,Gulf!B10,0)</x:f>
        <x:v>0</x:v>
      </x:c>
      <x:c r="W10" s="47" t="n">
        <x:f>L10+V10</x:f>
        <x:v>270599.13088307204</x:v>
      </x:c>
      <x:c r="X10" s="47" t="n">
        <x:f>W10+Labour!L10</x:f>
        <x:v>270599.13088307204</x:v>
      </x:c>
    </x:row>
    <x:row r="11">
      <x:c r="A11" s="58" t="n">
        <x:v>1851</x:v>
      </x:c>
      <x:c r="B11" s="47" t="n">
        <x:f>L10</x:f>
        <x:v>270599.13088307204</x:v>
      </x:c>
      <x:c r="C11" s="62" t="n">
        <x:f>Paths!D11</x:f>
        <x:v>0</x:v>
      </x:c>
      <x:c r="D11" s="47" t="n">
        <x:f>B11*Paths!C11</x:f>
        <x:v>2164.7930470645765</x:v>
      </x:c>
      <x:c r="E11" s="47" t="n">
        <x:f>Paths!E11*IF($A11&gt;=1896,mig_scale,1)</x:f>
        <x:v>40000</x:v>
      </x:c>
      <x:c r="F11" s="47" t="n">
        <x:f>Paths!F11*IF($A11&gt;=1896,mig_scale,1)</x:f>
        <x:v>3000</x:v>
      </x:c>
      <x:c r="G11" s="47" t="n">
        <x:f>Paths!G11*IF($A11&gt;=1896,mig_scale,1)</x:f>
        <x:v>0</x:v>
      </x:c>
      <x:c r="H11" s="47" t="n">
        <x:f>Paths!H11*IF($A11&gt;=1896,mig_scale,1)</x:f>
        <x:v>0</x:v>
      </x:c>
      <x:c r="I11" s="47" t="n">
        <x:f>E11*Paths!I11+(F11+G11+H11)*dep_asia</x:f>
        <x:v>14840</x:v>
      </x:c>
      <x:c r="J11" s="62" t="n">
        <x:f>Labour!AL11</x:f>
        <x:v>0</x:v>
      </x:c>
      <x:c r="K11" s="47" t="n">
        <x:f>SUM(E11:H11)-I11+J11</x:f>
        <x:v>28160</x:v>
      </x:c>
      <x:c r="L11" s="47" t="n">
        <x:f>B11+C11+D11+K11</x:f>
        <x:v>300923.9239301366</x:v>
      </x:c>
      <x:c r="M11" s="63" t="n">
        <x:f>IF(B11&gt;0,L11/B11-1,0)</x:f>
        <x:v>0.11206537488905743</x:v>
      </x:c>
      <x:c r="N11" s="47" t="n">
        <x:f>N10*(1+Paths!C11)+F11*(1-dep_asia)</x:f>
        <x:v>5282.509824000001</x:v>
      </x:c>
      <x:c r="O11" s="47" t="n">
        <x:f>O10*(1+Paths!C11)+G11*(1-dep_asia)</x:f>
        <x:v>0</x:v>
      </x:c>
      <x:c r="P11" s="47" t="n">
        <x:f>P10*(1+Paths!C11)+H11*(1-dep_asia)</x:f>
        <x:v>0</x:v>
      </x:c>
      <x:c r="Q11" s="47" t="n">
        <x:f>Q10*(1+Paths!C11)+Labour!AK11*gw_asian</x:f>
        <x:v>0</x:v>
      </x:c>
      <x:c r="R11" s="47" t="n">
        <x:f>R10*(1+Paths!C11)+Labour!AF11*family_mult</x:f>
        <x:v>0</x:v>
      </x:c>
      <x:c r="S11" s="63" t="n">
        <x:f>(N11+O11+P11+Q11+R11)/L11</x:f>
        <x:v>0.017554303277084755</x:v>
      </x:c>
      <x:c r="T11" s="47" t="n">
        <x:f>SUM(E11:H11)*Paths!J11</x:f>
        <x:v>8600</x:v>
      </x:c>
      <x:c r="U11" s="62" t="n">
        <x:f>Paths!K11</x:f>
        <x:v>0</x:v>
      </x:c>
      <x:c r="V11" s="47" t="n">
        <x:f>IF(Gulf!E11=1,Gulf!B11,0)</x:f>
        <x:v>0</x:v>
      </x:c>
      <x:c r="W11" s="47" t="n">
        <x:f>L11+V11</x:f>
        <x:v>300923.9239301366</x:v>
      </x:c>
      <x:c r="X11" s="47" t="n">
        <x:f>W11+Labour!L11</x:f>
        <x:v>300923.9239301366</x:v>
      </x:c>
    </x:row>
    <x:row r="12">
      <x:c r="A12" s="58" t="n">
        <x:v>1852</x:v>
      </x:c>
      <x:c r="B12" s="47" t="n">
        <x:f>L11</x:f>
        <x:v>300923.9239301366</x:v>
      </x:c>
      <x:c r="C12" s="62" t="n">
        <x:f>Paths!D12</x:f>
        <x:v>0</x:v>
      </x:c>
      <x:c r="D12" s="47" t="n">
        <x:f>B12*Paths!C12</x:f>
        <x:v>2407.3913914410928</x:v>
      </x:c>
      <x:c r="E12" s="47" t="n">
        <x:f>Paths!E12*IF($A12&gt;=1896,mig_scale,1)</x:f>
        <x:v>55000</x:v>
      </x:c>
      <x:c r="F12" s="47" t="n">
        <x:f>Paths!F12*IF($A12&gt;=1896,mig_scale,1)</x:f>
        <x:v>20000</x:v>
      </x:c>
      <x:c r="G12" s="47" t="n">
        <x:f>Paths!G12*IF($A12&gt;=1896,mig_scale,1)</x:f>
        <x:v>0</x:v>
      </x:c>
      <x:c r="H12" s="47" t="n">
        <x:f>Paths!H12*IF($A12&gt;=1896,mig_scale,1)</x:f>
        <x:v>0</x:v>
      </x:c>
      <x:c r="I12" s="47" t="n">
        <x:f>E12*Paths!I12+(F12+G12+H12)*dep_asia</x:f>
        <x:v>24850</x:v>
      </x:c>
      <x:c r="J12" s="62" t="n">
        <x:f>Labour!AL12</x:f>
        <x:v>0</x:v>
      </x:c>
      <x:c r="K12" s="47" t="n">
        <x:f>SUM(E12:H12)-I12+J12</x:f>
        <x:v>50150</x:v>
      </x:c>
      <x:c r="L12" s="47" t="n">
        <x:f>B12+C12+D12+K12</x:f>
        <x:v>353481.3153215777</x:v>
      </x:c>
      <x:c r="M12" s="63" t="n">
        <x:f>IF(B12&gt;0,L12/B12-1,0)</x:f>
        <x:v>0.17465341640182452</x:v>
      </x:c>
      <x:c r="N12" s="47" t="n">
        <x:f>N11*(1+Paths!C12)+F12*(1-dep_asia)</x:f>
        <x:v>19724.769902592</x:v>
      </x:c>
      <x:c r="O12" s="47" t="n">
        <x:f>O11*(1+Paths!C12)+G12*(1-dep_asia)</x:f>
        <x:v>0</x:v>
      </x:c>
      <x:c r="P12" s="47" t="n">
        <x:f>P11*(1+Paths!C12)+H12*(1-dep_asia)</x:f>
        <x:v>0</x:v>
      </x:c>
      <x:c r="Q12" s="47" t="n">
        <x:f>Q11*(1+Paths!C12)+Labour!AK12*gw_asian</x:f>
        <x:v>0</x:v>
      </x:c>
      <x:c r="R12" s="47" t="n">
        <x:f>R11*(1+Paths!C12)+Labour!AF12*family_mult</x:f>
        <x:v>0</x:v>
      </x:c>
      <x:c r="S12" s="63" t="n">
        <x:f>(N12+O12+P12+Q12+R12)/L12</x:f>
        <x:v>0.05580144988610642</x:v>
      </x:c>
      <x:c r="T12" s="47" t="n">
        <x:f>SUM(E12:H12)*Paths!J12</x:f>
        <x:v>30000</x:v>
      </x:c>
      <x:c r="U12" s="62" t="n">
        <x:f>Paths!K12</x:f>
        <x:v>0</x:v>
      </x:c>
      <x:c r="V12" s="47" t="n">
        <x:f>IF(Gulf!E12=1,Gulf!B12,0)</x:f>
        <x:v>0</x:v>
      </x:c>
      <x:c r="W12" s="47" t="n">
        <x:f>L12+V12</x:f>
        <x:v>353481.3153215777</x:v>
      </x:c>
      <x:c r="X12" s="47" t="n">
        <x:f>W12+Labour!L12</x:f>
        <x:v>353481.3153215777</x:v>
      </x:c>
    </x:row>
    <x:row r="13">
      <x:c r="A13" s="58" t="n">
        <x:v>1853</x:v>
      </x:c>
      <x:c r="B13" s="47" t="n">
        <x:f>L12</x:f>
        <x:v>353481.3153215777</x:v>
      </x:c>
      <x:c r="C13" s="62" t="n">
        <x:f>Paths!D13</x:f>
        <x:v>0</x:v>
      </x:c>
      <x:c r="D13" s="47" t="n">
        <x:f>B13*Paths!C13</x:f>
        <x:v>2827.8505225726217</x:v>
      </x:c>
      <x:c r="E13" s="47" t="n">
        <x:f>Paths!E13*IF($A13&gt;=1896,mig_scale,1)</x:f>
        <x:v>40000</x:v>
      </x:c>
      <x:c r="F13" s="47" t="n">
        <x:f>Paths!F13*IF($A13&gt;=1896,mig_scale,1)</x:f>
        <x:v>6000</x:v>
      </x:c>
      <x:c r="G13" s="47" t="n">
        <x:f>Paths!G13*IF($A13&gt;=1896,mig_scale,1)</x:f>
        <x:v>0</x:v>
      </x:c>
      <x:c r="H13" s="47" t="n">
        <x:f>Paths!H13*IF($A13&gt;=1896,mig_scale,1)</x:f>
        <x:v>0</x:v>
      </x:c>
      <x:c r="I13" s="47" t="n">
        <x:f>E13*Paths!I13+(F13+G13+H13)*dep_asia</x:f>
        <x:v>15680</x:v>
      </x:c>
      <x:c r="J13" s="62" t="n">
        <x:f>Labour!AL13</x:f>
        <x:v>0</x:v>
      </x:c>
      <x:c r="K13" s="47" t="n">
        <x:f>SUM(E13:H13)-I13+J13</x:f>
        <x:v>30320</x:v>
      </x:c>
      <x:c r="L13" s="47" t="n">
        <x:f>B13+C13+D13+K13</x:f>
        <x:v>386629.16584415035</x:v>
      </x:c>
      <x:c r="M13" s="63" t="n">
        <x:f>IF(B13&gt;0,L13/B13-1,0)</x:f>
        <x:v>0.09377539656492617</x:v>
      </x:c>
      <x:c r="N13" s="47" t="n">
        <x:f>N12*(1+Paths!C13)+F13*(1-dep_asia)</x:f>
        <x:v>24202.568061812737</x:v>
      </x:c>
      <x:c r="O13" s="47" t="n">
        <x:f>O12*(1+Paths!C13)+G13*(1-dep_asia)</x:f>
        <x:v>0</x:v>
      </x:c>
      <x:c r="P13" s="47" t="n">
        <x:f>P12*(1+Paths!C13)+H13*(1-dep_asia)</x:f>
        <x:v>0</x:v>
      </x:c>
      <x:c r="Q13" s="47" t="n">
        <x:f>Q12*(1+Paths!C13)+Labour!AK13*gw_asian</x:f>
        <x:v>0</x:v>
      </x:c>
      <x:c r="R13" s="47" t="n">
        <x:f>R12*(1+Paths!C13)+Labour!AF13*family_mult</x:f>
        <x:v>0</x:v>
      </x:c>
      <x:c r="S13" s="63" t="n">
        <x:f>(N13+O13+P13+Q13+R13)/L13</x:f>
        <x:v>0.06259891958479086</x:v>
      </x:c>
      <x:c r="T13" s="47" t="n">
        <x:f>SUM(E13:H13)*Paths!J13</x:f>
        <x:v>18400</x:v>
      </x:c>
      <x:c r="U13" s="62" t="n">
        <x:f>Paths!K13</x:f>
        <x:v>0</x:v>
      </x:c>
      <x:c r="V13" s="47" t="n">
        <x:f>IF(Gulf!E13=1,Gulf!B13,0)</x:f>
        <x:v>0</x:v>
      </x:c>
      <x:c r="W13" s="47" t="n">
        <x:f>L13+V13</x:f>
        <x:v>386629.16584415035</x:v>
      </x:c>
      <x:c r="X13" s="47" t="n">
        <x:f>W13+Labour!L13</x:f>
        <x:v>386629.16584415035</x:v>
      </x:c>
    </x:row>
    <x:row r="14">
      <x:c r="A14" s="58" t="n">
        <x:v>1854</x:v>
      </x:c>
      <x:c r="B14" s="47" t="n">
        <x:f>L13</x:f>
        <x:v>386629.16584415035</x:v>
      </x:c>
      <x:c r="C14" s="62" t="n">
        <x:f>Paths!D14</x:f>
        <x:v>0</x:v>
      </x:c>
      <x:c r="D14" s="47" t="n">
        <x:f>B14*Paths!C14</x:f>
        <x:v>3093.033326753203</x:v>
      </x:c>
      <x:c r="E14" s="47" t="n">
        <x:f>Paths!E14*IF($A14&gt;=1896,mig_scale,1)</x:f>
        <x:v>35000</x:v>
      </x:c>
      <x:c r="F14" s="47" t="n">
        <x:f>Paths!F14*IF($A14&gt;=1896,mig_scale,1)</x:f>
        <x:v>6000</x:v>
      </x:c>
      <x:c r="G14" s="47" t="n">
        <x:f>Paths!G14*IF($A14&gt;=1896,mig_scale,1)</x:f>
        <x:v>0</x:v>
      </x:c>
      <x:c r="H14" s="47" t="n">
        <x:f>Paths!H14*IF($A14&gt;=1896,mig_scale,1)</x:f>
        <x:v>0</x:v>
      </x:c>
      <x:c r="I14" s="47" t="n">
        <x:f>E14*Paths!I14+(F14+G14+H14)*dep_asia</x:f>
        <x:v>13930</x:v>
      </x:c>
      <x:c r="J14" s="62" t="n">
        <x:f>Labour!AL14</x:f>
        <x:v>0</x:v>
      </x:c>
      <x:c r="K14" s="47" t="n">
        <x:f>SUM(E14:H14)-I14+J14</x:f>
        <x:v>27070</x:v>
      </x:c>
      <x:c r="L14" s="47" t="n">
        <x:f>B14+C14+D14+K14</x:f>
        <x:v>416792.19917090354</x:v>
      </x:c>
      <x:c r="M14" s="63" t="n">
        <x:f>IF(B14&gt;0,L14/B14-1,0)</x:f>
        <x:v>0.07801541112630872</x:v>
      </x:c>
      <x:c r="N14" s="47" t="n">
        <x:f>N13*(1+Paths!C14)+F14*(1-dep_asia)</x:f>
        <x:v>28716.188606307238</x:v>
      </x:c>
      <x:c r="O14" s="47" t="n">
        <x:f>O13*(1+Paths!C14)+G14*(1-dep_asia)</x:f>
        <x:v>0</x:v>
      </x:c>
      <x:c r="P14" s="47" t="n">
        <x:f>P13*(1+Paths!C14)+H14*(1-dep_asia)</x:f>
        <x:v>0</x:v>
      </x:c>
      <x:c r="Q14" s="47" t="n">
        <x:f>Q13*(1+Paths!C14)+Labour!AK14*gw_asian</x:f>
        <x:v>0</x:v>
      </x:c>
      <x:c r="R14" s="47" t="n">
        <x:f>R13*(1+Paths!C14)+Labour!AF14*family_mult</x:f>
        <x:v>0</x:v>
      </x:c>
      <x:c r="S14" s="63" t="n">
        <x:f>(N14+O14+P14+Q14+R14)/L14</x:f>
        <x:v>0.06889809517411892</x:v>
      </x:c>
      <x:c r="T14" s="47" t="n">
        <x:f>SUM(E14:H14)*Paths!J14</x:f>
        <x:v>16400</x:v>
      </x:c>
      <x:c r="U14" s="62" t="n">
        <x:f>Paths!K14</x:f>
        <x:v>0</x:v>
      </x:c>
      <x:c r="V14" s="47" t="n">
        <x:f>IF(Gulf!E14=1,Gulf!B14,0)</x:f>
        <x:v>0</x:v>
      </x:c>
      <x:c r="W14" s="47" t="n">
        <x:f>L14+V14</x:f>
        <x:v>416792.19917090354</x:v>
      </x:c>
      <x:c r="X14" s="47" t="n">
        <x:f>W14+Labour!L14</x:f>
        <x:v>416792.19917090354</x:v>
      </x:c>
    </x:row>
    <x:row r="15">
      <x:c r="A15" s="58" t="n">
        <x:v>1855</x:v>
      </x:c>
      <x:c r="B15" s="47" t="n">
        <x:f>L14</x:f>
        <x:v>416792.19917090354</x:v>
      </x:c>
      <x:c r="C15" s="62" t="n">
        <x:f>Paths!D15</x:f>
        <x:v>0</x:v>
      </x:c>
      <x:c r="D15" s="47" t="n">
        <x:f>B15*Paths!C15</x:f>
        <x:v>3334.3375933672282</x:v>
      </x:c>
      <x:c r="E15" s="47" t="n">
        <x:f>Paths!E15*IF($A15&gt;=1896,mig_scale,1)</x:f>
        <x:v>30000</x:v>
      </x:c>
      <x:c r="F15" s="47" t="n">
        <x:f>Paths!F15*IF($A15&gt;=1896,mig_scale,1)</x:f>
        <x:v>6000</x:v>
      </x:c>
      <x:c r="G15" s="47" t="n">
        <x:f>Paths!G15*IF($A15&gt;=1896,mig_scale,1)</x:f>
        <x:v>0</x:v>
      </x:c>
      <x:c r="H15" s="47" t="n">
        <x:f>Paths!H15*IF($A15&gt;=1896,mig_scale,1)</x:f>
        <x:v>0</x:v>
      </x:c>
      <x:c r="I15" s="47" t="n">
        <x:f>E15*Paths!I15+(F15+G15+H15)*dep_asia</x:f>
        <x:v>12180</x:v>
      </x:c>
      <x:c r="J15" s="62" t="n">
        <x:f>Labour!AL15</x:f>
        <x:v>0</x:v>
      </x:c>
      <x:c r="K15" s="47" t="n">
        <x:f>SUM(E15:H15)-I15+J15</x:f>
        <x:v>23820</x:v>
      </x:c>
      <x:c r="L15" s="47" t="n">
        <x:f>B15+C15+D15+K15</x:f>
        <x:v>443946.53676427074</x:v>
      </x:c>
      <x:c r="M15" s="63" t="n">
        <x:f>IF(B15&gt;0,L15/B15-1,0)</x:f>
        <x:v>0.06515078172620181</x:v>
      </x:c>
      <x:c r="N15" s="47" t="n">
        <x:f>N14*(1+Paths!C15)+F15*(1-dep_asia)</x:f>
        <x:v>33265.91811515769</x:v>
      </x:c>
      <x:c r="O15" s="47" t="n">
        <x:f>O14*(1+Paths!C15)+G15*(1-dep_asia)</x:f>
        <x:v>0</x:v>
      </x:c>
      <x:c r="P15" s="47" t="n">
        <x:f>P14*(1+Paths!C15)+H15*(1-dep_asia)</x:f>
        <x:v>0</x:v>
      </x:c>
      <x:c r="Q15" s="47" t="n">
        <x:f>Q14*(1+Paths!C15)+Labour!AK15*gw_asian</x:f>
        <x:v>0</x:v>
      </x:c>
      <x:c r="R15" s="47" t="n">
        <x:f>R14*(1+Paths!C15)+Labour!AF15*family_mult</x:f>
        <x:v>0</x:v>
      </x:c>
      <x:c r="S15" s="63" t="n">
        <x:f>(N15+O15+P15+Q15+R15)/L15</x:f>
        <x:v>0.07493226179354434</x:v>
      </x:c>
      <x:c r="T15" s="47" t="n">
        <x:f>SUM(E15:H15)*Paths!J15</x:f>
        <x:v>14400</x:v>
      </x:c>
      <x:c r="U15" s="62" t="n">
        <x:f>Paths!K15</x:f>
        <x:v>0</x:v>
      </x:c>
      <x:c r="V15" s="47" t="n">
        <x:f>IF(Gulf!E15=1,Gulf!B15,0)</x:f>
        <x:v>0</x:v>
      </x:c>
      <x:c r="W15" s="47" t="n">
        <x:f>L15+V15</x:f>
        <x:v>443946.53676427074</x:v>
      </x:c>
      <x:c r="X15" s="47" t="n">
        <x:f>W15+Labour!L15</x:f>
        <x:v>443946.53676427074</x:v>
      </x:c>
    </x:row>
    <x:row r="16">
      <x:c r="A16" s="58" t="n">
        <x:v>1856</x:v>
      </x:c>
      <x:c r="B16" s="47" t="n">
        <x:f>L15</x:f>
        <x:v>443946.53676427074</x:v>
      </x:c>
      <x:c r="C16" s="62" t="n">
        <x:f>Paths!D16</x:f>
        <x:v>72000</x:v>
      </x:c>
      <x:c r="D16" s="47" t="n">
        <x:f>B16*Paths!C16</x:f>
        <x:v>4883.411904406978</x:v>
      </x:c>
      <x:c r="E16" s="47" t="n">
        <x:f>Paths!E16*IF($A16&gt;=1896,mig_scale,1)</x:f>
        <x:v>30000</x:v>
      </x:c>
      <x:c r="F16" s="47" t="n">
        <x:f>Paths!F16*IF($A16&gt;=1896,mig_scale,1)</x:f>
        <x:v>6000</x:v>
      </x:c>
      <x:c r="G16" s="47" t="n">
        <x:f>Paths!G16*IF($A16&gt;=1896,mig_scale,1)</x:f>
        <x:v>0</x:v>
      </x:c>
      <x:c r="H16" s="47" t="n">
        <x:f>Paths!H16*IF($A16&gt;=1896,mig_scale,1)</x:f>
        <x:v>0</x:v>
      </x:c>
      <x:c r="I16" s="47" t="n">
        <x:f>E16*Paths!I16+(F16+G16+H16)*dep_asia</x:f>
        <x:v>7680</x:v>
      </x:c>
      <x:c r="J16" s="62" t="n">
        <x:f>Labour!AL16</x:f>
        <x:v>0</x:v>
      </x:c>
      <x:c r="K16" s="47" t="n">
        <x:f>SUM(E16:H16)-I16+J16</x:f>
        <x:v>28320</x:v>
      </x:c>
      <x:c r="L16" s="47" t="n">
        <x:f>B16+C16+D16+K16</x:f>
        <x:v>549149.9486686777</x:v>
      </x:c>
      <x:c r="M16" s="63" t="n">
        <x:f>IF(B16&gt;0,L16/B16-1,0)</x:f>
        <x:v>0.23697315598222235</x:v>
      </x:c>
      <x:c r="N16" s="47" t="n">
        <x:f>N15*(1+Paths!C16)+F16*(1-dep_asia)</x:f>
        <x:v>37951.84321442442</x:v>
      </x:c>
      <x:c r="O16" s="47" t="n">
        <x:f>O15*(1+Paths!C16)+G16*(1-dep_asia)</x:f>
        <x:v>0</x:v>
      </x:c>
      <x:c r="P16" s="47" t="n">
        <x:f>P15*(1+Paths!C16)+H16*(1-dep_asia)</x:f>
        <x:v>0</x:v>
      </x:c>
      <x:c r="Q16" s="47" t="n">
        <x:f>Q15*(1+Paths!C16)+Labour!AK16*gw_asian</x:f>
        <x:v>0</x:v>
      </x:c>
      <x:c r="R16" s="47" t="n">
        <x:f>R15*(1+Paths!C16)+Labour!AF16*family_mult</x:f>
        <x:v>0</x:v>
      </x:c>
      <x:c r="S16" s="63" t="n">
        <x:f>(N16+O16+P16+Q16+R16)/L16</x:f>
        <x:v>0.06911016436664034</x:v>
      </x:c>
      <x:c r="T16" s="47" t="n">
        <x:f>SUM(E16:H16)*Paths!J16</x:f>
        <x:v>14400</x:v>
      </x:c>
      <x:c r="U16" s="62" t="n">
        <x:f>Paths!K16</x:f>
        <x:v>0</x:v>
      </x:c>
      <x:c r="V16" s="47" t="n">
        <x:f>IF(Gulf!E16=1,Gulf!B16,0)</x:f>
        <x:v>0</x:v>
      </x:c>
      <x:c r="W16" s="47" t="n">
        <x:f>L16+V16</x:f>
        <x:v>549149.9486686777</x:v>
      </x:c>
      <x:c r="X16" s="47" t="n">
        <x:f>W16+Labour!L16</x:f>
        <x:v>549149.9486686777</x:v>
      </x:c>
    </x:row>
    <x:row r="17">
      <x:c r="A17" s="58" t="n">
        <x:v>1857</x:v>
      </x:c>
      <x:c r="B17" s="47" t="n">
        <x:f>L16</x:f>
        <x:v>549149.9486686777</x:v>
      </x:c>
      <x:c r="C17" s="62" t="n">
        <x:f>Paths!D17</x:f>
        <x:v>0</x:v>
      </x:c>
      <x:c r="D17" s="47" t="n">
        <x:f>B17*Paths!C17</x:f>
        <x:v>6040.649435355454</x:v>
      </x:c>
      <x:c r="E17" s="47" t="n">
        <x:f>Paths!E17*IF($A17&gt;=1896,mig_scale,1)</x:f>
        <x:v>30000</x:v>
      </x:c>
      <x:c r="F17" s="47" t="n">
        <x:f>Paths!F17*IF($A17&gt;=1896,mig_scale,1)</x:f>
        <x:v>6000</x:v>
      </x:c>
      <x:c r="G17" s="47" t="n">
        <x:f>Paths!G17*IF($A17&gt;=1896,mig_scale,1)</x:f>
        <x:v>0</x:v>
      </x:c>
      <x:c r="H17" s="47" t="n">
        <x:f>Paths!H17*IF($A17&gt;=1896,mig_scale,1)</x:f>
        <x:v>0</x:v>
      </x:c>
      <x:c r="I17" s="47" t="n">
        <x:f>E17*Paths!I17+(F17+G17+H17)*dep_asia</x:f>
        <x:v>7680</x:v>
      </x:c>
      <x:c r="J17" s="62" t="n">
        <x:f>Labour!AL17</x:f>
        <x:v>0</x:v>
      </x:c>
      <x:c r="K17" s="47" t="n">
        <x:f>SUM(E17:H17)-I17+J17</x:f>
        <x:v>28320</x:v>
      </x:c>
      <x:c r="L17" s="47" t="n">
        <x:f>B17+C17+D17+K17</x:f>
        <x:v>583510.5981040332</x:v>
      </x:c>
      <x:c r="M17" s="63" t="n">
        <x:f>IF(B17&gt;0,L17/B17-1,0)</x:f>
        <x:v>0.062570613943709</x:v>
      </x:c>
      <x:c r="N17" s="47" t="n">
        <x:f>N16*(1+Paths!C17)+F17*(1-dep_asia)</x:f>
        <x:v>42689.31348978309</x:v>
      </x:c>
      <x:c r="O17" s="47" t="n">
        <x:f>O16*(1+Paths!C17)+G17*(1-dep_asia)</x:f>
        <x:v>0</x:v>
      </x:c>
      <x:c r="P17" s="47" t="n">
        <x:f>P16*(1+Paths!C17)+H17*(1-dep_asia)</x:f>
        <x:v>0</x:v>
      </x:c>
      <x:c r="Q17" s="47" t="n">
        <x:f>Q16*(1+Paths!C17)+Labour!AK17*gw_asian</x:f>
        <x:v>0</x:v>
      </x:c>
      <x:c r="R17" s="47" t="n">
        <x:f>R16*(1+Paths!C17)+Labour!AF17*family_mult</x:f>
        <x:v>0</x:v>
      </x:c>
      <x:c r="S17" s="63" t="n">
        <x:f>(N17+O17+P17+Q17+R17)/L17</x:f>
        <x:v>0.07315944839475234</x:v>
      </x:c>
      <x:c r="T17" s="47" t="n">
        <x:f>SUM(E17:H17)*Paths!J17</x:f>
        <x:v>14400</x:v>
      </x:c>
      <x:c r="U17" s="62" t="n">
        <x:f>Paths!K17</x:f>
        <x:v>0</x:v>
      </x:c>
      <x:c r="V17" s="47" t="n">
        <x:f>IF(Gulf!E17=1,Gulf!B17,0)</x:f>
        <x:v>0</x:v>
      </x:c>
      <x:c r="W17" s="47" t="n">
        <x:f>L17+V17</x:f>
        <x:v>583510.5981040332</x:v>
      </x:c>
      <x:c r="X17" s="47" t="n">
        <x:f>W17+Labour!L17</x:f>
        <x:v>583510.5981040332</x:v>
      </x:c>
    </x:row>
    <x:row r="18">
      <x:c r="A18" s="58" t="n">
        <x:v>1858</x:v>
      </x:c>
      <x:c r="B18" s="47" t="n">
        <x:f>L17</x:f>
        <x:v>583510.5981040332</x:v>
      </x:c>
      <x:c r="C18" s="62" t="n">
        <x:f>Paths!D18</x:f>
        <x:v>0</x:v>
      </x:c>
      <x:c r="D18" s="47" t="n">
        <x:f>B18*Paths!C18</x:f>
        <x:v>6418.616579144365</x:v>
      </x:c>
      <x:c r="E18" s="47" t="n">
        <x:f>Paths!E18*IF($A18&gt;=1896,mig_scale,1)</x:f>
        <x:v>30000</x:v>
      </x:c>
      <x:c r="F18" s="47" t="n">
        <x:f>Paths!F18*IF($A18&gt;=1896,mig_scale,1)</x:f>
        <x:v>6000</x:v>
      </x:c>
      <x:c r="G18" s="47" t="n">
        <x:f>Paths!G18*IF($A18&gt;=1896,mig_scale,1)</x:f>
        <x:v>0</x:v>
      </x:c>
      <x:c r="H18" s="47" t="n">
        <x:f>Paths!H18*IF($A18&gt;=1896,mig_scale,1)</x:f>
        <x:v>0</x:v>
      </x:c>
      <x:c r="I18" s="47" t="n">
        <x:f>E18*Paths!I18+(F18+G18+H18)*dep_asia</x:f>
        <x:v>7680</x:v>
      </x:c>
      <x:c r="J18" s="62" t="n">
        <x:f>Labour!AL18</x:f>
        <x:v>0</x:v>
      </x:c>
      <x:c r="K18" s="47" t="n">
        <x:f>SUM(E18:H18)-I18+J18</x:f>
        <x:v>28320</x:v>
      </x:c>
      <x:c r="L18" s="47" t="n">
        <x:f>B18+C18+D18+K18</x:f>
        <x:v>618249.2146831775</x:v>
      </x:c>
      <x:c r="M18" s="63" t="n">
        <x:f>IF(B18&gt;0,L18/B18-1,0)</x:f>
        <x:v>0.05953382285089348</x:v>
      </x:c>
      <x:c r="N18" s="47" t="n">
        <x:f>N17*(1+Paths!C18)+F18*(1-dep_asia)</x:f>
        <x:v>47478.8959381707</x:v>
      </x:c>
      <x:c r="O18" s="47" t="n">
        <x:f>O17*(1+Paths!C18)+G18*(1-dep_asia)</x:f>
        <x:v>0</x:v>
      </x:c>
      <x:c r="P18" s="47" t="n">
        <x:f>P17*(1+Paths!C18)+H18*(1-dep_asia)</x:f>
        <x:v>0</x:v>
      </x:c>
      <x:c r="Q18" s="47" t="n">
        <x:f>Q17*(1+Paths!C18)+Labour!AK18*gw_asian</x:f>
        <x:v>0</x:v>
      </x:c>
      <x:c r="R18" s="47" t="n">
        <x:f>R17*(1+Paths!C18)+Labour!AF18*family_mult</x:f>
        <x:v>0</x:v>
      </x:c>
      <x:c r="S18" s="63" t="n">
        <x:f>(N18+O18+P18+Q18+R18)/L18</x:f>
        <x:v>0.07679572381260737</x:v>
      </x:c>
      <x:c r="T18" s="47" t="n">
        <x:f>SUM(E18:H18)*Paths!J18</x:f>
        <x:v>14400</x:v>
      </x:c>
      <x:c r="U18" s="62" t="n">
        <x:f>Paths!K18</x:f>
        <x:v>0</x:v>
      </x:c>
      <x:c r="V18" s="47" t="n">
        <x:f>IF(Gulf!E18=1,Gulf!B18,0)</x:f>
        <x:v>0</x:v>
      </x:c>
      <x:c r="W18" s="47" t="n">
        <x:f>L18+V18</x:f>
        <x:v>618249.2146831775</x:v>
      </x:c>
      <x:c r="X18" s="47" t="n">
        <x:f>W18+Labour!L18</x:f>
        <x:v>618249.2146831775</x:v>
      </x:c>
    </x:row>
    <x:row r="19">
      <x:c r="A19" s="58" t="n">
        <x:v>1859</x:v>
      </x:c>
      <x:c r="B19" s="47" t="n">
        <x:f>L18</x:f>
        <x:v>618249.2146831775</x:v>
      </x:c>
      <x:c r="C19" s="62" t="n">
        <x:f>Paths!D19</x:f>
        <x:v>0</x:v>
      </x:c>
      <x:c r="D19" s="47" t="n">
        <x:f>B19*Paths!C19</x:f>
        <x:v>6800.741361514953</x:v>
      </x:c>
      <x:c r="E19" s="47" t="n">
        <x:f>Paths!E19*IF($A19&gt;=1896,mig_scale,1)</x:f>
        <x:v>30000</x:v>
      </x:c>
      <x:c r="F19" s="47" t="n">
        <x:f>Paths!F19*IF($A19&gt;=1896,mig_scale,1)</x:f>
        <x:v>6000</x:v>
      </x:c>
      <x:c r="G19" s="47" t="n">
        <x:f>Paths!G19*IF($A19&gt;=1896,mig_scale,1)</x:f>
        <x:v>0</x:v>
      </x:c>
      <x:c r="H19" s="47" t="n">
        <x:f>Paths!H19*IF($A19&gt;=1896,mig_scale,1)</x:f>
        <x:v>0</x:v>
      </x:c>
      <x:c r="I19" s="47" t="n">
        <x:f>E19*Paths!I19+(F19+G19+H19)*dep_asia</x:f>
        <x:v>7680</x:v>
      </x:c>
      <x:c r="J19" s="62" t="n">
        <x:f>Labour!AL19</x:f>
        <x:v>0</x:v>
      </x:c>
      <x:c r="K19" s="47" t="n">
        <x:f>SUM(E19:H19)-I19+J19</x:f>
        <x:v>28320</x:v>
      </x:c>
      <x:c r="L19" s="47" t="n">
        <x:f>B19+C19+D19+K19</x:f>
        <x:v>653369.9560446924</x:v>
      </x:c>
      <x:c r="M19" s="63" t="n">
        <x:f>IF(B19&gt;0,L19/B19-1,0)</x:f>
        <x:v>0.056806770679866725</x:v>
      </x:c>
      <x:c r="N19" s="47" t="n">
        <x:f>N18*(1+Paths!C19)+F19*(1-dep_asia)</x:f>
        <x:v>52321.163793490574</x:v>
      </x:c>
      <x:c r="O19" s="47" t="n">
        <x:f>O18*(1+Paths!C19)+G19*(1-dep_asia)</x:f>
        <x:v>0</x:v>
      </x:c>
      <x:c r="P19" s="47" t="n">
        <x:f>P18*(1+Paths!C19)+H19*(1-dep_asia)</x:f>
        <x:v>0</x:v>
      </x:c>
      <x:c r="Q19" s="47" t="n">
        <x:f>Q18*(1+Paths!C19)+Labour!AK19*gw_asian</x:f>
        <x:v>0</x:v>
      </x:c>
      <x:c r="R19" s="47" t="n">
        <x:f>R18*(1+Paths!C19)+Labour!AF19*family_mult</x:f>
        <x:v>0</x:v>
      </x:c>
      <x:c r="S19" s="63" t="n">
        <x:f>(N19+O19+P19+Q19+R19)/L19</x:f>
        <x:v>0.0800789251318309</x:v>
      </x:c>
      <x:c r="T19" s="47" t="n">
        <x:f>SUM(E19:H19)*Paths!J19</x:f>
        <x:v>14400</x:v>
      </x:c>
      <x:c r="U19" s="62" t="n">
        <x:f>Paths!K19</x:f>
        <x:v>0</x:v>
      </x:c>
      <x:c r="V19" s="47" t="n">
        <x:f>IF(Gulf!E19=1,Gulf!B19,0)</x:f>
        <x:v>0</x:v>
      </x:c>
      <x:c r="W19" s="47" t="n">
        <x:f>L19+V19</x:f>
        <x:v>653369.9560446924</x:v>
      </x:c>
      <x:c r="X19" s="47" t="n">
        <x:f>W19+Labour!L19</x:f>
        <x:v>653369.9560446924</x:v>
      </x:c>
    </x:row>
    <x:row r="20">
      <x:c r="A20" s="58" t="n">
        <x:v>1860</x:v>
      </x:c>
      <x:c r="B20" s="47" t="n">
        <x:f>L19</x:f>
        <x:v>653369.9560446924</x:v>
      </x:c>
      <x:c r="C20" s="62" t="n">
        <x:f>Paths!D20</x:f>
        <x:v>0</x:v>
      </x:c>
      <x:c r="D20" s="47" t="n">
        <x:f>B20*Paths!C20</x:f>
        <x:v>7187.069516491616</x:v>
      </x:c>
      <x:c r="E20" s="47" t="n">
        <x:f>Paths!E20*IF($A20&gt;=1896,mig_scale,1)</x:f>
        <x:v>30000</x:v>
      </x:c>
      <x:c r="F20" s="47" t="n">
        <x:f>Paths!F20*IF($A20&gt;=1896,mig_scale,1)</x:f>
        <x:v>8000</x:v>
      </x:c>
      <x:c r="G20" s="47" t="n">
        <x:f>Paths!G20*IF($A20&gt;=1896,mig_scale,1)</x:f>
        <x:v>0</x:v>
      </x:c>
      <x:c r="H20" s="47" t="n">
        <x:f>Paths!H20*IF($A20&gt;=1896,mig_scale,1)</x:f>
        <x:v>0</x:v>
      </x:c>
      <x:c r="I20" s="47" t="n">
        <x:f>E20*Paths!I20+(F20+G20+H20)*dep_asia</x:f>
        <x:v>8240</x:v>
      </x:c>
      <x:c r="J20" s="62" t="n">
        <x:f>Labour!AL20</x:f>
        <x:v>0</x:v>
      </x:c>
      <x:c r="K20" s="47" t="n">
        <x:f>SUM(E20:H20)-I20+J20</x:f>
        <x:v>29760</x:v>
      </x:c>
      <x:c r="L20" s="47" t="n">
        <x:f>B20+C20+D20+K20</x:f>
        <x:v>690317.025561184</x:v>
      </x:c>
      <x:c r="M20" s="63" t="n">
        <x:f>IF(B20&gt;0,L20/B20-1,0)</x:f>
        <x:v>0.05654846718107187</x:v>
      </x:c>
      <x:c r="N20" s="47" t="n">
        <x:f>N19*(1+Paths!C20)+F20*(1-dep_asia)</x:f>
        <x:v>58656.696595218964</x:v>
      </x:c>
      <x:c r="O20" s="47" t="n">
        <x:f>O19*(1+Paths!C20)+G20*(1-dep_asia)</x:f>
        <x:v>0</x:v>
      </x:c>
      <x:c r="P20" s="47" t="n">
        <x:f>P19*(1+Paths!C20)+H20*(1-dep_asia)</x:f>
        <x:v>0</x:v>
      </x:c>
      <x:c r="Q20" s="47" t="n">
        <x:f>Q19*(1+Paths!C20)+Labour!AK20*gw_asian</x:f>
        <x:v>0</x:v>
      </x:c>
      <x:c r="R20" s="47" t="n">
        <x:f>R19*(1+Paths!C20)+Labour!AF20*family_mult</x:f>
        <x:v>0</x:v>
      </x:c>
      <x:c r="S20" s="63" t="n">
        <x:f>(N20+O20+P20+Q20+R20)/L20</x:f>
        <x:v>0.08497066481524888</x:v>
      </x:c>
      <x:c r="T20" s="47" t="n">
        <x:f>SUM(E20:H20)*Paths!J20</x:f>
        <x:v>15200</x:v>
      </x:c>
      <x:c r="U20" s="62" t="n">
        <x:f>Paths!K20</x:f>
        <x:v>0</x:v>
      </x:c>
      <x:c r="V20" s="47" t="n">
        <x:f>IF(Gulf!E20=1,Gulf!B20,0)</x:f>
        <x:v>0</x:v>
      </x:c>
      <x:c r="W20" s="47" t="n">
        <x:f>L20+V20</x:f>
        <x:v>690317.025561184</x:v>
      </x:c>
      <x:c r="X20" s="47" t="n">
        <x:f>W20+Labour!L20</x:f>
        <x:v>690317.025561184</x:v>
      </x:c>
    </x:row>
    <x:row r="21">
      <x:c r="A21" s="61" t="n">
        <x:v>1861</x:v>
      </x:c>
      <x:c r="B21" s="47" t="n">
        <x:f>L20</x:f>
        <x:v>690317.025561184</x:v>
      </x:c>
      <x:c r="C21" s="62" t="n">
        <x:f>Paths!D21</x:f>
        <x:v>0</x:v>
      </x:c>
      <x:c r="D21" s="47" t="n">
        <x:f>B21*Paths!C21</x:f>
        <x:v>7593.487281173024</x:v>
      </x:c>
      <x:c r="E21" s="47" t="n">
        <x:f>Paths!E21*IF($A21&gt;=1896,mig_scale,1)</x:f>
        <x:v>35000</x:v>
      </x:c>
      <x:c r="F21" s="47" t="n">
        <x:f>Paths!F21*IF($A21&gt;=1896,mig_scale,1)</x:f>
        <x:v>8000</x:v>
      </x:c>
      <x:c r="G21" s="47" t="n">
        <x:f>Paths!G21*IF($A21&gt;=1896,mig_scale,1)</x:f>
        <x:v>0</x:v>
      </x:c>
      <x:c r="H21" s="47" t="n">
        <x:f>Paths!H21*IF($A21&gt;=1896,mig_scale,1)</x:f>
        <x:v>0</x:v>
      </x:c>
      <x:c r="I21" s="47" t="n">
        <x:f>E21*Paths!I21+(F21+G21+H21)*dep_asia</x:f>
        <x:v>9240</x:v>
      </x:c>
      <x:c r="J21" s="62" t="n">
        <x:f>Labour!AL21</x:f>
        <x:v>0</x:v>
      </x:c>
      <x:c r="K21" s="47" t="n">
        <x:f>SUM(E21:H21)-I21+J21</x:f>
        <x:v>33760</x:v>
      </x:c>
      <x:c r="L21" s="47" t="n">
        <x:f>B21+C21+D21+K21</x:f>
        <x:v>731670.512842357</x:v>
      </x:c>
      <x:c r="M21" s="63" t="n">
        <x:f>IF(B21&gt;0,L21/B21-1,0)</x:f>
        <x:v>0.059905066440386845</x:v>
      </x:c>
      <x:c r="N21" s="47" t="n">
        <x:f>N20*(1+Paths!C21)+F21*(1-dep_asia)</x:f>
        <x:v>65061.92025776637</x:v>
      </x:c>
      <x:c r="O21" s="47" t="n">
        <x:f>O20*(1+Paths!C21)+G21*(1-dep_asia)</x:f>
        <x:v>0</x:v>
      </x:c>
      <x:c r="P21" s="47" t="n">
        <x:f>P20*(1+Paths!C21)+H21*(1-dep_asia)</x:f>
        <x:v>0</x:v>
      </x:c>
      <x:c r="Q21" s="47" t="n">
        <x:f>Q20*(1+Paths!C21)+Labour!AK21*gw_asian</x:f>
        <x:v>0</x:v>
      </x:c>
      <x:c r="R21" s="47" t="n">
        <x:f>R20*(1+Paths!C21)+Labour!AF21*family_mult</x:f>
        <x:v>0</x:v>
      </x:c>
      <x:c r="S21" s="63" t="n">
        <x:f>(N21+O21+P21+Q21+R21)/L21</x:f>
        <x:v>0.08892243040520667</x:v>
      </x:c>
      <x:c r="T21" s="47" t="n">
        <x:f>SUM(E21:H21)*Paths!J21</x:f>
        <x:v>17200</x:v>
      </x:c>
      <x:c r="U21" s="62" t="n">
        <x:f>Paths!K21</x:f>
        <x:v>0</x:v>
      </x:c>
      <x:c r="V21" s="47" t="n">
        <x:f>IF(Gulf!E21=1,Gulf!B21,0)</x:f>
        <x:v>0</x:v>
      </x:c>
      <x:c r="W21" s="47" t="n">
        <x:f>L21+V21</x:f>
        <x:v>731670.512842357</x:v>
      </x:c>
      <x:c r="X21" s="47" t="n">
        <x:f>W21+Labour!L21</x:f>
        <x:v>731670.512842357</x:v>
      </x:c>
    </x:row>
    <x:row r="22">
      <x:c r="A22" s="61" t="n">
        <x:v>1862</x:v>
      </x:c>
      <x:c r="B22" s="47" t="n">
        <x:f>L21</x:f>
        <x:v>731670.512842357</x:v>
      </x:c>
      <x:c r="C22" s="62" t="n">
        <x:f>Paths!D22</x:f>
        <x:v>177000</x:v>
      </x:c>
      <x:c r="D22" s="47" t="n">
        <x:f>B22*Paths!C22</x:f>
        <x:v>10243.387179792999</x:v>
      </x:c>
      <x:c r="E22" s="47" t="n">
        <x:f>Paths!E22*IF($A22&gt;=1896,mig_scale,1)</x:f>
        <x:v>35000</x:v>
      </x:c>
      <x:c r="F22" s="47" t="n">
        <x:f>Paths!F22*IF($A22&gt;=1896,mig_scale,1)</x:f>
        <x:v>8000</x:v>
      </x:c>
      <x:c r="G22" s="47" t="n">
        <x:f>Paths!G22*IF($A22&gt;=1896,mig_scale,1)</x:f>
        <x:v>0</x:v>
      </x:c>
      <x:c r="H22" s="47" t="n">
        <x:f>Paths!H22*IF($A22&gt;=1896,mig_scale,1)</x:f>
        <x:v>0</x:v>
      </x:c>
      <x:c r="I22" s="47" t="n">
        <x:f>E22*Paths!I22+(F22+G22+H22)*dep_asia</x:f>
        <x:v>9240</x:v>
      </x:c>
      <x:c r="J22" s="62" t="n">
        <x:f>Labour!AL22</x:f>
        <x:v>0</x:v>
      </x:c>
      <x:c r="K22" s="47" t="n">
        <x:f>SUM(E22:H22)-I22+J22</x:f>
        <x:v>33760</x:v>
      </x:c>
      <x:c r="L22" s="47" t="n">
        <x:f>B22+C22+D22+K22</x:f>
        <x:v>952673.90002215</x:v>
      </x:c>
      <x:c r="M22" s="63" t="n">
        <x:f>IF(B22&gt;0,L22/B22-1,0)</x:f>
        <x:v>0.30205315548558875</x:v>
      </x:c>
      <x:c r="N22" s="47" t="n">
        <x:f>N21*(1+Paths!C22)+F22*(1-dep_asia)</x:f>
        <x:v>71732.7871413751</x:v>
      </x:c>
      <x:c r="O22" s="47" t="n">
        <x:f>O21*(1+Paths!C22)+G22*(1-dep_asia)</x:f>
        <x:v>0</x:v>
      </x:c>
      <x:c r="P22" s="47" t="n">
        <x:f>P21*(1+Paths!C22)+H22*(1-dep_asia)</x:f>
        <x:v>0</x:v>
      </x:c>
      <x:c r="Q22" s="47" t="n">
        <x:f>Q21*(1+Paths!C22)+Labour!AK22*gw_asian</x:f>
        <x:v>0</x:v>
      </x:c>
      <x:c r="R22" s="47" t="n">
        <x:f>R21*(1+Paths!C22)+Labour!AF22*family_mult</x:f>
        <x:v>0</x:v>
      </x:c>
      <x:c r="S22" s="63" t="n">
        <x:f>(N22+O22+P22+Q22+R22)/L22</x:f>
        <x:v>0.07529626574183179</x:v>
      </x:c>
      <x:c r="T22" s="47" t="n">
        <x:f>SUM(E22:H22)*Paths!J22</x:f>
        <x:v>17200</x:v>
      </x:c>
      <x:c r="U22" s="62" t="n">
        <x:f>Paths!K22</x:f>
        <x:v>0</x:v>
      </x:c>
      <x:c r="V22" s="47" t="n">
        <x:f>IF(Gulf!E22=1,Gulf!B22,0)</x:f>
        <x:v>0</x:v>
      </x:c>
      <x:c r="W22" s="47" t="n">
        <x:f>L22+V22</x:f>
        <x:v>952673.90002215</x:v>
      </x:c>
      <x:c r="X22" s="47" t="n">
        <x:f>W22+Labour!L22</x:f>
        <x:v>952673.90002215</x:v>
      </x:c>
    </x:row>
    <x:row r="23">
      <x:c r="A23" s="61" t="n">
        <x:v>1863</x:v>
      </x:c>
      <x:c r="B23" s="47" t="n">
        <x:f>L22</x:f>
        <x:v>952673.90002215</x:v>
      </x:c>
      <x:c r="C23" s="62" t="n">
        <x:f>Paths!D23</x:f>
        <x:v>85000</x:v>
      </x:c>
      <x:c r="D23" s="47" t="n">
        <x:f>B23*Paths!C23</x:f>
        <x:v>13337.4346003101</x:v>
      </x:c>
      <x:c r="E23" s="47" t="n">
        <x:f>Paths!E23*IF($A23&gt;=1896,mig_scale,1)</x:f>
        <x:v>35000</x:v>
      </x:c>
      <x:c r="F23" s="47" t="n">
        <x:f>Paths!F23*IF($A23&gt;=1896,mig_scale,1)</x:f>
        <x:v>8000</x:v>
      </x:c>
      <x:c r="G23" s="47" t="n">
        <x:f>Paths!G23*IF($A23&gt;=1896,mig_scale,1)</x:f>
        <x:v>0</x:v>
      </x:c>
      <x:c r="H23" s="47" t="n">
        <x:f>Paths!H23*IF($A23&gt;=1896,mig_scale,1)</x:f>
        <x:v>0</x:v>
      </x:c>
      <x:c r="I23" s="47" t="n">
        <x:f>E23*Paths!I23+(F23+G23+H23)*dep_asia</x:f>
        <x:v>9240</x:v>
      </x:c>
      <x:c r="J23" s="62" t="n">
        <x:f>Labour!AL23</x:f>
        <x:v>0</x:v>
      </x:c>
      <x:c r="K23" s="47" t="n">
        <x:f>SUM(E23:H23)-I23+J23</x:f>
        <x:v>33760</x:v>
      </x:c>
      <x:c r="L23" s="47" t="n">
        <x:f>B23+C23+D23+K23</x:f>
        <x:v>1084771.3346224602</x:v>
      </x:c>
      <x:c r="M23" s="63" t="n">
        <x:f>IF(B23&gt;0,L23/B23-1,0)</x:f>
        <x:v>0.13865965531042557</x:v>
      </x:c>
      <x:c r="N23" s="47" t="n">
        <x:f>N22*(1+Paths!C23)+F23*(1-dep_asia)</x:f>
        <x:v>78497.04616135434</x:v>
      </x:c>
      <x:c r="O23" s="47" t="n">
        <x:f>O22*(1+Paths!C23)+G23*(1-dep_asia)</x:f>
        <x:v>0</x:v>
      </x:c>
      <x:c r="P23" s="47" t="n">
        <x:f>P22*(1+Paths!C23)+H23*(1-dep_asia)</x:f>
        <x:v>0</x:v>
      </x:c>
      <x:c r="Q23" s="47" t="n">
        <x:f>Q22*(1+Paths!C23)+Labour!AK23*gw_asian</x:f>
        <x:v>0</x:v>
      </x:c>
      <x:c r="R23" s="47" t="n">
        <x:f>R22*(1+Paths!C23)+Labour!AF23*family_mult</x:f>
        <x:v>0</x:v>
      </x:c>
      <x:c r="S23" s="63" t="n">
        <x:f>(N23+O23+P23+Q23+R23)/L23</x:f>
        <x:v>0.07236275854272474</x:v>
      </x:c>
      <x:c r="T23" s="47" t="n">
        <x:f>SUM(E23:H23)*Paths!J23</x:f>
        <x:v>17200</x:v>
      </x:c>
      <x:c r="U23" s="62" t="n">
        <x:f>Paths!K23</x:f>
        <x:v>0</x:v>
      </x:c>
      <x:c r="V23" s="47" t="n">
        <x:f>IF(Gulf!E23=1,Gulf!B23,0)</x:f>
        <x:v>0</x:v>
      </x:c>
      <x:c r="W23" s="47" t="n">
        <x:f>L23+V23</x:f>
        <x:v>1084771.3346224602</x:v>
      </x:c>
      <x:c r="X23" s="47" t="n">
        <x:f>W23+Labour!L23</x:f>
        <x:v>1084771.3346224602</x:v>
      </x:c>
    </x:row>
    <x:row r="24">
      <x:c r="A24" s="61" t="n">
        <x:v>1864</x:v>
      </x:c>
      <x:c r="B24" s="47" t="n">
        <x:f>L23</x:f>
        <x:v>1084771.3346224602</x:v>
      </x:c>
      <x:c r="C24" s="62" t="n">
        <x:f>Paths!D24</x:f>
        <x:v>25000</x:v>
      </x:c>
      <x:c r="D24" s="47" t="n">
        <x:f>B24*Paths!C24</x:f>
        <x:v>15186.798684714442</x:v>
      </x:c>
      <x:c r="E24" s="47" t="n">
        <x:f>Paths!E24*IF($A24&gt;=1896,mig_scale,1)</x:f>
        <x:v>35000</x:v>
      </x:c>
      <x:c r="F24" s="47" t="n">
        <x:f>Paths!F24*IF($A24&gt;=1896,mig_scale,1)</x:f>
        <x:v>8000</x:v>
      </x:c>
      <x:c r="G24" s="47" t="n">
        <x:f>Paths!G24*IF($A24&gt;=1896,mig_scale,1)</x:f>
        <x:v>0</x:v>
      </x:c>
      <x:c r="H24" s="47" t="n">
        <x:f>Paths!H24*IF($A24&gt;=1896,mig_scale,1)</x:f>
        <x:v>0</x:v>
      </x:c>
      <x:c r="I24" s="47" t="n">
        <x:f>E24*Paths!I24+(F24+G24+H24)*dep_asia</x:f>
        <x:v>9240</x:v>
      </x:c>
      <x:c r="J24" s="62" t="n">
        <x:f>Labour!AL24</x:f>
        <x:v>0</x:v>
      </x:c>
      <x:c r="K24" s="47" t="n">
        <x:f>SUM(E24:H24)-I24+J24</x:f>
        <x:v>33760</x:v>
      </x:c>
      <x:c r="L24" s="47" t="n">
        <x:f>B24+C24+D24+K24</x:f>
        <x:v>1158718.1333071745</x:v>
      </x:c>
      <x:c r="M24" s="63" t="n">
        <x:f>IF(B24&gt;0,L24/B24-1,0)</x:f>
        <x:v>0.06816809803556478</x:v>
      </x:c>
      <x:c r="N24" s="47" t="n">
        <x:f>N23*(1+Paths!C24)+F24*(1-dep_asia)</x:f>
        <x:v>85356.00480761331</x:v>
      </x:c>
      <x:c r="O24" s="47" t="n">
        <x:f>O23*(1+Paths!C24)+G24*(1-dep_asia)</x:f>
        <x:v>0</x:v>
      </x:c>
      <x:c r="P24" s="47" t="n">
        <x:f>P23*(1+Paths!C24)+H24*(1-dep_asia)</x:f>
        <x:v>0</x:v>
      </x:c>
      <x:c r="Q24" s="47" t="n">
        <x:f>Q23*(1+Paths!C24)+Labour!AK24*gw_asian</x:f>
        <x:v>0</x:v>
      </x:c>
      <x:c r="R24" s="47" t="n">
        <x:f>R23*(1+Paths!C24)+Labour!AF24*family_mult</x:f>
        <x:v>0</x:v>
      </x:c>
      <x:c r="S24" s="63" t="n">
        <x:f>(N24+O24+P24+Q24+R24)/L24</x:f>
        <x:v>0.07366416590374145</x:v>
      </x:c>
      <x:c r="T24" s="47" t="n">
        <x:f>SUM(E24:H24)*Paths!J24</x:f>
        <x:v>17200</x:v>
      </x:c>
      <x:c r="U24" s="62" t="n">
        <x:f>Paths!K24</x:f>
        <x:v>0</x:v>
      </x:c>
      <x:c r="V24" s="47" t="n">
        <x:f>IF(Gulf!E24=1,Gulf!B24,0)</x:f>
        <x:v>0</x:v>
      </x:c>
      <x:c r="W24" s="47" t="n">
        <x:f>L24+V24</x:f>
        <x:v>1158718.1333071745</x:v>
      </x:c>
      <x:c r="X24" s="47" t="n">
        <x:f>W24+Labour!L24</x:f>
        <x:v>1158718.1333071745</x:v>
      </x:c>
    </x:row>
    <x:row r="25">
      <x:c r="A25" s="61" t="n">
        <x:v>1865</x:v>
      </x:c>
      <x:c r="B25" s="47" t="n">
        <x:f>L24</x:f>
        <x:v>1158718.1333071745</x:v>
      </x:c>
      <x:c r="C25" s="62" t="n">
        <x:f>Paths!D25</x:f>
        <x:v>10000</x:v>
      </x:c>
      <x:c r="D25" s="47" t="n">
        <x:f>B25*Paths!C25</x:f>
        <x:v>16222.053866300444</x:v>
      </x:c>
      <x:c r="E25" s="47" t="n">
        <x:f>Paths!E25*IF($A25&gt;=1896,mig_scale,1)</x:f>
        <x:v>35000</x:v>
      </x:c>
      <x:c r="F25" s="47" t="n">
        <x:f>Paths!F25*IF($A25&gt;=1896,mig_scale,1)</x:f>
        <x:v>8000</x:v>
      </x:c>
      <x:c r="G25" s="47" t="n">
        <x:f>Paths!G25*IF($A25&gt;=1896,mig_scale,1)</x:f>
        <x:v>0</x:v>
      </x:c>
      <x:c r="H25" s="47" t="n">
        <x:f>Paths!H25*IF($A25&gt;=1896,mig_scale,1)</x:f>
        <x:v>0</x:v>
      </x:c>
      <x:c r="I25" s="47" t="n">
        <x:f>E25*Paths!I25+(F25+G25+H25)*dep_asia</x:f>
        <x:v>9240</x:v>
      </x:c>
      <x:c r="J25" s="62" t="n">
        <x:f>Labour!AL25</x:f>
        <x:v>0</x:v>
      </x:c>
      <x:c r="K25" s="47" t="n">
        <x:f>SUM(E25:H25)-I25+J25</x:f>
        <x:v>33760</x:v>
      </x:c>
      <x:c r="L25" s="47" t="n">
        <x:f>B25+C25+D25+K25</x:f>
        <x:v>1218700.187173475</x:v>
      </x:c>
      <x:c r="M25" s="63" t="n">
        <x:f>IF(B25&gt;0,L25/B25-1,0)</x:f>
        <x:v>0.051765871390224705</x:v>
      </x:c>
      <x:c r="N25" s="47" t="n">
        <x:f>N24*(1+Paths!C25)+F25*(1-dep_asia)</x:f>
        <x:v>92310.9888749199</x:v>
      </x:c>
      <x:c r="O25" s="47" t="n">
        <x:f>O24*(1+Paths!C25)+G25*(1-dep_asia)</x:f>
        <x:v>0</x:v>
      </x:c>
      <x:c r="P25" s="47" t="n">
        <x:f>P24*(1+Paths!C25)+H25*(1-dep_asia)</x:f>
        <x:v>0</x:v>
      </x:c>
      <x:c r="Q25" s="47" t="n">
        <x:f>Q24*(1+Paths!C25)+Labour!AK25*gw_asian</x:f>
        <x:v>0</x:v>
      </x:c>
      <x:c r="R25" s="47" t="n">
        <x:f>R24*(1+Paths!C25)+Labour!AF25*family_mult</x:f>
        <x:v>0</x:v>
      </x:c>
      <x:c r="S25" s="63" t="n">
        <x:f>(N25+O25+P25+Q25+R25)/L25</x:f>
        <x:v>0.07574544571870158</x:v>
      </x:c>
      <x:c r="T25" s="47" t="n">
        <x:f>SUM(E25:H25)*Paths!J25</x:f>
        <x:v>17200</x:v>
      </x:c>
      <x:c r="U25" s="62" t="n">
        <x:f>Paths!K25</x:f>
        <x:v>0</x:v>
      </x:c>
      <x:c r="V25" s="47" t="n">
        <x:f>IF(Gulf!E25=1,Gulf!B25,0)</x:f>
        <x:v>0</x:v>
      </x:c>
      <x:c r="W25" s="47" t="n">
        <x:f>L25+V25</x:f>
        <x:v>1218700.187173475</x:v>
      </x:c>
      <x:c r="X25" s="47" t="n">
        <x:f>W25+Labour!L25</x:f>
        <x:v>1218700.187173475</x:v>
      </x:c>
    </x:row>
    <x:row r="26">
      <x:c r="A26" s="58" t="n">
        <x:v>1866</x:v>
      </x:c>
      <x:c r="B26" s="47" t="n">
        <x:f>L25</x:f>
        <x:v>1218700.187173475</x:v>
      </x:c>
      <x:c r="C26" s="62" t="n">
        <x:f>Paths!D26</x:f>
        <x:v>0</x:v>
      </x:c>
      <x:c r="D26" s="47" t="n">
        <x:f>B26*Paths!C26</x:f>
        <x:v>17061.80262042865</x:v>
      </x:c>
      <x:c r="E26" s="47" t="n">
        <x:f>Paths!E26*IF($A26&gt;=1896,mig_scale,1)</x:f>
        <x:v>80000</x:v>
      </x:c>
      <x:c r="F26" s="47" t="n">
        <x:f>Paths!F26*IF($A26&gt;=1896,mig_scale,1)</x:f>
        <x:v>8000</x:v>
      </x:c>
      <x:c r="G26" s="47" t="n">
        <x:f>Paths!G26*IF($A26&gt;=1896,mig_scale,1)</x:f>
        <x:v>0</x:v>
      </x:c>
      <x:c r="H26" s="47" t="n">
        <x:f>Paths!H26*IF($A26&gt;=1896,mig_scale,1)</x:f>
        <x:v>0</x:v>
      </x:c>
      <x:c r="I26" s="47" t="n">
        <x:f>E26*Paths!I26+(F26+G26+H26)*dep_asia</x:f>
        <x:v>18240</x:v>
      </x:c>
      <x:c r="J26" s="62" t="n">
        <x:f>Labour!AL26</x:f>
        <x:v>0</x:v>
      </x:c>
      <x:c r="K26" s="47" t="n">
        <x:f>SUM(E26:H26)-I26+J26</x:f>
        <x:v>69760</x:v>
      </x:c>
      <x:c r="L26" s="47" t="n">
        <x:f>B26+C26+D26+K26</x:f>
        <x:v>1305521.9897939037</x:v>
      </x:c>
      <x:c r="M26" s="63" t="n">
        <x:f>IF(B26&gt;0,L26/B26-1,0)</x:f>
        <x:v>0.07124131392955135</x:v>
      </x:c>
      <x:c r="N26" s="47" t="n">
        <x:f>N25*(1+Paths!C26)+F26*(1-dep_asia)</x:f>
        <x:v>99363.34271916878</x:v>
      </x:c>
      <x:c r="O26" s="47" t="n">
        <x:f>O25*(1+Paths!C26)+G26*(1-dep_asia)</x:f>
        <x:v>0</x:v>
      </x:c>
      <x:c r="P26" s="47" t="n">
        <x:f>P25*(1+Paths!C26)+H26*(1-dep_asia)</x:f>
        <x:v>0</x:v>
      </x:c>
      <x:c r="Q26" s="47" t="n">
        <x:f>Q25*(1+Paths!C26)+Labour!AK26*gw_asian</x:f>
        <x:v>0</x:v>
      </x:c>
      <x:c r="R26" s="47" t="n">
        <x:f>R25*(1+Paths!C26)+Labour!AF26*family_mult</x:f>
        <x:v>0</x:v>
      </x:c>
      <x:c r="S26" s="63" t="n">
        <x:f>(N26+O26+P26+Q26+R26)/L26</x:f>
        <x:v>0.07611004908071659</x:v>
      </x:c>
      <x:c r="T26" s="47" t="n">
        <x:f>SUM(E26:H26)*Paths!J26</x:f>
        <x:v>35200</x:v>
      </x:c>
      <x:c r="U26" s="62" t="n">
        <x:f>Paths!K26</x:f>
        <x:v>0</x:v>
      </x:c>
      <x:c r="V26" s="47" t="n">
        <x:f>IF(Gulf!E26=1,Gulf!B26,0)</x:f>
        <x:v>0</x:v>
      </x:c>
      <x:c r="W26" s="47" t="n">
        <x:f>L26+V26</x:f>
        <x:v>1305521.9897939037</x:v>
      </x:c>
      <x:c r="X26" s="47" t="n">
        <x:f>W26+Labour!L26</x:f>
        <x:v>1305521.9897939037</x:v>
      </x:c>
    </x:row>
    <x:row r="27">
      <x:c r="A27" s="58" t="n">
        <x:v>1867</x:v>
      </x:c>
      <x:c r="B27" s="47" t="n">
        <x:f>L26</x:f>
        <x:v>1305521.9897939037</x:v>
      </x:c>
      <x:c r="C27" s="62" t="n">
        <x:f>Paths!D27</x:f>
        <x:v>50000</x:v>
      </x:c>
      <x:c r="D27" s="47" t="n">
        <x:f>B27*Paths!C27</x:f>
        <x:v>18277.30785711465</x:v>
      </x:c>
      <x:c r="E27" s="47" t="n">
        <x:f>Paths!E27*IF($A27&gt;=1896,mig_scale,1)</x:f>
        <x:v>80000</x:v>
      </x:c>
      <x:c r="F27" s="47" t="n">
        <x:f>Paths!F27*IF($A27&gt;=1896,mig_scale,1)</x:f>
        <x:v>8000</x:v>
      </x:c>
      <x:c r="G27" s="47" t="n">
        <x:f>Paths!G27*IF($A27&gt;=1896,mig_scale,1)</x:f>
        <x:v>0</x:v>
      </x:c>
      <x:c r="H27" s="47" t="n">
        <x:f>Paths!H27*IF($A27&gt;=1896,mig_scale,1)</x:f>
        <x:v>0</x:v>
      </x:c>
      <x:c r="I27" s="47" t="n">
        <x:f>E27*Paths!I27+(F27+G27+H27)*dep_asia</x:f>
        <x:v>18240</x:v>
      </x:c>
      <x:c r="J27" s="62" t="n">
        <x:f>Labour!AL27</x:f>
        <x:v>0</x:v>
      </x:c>
      <x:c r="K27" s="47" t="n">
        <x:f>SUM(E27:H27)-I27+J27</x:f>
        <x:v>69760</x:v>
      </x:c>
      <x:c r="L27" s="47" t="n">
        <x:f>B27+C27+D27+K27</x:f>
        <x:v>1443559.2976510182</x:v>
      </x:c>
      <x:c r="M27" s="63" t="n">
        <x:f>IF(B27&gt;0,L27/B27-1,0)</x:f>
        <x:v>0.10573342229103777</x:v>
      </x:c>
      <x:c r="N27" s="47" t="n">
        <x:f>N26*(1+Paths!C27)+F27*(1-dep_asia)</x:f>
        <x:v>106514.42951723715</x:v>
      </x:c>
      <x:c r="O27" s="47" t="n">
        <x:f>O26*(1+Paths!C27)+G27*(1-dep_asia)</x:f>
        <x:v>0</x:v>
      </x:c>
      <x:c r="P27" s="47" t="n">
        <x:f>P26*(1+Paths!C27)+H27*(1-dep_asia)</x:f>
        <x:v>0</x:v>
      </x:c>
      <x:c r="Q27" s="47" t="n">
        <x:f>Q26*(1+Paths!C27)+Labour!AK27*gw_asian</x:f>
        <x:v>0</x:v>
      </x:c>
      <x:c r="R27" s="47" t="n">
        <x:f>R26*(1+Paths!C27)+Labour!AF27*family_mult</x:f>
        <x:v>0</x:v>
      </x:c>
      <x:c r="S27" s="63" t="n">
        <x:f>(N27+O27+P27+Q27+R27)/L27</x:f>
        <x:v>0.07378597449412647</x:v>
      </x:c>
      <x:c r="T27" s="47" t="n">
        <x:f>SUM(E27:H27)*Paths!J27</x:f>
        <x:v>35200</x:v>
      </x:c>
      <x:c r="U27" s="62" t="n">
        <x:f>Paths!K27</x:f>
        <x:v>0</x:v>
      </x:c>
      <x:c r="V27" s="47" t="n">
        <x:f>IF(Gulf!E27=1,Gulf!B27,0)</x:f>
        <x:v>0</x:v>
      </x:c>
      <x:c r="W27" s="47" t="n">
        <x:f>L27+V27</x:f>
        <x:v>1443559.2976510182</x:v>
      </x:c>
      <x:c r="X27" s="47" t="n">
        <x:f>W27+Labour!L27</x:f>
        <x:v>1443559.2976510182</x:v>
      </x:c>
    </x:row>
    <x:row r="28">
      <x:c r="A28" s="58" t="n">
        <x:v>1868</x:v>
      </x:c>
      <x:c r="B28" s="47" t="n">
        <x:f>L27</x:f>
        <x:v>1443559.2976510182</x:v>
      </x:c>
      <x:c r="C28" s="62" t="n">
        <x:f>Paths!D28</x:f>
        <x:v>0</x:v>
      </x:c>
      <x:c r="D28" s="47" t="n">
        <x:f>B28*Paths!C28</x:f>
        <x:v>27427.626655369346</x:v>
      </x:c>
      <x:c r="E28" s="47" t="n">
        <x:f>Paths!E28*IF($A28&gt;=1896,mig_scale,1)</x:f>
        <x:v>80000</x:v>
      </x:c>
      <x:c r="F28" s="47" t="n">
        <x:f>Paths!F28*IF($A28&gt;=1896,mig_scale,1)</x:f>
        <x:v>15000</x:v>
      </x:c>
      <x:c r="G28" s="47" t="n">
        <x:f>Paths!G28*IF($A28&gt;=1896,mig_scale,1)</x:f>
        <x:v>0</x:v>
      </x:c>
      <x:c r="H28" s="47" t="n">
        <x:f>Paths!H28*IF($A28&gt;=1896,mig_scale,1)</x:f>
        <x:v>0</x:v>
      </x:c>
      <x:c r="I28" s="47" t="n">
        <x:f>E28*Paths!I28+(F28+G28+H28)*dep_asia</x:f>
        <x:v>20200</x:v>
      </x:c>
      <x:c r="J28" s="62" t="n">
        <x:f>Labour!AL28</x:f>
        <x:v>0</x:v>
      </x:c>
      <x:c r="K28" s="47" t="n">
        <x:f>SUM(E28:H28)-I28+J28</x:f>
        <x:v>74800</x:v>
      </x:c>
      <x:c r="L28" s="47" t="n">
        <x:f>B28+C28+D28+K28</x:f>
        <x:v>1545786.9243063875</x:v>
      </x:c>
      <x:c r="M28" s="63" t="n">
        <x:f>IF(B28&gt;0,L28/B28-1,0)</x:f>
        <x:v>0.07081636814068926</x:v>
      </x:c>
      <x:c r="N28" s="47" t="n">
        <x:f>N27*(1+Paths!C28)+F28*(1-dep_asia)</x:f>
        <x:v>119338.20367806464</x:v>
      </x:c>
      <x:c r="O28" s="47" t="n">
        <x:f>O27*(1+Paths!C28)+G28*(1-dep_asia)</x:f>
        <x:v>0</x:v>
      </x:c>
      <x:c r="P28" s="47" t="n">
        <x:f>P27*(1+Paths!C28)+H28*(1-dep_asia)</x:f>
        <x:v>0</x:v>
      </x:c>
      <x:c r="Q28" s="47" t="n">
        <x:f>Q27*(1+Paths!C28)+Labour!AK28*gw_asian</x:f>
        <x:v>0</x:v>
      </x:c>
      <x:c r="R28" s="47" t="n">
        <x:f>R27*(1+Paths!C28)+Labour!AF28*family_mult</x:f>
        <x:v>0</x:v>
      </x:c>
      <x:c r="S28" s="63" t="n">
        <x:f>(N28+O28+P28+Q28+R28)/L28</x:f>
        <x:v>0.0772022338923672</x:v>
      </x:c>
      <x:c r="T28" s="47" t="n">
        <x:f>SUM(E28:H28)*Paths!J28</x:f>
        <x:v>38000</x:v>
      </x:c>
      <x:c r="U28" s="62" t="n">
        <x:f>Paths!K28</x:f>
        <x:v>0</x:v>
      </x:c>
      <x:c r="V28" s="47" t="n">
        <x:f>IF(Gulf!E28=1,Gulf!B28,0)</x:f>
        <x:v>0</x:v>
      </x:c>
      <x:c r="W28" s="47" t="n">
        <x:f>L28+V28</x:f>
        <x:v>1545786.9243063875</x:v>
      </x:c>
      <x:c r="X28" s="47" t="n">
        <x:f>W28+Labour!L28</x:f>
        <x:v>1545786.9243063875</x:v>
      </x:c>
    </x:row>
    <x:row r="29">
      <x:c r="A29" s="58" t="n">
        <x:v>1869</x:v>
      </x:c>
      <x:c r="B29" s="47" t="n">
        <x:f>L28</x:f>
        <x:v>1545786.9243063875</x:v>
      </x:c>
      <x:c r="C29" s="62" t="n">
        <x:f>Paths!D29</x:f>
        <x:v>0</x:v>
      </x:c>
      <x:c r="D29" s="47" t="n">
        <x:f>B29*Paths!C29</x:f>
        <x:v>29369.951561821363</x:v>
      </x:c>
      <x:c r="E29" s="47" t="n">
        <x:f>Paths!E29*IF($A29&gt;=1896,mig_scale,1)</x:f>
        <x:v>80000</x:v>
      </x:c>
      <x:c r="F29" s="47" t="n">
        <x:f>Paths!F29*IF($A29&gt;=1896,mig_scale,1)</x:f>
        <x:v>25000</x:v>
      </x:c>
      <x:c r="G29" s="47" t="n">
        <x:f>Paths!G29*IF($A29&gt;=1896,mig_scale,1)</x:f>
        <x:v>200</x:v>
      </x:c>
      <x:c r="H29" s="47" t="n">
        <x:f>Paths!H29*IF($A29&gt;=1896,mig_scale,1)</x:f>
        <x:v>0</x:v>
      </x:c>
      <x:c r="I29" s="47" t="n">
        <x:f>E29*Paths!I29+(F29+G29+H29)*dep_asia</x:f>
        <x:v>23056</x:v>
      </x:c>
      <x:c r="J29" s="62" t="n">
        <x:f>Labour!AL29</x:f>
        <x:v>0</x:v>
      </x:c>
      <x:c r="K29" s="47" t="n">
        <x:f>SUM(E29:H29)-I29+J29</x:f>
        <x:v>82144</x:v>
      </x:c>
      <x:c r="L29" s="47" t="n">
        <x:f>B29+C29+D29+K29</x:f>
        <x:v>1657300.875868209</x:v>
      </x:c>
      <x:c r="M29" s="63" t="n">
        <x:f>IF(B29&gt;0,L29/B29-1,0)</x:f>
        <x:v>0.07214057112810623</x:v>
      </x:c>
      <x:c r="N29" s="47" t="n">
        <x:f>N28*(1+Paths!C29)+F29*(1-dep_asia)</x:f>
        <x:v>139605.62954794784</x:v>
      </x:c>
      <x:c r="O29" s="47" t="n">
        <x:f>O28*(1+Paths!C29)+G29*(1-dep_asia)</x:f>
        <x:v>144</x:v>
      </x:c>
      <x:c r="P29" s="47" t="n">
        <x:f>P28*(1+Paths!C29)+H29*(1-dep_asia)</x:f>
        <x:v>0</x:v>
      </x:c>
      <x:c r="Q29" s="47" t="n">
        <x:f>Q28*(1+Paths!C29)+Labour!AK29*gw_asian</x:f>
        <x:v>0</x:v>
      </x:c>
      <x:c r="R29" s="47" t="n">
        <x:f>R28*(1+Paths!C29)+Labour!AF29*family_mult</x:f>
        <x:v>0</x:v>
      </x:c>
      <x:c r="S29" s="63" t="n">
        <x:f>(N29+O29+P29+Q29+R29)/L29</x:f>
        <x:v>0.08432363222805715</x:v>
      </x:c>
      <x:c r="T29" s="47" t="n">
        <x:f>SUM(E29:H29)*Paths!J29</x:f>
        <x:v>42080</x:v>
      </x:c>
      <x:c r="U29" s="62" t="n">
        <x:f>Paths!K29</x:f>
        <x:v>0</x:v>
      </x:c>
      <x:c r="V29" s="47" t="n">
        <x:f>IF(Gulf!E29=1,Gulf!B29,0)</x:f>
        <x:v>0</x:v>
      </x:c>
      <x:c r="W29" s="47" t="n">
        <x:f>L29+V29</x:f>
        <x:v>1657300.875868209</x:v>
      </x:c>
      <x:c r="X29" s="47" t="n">
        <x:f>W29+Labour!L29</x:f>
        <x:v>1657300.875868209</x:v>
      </x:c>
    </x:row>
    <x:row r="30">
      <x:c r="A30" s="61" t="n">
        <x:v>1870</x:v>
      </x:c>
      <x:c r="B30" s="47" t="n">
        <x:f>L29</x:f>
        <x:v>1657300.875868209</x:v>
      </x:c>
      <x:c r="C30" s="62" t="n">
        <x:f>Paths!D30</x:f>
        <x:v>0</x:v>
      </x:c>
      <x:c r="D30" s="47" t="n">
        <x:f>B30*Paths!C30</x:f>
        <x:v>31488.71664149597</x:v>
      </x:c>
      <x:c r="E30" s="47" t="n">
        <x:f>Paths!E30*IF($A30&gt;=1896,mig_scale,1)</x:f>
        <x:v>80000</x:v>
      </x:c>
      <x:c r="F30" s="47" t="n">
        <x:f>Paths!F30*IF($A30&gt;=1896,mig_scale,1)</x:f>
        <x:v>25000</x:v>
      </x:c>
      <x:c r="G30" s="47" t="n">
        <x:f>Paths!G30*IF($A30&gt;=1896,mig_scale,1)</x:f>
        <x:v>500</x:v>
      </x:c>
      <x:c r="H30" s="47" t="n">
        <x:f>Paths!H30*IF($A30&gt;=1896,mig_scale,1)</x:f>
        <x:v>0</x:v>
      </x:c>
      <x:c r="I30" s="47" t="n">
        <x:f>E30*Paths!I30+(F30+G30+H30)*dep_asia</x:f>
        <x:v>23140</x:v>
      </x:c>
      <x:c r="J30" s="62" t="n">
        <x:f>Labour!AL30</x:f>
        <x:v>0</x:v>
      </x:c>
      <x:c r="K30" s="47" t="n">
        <x:f>SUM(E30:H30)-I30+J30</x:f>
        <x:v>82360</x:v>
      </x:c>
      <x:c r="L30" s="47" t="n">
        <x:f>B30+C30+D30+K30</x:f>
        <x:v>1771149.5925097049</x:v>
      </x:c>
      <x:c r="M30" s="63" t="n">
        <x:f>IF(B30&gt;0,L30/B30-1,0)</x:f>
        <x:v>0.06869526125233838</x:v>
      </x:c>
      <x:c r="N30" s="47" t="n">
        <x:f>N29*(1+Paths!C30)+F30*(1-dep_asia)</x:f>
        <x:v>160258.13650935882</x:v>
      </x:c>
      <x:c r="O30" s="47" t="n">
        <x:f>O29*(1+Paths!C30)+G30*(1-dep_asia)</x:f>
        <x:v>506.736</x:v>
      </x:c>
      <x:c r="P30" s="47" t="n">
        <x:f>P29*(1+Paths!C30)+H30*(1-dep_asia)</x:f>
        <x:v>0</x:v>
      </x:c>
      <x:c r="Q30" s="47" t="n">
        <x:f>Q29*(1+Paths!C30)+Labour!AK30*gw_asian</x:f>
        <x:v>0</x:v>
      </x:c>
      <x:c r="R30" s="47" t="n">
        <x:f>R29*(1+Paths!C30)+Labour!AF30*family_mult</x:f>
        <x:v>0</x:v>
      </x:c>
      <x:c r="S30" s="63" t="n">
        <x:f>(N30+O30+P30+Q30+R30)/L30</x:f>
        <x:v>0.09076865849685586</x:v>
      </x:c>
      <x:c r="T30" s="47" t="n">
        <x:f>SUM(E30:H30)*Paths!J30</x:f>
        <x:v>42200</x:v>
      </x:c>
      <x:c r="U30" s="62" t="n">
        <x:f>Paths!K30</x:f>
        <x:v>0</x:v>
      </x:c>
      <x:c r="V30" s="47" t="n">
        <x:f>IF(Gulf!E30=1,Gulf!B30,0)</x:f>
        <x:v>0</x:v>
      </x:c>
      <x:c r="W30" s="47" t="n">
        <x:f>L30+V30</x:f>
        <x:v>1771149.5925097049</x:v>
      </x:c>
      <x:c r="X30" s="47" t="n">
        <x:f>W30+Labour!L30</x:f>
        <x:v>1771149.5925097049</x:v>
      </x:c>
    </x:row>
    <x:row r="31">
      <x:c r="A31" s="61" t="n">
        <x:v>1871</x:v>
      </x:c>
      <x:c r="B31" s="47" t="n">
        <x:f>L30</x:f>
        <x:v>1771149.5925097049</x:v>
      </x:c>
      <x:c r="C31" s="62" t="n">
        <x:f>Paths!D31</x:f>
        <x:v>0</x:v>
      </x:c>
      <x:c r="D31" s="47" t="n">
        <x:f>B31*Paths!C31</x:f>
        <x:v>33651.842257684395</x:v>
      </x:c>
      <x:c r="E31" s="47" t="n">
        <x:f>Paths!E31*IF($A31&gt;=1896,mig_scale,1)</x:f>
        <x:v>80000</x:v>
      </x:c>
      <x:c r="F31" s="47" t="n">
        <x:f>Paths!F31*IF($A31&gt;=1896,mig_scale,1)</x:f>
        <x:v>25000</x:v>
      </x:c>
      <x:c r="G31" s="47" t="n">
        <x:f>Paths!G31*IF($A31&gt;=1896,mig_scale,1)</x:f>
        <x:v>500</x:v>
      </x:c>
      <x:c r="H31" s="47" t="n">
        <x:f>Paths!H31*IF($A31&gt;=1896,mig_scale,1)</x:f>
        <x:v>0</x:v>
      </x:c>
      <x:c r="I31" s="47" t="n">
        <x:f>E31*Paths!I31+(F31+G31+H31)*dep_asia</x:f>
        <x:v>23140</x:v>
      </x:c>
      <x:c r="J31" s="62" t="n">
        <x:f>Labour!AL31</x:f>
        <x:v>0</x:v>
      </x:c>
      <x:c r="K31" s="47" t="n">
        <x:f>SUM(E31:H31)-I31+J31</x:f>
        <x:v>82360</x:v>
      </x:c>
      <x:c r="L31" s="47" t="n">
        <x:f>B31+C31+D31+K31</x:f>
        <x:v>1887161.4347673892</x:v>
      </x:c>
      <x:c r="M31" s="63" t="n">
        <x:f>IF(B31&gt;0,L31/B31-1,0)</x:f>
        <x:v>0.06550087172100261</x:v>
      </x:c>
      <x:c r="N31" s="47" t="n">
        <x:f>N30*(1+Paths!C31)+F31*(1-dep_asia)</x:f>
        <x:v>181303.04110303664</x:v>
      </x:c>
      <x:c r="O31" s="47" t="n">
        <x:f>O30*(1+Paths!C31)+G31*(1-dep_asia)</x:f>
        <x:v>876.363984</x:v>
      </x:c>
      <x:c r="P31" s="47" t="n">
        <x:f>P30*(1+Paths!C31)+H31*(1-dep_asia)</x:f>
        <x:v>0</x:v>
      </x:c>
      <x:c r="Q31" s="47" t="n">
        <x:f>Q30*(1+Paths!C31)+Labour!AK31*gw_asian</x:f>
        <x:v>0</x:v>
      </x:c>
      <x:c r="R31" s="47" t="n">
        <x:f>R30*(1+Paths!C31)+Labour!AF31*family_mult</x:f>
        <x:v>0</x:v>
      </x:c>
      <x:c r="S31" s="63" t="n">
        <x:f>(N31+O31+P31+Q31+R31)/L31</x:f>
        <x:v>0.09653620603448373</x:v>
      </x:c>
      <x:c r="T31" s="47" t="n">
        <x:f>SUM(E31:H31)*Paths!J31</x:f>
        <x:v>42200</x:v>
      </x:c>
      <x:c r="U31" s="62" t="n">
        <x:f>Paths!K31</x:f>
        <x:v>0</x:v>
      </x:c>
      <x:c r="V31" s="47" t="n">
        <x:f>IF(Gulf!E31=1,Gulf!B31,0)</x:f>
        <x:v>0</x:v>
      </x:c>
      <x:c r="W31" s="47" t="n">
        <x:f>L31+V31</x:f>
        <x:v>1887161.4347673892</x:v>
      </x:c>
      <x:c r="X31" s="47" t="n">
        <x:f>W31+Labour!L31</x:f>
        <x:v>1887161.4347673892</x:v>
      </x:c>
    </x:row>
    <x:row r="32">
      <x:c r="A32" s="58" t="n">
        <x:v>1872</x:v>
      </x:c>
      <x:c r="B32" s="47" t="n">
        <x:f>L31</x:f>
        <x:v>1887161.4347673892</x:v>
      </x:c>
      <x:c r="C32" s="62" t="n">
        <x:f>Paths!D32</x:f>
        <x:v>0</x:v>
      </x:c>
      <x:c r="D32" s="47" t="n">
        <x:f>B32*Paths!C32</x:f>
        <x:v>35856.06726058039</x:v>
      </x:c>
      <x:c r="E32" s="47" t="n">
        <x:f>Paths!E32*IF($A32&gt;=1896,mig_scale,1)</x:f>
        <x:v>80000</x:v>
      </x:c>
      <x:c r="F32" s="47" t="n">
        <x:f>Paths!F32*IF($A32&gt;=1896,mig_scale,1)</x:f>
        <x:v>25000</x:v>
      </x:c>
      <x:c r="G32" s="47" t="n">
        <x:f>Paths!G32*IF($A32&gt;=1896,mig_scale,1)</x:f>
        <x:v>500</x:v>
      </x:c>
      <x:c r="H32" s="47" t="n">
        <x:f>Paths!H32*IF($A32&gt;=1896,mig_scale,1)</x:f>
        <x:v>0</x:v>
      </x:c>
      <x:c r="I32" s="47" t="n">
        <x:f>E32*Paths!I32+(F32+G32+H32)*dep_asia</x:f>
        <x:v>23140</x:v>
      </x:c>
      <x:c r="J32" s="62" t="n">
        <x:f>Labour!AL32</x:f>
        <x:v>0</x:v>
      </x:c>
      <x:c r="K32" s="47" t="n">
        <x:f>SUM(E32:H32)-I32+J32</x:f>
        <x:v>82360</x:v>
      </x:c>
      <x:c r="L32" s="47" t="n">
        <x:f>B32+C32+D32+K32</x:f>
        <x:v>2005377.5020279696</x:v>
      </x:c>
      <x:c r="M32" s="63" t="n">
        <x:f>IF(B32&gt;0,L32/B32-1,0)</x:f>
        <x:v>0.06264226529997496</x:v>
      </x:c>
      <x:c r="N32" s="47" t="n">
        <x:f>N31*(1+Paths!C32)+F32*(1-dep_asia)</x:f>
        <x:v>202747.7988839943</x:v>
      </x:c>
      <x:c r="O32" s="47" t="n">
        <x:f>O31*(1+Paths!C32)+G32*(1-dep_asia)</x:f>
        <x:v>1253.014899696</x:v>
      </x:c>
      <x:c r="P32" s="47" t="n">
        <x:f>P31*(1+Paths!C32)+H32*(1-dep_asia)</x:f>
        <x:v>0</x:v>
      </x:c>
      <x:c r="Q32" s="47" t="n">
        <x:f>Q31*(1+Paths!C32)+Labour!AK32*gw_asian</x:f>
        <x:v>0</x:v>
      </x:c>
      <x:c r="R32" s="47" t="n">
        <x:f>R31*(1+Paths!C32)+Labour!AF32*family_mult</x:f>
        <x:v>0</x:v>
      </x:c>
      <x:c r="S32" s="63" t="n">
        <x:f>(N32+O32+P32+Q32+R32)/L32</x:f>
        <x:v>0.10172688861692687</x:v>
      </x:c>
      <x:c r="T32" s="47" t="n">
        <x:f>SUM(E32:H32)*Paths!J32</x:f>
        <x:v>42200</x:v>
      </x:c>
      <x:c r="U32" s="62" t="n">
        <x:f>Paths!K32</x:f>
        <x:v>0</x:v>
      </x:c>
      <x:c r="V32" s="47" t="n">
        <x:f>IF(Gulf!E32=1,Gulf!B32,0)</x:f>
        <x:v>0</x:v>
      </x:c>
      <x:c r="W32" s="47" t="n">
        <x:f>L32+V32</x:f>
        <x:v>2005377.5020279696</x:v>
      </x:c>
      <x:c r="X32" s="47" t="n">
        <x:f>W32+Labour!L32</x:f>
        <x:v>2005377.5020279696</x:v>
      </x:c>
    </x:row>
    <x:row r="33">
      <x:c r="A33" s="58" t="n">
        <x:v>1873</x:v>
      </x:c>
      <x:c r="B33" s="47" t="n">
        <x:f>L32</x:f>
        <x:v>2005377.5020279696</x:v>
      </x:c>
      <x:c r="C33" s="62" t="n">
        <x:f>Paths!D33</x:f>
        <x:v>0</x:v>
      </x:c>
      <x:c r="D33" s="47" t="n">
        <x:f>B33*Paths!C33</x:f>
        <x:v>38102.17253853142</x:v>
      </x:c>
      <x:c r="E33" s="47" t="n">
        <x:f>Paths!E33*IF($A33&gt;=1896,mig_scale,1)</x:f>
        <x:v>110000</x:v>
      </x:c>
      <x:c r="F33" s="47" t="n">
        <x:f>Paths!F33*IF($A33&gt;=1896,mig_scale,1)</x:f>
        <x:v>25000</x:v>
      </x:c>
      <x:c r="G33" s="47" t="n">
        <x:f>Paths!G33*IF($A33&gt;=1896,mig_scale,1)</x:f>
        <x:v>500</x:v>
      </x:c>
      <x:c r="H33" s="47" t="n">
        <x:f>Paths!H33*IF($A33&gt;=1896,mig_scale,1)</x:f>
        <x:v>0</x:v>
      </x:c>
      <x:c r="I33" s="47" t="n">
        <x:f>E33*Paths!I33+(F33+G33+H33)*dep_asia</x:f>
        <x:v>29140</x:v>
      </x:c>
      <x:c r="J33" s="62" t="n">
        <x:f>Labour!AL33</x:f>
        <x:v>0</x:v>
      </x:c>
      <x:c r="K33" s="47" t="n">
        <x:f>SUM(E33:H33)-I33+J33</x:f>
        <x:v>106360</x:v>
      </x:c>
      <x:c r="L33" s="47" t="n">
        <x:f>B33+C33+D33+K33</x:f>
        <x:v>2149839.674566501</x:v>
      </x:c>
      <x:c r="M33" s="63" t="n">
        <x:f>IF(B33&gt;0,L33/B33-1,0)</x:f>
        <x:v>0.0720373956486704</x:v>
      </x:c>
      <x:c r="N33" s="47" t="n">
        <x:f>N32*(1+Paths!C33)+F33*(1-dep_asia)</x:f>
        <x:v>224600.0070627902</x:v>
      </x:c>
      <x:c r="O33" s="47" t="n">
        <x:f>O32*(1+Paths!C33)+G33*(1-dep_asia)</x:f>
        <x:v>1636.822182790224</x:v>
      </x:c>
      <x:c r="P33" s="47" t="n">
        <x:f>P32*(1+Paths!C33)+H33*(1-dep_asia)</x:f>
        <x:v>0</x:v>
      </x:c>
      <x:c r="Q33" s="47" t="n">
        <x:f>Q32*(1+Paths!C33)+Labour!AK33*gw_asian</x:f>
        <x:v>0</x:v>
      </x:c>
      <x:c r="R33" s="47" t="n">
        <x:f>R32*(1+Paths!C33)+Labour!AF33*family_mult</x:f>
        <x:v>0</x:v>
      </x:c>
      <x:c r="S33" s="63" t="n">
        <x:f>(N33+O33+P33+Q33+R33)/L33</x:f>
        <x:v>0.10523427952421587</x:v>
      </x:c>
      <x:c r="T33" s="47" t="n">
        <x:f>SUM(E33:H33)*Paths!J33</x:f>
        <x:v>54200</x:v>
      </x:c>
      <x:c r="U33" s="62" t="n">
        <x:f>Paths!K33</x:f>
        <x:v>0</x:v>
      </x:c>
      <x:c r="V33" s="47" t="n">
        <x:f>IF(Gulf!E33=1,Gulf!B33,0)</x:f>
        <x:v>0</x:v>
      </x:c>
      <x:c r="W33" s="47" t="n">
        <x:f>L33+V33</x:f>
        <x:v>2149839.674566501</x:v>
      </x:c>
      <x:c r="X33" s="47" t="n">
        <x:f>W33+Labour!L33</x:f>
        <x:v>2149839.674566501</x:v>
      </x:c>
    </x:row>
    <x:row r="34">
      <x:c r="A34" s="58" t="n">
        <x:v>1874</x:v>
      </x:c>
      <x:c r="B34" s="47" t="n">
        <x:f>L33</x:f>
        <x:v>2149839.674566501</x:v>
      </x:c>
      <x:c r="C34" s="62" t="n">
        <x:f>Paths!D34</x:f>
        <x:v>0</x:v>
      </x:c>
      <x:c r="D34" s="47" t="n">
        <x:f>B34*Paths!C34</x:f>
        <x:v>40846.95381676351</x:v>
      </x:c>
      <x:c r="E34" s="47" t="n">
        <x:f>Paths!E34*IF($A34&gt;=1896,mig_scale,1)</x:f>
        <x:v>110000</x:v>
      </x:c>
      <x:c r="F34" s="47" t="n">
        <x:f>Paths!F34*IF($A34&gt;=1896,mig_scale,1)</x:f>
        <x:v>25000</x:v>
      </x:c>
      <x:c r="G34" s="47" t="n">
        <x:f>Paths!G34*IF($A34&gt;=1896,mig_scale,1)</x:f>
        <x:v>500</x:v>
      </x:c>
      <x:c r="H34" s="47" t="n">
        <x:f>Paths!H34*IF($A34&gt;=1896,mig_scale,1)</x:f>
        <x:v>0</x:v>
      </x:c>
      <x:c r="I34" s="47" t="n">
        <x:f>E34*Paths!I34+(F34+G34+H34)*dep_asia</x:f>
        <x:v>29140</x:v>
      </x:c>
      <x:c r="J34" s="62" t="n">
        <x:f>Labour!AL34</x:f>
        <x:v>0</x:v>
      </x:c>
      <x:c r="K34" s="47" t="n">
        <x:f>SUM(E34:H34)-I34+J34</x:f>
        <x:v>106360</x:v>
      </x:c>
      <x:c r="L34" s="47" t="n">
        <x:f>B34+C34+D34+K34</x:f>
        <x:v>2297046.6283832644</x:v>
      </x:c>
      <x:c r="M34" s="63" t="n">
        <x:f>IF(B34&gt;0,L34/B34-1,0)</x:f>
        <x:v>0.06847345667599458</x:v>
      </x:c>
      <x:c r="N34" s="47" t="n">
        <x:f>N33*(1+Paths!C34)+F34*(1-dep_asia)</x:f>
        <x:v>246867.40719698317</x:v>
      </x:c>
      <x:c r="O34" s="47" t="n">
        <x:f>O33*(1+Paths!C34)+G34*(1-dep_asia)</x:f>
        <x:v>2027.921804263238</x:v>
      </x:c>
      <x:c r="P34" s="47" t="n">
        <x:f>P33*(1+Paths!C34)+H34*(1-dep_asia)</x:f>
        <x:v>0</x:v>
      </x:c>
      <x:c r="Q34" s="47" t="n">
        <x:f>Q33*(1+Paths!C34)+Labour!AK34*gw_asian</x:f>
        <x:v>0</x:v>
      </x:c>
      <x:c r="R34" s="47" t="n">
        <x:f>R33*(1+Paths!C34)+Labour!AF34*family_mult</x:f>
        <x:v>0</x:v>
      </x:c>
      <x:c r="S34" s="63" t="n">
        <x:f>(N34+O34+P34+Q34+R34)/L34</x:f>
        <x:v>0.10835449569277006</x:v>
      </x:c>
      <x:c r="T34" s="47" t="n">
        <x:f>SUM(E34:H34)*Paths!J34</x:f>
        <x:v>54200</x:v>
      </x:c>
      <x:c r="U34" s="62" t="n">
        <x:f>Paths!K34</x:f>
        <x:v>0</x:v>
      </x:c>
      <x:c r="V34" s="47" t="n">
        <x:f>IF(Gulf!E34=1,Gulf!B34,0)</x:f>
        <x:v>0</x:v>
      </x:c>
      <x:c r="W34" s="47" t="n">
        <x:f>L34+V34</x:f>
        <x:v>2297046.6283832644</x:v>
      </x:c>
      <x:c r="X34" s="47" t="n">
        <x:f>W34+Labour!L34</x:f>
        <x:v>2297046.6283832644</x:v>
      </x:c>
    </x:row>
    <x:row r="35">
      <x:c r="A35" s="58" t="n">
        <x:v>1875</x:v>
      </x:c>
      <x:c r="B35" s="47" t="n">
        <x:f>L34</x:f>
        <x:v>2297046.6283832644</x:v>
      </x:c>
      <x:c r="C35" s="62" t="n">
        <x:f>Paths!D35</x:f>
        <x:v>0</x:v>
      </x:c>
      <x:c r="D35" s="47" t="n">
        <x:f>B35*Paths!C35</x:f>
        <x:v>43643.88593928202</x:v>
      </x:c>
      <x:c r="E35" s="47" t="n">
        <x:f>Paths!E35*IF($A35&gt;=1896,mig_scale,1)</x:f>
        <x:v>110000</x:v>
      </x:c>
      <x:c r="F35" s="47" t="n">
        <x:f>Paths!F35*IF($A35&gt;=1896,mig_scale,1)</x:f>
        <x:v>25000</x:v>
      </x:c>
      <x:c r="G35" s="47" t="n">
        <x:f>Paths!G35*IF($A35&gt;=1896,mig_scale,1)</x:f>
        <x:v>500</x:v>
      </x:c>
      <x:c r="H35" s="47" t="n">
        <x:f>Paths!H35*IF($A35&gt;=1896,mig_scale,1)</x:f>
        <x:v>0</x:v>
      </x:c>
      <x:c r="I35" s="47" t="n">
        <x:f>E35*Paths!I35+(F35+G35+H35)*dep_asia</x:f>
        <x:v>29140</x:v>
      </x:c>
      <x:c r="J35" s="62" t="n">
        <x:f>Labour!AL35</x:f>
        <x:v>0</x:v>
      </x:c>
      <x:c r="K35" s="47" t="n">
        <x:f>SUM(E35:H35)-I35+J35</x:f>
        <x:v>106360</x:v>
      </x:c>
      <x:c r="L35" s="47" t="n">
        <x:f>B35+C35+D35+K35</x:f>
        <x:v>2447050.5143225463</x:v>
      </x:c>
      <x:c r="M35" s="63" t="n">
        <x:f>IF(B35&gt;0,L35/B35-1,0)</x:f>
        <x:v>0.06530293468394222</x:v>
      </x:c>
      <x:c r="N35" s="47" t="n">
        <x:f>N34*(1+Paths!C35)+F35*(1-dep_asia)</x:f>
        <x:v>269557.88793372584</x:v>
      </x:c>
      <x:c r="O35" s="47" t="n">
        <x:f>O34*(1+Paths!C35)+G35*(1-dep_asia)</x:f>
        <x:v>2426.4523185442395</x:v>
      </x:c>
      <x:c r="P35" s="47" t="n">
        <x:f>P34*(1+Paths!C35)+H35*(1-dep_asia)</x:f>
        <x:v>0</x:v>
      </x:c>
      <x:c r="Q35" s="47" t="n">
        <x:f>Q34*(1+Paths!C35)+Labour!AK35*gw_asian</x:f>
        <x:v>0</x:v>
      </x:c>
      <x:c r="R35" s="47" t="n">
        <x:f>R34*(1+Paths!C35)+Labour!AF35*family_mult</x:f>
        <x:v>0</x:v>
      </x:c>
      <x:c r="S35" s="63" t="n">
        <x:f>(N35+O35+P35+Q35+R35)/L35</x:f>
        <x:v>0.11114782415007383</x:v>
      </x:c>
      <x:c r="T35" s="47" t="n">
        <x:f>SUM(E35:H35)*Paths!J35</x:f>
        <x:v>54200</x:v>
      </x:c>
      <x:c r="U35" s="62" t="n">
        <x:f>Paths!K35</x:f>
        <x:v>0</x:v>
      </x:c>
      <x:c r="V35" s="47" t="n">
        <x:f>IF(Gulf!E35=1,Gulf!B35,0)</x:f>
        <x:v>0</x:v>
      </x:c>
      <x:c r="W35" s="47" t="n">
        <x:f>L35+V35</x:f>
        <x:v>2447050.5143225463</x:v>
      </x:c>
      <x:c r="X35" s="47" t="n">
        <x:f>W35+Labour!L35</x:f>
        <x:v>2447050.5143225463</x:v>
      </x:c>
    </x:row>
    <x:row r="36">
      <x:c r="A36" s="58" t="n">
        <x:v>1876</x:v>
      </x:c>
      <x:c r="B36" s="47" t="n">
        <x:f>L35</x:f>
        <x:v>2447050.5143225463</x:v>
      </x:c>
      <x:c r="C36" s="62" t="n">
        <x:f>Paths!D36</x:f>
        <x:v>0</x:v>
      </x:c>
      <x:c r="D36" s="47" t="n">
        <x:f>B36*Paths!C36</x:f>
        <x:v>46493.95977212838</x:v>
      </x:c>
      <x:c r="E36" s="47" t="n">
        <x:f>Paths!E36*IF($A36&gt;=1896,mig_scale,1)</x:f>
        <x:v>110000</x:v>
      </x:c>
      <x:c r="F36" s="47" t="n">
        <x:f>Paths!F36*IF($A36&gt;=1896,mig_scale,1)</x:f>
        <x:v>25000</x:v>
      </x:c>
      <x:c r="G36" s="47" t="n">
        <x:f>Paths!G36*IF($A36&gt;=1896,mig_scale,1)</x:f>
        <x:v>500</x:v>
      </x:c>
      <x:c r="H36" s="47" t="n">
        <x:f>Paths!H36*IF($A36&gt;=1896,mig_scale,1)</x:f>
        <x:v>0</x:v>
      </x:c>
      <x:c r="I36" s="47" t="n">
        <x:f>E36*Paths!I36+(F36+G36+H36)*dep_asia</x:f>
        <x:v>29140</x:v>
      </x:c>
      <x:c r="J36" s="62" t="n">
        <x:f>Labour!AL36</x:f>
        <x:v>0</x:v>
      </x:c>
      <x:c r="K36" s="47" t="n">
        <x:f>SUM(E36:H36)-I36+J36</x:f>
        <x:v>106360</x:v>
      </x:c>
      <x:c r="L36" s="47" t="n">
        <x:f>B36+C36+D36+K36</x:f>
        <x:v>2599904.474094675</x:v>
      </x:c>
      <x:c r="M36" s="63" t="n">
        <x:f>IF(B36&gt;0,L36/B36-1,0)</x:f>
        <x:v>0.06246457066475619</x:v>
      </x:c>
      <x:c r="N36" s="47" t="n">
        <x:f>N35*(1+Paths!C36)+F36*(1-dep_asia)</x:f>
        <x:v>292679.4878044666</x:v>
      </x:c>
      <x:c r="O36" s="47" t="n">
        <x:f>O35*(1+Paths!C36)+G36*(1-dep_asia)</x:f>
        <x:v>2832.55491259658</x:v>
      </x:c>
      <x:c r="P36" s="47" t="n">
        <x:f>P35*(1+Paths!C36)+H36*(1-dep_asia)</x:f>
        <x:v>0</x:v>
      </x:c>
      <x:c r="Q36" s="47" t="n">
        <x:f>Q35*(1+Paths!C36)+Labour!AK36*gw_asian</x:f>
        <x:v>0</x:v>
      </x:c>
      <x:c r="R36" s="47" t="n">
        <x:f>R35*(1+Paths!C36)+Labour!AF36*family_mult</x:f>
        <x:v>0</x:v>
      </x:c>
      <x:c r="S36" s="63" t="n">
        <x:f>(N36+O36+P36+Q36+R36)/L36</x:f>
        <x:v>0.1136626540173038</x:v>
      </x:c>
      <x:c r="T36" s="47" t="n">
        <x:f>SUM(E36:H36)*Paths!J36</x:f>
        <x:v>54200</x:v>
      </x:c>
      <x:c r="U36" s="62" t="n">
        <x:f>Paths!K36</x:f>
        <x:v>6000000</x:v>
      </x:c>
      <x:c r="V36" s="47" t="n">
        <x:f>IF(Gulf!E36=1,Gulf!B36,0)</x:f>
        <x:v>0</x:v>
      </x:c>
      <x:c r="W36" s="47" t="n">
        <x:f>L36+V36</x:f>
        <x:v>2599904.474094675</x:v>
      </x:c>
      <x:c r="X36" s="47" t="n">
        <x:f>W36+Labour!L36</x:f>
        <x:v>2599904.474094675</x:v>
      </x:c>
    </x:row>
    <x:row r="37">
      <x:c r="A37" s="58" t="n">
        <x:v>1877</x:v>
      </x:c>
      <x:c r="B37" s="47" t="n">
        <x:f>L36</x:f>
        <x:v>2599904.474094675</x:v>
      </x:c>
      <x:c r="C37" s="62" t="n">
        <x:f>Paths!D37</x:f>
        <x:v>0</x:v>
      </x:c>
      <x:c r="D37" s="47" t="n">
        <x:f>B37*Paths!C37</x:f>
        <x:v>49398.18500779882</x:v>
      </x:c>
      <x:c r="E37" s="47" t="n">
        <x:f>Paths!E37*IF($A37&gt;=1896,mig_scale,1)</x:f>
        <x:v>110000</x:v>
      </x:c>
      <x:c r="F37" s="47" t="n">
        <x:f>Paths!F37*IF($A37&gt;=1896,mig_scale,1)</x:f>
        <x:v>25000</x:v>
      </x:c>
      <x:c r="G37" s="47" t="n">
        <x:f>Paths!G37*IF($A37&gt;=1896,mig_scale,1)</x:f>
        <x:v>500</x:v>
      </x:c>
      <x:c r="H37" s="47" t="n">
        <x:f>Paths!H37*IF($A37&gt;=1896,mig_scale,1)</x:f>
        <x:v>1000</x:v>
      </x:c>
      <x:c r="I37" s="47" t="n">
        <x:f>E37*Paths!I37+(F37+G37+H37)*dep_asia</x:f>
        <x:v>29420</x:v>
      </x:c>
      <x:c r="J37" s="62" t="n">
        <x:f>Labour!AL37</x:f>
        <x:v>0</x:v>
      </x:c>
      <x:c r="K37" s="47" t="n">
        <x:f>SUM(E37:H37)-I37+J37</x:f>
        <x:v>107080</x:v>
      </x:c>
      <x:c r="L37" s="47" t="n">
        <x:f>B37+C37+D37+K37</x:f>
        <x:v>2756382.659102474</x:v>
      </x:c>
      <x:c r="M37" s="63" t="n">
        <x:f>IF(B37&gt;0,L37/B37-1,0)</x:f>
        <x:v>0.06018612859316175</x:v>
      </x:c>
      <x:c r="N37" s="47" t="n">
        <x:f>N36*(1+Paths!C37)+F37*(1-dep_asia)</x:f>
        <x:v>316240.3980727515</x:v>
      </x:c>
      <x:c r="O37" s="47" t="n">
        <x:f>O36*(1+Paths!C37)+G37*(1-dep_asia)</x:f>
        <x:v>3246.3734559359145</x:v>
      </x:c>
      <x:c r="P37" s="47" t="n">
        <x:f>P36*(1+Paths!C37)+H37*(1-dep_asia)</x:f>
        <x:v>720</x:v>
      </x:c>
      <x:c r="Q37" s="47" t="n">
        <x:f>Q36*(1+Paths!C37)+Labour!AK37*gw_asian</x:f>
        <x:v>0</x:v>
      </x:c>
      <x:c r="R37" s="47" t="n">
        <x:f>R36*(1+Paths!C37)+Labour!AF37*family_mult</x:f>
        <x:v>0</x:v>
      </x:c>
      <x:c r="S37" s="63" t="n">
        <x:f>(N37+O37+P37+Q37+R37)/L37</x:f>
        <x:v>0.11616920113441444</x:v>
      </x:c>
      <x:c r="T37" s="47" t="n">
        <x:f>SUM(E37:H37)*Paths!J37</x:f>
        <x:v>54600</x:v>
      </x:c>
      <x:c r="U37" s="62" t="n">
        <x:f>Paths!K37</x:f>
        <x:v>6055000</x:v>
      </x:c>
      <x:c r="V37" s="47" t="n">
        <x:f>IF(Gulf!E37=1,Gulf!B37,0)</x:f>
        <x:v>0</x:v>
      </x:c>
      <x:c r="W37" s="47" t="n">
        <x:f>L37+V37</x:f>
        <x:v>2756382.659102474</x:v>
      </x:c>
      <x:c r="X37" s="47" t="n">
        <x:f>W37+Labour!L37</x:f>
        <x:v>2756382.659102474</x:v>
      </x:c>
    </x:row>
    <x:row r="38">
      <x:c r="A38" s="58" t="n">
        <x:v>1878</x:v>
      </x:c>
      <x:c r="B38" s="47" t="n">
        <x:f>L37</x:f>
        <x:v>2756382.659102474</x:v>
      </x:c>
      <x:c r="C38" s="62" t="n">
        <x:f>Paths!D38</x:f>
        <x:v>0</x:v>
      </x:c>
      <x:c r="D38" s="47" t="n">
        <x:f>B38*Paths!C38</x:f>
        <x:v>52371.270522947</x:v>
      </x:c>
      <x:c r="E38" s="47" t="n">
        <x:f>Paths!E38*IF($A38&gt;=1896,mig_scale,1)</x:f>
        <x:v>110000</x:v>
      </x:c>
      <x:c r="F38" s="47" t="n">
        <x:f>Paths!F38*IF($A38&gt;=1896,mig_scale,1)</x:f>
        <x:v>25000</x:v>
      </x:c>
      <x:c r="G38" s="47" t="n">
        <x:f>Paths!G38*IF($A38&gt;=1896,mig_scale,1)</x:f>
        <x:v>500</x:v>
      </x:c>
      <x:c r="H38" s="47" t="n">
        <x:f>Paths!H38*IF($A38&gt;=1896,mig_scale,1)</x:f>
        <x:v>1000</x:v>
      </x:c>
      <x:c r="I38" s="47" t="n">
        <x:f>E38*Paths!I38+(F38+G38+H38)*dep_asia</x:f>
        <x:v>29420</x:v>
      </x:c>
      <x:c r="J38" s="62" t="n">
        <x:f>Labour!AL38</x:f>
        <x:v>0</x:v>
      </x:c>
      <x:c r="K38" s="47" t="n">
        <x:f>SUM(E38:H38)-I38+J38</x:f>
        <x:v>107080</x:v>
      </x:c>
      <x:c r="L38" s="47" t="n">
        <x:f>B38+C38+D38+K38</x:f>
        <x:v>2915833.929625421</x:v>
      </x:c>
      <x:c r="M38" s="63" t="n">
        <x:f>IF(B38&gt;0,L38/B38-1,0)</x:f>
        <x:v>0.057848016855129636</x:v>
      </x:c>
      <x:c r="N38" s="47" t="n">
        <x:f>N37*(1+Paths!C38)+F38*(1-dep_asia)</x:f>
        <x:v>340248.96563613374</x:v>
      </x:c>
      <x:c r="O38" s="47" t="n">
        <x:f>O37*(1+Paths!C38)+G38*(1-dep_asia)</x:f>
        <x:v>3668.0545515986964</x:v>
      </x:c>
      <x:c r="P38" s="47" t="n">
        <x:f>P37*(1+Paths!C38)+H38*(1-dep_asia)</x:f>
        <x:v>1453.6799999999998</x:v>
      </x:c>
      <x:c r="Q38" s="47" t="n">
        <x:f>Q37*(1+Paths!C38)+Labour!AK38*gw_asian</x:f>
        <x:v>0</x:v>
      </x:c>
      <x:c r="R38" s="47" t="n">
        <x:f>R37*(1+Paths!C38)+Labour!AF38*family_mult</x:f>
        <x:v>0</x:v>
      </x:c>
      <x:c r="S38" s="63" t="n">
        <x:f>(N38+O38+P38+Q38+R38)/L38</x:f>
        <x:v>0.11844662917140142</x:v>
      </x:c>
      <x:c r="T38" s="47" t="n">
        <x:f>SUM(E38:H38)*Paths!J38</x:f>
        <x:v>54600</x:v>
      </x:c>
      <x:c r="U38" s="62" t="n">
        <x:f>Paths!K38</x:f>
        <x:v>6109000</x:v>
      </x:c>
      <x:c r="V38" s="47" t="n">
        <x:f>IF(Gulf!E38=1,Gulf!B38,0)</x:f>
        <x:v>0</x:v>
      </x:c>
      <x:c r="W38" s="47" t="n">
        <x:f>L38+V38</x:f>
        <x:v>2915833.929625421</x:v>
      </x:c>
      <x:c r="X38" s="47" t="n">
        <x:f>W38+Labour!L38</x:f>
        <x:v>2915833.929625421</x:v>
      </x:c>
    </x:row>
    <x:row r="39">
      <x:c r="A39" s="58" t="n">
        <x:v>1879</x:v>
      </x:c>
      <x:c r="B39" s="47" t="n">
        <x:f>L38</x:f>
        <x:v>2915833.929625421</x:v>
      </x:c>
      <x:c r="C39" s="62" t="n">
        <x:f>Paths!D39</x:f>
        <x:v>0</x:v>
      </x:c>
      <x:c r="D39" s="47" t="n">
        <x:f>B39*Paths!C39</x:f>
        <x:v>55400.84466288299</x:v>
      </x:c>
      <x:c r="E39" s="47" t="n">
        <x:f>Paths!E39*IF($A39&gt;=1896,mig_scale,1)</x:f>
        <x:v>110000</x:v>
      </x:c>
      <x:c r="F39" s="47" t="n">
        <x:f>Paths!F39*IF($A39&gt;=1896,mig_scale,1)</x:f>
        <x:v>25000</x:v>
      </x:c>
      <x:c r="G39" s="47" t="n">
        <x:f>Paths!G39*IF($A39&gt;=1896,mig_scale,1)</x:f>
        <x:v>500</x:v>
      </x:c>
      <x:c r="H39" s="47" t="n">
        <x:f>Paths!H39*IF($A39&gt;=1896,mig_scale,1)</x:f>
        <x:v>1000</x:v>
      </x:c>
      <x:c r="I39" s="47" t="n">
        <x:f>E39*Paths!I39+(F39+G39+H39)*dep_asia</x:f>
        <x:v>29420</x:v>
      </x:c>
      <x:c r="J39" s="62" t="n">
        <x:f>Labour!AL39</x:f>
        <x:v>0</x:v>
      </x:c>
      <x:c r="K39" s="47" t="n">
        <x:f>SUM(E39:H39)-I39+J39</x:f>
        <x:v>107080</x:v>
      </x:c>
      <x:c r="L39" s="47" t="n">
        <x:f>B39+C39+D39+K39</x:f>
        <x:v>3078314.7742883037</x:v>
      </x:c>
      <x:c r="M39" s="63" t="n">
        <x:f>IF(B39&gt;0,L39/B39-1,0)</x:f>
        <x:v>0.055723627814344034</x:v>
      </x:c>
      <x:c r="N39" s="47" t="n">
        <x:f>N38*(1+Paths!C39)+F39*(1-dep_asia)</x:f>
        <x:v>364713.69598322024</x:v>
      </x:c>
      <x:c r="O39" s="47" t="n">
        <x:f>O38*(1+Paths!C39)+G39*(1-dep_asia)</x:f>
        <x:v>4097.747588079072</x:v>
      </x:c>
      <x:c r="P39" s="47" t="n">
        <x:f>P38*(1+Paths!C39)+H39*(1-dep_asia)</x:f>
        <x:v>2201.2999199999995</x:v>
      </x:c>
      <x:c r="Q39" s="47" t="n">
        <x:f>Q38*(1+Paths!C39)+Labour!AK39*gw_asian</x:f>
        <x:v>0</x:v>
      </x:c>
      <x:c r="R39" s="47" t="n">
        <x:f>R38*(1+Paths!C39)+Labour!AF39*family_mult</x:f>
        <x:v>0</x:v>
      </x:c>
      <x:c r="S39" s="63" t="n">
        <x:f>(N39+O39+P39+Q39+R39)/L39</x:f>
        <x:v>0.1205246281472551</x:v>
      </x:c>
      <x:c r="T39" s="47" t="n">
        <x:f>SUM(E39:H39)*Paths!J39</x:f>
        <x:v>54600</x:v>
      </x:c>
      <x:c r="U39" s="62" t="n">
        <x:f>Paths!K39</x:f>
        <x:v>6164000</x:v>
      </x:c>
      <x:c r="V39" s="47" t="n">
        <x:f>IF(Gulf!E39=1,Gulf!B39,0)</x:f>
        <x:v>0</x:v>
      </x:c>
      <x:c r="W39" s="47" t="n">
        <x:f>L39+V39</x:f>
        <x:v>3078314.7742883037</x:v>
      </x:c>
      <x:c r="X39" s="47" t="n">
        <x:f>W39+Labour!L39</x:f>
        <x:v>3078314.7742883037</x:v>
      </x:c>
    </x:row>
    <x:row r="40">
      <x:c r="A40" s="58" t="n">
        <x:v>1880</x:v>
      </x:c>
      <x:c r="B40" s="47" t="n">
        <x:f>L39</x:f>
        <x:v>3078314.7742883037</x:v>
      </x:c>
      <x:c r="C40" s="62" t="n">
        <x:f>Paths!D40</x:f>
        <x:v>0</x:v>
      </x:c>
      <x:c r="D40" s="47" t="n">
        <x:f>B40*Paths!C40</x:f>
        <x:v>58487.980711477765</x:v>
      </x:c>
      <x:c r="E40" s="47" t="n">
        <x:f>Paths!E40*IF($A40&gt;=1896,mig_scale,1)</x:f>
        <x:v>110000</x:v>
      </x:c>
      <x:c r="F40" s="47" t="n">
        <x:f>Paths!F40*IF($A40&gt;=1896,mig_scale,1)</x:f>
        <x:v>25000</x:v>
      </x:c>
      <x:c r="G40" s="47" t="n">
        <x:f>Paths!G40*IF($A40&gt;=1896,mig_scale,1)</x:f>
        <x:v>500</x:v>
      </x:c>
      <x:c r="H40" s="47" t="n">
        <x:f>Paths!H40*IF($A40&gt;=1896,mig_scale,1)</x:f>
        <x:v>1000</x:v>
      </x:c>
      <x:c r="I40" s="47" t="n">
        <x:f>E40*Paths!I40+(F40+G40+H40)*dep_asia</x:f>
        <x:v>29420</x:v>
      </x:c>
      <x:c r="J40" s="62" t="n">
        <x:f>Labour!AL40</x:f>
        <x:v>8680.100794745842</x:v>
      </x:c>
      <x:c r="K40" s="47" t="n">
        <x:f>SUM(E40:H40)-I40+J40</x:f>
        <x:v>115760.10079474584</x:v>
      </x:c>
      <x:c r="L40" s="47" t="n">
        <x:f>B40+C40+D40+K40</x:f>
        <x:v>3252562.8557945276</x:v>
      </x:c>
      <x:c r="M40" s="63" t="n">
        <x:f>IF(B40&gt;0,L40/B40-1,0)</x:f>
        <x:v>0.05660502394415112</x:v>
      </x:c>
      <x:c r="N40" s="47" t="n">
        <x:f>N39*(1+Paths!C40)+F40*(1-dep_asia)</x:f>
        <x:v>389643.2562069014</x:v>
      </x:c>
      <x:c r="O40" s="47" t="n">
        <x:f>O39*(1+Paths!C40)+G40*(1-dep_asia)</x:f>
        <x:v>4535.604792252574</x:v>
      </x:c>
      <x:c r="P40" s="47" t="n">
        <x:f>P39*(1+Paths!C40)+H40*(1-dep_asia)</x:f>
        <x:v>2963.1246184799993</x:v>
      </x:c>
      <x:c r="Q40" s="47" t="n">
        <x:f>Q39*(1+Paths!C40)+Labour!AK40*gw_asian</x:f>
        <x:v>0</x:v>
      </x:c>
      <x:c r="R40" s="47" t="n">
        <x:f>R39*(1+Paths!C40)+Labour!AF40*family_mult</x:f>
        <x:v>82.4790753371262</x:v>
      </x:c>
      <x:c r="S40" s="63" t="n">
        <x:f>(N40+O40+P40+Q40+R40)/L40</x:f>
        <x:v>0.1221266067111678</x:v>
      </x:c>
      <x:c r="T40" s="47" t="n">
        <x:f>SUM(E40:H40)*Paths!J40</x:f>
        <x:v>54600</x:v>
      </x:c>
      <x:c r="U40" s="62" t="n">
        <x:f>Paths!K40</x:f>
        <x:v>6218000</x:v>
      </x:c>
      <x:c r="V40" s="47" t="n">
        <x:f>IF(Gulf!E40=1,Gulf!B40,0)</x:f>
        <x:v>0</x:v>
      </x:c>
      <x:c r="W40" s="47" t="n">
        <x:f>L40+V40</x:f>
        <x:v>3252562.8557945276</x:v>
      </x:c>
      <x:c r="X40" s="47" t="n">
        <x:f>W40+Labour!L40</x:f>
        <x:v>3252562.8557945276</x:v>
      </x:c>
    </x:row>
    <x:row r="41">
      <x:c r="A41" s="58" t="n">
        <x:v>1881</x:v>
      </x:c>
      <x:c r="B41" s="47" t="n">
        <x:f>L40</x:f>
        <x:v>3252562.8557945276</x:v>
      </x:c>
      <x:c r="C41" s="62" t="n">
        <x:f>Paths!D41</x:f>
        <x:v>0</x:v>
      </x:c>
      <x:c r="D41" s="47" t="n">
        <x:f>B41*Paths!C41</x:f>
        <x:v>61798.694260096025</x:v>
      </x:c>
      <x:c r="E41" s="47" t="n">
        <x:f>Paths!E41*IF($A41&gt;=1896,mig_scale,1)</x:f>
        <x:v>110000</x:v>
      </x:c>
      <x:c r="F41" s="47" t="n">
        <x:f>Paths!F41*IF($A41&gt;=1896,mig_scale,1)</x:f>
        <x:v>25000</x:v>
      </x:c>
      <x:c r="G41" s="47" t="n">
        <x:f>Paths!G41*IF($A41&gt;=1896,mig_scale,1)</x:f>
        <x:v>500</x:v>
      </x:c>
      <x:c r="H41" s="47" t="n">
        <x:f>Paths!H41*IF($A41&gt;=1896,mig_scale,1)</x:f>
        <x:v>1000</x:v>
      </x:c>
      <x:c r="I41" s="47" t="n">
        <x:f>E41*Paths!I41+(F41+G41+H41)*dep_asia</x:f>
        <x:v>29420</x:v>
      </x:c>
      <x:c r="J41" s="62" t="n">
        <x:f>Labour!AL41</x:f>
        <x:v>1372.0051363640175</x:v>
      </x:c>
      <x:c r="K41" s="47" t="n">
        <x:f>SUM(E41:H41)-I41+J41</x:f>
        <x:v>108452.00513636402</x:v>
      </x:c>
      <x:c r="L41" s="47" t="n">
        <x:f>B41+C41+D41+K41</x:f>
        <x:v>3422813.555190988</x:v>
      </x:c>
      <x:c r="M41" s="63" t="n">
        <x:f>IF(B41&gt;0,L41/B41-1,0)</x:f>
        <x:v>0.05234355397410817</x:v>
      </x:c>
      <x:c r="N41" s="47" t="n">
        <x:f>N40*(1+Paths!C41)+F41*(1-dep_asia)</x:f>
        <x:v>415046.47807483247</x:v>
      </x:c>
      <x:c r="O41" s="47" t="n">
        <x:f>O40*(1+Paths!C41)+G41*(1-dep_asia)</x:f>
        <x:v>4981.781283305372</x:v>
      </x:c>
      <x:c r="P41" s="47" t="n">
        <x:f>P40*(1+Paths!C41)+H41*(1-dep_asia)</x:f>
        <x:v>3739.423986231119</x:v>
      </x:c>
      <x:c r="Q41" s="47" t="n">
        <x:f>Q40*(1+Paths!C41)+Labour!AK41*gw_asian</x:f>
        <x:v>0</x:v>
      </x:c>
      <x:c r="R41" s="47" t="n">
        <x:f>R40*(1+Paths!C41)+Labour!AF41*family_mult</x:f>
        <x:v>84.04617776853159</x:v>
      </x:c>
      <x:c r="S41" s="63" t="n">
        <x:f>(N41+O41+P41+Q41+R41)/L41</x:f>
        <x:v>0.12383138102258895</x:v>
      </x:c>
      <x:c r="T41" s="47" t="n">
        <x:f>SUM(E41:H41)*Paths!J41</x:f>
        <x:v>54600</x:v>
      </x:c>
      <x:c r="U41" s="62" t="n">
        <x:f>Paths!K41</x:f>
        <x:v>6273000</x:v>
      </x:c>
      <x:c r="V41" s="47" t="n">
        <x:f>IF(Gulf!E41=1,Gulf!B41,0)</x:f>
        <x:v>0</x:v>
      </x:c>
      <x:c r="W41" s="47" t="n">
        <x:f>L41+V41</x:f>
        <x:v>3422813.555190988</x:v>
      </x:c>
      <x:c r="X41" s="47" t="n">
        <x:f>W41+Labour!L41</x:f>
        <x:v>3422813.555190988</x:v>
      </x:c>
    </x:row>
    <x:row r="42">
      <x:c r="A42" s="58" t="n">
        <x:v>1882</x:v>
      </x:c>
      <x:c r="B42" s="47" t="n">
        <x:f>L41</x:f>
        <x:v>3422813.555190988</x:v>
      </x:c>
      <x:c r="C42" s="62" t="n">
        <x:f>Paths!D42</x:f>
        <x:v>0</x:v>
      </x:c>
      <x:c r="D42" s="47" t="n">
        <x:f>B42*Paths!C42</x:f>
        <x:v>65033.457548628765</x:v>
      </x:c>
      <x:c r="E42" s="47" t="n">
        <x:f>Paths!E42*IF($A42&gt;=1896,mig_scale,1)</x:f>
        <x:v>110000</x:v>
      </x:c>
      <x:c r="F42" s="47" t="n">
        <x:f>Paths!F42*IF($A42&gt;=1896,mig_scale,1)</x:f>
        <x:v>25000</x:v>
      </x:c>
      <x:c r="G42" s="47" t="n">
        <x:f>Paths!G42*IF($A42&gt;=1896,mig_scale,1)</x:f>
        <x:v>500</x:v>
      </x:c>
      <x:c r="H42" s="47" t="n">
        <x:f>Paths!H42*IF($A42&gt;=1896,mig_scale,1)</x:f>
        <x:v>1000</x:v>
      </x:c>
      <x:c r="I42" s="47" t="n">
        <x:f>E42*Paths!I42+(F42+G42+H42)*dep_asia</x:f>
        <x:v>29420</x:v>
      </x:c>
      <x:c r="J42" s="62" t="n">
        <x:f>Labour!AL42</x:f>
        <x:v>3886.254720699926</x:v>
      </x:c>
      <x:c r="K42" s="47" t="n">
        <x:f>SUM(E42:H42)-I42+J42</x:f>
        <x:v>110966.25472069993</x:v>
      </x:c>
      <x:c r="L42" s="47" t="n">
        <x:f>B42+C42+D42+K42</x:f>
        <x:v>3598813.2674603164</x:v>
      </x:c>
      <x:c r="M42" s="63" t="n">
        <x:f>IF(B42&gt;0,L42/B42-1,0)</x:f>
        <x:v>0.05141960245027377</x:v>
      </x:c>
      <x:c r="N42" s="47" t="n">
        <x:f>N41*(1+Paths!C42)+F42*(1-dep_asia)</x:f>
        <x:v>440932.36115825427</x:v>
      </x:c>
      <x:c r="O42" s="47" t="n">
        <x:f>O41*(1+Paths!C42)+G42*(1-dep_asia)</x:f>
        <x:v>5436.435127688173</x:v>
      </x:c>
      <x:c r="P42" s="47" t="n">
        <x:f>P41*(1+Paths!C42)+H42*(1-dep_asia)</x:f>
        <x:v>4530.47304196951</x:v>
      </x:c>
      <x:c r="Q42" s="47" t="n">
        <x:f>Q41*(1+Paths!C42)+Labour!AK42*gw_asian</x:f>
        <x:v>0</x:v>
      </x:c>
      <x:c r="R42" s="47" t="n">
        <x:f>R41*(1+Paths!C42)+Labour!AF42*family_mult</x:f>
        <x:v>96.92314614245663</x:v>
      </x:c>
      <x:c r="S42" s="63" t="n">
        <x:f>(N42+O42+P42+Q42+R42)/L42</x:f>
        <x:v>0.12531803096089023</x:v>
      </x:c>
      <x:c r="T42" s="47" t="n">
        <x:f>SUM(E42:H42)*Paths!J42</x:f>
        <x:v>54600</x:v>
      </x:c>
      <x:c r="U42" s="62" t="n">
        <x:f>Paths!K42</x:f>
        <x:v>6327000</x:v>
      </x:c>
      <x:c r="V42" s="47" t="n">
        <x:f>IF(Gulf!E42=1,Gulf!B42,0)</x:f>
        <x:v>0</x:v>
      </x:c>
      <x:c r="W42" s="47" t="n">
        <x:f>L42+V42</x:f>
        <x:v>3598813.2674603164</x:v>
      </x:c>
      <x:c r="X42" s="47" t="n">
        <x:f>W42+Labour!L42</x:f>
        <x:v>3598813.2674603164</x:v>
      </x:c>
    </x:row>
    <x:row r="43">
      <x:c r="A43" s="58" t="n">
        <x:v>1883</x:v>
      </x:c>
      <x:c r="B43" s="47" t="n">
        <x:f>L42</x:f>
        <x:v>3598813.2674603164</x:v>
      </x:c>
      <x:c r="C43" s="62" t="n">
        <x:f>Paths!D43</x:f>
        <x:v>0</x:v>
      </x:c>
      <x:c r="D43" s="47" t="n">
        <x:f>B43*Paths!C43</x:f>
        <x:v>68377.45208174601</x:v>
      </x:c>
      <x:c r="E43" s="47" t="n">
        <x:f>Paths!E43*IF($A43&gt;=1896,mig_scale,1)</x:f>
        <x:v>110000</x:v>
      </x:c>
      <x:c r="F43" s="47" t="n">
        <x:f>Paths!F43*IF($A43&gt;=1896,mig_scale,1)</x:f>
        <x:v>25000</x:v>
      </x:c>
      <x:c r="G43" s="47" t="n">
        <x:f>Paths!G43*IF($A43&gt;=1896,mig_scale,1)</x:f>
        <x:v>500</x:v>
      </x:c>
      <x:c r="H43" s="47" t="n">
        <x:f>Paths!H43*IF($A43&gt;=1896,mig_scale,1)</x:f>
        <x:v>1000</x:v>
      </x:c>
      <x:c r="I43" s="47" t="n">
        <x:f>E43*Paths!I43+(F43+G43+H43)*dep_asia</x:f>
        <x:v>29420</x:v>
      </x:c>
      <x:c r="J43" s="62" t="n">
        <x:f>Labour!AL43</x:f>
        <x:v>5492.558341980834</x:v>
      </x:c>
      <x:c r="K43" s="47" t="n">
        <x:f>SUM(E43:H43)-I43+J43</x:f>
        <x:v>112572.55834198084</x:v>
      </x:c>
      <x:c r="L43" s="47" t="n">
        <x:f>B43+C43+D43+K43</x:f>
        <x:v>3779763.2778840433</x:v>
      </x:c>
      <x:c r="M43" s="63" t="n">
        <x:f>IF(B43&gt;0,L43/B43-1,0)</x:f>
        <x:v>0.05028046663599839</x:v>
      </x:c>
      <x:c r="N43" s="47" t="n">
        <x:f>N42*(1+Paths!C43)+F43*(1-dep_asia)</x:f>
        <x:v>467310.07602026104</x:v>
      </x:c>
      <x:c r="O43" s="47" t="n">
        <x:f>O42*(1+Paths!C43)+G43*(1-dep_asia)</x:f>
        <x:v>5899.727395114248</x:v>
      </x:c>
      <x:c r="P43" s="47" t="n">
        <x:f>P42*(1+Paths!C43)+H43*(1-dep_asia)</x:f>
        <x:v>5336.55202976693</x:v>
      </x:c>
      <x:c r="Q43" s="47" t="n">
        <x:f>Q42*(1+Paths!C43)+Labour!AK43*gw_asian</x:f>
        <x:v>0</x:v>
      </x:c>
      <x:c r="R43" s="47" t="n">
        <x:f>R42*(1+Paths!C43)+Labour!AF43*family_mult</x:f>
        <x:v>139.96312932472784</x:v>
      </x:c>
      <x:c r="S43" s="63" t="n">
        <x:f>(N43+O43+P43+Q43+R43)/L43</x:f>
        <x:v>0.1266445233158732</x:v>
      </x:c>
      <x:c r="T43" s="47" t="n">
        <x:f>SUM(E43:H43)*Paths!J43</x:f>
        <x:v>54600</x:v>
      </x:c>
      <x:c r="U43" s="62" t="n">
        <x:f>Paths!K43</x:f>
        <x:v>6382000</x:v>
      </x:c>
      <x:c r="V43" s="47" t="n">
        <x:f>IF(Gulf!E43=1,Gulf!B43,0)</x:f>
        <x:v>0</x:v>
      </x:c>
      <x:c r="W43" s="47" t="n">
        <x:f>L43+V43</x:f>
        <x:v>3779763.2778840433</x:v>
      </x:c>
      <x:c r="X43" s="47" t="n">
        <x:f>W43+Labour!L43</x:f>
        <x:v>3779763.2778840433</x:v>
      </x:c>
    </x:row>
    <x:row r="44">
      <x:c r="A44" s="58" t="n">
        <x:v>1884</x:v>
      </x:c>
      <x:c r="B44" s="47" t="n">
        <x:f>L43</x:f>
        <x:v>3779763.2778840433</x:v>
      </x:c>
      <x:c r="C44" s="62" t="n">
        <x:f>Paths!D44</x:f>
        <x:v>0</x:v>
      </x:c>
      <x:c r="D44" s="47" t="n">
        <x:f>B44*Paths!C44</x:f>
        <x:v>71815.50227979683</x:v>
      </x:c>
      <x:c r="E44" s="47" t="n">
        <x:f>Paths!E44*IF($A44&gt;=1896,mig_scale,1)</x:f>
        <x:v>110000</x:v>
      </x:c>
      <x:c r="F44" s="47" t="n">
        <x:f>Paths!F44*IF($A44&gt;=1896,mig_scale,1)</x:f>
        <x:v>25000</x:v>
      </x:c>
      <x:c r="G44" s="47" t="n">
        <x:f>Paths!G44*IF($A44&gt;=1896,mig_scale,1)</x:f>
        <x:v>500</x:v>
      </x:c>
      <x:c r="H44" s="47" t="n">
        <x:f>Paths!H44*IF($A44&gt;=1896,mig_scale,1)</x:f>
        <x:v>1000</x:v>
      </x:c>
      <x:c r="I44" s="47" t="n">
        <x:f>E44*Paths!I44+(F44+G44+H44)*dep_asia</x:f>
        <x:v>29420</x:v>
      </x:c>
      <x:c r="J44" s="62" t="n">
        <x:f>Labour!AL44</x:f>
        <x:v>8932.883250998984</x:v>
      </x:c>
      <x:c r="K44" s="47" t="n">
        <x:f>SUM(E44:H44)-I44+J44</x:f>
        <x:v>116012.88325099899</x:v>
      </x:c>
      <x:c r="L44" s="47" t="n">
        <x:f>B44+C44+D44+K44</x:f>
        <x:v>3967591.6634148387</x:v>
      </x:c>
      <x:c r="M44" s="63" t="n">
        <x:f>IF(B44&gt;0,L44/B44-1,0)</x:f>
        <x:v>0.049693161111386885</x:v>
      </x:c>
      <x:c r="N44" s="47" t="n">
        <x:f>N43*(1+Paths!C44)+F44*(1-dep_asia)</x:f>
        <x:v>494188.967464646</x:v>
      </x:c>
      <x:c r="O44" s="47" t="n">
        <x:f>O43*(1+Paths!C44)+G44*(1-dep_asia)</x:f>
        <x:v>6371.822215621418</x:v>
      </x:c>
      <x:c r="P44" s="47" t="n">
        <x:f>P43*(1+Paths!C44)+H44*(1-dep_asia)</x:f>
        <x:v>6157.946518332501</x:v>
      </x:c>
      <x:c r="Q44" s="47" t="n">
        <x:f>Q43*(1+Paths!C44)+Labour!AK44*gw_asian</x:f>
        <x:v>0</x:v>
      </x:c>
      <x:c r="R44" s="47" t="n">
        <x:f>R43*(1+Paths!C44)+Labour!AF44*family_mult</x:f>
        <x:v>246.86853199274805</x:v>
      </x:c>
      <x:c r="S44" s="63" t="n">
        <x:f>(N44+O44+P44+Q44+R44)/L44</x:f>
        <x:v>0.12777665842110777</x:v>
      </x:c>
      <x:c r="T44" s="47" t="n">
        <x:f>SUM(E44:H44)*Paths!J44</x:f>
        <x:v>54600</x:v>
      </x:c>
      <x:c r="U44" s="62" t="n">
        <x:f>Paths!K44</x:f>
        <x:v>6436000</x:v>
      </x:c>
      <x:c r="V44" s="47" t="n">
        <x:f>IF(Gulf!E44=1,Gulf!B44,0)</x:f>
        <x:v>0</x:v>
      </x:c>
      <x:c r="W44" s="47" t="n">
        <x:f>L44+V44</x:f>
        <x:v>3967591.6634148387</x:v>
      </x:c>
      <x:c r="X44" s="47" t="n">
        <x:f>W44+Labour!L44</x:f>
        <x:v>3967591.6634148387</x:v>
      </x:c>
    </x:row>
    <x:row r="45">
      <x:c r="A45" s="58" t="n">
        <x:v>1885</x:v>
      </x:c>
      <x:c r="B45" s="47" t="n">
        <x:f>L44</x:f>
        <x:v>3967591.6634148387</x:v>
      </x:c>
      <x:c r="C45" s="62" t="n">
        <x:f>Paths!D45</x:f>
        <x:v>0</x:v>
      </x:c>
      <x:c r="D45" s="47" t="n">
        <x:f>B45*Paths!C45</x:f>
        <x:v>75384.24160488193</x:v>
      </x:c>
      <x:c r="E45" s="47" t="n">
        <x:f>Paths!E45*IF($A45&gt;=1896,mig_scale,1)</x:f>
        <x:v>110000</x:v>
      </x:c>
      <x:c r="F45" s="47" t="n">
        <x:f>Paths!F45*IF($A45&gt;=1896,mig_scale,1)</x:f>
        <x:v>25000</x:v>
      </x:c>
      <x:c r="G45" s="47" t="n">
        <x:f>Paths!G45*IF($A45&gt;=1896,mig_scale,1)</x:f>
        <x:v>3000</x:v>
      </x:c>
      <x:c r="H45" s="47" t="n">
        <x:f>Paths!H45*IF($A45&gt;=1896,mig_scale,1)</x:f>
        <x:v>1000</x:v>
      </x:c>
      <x:c r="I45" s="47" t="n">
        <x:f>E45*Paths!I45+(F45+G45+H45)*dep_asia</x:f>
        <x:v>30120</x:v>
      </x:c>
      <x:c r="J45" s="62" t="n">
        <x:f>Labour!AL45</x:f>
        <x:v>4101.387787846694</x:v>
      </x:c>
      <x:c r="K45" s="47" t="n">
        <x:f>SUM(E45:H45)-I45+J45</x:f>
        <x:v>112981.38778784669</x:v>
      </x:c>
      <x:c r="L45" s="47" t="n">
        <x:f>B45+C45+D45+K45</x:f>
        <x:v>4155957.2928075674</x:v>
      </x:c>
      <x:c r="M45" s="63" t="n">
        <x:f>IF(B45&gt;0,L45/B45-1,0)</x:f>
        <x:v>0.047476062400687136</x:v>
      </x:c>
      <x:c r="N45" s="47" t="n">
        <x:f>N44*(1+Paths!C45)+F45*(1-dep_asia)</x:f>
        <x:v>521578.5578464742</x:v>
      </x:c>
      <x:c r="O45" s="47" t="n">
        <x:f>O44*(1+Paths!C45)+G45*(1-dep_asia)</x:f>
        <x:v>8652.886837718224</x:v>
      </x:c>
      <x:c r="P45" s="47" t="n">
        <x:f>P44*(1+Paths!C45)+H45*(1-dep_asia)</x:f>
        <x:v>6994.9475021808175</x:v>
      </x:c>
      <x:c r="Q45" s="47" t="n">
        <x:f>Q44*(1+Paths!C45)+Labour!AK45*gw_asian</x:f>
        <x:v>0</x:v>
      </x:c>
      <x:c r="R45" s="47" t="n">
        <x:f>R44*(1+Paths!C45)+Labour!AF45*family_mult</x:f>
        <x:v>281.51707876438405</x:v>
      </x:c>
      <x:c r="S45" s="63" t="n">
        <x:f>(N45+O45+P45+Q45+R45)/L45</x:f>
        <x:v>0.1293343197234885</x:v>
      </x:c>
      <x:c r="T45" s="47" t="n">
        <x:f>SUM(E45:H45)*Paths!J45</x:f>
        <x:v>55600</x:v>
      </x:c>
      <x:c r="U45" s="62" t="n">
        <x:f>Paths!K45</x:f>
        <x:v>6491000</x:v>
      </x:c>
      <x:c r="V45" s="47" t="n">
        <x:f>IF(Gulf!E45=1,Gulf!B45,0)</x:f>
        <x:v>0</x:v>
      </x:c>
      <x:c r="W45" s="47" t="n">
        <x:f>L45+V45</x:f>
        <x:v>4155957.2928075674</x:v>
      </x:c>
      <x:c r="X45" s="47" t="n">
        <x:f>W45+Labour!L45</x:f>
        <x:v>4155957.2928075674</x:v>
      </x:c>
    </x:row>
    <x:row r="46">
      <x:c r="A46" s="58" t="n">
        <x:v>1886</x:v>
      </x:c>
      <x:c r="B46" s="47" t="n">
        <x:f>L45</x:f>
        <x:v>4155957.2928075674</x:v>
      </x:c>
      <x:c r="C46" s="62" t="n">
        <x:f>Paths!D46</x:f>
        <x:v>0</x:v>
      </x:c>
      <x:c r="D46" s="47" t="n">
        <x:f>B46*Paths!C46</x:f>
        <x:v>78963.18856334378</x:v>
      </x:c>
      <x:c r="E46" s="47" t="n">
        <x:f>Paths!E46*IF($A46&gt;=1896,mig_scale,1)</x:f>
        <x:v>110000</x:v>
      </x:c>
      <x:c r="F46" s="47" t="n">
        <x:f>Paths!F46*IF($A46&gt;=1896,mig_scale,1)</x:f>
        <x:v>25000</x:v>
      </x:c>
      <x:c r="G46" s="47" t="n">
        <x:f>Paths!G46*IF($A46&gt;=1896,mig_scale,1)</x:f>
        <x:v>8000</x:v>
      </x:c>
      <x:c r="H46" s="47" t="n">
        <x:f>Paths!H46*IF($A46&gt;=1896,mig_scale,1)</x:f>
        <x:v>1000</x:v>
      </x:c>
      <x:c r="I46" s="47" t="n">
        <x:f>E46*Paths!I46+(F46+G46+H46)*dep_asia</x:f>
        <x:v>31520</x:v>
      </x:c>
      <x:c r="J46" s="62" t="n">
        <x:f>Labour!AL46</x:f>
        <x:v>9512.145747736466</x:v>
      </x:c>
      <x:c r="K46" s="47" t="n">
        <x:f>SUM(E46:H46)-I46+J46</x:f>
        <x:v>121992.14574773646</x:v>
      </x:c>
      <x:c r="L46" s="47" t="n">
        <x:f>B46+C46+D46+K46</x:f>
        <x:v>4356912.627118647</x:v>
      </x:c>
      <x:c r="M46" s="63" t="n">
        <x:f>IF(B46&gt;0,L46/B46-1,0)</x:f>
        <x:v>0.04835356096148047</x:v>
      </x:c>
      <x:c r="N46" s="47" t="n">
        <x:f>N45*(1+Paths!C46)+F46*(1-dep_asia)</x:f>
        <x:v>549488.5504455572</x:v>
      </x:c>
      <x:c r="O46" s="47" t="n">
        <x:f>O45*(1+Paths!C46)+G46*(1-dep_asia)</x:f>
        <x:v>14577.29168763487</x:v>
      </x:c>
      <x:c r="P46" s="47" t="n">
        <x:f>P45*(1+Paths!C46)+H46*(1-dep_asia)</x:f>
        <x:v>7847.851504722253</x:v>
      </x:c>
      <x:c r="Q46" s="47" t="n">
        <x:f>Q45*(1+Paths!C46)+Labour!AK46*gw_asian</x:f>
        <x:v>0</x:v>
      </x:c>
      <x:c r="R46" s="47" t="n">
        <x:f>R45*(1+Paths!C46)+Labour!AF46*family_mult</x:f>
        <x:v>394.9252950414655</x:v>
      </x:c>
      <x:c r="S46" s="63" t="n">
        <x:f>(N46+O46+P46+Q46+R46)/L46</x:f>
        <x:v>0.1313564599323719</x:v>
      </x:c>
      <x:c r="T46" s="47" t="n">
        <x:f>SUM(E46:H46)*Paths!J46</x:f>
        <x:v>57600</x:v>
      </x:c>
      <x:c r="U46" s="62" t="n">
        <x:f>Paths!K46</x:f>
        <x:v>6545000</x:v>
      </x:c>
      <x:c r="V46" s="47" t="n">
        <x:f>IF(Gulf!E46=1,Gulf!B46,0)</x:f>
        <x:v>0</x:v>
      </x:c>
      <x:c r="W46" s="47" t="n">
        <x:f>L46+V46</x:f>
        <x:v>4356912.627118647</x:v>
      </x:c>
      <x:c r="X46" s="47" t="n">
        <x:f>W46+Labour!L46</x:f>
        <x:v>4356912.627118647</x:v>
      </x:c>
    </x:row>
    <x:row r="47">
      <x:c r="A47" s="58" t="n">
        <x:v>1887</x:v>
      </x:c>
      <x:c r="B47" s="47" t="n">
        <x:f>L46</x:f>
        <x:v>4356912.627118647</x:v>
      </x:c>
      <x:c r="C47" s="62" t="n">
        <x:f>Paths!D47</x:f>
        <x:v>0</x:v>
      </x:c>
      <x:c r="D47" s="47" t="n">
        <x:f>B47*Paths!C47</x:f>
        <x:v>82781.3399152543</x:v>
      </x:c>
      <x:c r="E47" s="47" t="n">
        <x:f>Paths!E47*IF($A47&gt;=1896,mig_scale,1)</x:f>
        <x:v>110000</x:v>
      </x:c>
      <x:c r="F47" s="47" t="n">
        <x:f>Paths!F47*IF($A47&gt;=1896,mig_scale,1)</x:f>
        <x:v>25000</x:v>
      </x:c>
      <x:c r="G47" s="47" t="n">
        <x:f>Paths!G47*IF($A47&gt;=1896,mig_scale,1)</x:f>
        <x:v>8000</x:v>
      </x:c>
      <x:c r="H47" s="47" t="n">
        <x:f>Paths!H47*IF($A47&gt;=1896,mig_scale,1)</x:f>
        <x:v>1000</x:v>
      </x:c>
      <x:c r="I47" s="47" t="n">
        <x:f>E47*Paths!I47+(F47+G47+H47)*dep_asia</x:f>
        <x:v>31520</x:v>
      </x:c>
      <x:c r="J47" s="62" t="n">
        <x:f>Labour!AL47</x:f>
        <x:v>19545.420964993267</x:v>
      </x:c>
      <x:c r="K47" s="47" t="n">
        <x:f>SUM(E47:H47)-I47+J47</x:f>
        <x:v>132025.42096499327</x:v>
      </x:c>
      <x:c r="L47" s="47" t="n">
        <x:f>B47+C47+D47+K47</x:f>
        <x:v>4571719.387998895</x:v>
      </x:c>
      <x:c r="M47" s="63" t="n">
        <x:f>IF(B47&gt;0,L47/B47-1,0)</x:f>
        <x:v>0.04930251746230341</x:v>
      </x:c>
      <x:c r="N47" s="47" t="n">
        <x:f>N46*(1+Paths!C47)+F47*(1-dep_asia)</x:f>
        <x:v>577928.8329040228</x:v>
      </x:c>
      <x:c r="O47" s="47" t="n">
        <x:f>O46*(1+Paths!C47)+G47*(1-dep_asia)</x:f>
        <x:v>20614.260229699932</x:v>
      </x:c>
      <x:c r="P47" s="47" t="n">
        <x:f>P46*(1+Paths!C47)+H47*(1-dep_asia)</x:f>
        <x:v>8716.960683311976</x:v>
      </x:c>
      <x:c r="Q47" s="47" t="n">
        <x:f>Q46*(1+Paths!C47)+Labour!AK47*gw_asian</x:f>
        <x:v>0</x:v>
      </x:c>
      <x:c r="R47" s="47" t="n">
        <x:f>R46*(1+Paths!C47)+Labour!AF47*family_mult</x:f>
        <x:v>760.2321898443472</x:v>
      </x:c>
      <x:c r="S47" s="63" t="n">
        <x:f>(N47+O47+P47+Q47+R47)/L47</x:f>
        <x:v>0.13299597687534756</x:v>
      </x:c>
      <x:c r="T47" s="47" t="n">
        <x:f>SUM(E47:H47)*Paths!J47</x:f>
        <x:v>57600</x:v>
      </x:c>
      <x:c r="U47" s="62" t="n">
        <x:f>Paths!K47</x:f>
        <x:v>6600000</x:v>
      </x:c>
      <x:c r="V47" s="47" t="n">
        <x:f>IF(Gulf!E47=1,Gulf!B47,0)</x:f>
        <x:v>0</x:v>
      </x:c>
      <x:c r="W47" s="47" t="n">
        <x:f>L47+V47</x:f>
        <x:v>4571719.387998895</x:v>
      </x:c>
      <x:c r="X47" s="47" t="n">
        <x:f>W47+Labour!L47</x:f>
        <x:v>4571719.387998895</x:v>
      </x:c>
    </x:row>
    <x:row r="48">
      <x:c r="A48" s="58" t="n">
        <x:v>1888</x:v>
      </x:c>
      <x:c r="B48" s="47" t="n">
        <x:f>L47</x:f>
        <x:v>4571719.387998895</x:v>
      </x:c>
      <x:c r="C48" s="62" t="n">
        <x:f>Paths!D48</x:f>
        <x:v>0</x:v>
      </x:c>
      <x:c r="D48" s="47" t="n">
        <x:f>B48*Paths!C48</x:f>
        <x:v>86862.668371979</x:v>
      </x:c>
      <x:c r="E48" s="47" t="n">
        <x:f>Paths!E48*IF($A48&gt;=1896,mig_scale,1)</x:f>
        <x:v>65000</x:v>
      </x:c>
      <x:c r="F48" s="47" t="n">
        <x:f>Paths!F48*IF($A48&gt;=1896,mig_scale,1)</x:f>
        <x:v>22000</x:v>
      </x:c>
      <x:c r="G48" s="47" t="n">
        <x:f>Paths!G48*IF($A48&gt;=1896,mig_scale,1)</x:f>
        <x:v>8000</x:v>
      </x:c>
      <x:c r="H48" s="47" t="n">
        <x:f>Paths!H48*IF($A48&gt;=1896,mig_scale,1)</x:f>
        <x:v>1000</x:v>
      </x:c>
      <x:c r="I48" s="47" t="n">
        <x:f>E48*Paths!I48+(F48+G48+H48)*dep_asia</x:f>
        <x:v>21680</x:v>
      </x:c>
      <x:c r="J48" s="62" t="n">
        <x:f>Labour!AL48</x:f>
        <x:v>30092.66271334439</x:v>
      </x:c>
      <x:c r="K48" s="47" t="n">
        <x:f>SUM(E48:H48)-I48+J48</x:f>
        <x:v>104412.66271334438</x:v>
      </x:c>
      <x:c r="L48" s="47" t="n">
        <x:f>B48+C48+D48+K48</x:f>
        <x:v>4762994.719084218</x:v>
      </x:c>
      <x:c r="M48" s="63" t="n">
        <x:f>IF(B48&gt;0,L48/B48-1,0)</x:f>
        <x:v>0.04183881705150916</x:v>
      </x:c>
      <x:c r="N48" s="47" t="n">
        <x:f>N47*(1+Paths!C48)+F48*(1-dep_asia)</x:f>
        <x:v>604749.4807291991</x:v>
      </x:c>
      <x:c r="O48" s="47" t="n">
        <x:f>O47*(1+Paths!C48)+G48*(1-dep_asia)</x:f>
        <x:v>26765.93117406423</x:v>
      </x:c>
      <x:c r="P48" s="47" t="n">
        <x:f>P47*(1+Paths!C48)+H48*(1-dep_asia)</x:f>
        <x:v>9602.582936294903</x:v>
      </x:c>
      <x:c r="Q48" s="47" t="n">
        <x:f>Q47*(1+Paths!C48)+Labour!AK48*gw_asian</x:f>
        <x:v>0</x:v>
      </x:c>
      <x:c r="R48" s="47" t="n">
        <x:f>R47*(1+Paths!C48)+Labour!AF48*family_mult</x:f>
        <x:v>1277.1551246748772</x:v>
      </x:c>
      <x:c r="S48" s="63" t="n">
        <x:f>(N48+O48+P48+Q48+R48)/L48</x:f>
        <x:v>0.13487211047921266</x:v>
      </x:c>
      <x:c r="T48" s="47" t="n">
        <x:f>SUM(E48:H48)*Paths!J48</x:f>
        <x:v>28800</x:v>
      </x:c>
      <x:c r="U48" s="62" t="n">
        <x:f>Paths!K48</x:f>
        <x:v>6662000</x:v>
      </x:c>
      <x:c r="V48" s="47" t="n">
        <x:f>IF(Gulf!E48=1,Gulf!B48,0)</x:f>
        <x:v>0</x:v>
      </x:c>
      <x:c r="W48" s="47" t="n">
        <x:f>L48+V48</x:f>
        <x:v>4762994.719084218</x:v>
      </x:c>
      <x:c r="X48" s="47" t="n">
        <x:f>W48+Labour!L48</x:f>
        <x:v>4762994.719084218</x:v>
      </x:c>
    </x:row>
    <x:row r="49">
      <x:c r="A49" s="58" t="n">
        <x:v>1889</x:v>
      </x:c>
      <x:c r="B49" s="47" t="n">
        <x:f>L48</x:f>
        <x:v>4762994.719084218</x:v>
      </x:c>
      <x:c r="C49" s="62" t="n">
        <x:f>Paths!D49</x:f>
        <x:v>0</x:v>
      </x:c>
      <x:c r="D49" s="47" t="n">
        <x:f>B49*Paths!C49</x:f>
        <x:v>90496.89966260015</x:v>
      </x:c>
      <x:c r="E49" s="47" t="n">
        <x:f>Paths!E49*IF($A49&gt;=1896,mig_scale,1)</x:f>
        <x:v>65000</x:v>
      </x:c>
      <x:c r="F49" s="47" t="n">
        <x:f>Paths!F49*IF($A49&gt;=1896,mig_scale,1)</x:f>
        <x:v>22000</x:v>
      </x:c>
      <x:c r="G49" s="47" t="n">
        <x:f>Paths!G49*IF($A49&gt;=1896,mig_scale,1)</x:f>
        <x:v>8000</x:v>
      </x:c>
      <x:c r="H49" s="47" t="n">
        <x:f>Paths!H49*IF($A49&gt;=1896,mig_scale,1)</x:f>
        <x:v>1000</x:v>
      </x:c>
      <x:c r="I49" s="47" t="n">
        <x:f>E49*Paths!I49+(F49+G49+H49)*dep_asia</x:f>
        <x:v>21680</x:v>
      </x:c>
      <x:c r="J49" s="62" t="n">
        <x:f>Labour!AL49</x:f>
        <x:v>37725.223690431696</x:v>
      </x:c>
      <x:c r="K49" s="47" t="n">
        <x:f>SUM(E49:H49)-I49+J49</x:f>
        <x:v>112045.2236904317</x:v>
      </x:c>
      <x:c r="L49" s="47" t="n">
        <x:f>B49+C49+D49+K49</x:f>
        <x:v>4965536.84243725</x:v>
      </x:c>
      <x:c r="M49" s="63" t="n">
        <x:f>IF(B49&gt;0,L49/B49-1,0)</x:f>
        <x:v>0.042524112517171586</x:v>
      </x:c>
      <x:c r="N49" s="47" t="n">
        <x:f>N48*(1+Paths!C49)+F49*(1-dep_asia)</x:f>
        <x:v>632079.7208630538</x:v>
      </x:c>
      <x:c r="O49" s="47" t="n">
        <x:f>O48*(1+Paths!C49)+G49*(1-dep_asia)</x:f>
        <x:v>33034.48386637145</x:v>
      </x:c>
      <x:c r="P49" s="47" t="n">
        <x:f>P48*(1+Paths!C49)+H49*(1-dep_asia)</x:f>
        <x:v>10505.032012084504</x:v>
      </x:c>
      <x:c r="Q49" s="47" t="n">
        <x:f>Q48*(1+Paths!C49)+Labour!AK49*gw_asian</x:f>
        <x:v>0</x:v>
      </x:c>
      <x:c r="R49" s="47" t="n">
        <x:f>R48*(1+Paths!C49)+Labour!AF49*family_mult</x:f>
        <x:v>2020.44807967723</x:v>
      </x:c>
      <x:c r="S49" s="63" t="n">
        <x:f>(N49+O49+P49+Q49+R49)/L49</x:f>
        <x:v>0.1364685644923297</x:v>
      </x:c>
      <x:c r="T49" s="47" t="n">
        <x:f>SUM(E49:H49)*Paths!J49</x:f>
        <x:v>28800</x:v>
      </x:c>
      <x:c r="U49" s="62" t="n">
        <x:f>Paths!K49</x:f>
        <x:v>6725000</x:v>
      </x:c>
      <x:c r="V49" s="47" t="n">
        <x:f>IF(Gulf!E49=1,Gulf!B49,0)</x:f>
        <x:v>0</x:v>
      </x:c>
      <x:c r="W49" s="47" t="n">
        <x:f>L49+V49</x:f>
        <x:v>4965536.84243725</x:v>
      </x:c>
      <x:c r="X49" s="47" t="n">
        <x:f>W49+Labour!L49</x:f>
        <x:v>4965536.84243725</x:v>
      </x:c>
    </x:row>
    <x:row r="50">
      <x:c r="A50" s="58" t="n">
        <x:v>1890</x:v>
      </x:c>
      <x:c r="B50" s="47" t="n">
        <x:f>L49</x:f>
        <x:v>4965536.84243725</x:v>
      </x:c>
      <x:c r="C50" s="62" t="n">
        <x:f>Paths!D50</x:f>
        <x:v>0</x:v>
      </x:c>
      <x:c r="D50" s="47" t="n">
        <x:f>B50*Paths!C50</x:f>
        <x:v>94345.20000630774</x:v>
      </x:c>
      <x:c r="E50" s="47" t="n">
        <x:f>Paths!E50*IF($A50&gt;=1896,mig_scale,1)</x:f>
        <x:v>65000</x:v>
      </x:c>
      <x:c r="F50" s="47" t="n">
        <x:f>Paths!F50*IF($A50&gt;=1896,mig_scale,1)</x:f>
        <x:v>22000</x:v>
      </x:c>
      <x:c r="G50" s="47" t="n">
        <x:f>Paths!G50*IF($A50&gt;=1896,mig_scale,1)</x:f>
        <x:v>8000</x:v>
      </x:c>
      <x:c r="H50" s="47" t="n">
        <x:f>Paths!H50*IF($A50&gt;=1896,mig_scale,1)</x:f>
        <x:v>5000</x:v>
      </x:c>
      <x:c r="I50" s="47" t="n">
        <x:f>E50*Paths!I50+(F50+G50+H50)*dep_asia</x:f>
        <x:v>22800</x:v>
      </x:c>
      <x:c r="J50" s="62" t="n">
        <x:f>Labour!AL50</x:f>
        <x:v>47442.91398258708</x:v>
      </x:c>
      <x:c r="K50" s="47" t="n">
        <x:f>SUM(E50:H50)-I50+J50</x:f>
        <x:v>124642.91398258708</x:v>
      </x:c>
      <x:c r="L50" s="47" t="n">
        <x:f>B50+C50+D50+K50</x:f>
        <x:v>5184524.956426145</x:v>
      </x:c>
      <x:c r="M50" s="63" t="n">
        <x:f>IF(B50&gt;0,L50/B50-1,0)</x:f>
        <x:v>0.04410159886788967</x:v>
      </x:c>
      <x:c r="N50" s="47" t="n">
        <x:f>N49*(1+Paths!C50)+F50*(1-dep_asia)</x:f>
        <x:v>659929.2355594517</x:v>
      </x:c>
      <x:c r="O50" s="47" t="n">
        <x:f>O49*(1+Paths!C50)+G50*(1-dep_asia)</x:f>
        <x:v>39422.1390598325</x:v>
      </x:c>
      <x:c r="P50" s="47" t="n">
        <x:f>P49*(1+Paths!C50)+H50*(1-dep_asia)</x:f>
        <x:v>14304.62762031411</x:v>
      </x:c>
      <x:c r="Q50" s="47" t="n">
        <x:f>Q49*(1+Paths!C50)+Labour!AK50*gw_asian</x:f>
        <x:v>0</x:v>
      </x:c>
      <x:c r="R50" s="47" t="n">
        <x:f>R49*(1+Paths!C50)+Labour!AF50*family_mult</x:f>
        <x:v>3056.57024191121</x:v>
      </x:c>
      <x:c r="S50" s="63" t="n">
        <x:f>(N50+O50+P50+Q50+R50)/L50</x:f>
        <x:v>0.13824074114893684</x:v>
      </x:c>
      <x:c r="T50" s="47" t="n">
        <x:f>SUM(E50:H50)*Paths!J50</x:f>
        <x:v>30000</x:v>
      </x:c>
      <x:c r="U50" s="62" t="n">
        <x:f>Paths!K50</x:f>
        <x:v>6788000</x:v>
      </x:c>
      <x:c r="V50" s="47" t="n">
        <x:f>IF(Gulf!E50=1,Gulf!B50,0)</x:f>
        <x:v>0</x:v>
      </x:c>
      <x:c r="W50" s="47" t="n">
        <x:f>L50+V50</x:f>
        <x:v>5184524.956426145</x:v>
      </x:c>
      <x:c r="X50" s="47" t="n">
        <x:f>W50+Labour!L50</x:f>
        <x:v>5265389.654383787</x:v>
      </x:c>
    </x:row>
    <x:row r="51">
      <x:c r="A51" s="58" t="n">
        <x:v>1891</x:v>
      </x:c>
      <x:c r="B51" s="47" t="n">
        <x:f>L50</x:f>
        <x:v>5184524.956426145</x:v>
      </x:c>
      <x:c r="C51" s="62" t="n">
        <x:f>Paths!D51</x:f>
        <x:v>0</x:v>
      </x:c>
      <x:c r="D51" s="47" t="n">
        <x:f>B51*Paths!C51</x:f>
        <x:v>98505.97417209674</x:v>
      </x:c>
      <x:c r="E51" s="47" t="n">
        <x:f>Paths!E51*IF($A51&gt;=1896,mig_scale,1)</x:f>
        <x:v>65000</x:v>
      </x:c>
      <x:c r="F51" s="47" t="n">
        <x:f>Paths!F51*IF($A51&gt;=1896,mig_scale,1)</x:f>
        <x:v>22000</x:v>
      </x:c>
      <x:c r="G51" s="47" t="n">
        <x:f>Paths!G51*IF($A51&gt;=1896,mig_scale,1)</x:f>
        <x:v>8000</x:v>
      </x:c>
      <x:c r="H51" s="47" t="n">
        <x:f>Paths!H51*IF($A51&gt;=1896,mig_scale,1)</x:f>
        <x:v>5000</x:v>
      </x:c>
      <x:c r="I51" s="47" t="n">
        <x:f>E51*Paths!I51+(F51+G51+H51)*dep_asia</x:f>
        <x:v>22800</x:v>
      </x:c>
      <x:c r="J51" s="62" t="n">
        <x:f>Labour!AL51</x:f>
        <x:v>62265.80459277468</x:v>
      </x:c>
      <x:c r="K51" s="47" t="n">
        <x:f>SUM(E51:H51)-I51+J51</x:f>
        <x:v>139465.8045927747</x:v>
      </x:c>
      <x:c r="L51" s="47" t="n">
        <x:f>B51+C51+D51+K51</x:f>
        <x:v>5422496.7351910155</x:v>
      </x:c>
      <x:c r="M51" s="63" t="n">
        <x:f>IF(B51&gt;0,L51/B51-1,0)</x:f>
        <x:v>0.0459004018236826</x:v>
      </x:c>
      <x:c r="N51" s="47" t="n">
        <x:f>N50*(1+Paths!C51)+F51*(1-dep_asia)</x:f>
        <x:v>688307.8910350812</x:v>
      </x:c>
      <x:c r="O51" s="47" t="n">
        <x:f>O50*(1+Paths!C51)+G51*(1-dep_asia)</x:f>
        <x:v>45931.159701969314</x:v>
      </x:c>
      <x:c r="P51" s="47" t="n">
        <x:f>P50*(1+Paths!C51)+H51*(1-dep_asia)</x:f>
        <x:v>18176.415545100077</x:v>
      </x:c>
      <x:c r="Q51" s="47" t="n">
        <x:f>Q50*(1+Paths!C51)+Labour!AK51*gw_asian</x:f>
        <x:v>2620.016213827627</x:v>
      </x:c>
      <x:c r="R51" s="47" t="n">
        <x:f>R50*(1+Paths!C51)+Labour!AF51*family_mult</x:f>
        <x:v>4305.824753682611</x:v>
      </x:c>
      <x:c r="S51" s="63" t="n">
        <x:f>(N51+O51+P51+Q51+R51)/L51</x:f>
        <x:v>0.14003536458061364</x:v>
      </x:c>
      <x:c r="T51" s="47" t="n">
        <x:f>SUM(E51:H51)*Paths!J51</x:f>
        <x:v>30000</x:v>
      </x:c>
      <x:c r="U51" s="62" t="n">
        <x:f>Paths!K51</x:f>
        <x:v>6850000</x:v>
      </x:c>
      <x:c r="V51" s="47" t="n">
        <x:f>IF(Gulf!E51=1,Gulf!B51,0)</x:f>
        <x:v>0</x:v>
      </x:c>
      <x:c r="W51" s="47" t="n">
        <x:f>L51+V51</x:f>
        <x:v>5422496.7351910155</x:v>
      </x:c>
      <x:c r="X51" s="47" t="n">
        <x:f>W51+Labour!L51</x:f>
        <x:v>5554052.566959162</x:v>
      </x:c>
    </x:row>
    <x:row r="52">
      <x:c r="A52" s="58" t="n">
        <x:v>1892</x:v>
      </x:c>
      <x:c r="B52" s="47" t="n">
        <x:f>L51</x:f>
        <x:v>5422496.7351910155</x:v>
      </x:c>
      <x:c r="C52" s="62" t="n">
        <x:f>Paths!D52</x:f>
        <x:v>0</x:v>
      </x:c>
      <x:c r="D52" s="47" t="n">
        <x:f>B52*Paths!C52</x:f>
        <x:v>103027.4379686293</x:v>
      </x:c>
      <x:c r="E52" s="47" t="n">
        <x:f>Paths!E52*IF($A52&gt;=1896,mig_scale,1)</x:f>
        <x:v>65000</x:v>
      </x:c>
      <x:c r="F52" s="47" t="n">
        <x:f>Paths!F52*IF($A52&gt;=1896,mig_scale,1)</x:f>
        <x:v>22000</x:v>
      </x:c>
      <x:c r="G52" s="47" t="n">
        <x:f>Paths!G52*IF($A52&gt;=1896,mig_scale,1)</x:f>
        <x:v>8000</x:v>
      </x:c>
      <x:c r="H52" s="47" t="n">
        <x:f>Paths!H52*IF($A52&gt;=1896,mig_scale,1)</x:f>
        <x:v>5000</x:v>
      </x:c>
      <x:c r="I52" s="47" t="n">
        <x:f>E52*Paths!I52+(F52+G52+H52)*dep_asia</x:f>
        <x:v>22800</x:v>
      </x:c>
      <x:c r="J52" s="62" t="n">
        <x:f>Labour!AL52</x:f>
        <x:v>79189.48613080759</x:v>
      </x:c>
      <x:c r="K52" s="47" t="n">
        <x:f>SUM(E52:H52)-I52+J52</x:f>
        <x:v>156389.4861308076</x:v>
      </x:c>
      <x:c r="L52" s="47" t="n">
        <x:f>B52+C52+D52+K52</x:f>
        <x:v>5681913.6592904525</x:v>
      </x:c>
      <x:c r="M52" s="63" t="n">
        <x:f>IF(B52&gt;0,L52/B52-1,0)</x:f>
        <x:v>0.04784086312415248</x:v>
      </x:c>
      <x:c r="N52" s="47" t="n">
        <x:f>N51*(1+Paths!C52)+F52*(1-dep_asia)</x:f>
        <x:v>717225.7409647477</x:v>
      </x:c>
      <x:c r="O52" s="47" t="n">
        <x:f>O51*(1+Paths!C52)+G52*(1-dep_asia)</x:f>
        <x:v>52563.85173630673</x:v>
      </x:c>
      <x:c r="P52" s="47" t="n">
        <x:f>P51*(1+Paths!C52)+H52*(1-dep_asia)</x:f>
        <x:v>22121.767440456977</x:v>
      </x:c>
      <x:c r="Q52" s="47" t="n">
        <x:f>Q51*(1+Paths!C52)+Labour!AK52*gw_asian</x:f>
        <x:v>6932.205471178313</x:v>
      </x:c>
      <x:c r="R52" s="47" t="n">
        <x:f>R51*(1+Paths!C52)+Labour!AF52*family_mult</x:f>
        <x:v>5968.07926240117</x:v>
      </x:c>
      <x:c r="S52" s="63" t="n">
        <x:f>(N52+O52+P52+Q52+R52)/L52</x:f>
        <x:v>0.1416444692993794</x:v>
      </x:c>
      <x:c r="T52" s="47" t="n">
        <x:f>SUM(E52:H52)*Paths!J52</x:f>
        <x:v>30000</x:v>
      </x:c>
      <x:c r="U52" s="62" t="n">
        <x:f>Paths!K52</x:f>
        <x:v>6912000</x:v>
      </x:c>
      <x:c r="V52" s="47" t="n">
        <x:f>IF(Gulf!E52=1,Gulf!B52,0)</x:f>
        <x:v>0</x:v>
      </x:c>
      <x:c r="W52" s="47" t="n">
        <x:f>L52+V52</x:f>
        <x:v>5681913.6592904525</x:v>
      </x:c>
      <x:c r="X52" s="47" t="n">
        <x:f>W52+Labour!L52</x:f>
        <x:v>5848281.378165856</x:v>
      </x:c>
    </x:row>
    <x:row r="53">
      <x:c r="A53" s="58" t="n">
        <x:v>1893</x:v>
      </x:c>
      <x:c r="B53" s="47" t="n">
        <x:f>L52</x:f>
        <x:v>5681913.6592904525</x:v>
      </x:c>
      <x:c r="C53" s="62" t="n">
        <x:f>Paths!D53</x:f>
        <x:v>0</x:v>
      </x:c>
      <x:c r="D53" s="47" t="n">
        <x:f>B53*Paths!C53</x:f>
        <x:v>107956.3595265186</x:v>
      </x:c>
      <x:c r="E53" s="47" t="n">
        <x:f>Paths!E53*IF($A53&gt;=1896,mig_scale,1)</x:f>
        <x:v>65000</x:v>
      </x:c>
      <x:c r="F53" s="47" t="n">
        <x:f>Paths!F53*IF($A53&gt;=1896,mig_scale,1)</x:f>
        <x:v>22000</x:v>
      </x:c>
      <x:c r="G53" s="47" t="n">
        <x:f>Paths!G53*IF($A53&gt;=1896,mig_scale,1)</x:f>
        <x:v>8000</x:v>
      </x:c>
      <x:c r="H53" s="47" t="n">
        <x:f>Paths!H53*IF($A53&gt;=1896,mig_scale,1)</x:f>
        <x:v>5000</x:v>
      </x:c>
      <x:c r="I53" s="47" t="n">
        <x:f>E53*Paths!I53+(F53+G53+H53)*dep_asia</x:f>
        <x:v>22800</x:v>
      </x:c>
      <x:c r="J53" s="62" t="n">
        <x:f>Labour!AL53</x:f>
        <x:v>90303.32518027982</x:v>
      </x:c>
      <x:c r="K53" s="47" t="n">
        <x:f>SUM(E53:H53)-I53+J53</x:f>
        <x:v>167503.32518027982</x:v>
      </x:c>
      <x:c r="L53" s="47" t="n">
        <x:f>B53+C53+D53+K53</x:f>
        <x:v>5957373.343997251</x:v>
      </x:c>
      <x:c r="M53" s="63" t="n">
        <x:f>IF(B53&gt;0,L53/B53-1,0)</x:f>
        <x:v>0.04848008984726415</x:v>
      </x:c>
      <x:c r="N53" s="47" t="n">
        <x:f>N52*(1+Paths!C53)+F53*(1-dep_asia)</x:f>
        <x:v>746693.0300430779</x:v>
      </x:c>
      <x:c r="O53" s="47" t="n">
        <x:f>O52*(1+Paths!C53)+G53*(1-dep_asia)</x:f>
        <x:v>59322.56491929655</x:v>
      </x:c>
      <x:c r="P53" s="47" t="n">
        <x:f>P52*(1+Paths!C53)+H53*(1-dep_asia)</x:f>
        <x:v>26142.08102182566</x:v>
      </x:c>
      <x:c r="Q53" s="47" t="n">
        <x:f>Q52*(1+Paths!C53)+Labour!AK53*gw_asian</x:f>
        <x:v>12454.231466693785</x:v>
      </x:c>
      <x:c r="R53" s="47" t="n">
        <x:f>R52*(1+Paths!C53)+Labour!AF53*family_mult</x:f>
        <x:v>8043.845145412677</x:v>
      </x:c>
      <x:c r="S53" s="63" t="n">
        <x:f>(N53+O53+P53+Q53+R53)/L53</x:f>
        <x:v>0.14312612343751407</x:v>
      </x:c>
      <x:c r="T53" s="47" t="n">
        <x:f>SUM(E53:H53)*Paths!J53</x:f>
        <x:v>30000</x:v>
      </x:c>
      <x:c r="U53" s="62" t="n">
        <x:f>Paths!K53</x:f>
        <x:v>6975000</x:v>
      </x:c>
      <x:c r="V53" s="47" t="n">
        <x:f>IF(Gulf!E53=1,Gulf!B53,0)</x:f>
        <x:v>0</x:v>
      </x:c>
      <x:c r="W53" s="47" t="n">
        <x:f>L53+V53</x:f>
        <x:v>5957373.343997251</x:v>
      </x:c>
      <x:c r="X53" s="47" t="n">
        <x:f>W53+Labour!L53</x:f>
        <x:v>6134372.898829175</x:v>
      </x:c>
    </x:row>
    <x:row r="54">
      <x:c r="A54" s="58" t="n">
        <x:v>1894</x:v>
      </x:c>
      <x:c r="B54" s="47" t="n">
        <x:f>L53</x:f>
        <x:v>5957373.343997251</x:v>
      </x:c>
      <x:c r="C54" s="62" t="n">
        <x:f>Paths!D54</x:f>
        <x:v>0</x:v>
      </x:c>
      <x:c r="D54" s="47" t="n">
        <x:f>B54*Paths!C54</x:f>
        <x:v>113190.09353594777</x:v>
      </x:c>
      <x:c r="E54" s="47" t="n">
        <x:f>Paths!E54*IF($A54&gt;=1896,mig_scale,1)</x:f>
        <x:v>65000</x:v>
      </x:c>
      <x:c r="F54" s="47" t="n">
        <x:f>Paths!F54*IF($A54&gt;=1896,mig_scale,1)</x:f>
        <x:v>22000</x:v>
      </x:c>
      <x:c r="G54" s="47" t="n">
        <x:f>Paths!G54*IF($A54&gt;=1896,mig_scale,1)</x:f>
        <x:v>8000</x:v>
      </x:c>
      <x:c r="H54" s="47" t="n">
        <x:f>Paths!H54*IF($A54&gt;=1896,mig_scale,1)</x:f>
        <x:v>5000</x:v>
      </x:c>
      <x:c r="I54" s="47" t="n">
        <x:f>E54*Paths!I54+(F54+G54+H54)*dep_asia</x:f>
        <x:v>22800</x:v>
      </x:c>
      <x:c r="J54" s="62" t="n">
        <x:f>Labour!AL54</x:f>
        <x:v>85034.16680630749</x:v>
      </x:c>
      <x:c r="K54" s="47" t="n">
        <x:f>SUM(E54:H54)-I54+J54</x:f>
        <x:v>162234.1668063075</x:v>
      </x:c>
      <x:c r="L54" s="47" t="n">
        <x:f>B54+C54+D54+K54</x:f>
        <x:v>6232797.6043395065</x:v>
      </x:c>
      <x:c r="M54" s="63" t="n">
        <x:f>IF(B54&gt;0,L54/B54-1,0)</x:f>
        <x:v>0.04623249953266351</x:v>
      </x:c>
      <x:c r="N54" s="47" t="n">
        <x:f>N53*(1+Paths!C54)+F54*(1-dep_asia)</x:f>
        <x:v>776720.1976138963</x:v>
      </x:c>
      <x:c r="O54" s="47" t="n">
        <x:f>O53*(1+Paths!C54)+G54*(1-dep_asia)</x:f>
        <x:v>66209.69365276318</x:v>
      </x:c>
      <x:c r="P54" s="47" t="n">
        <x:f>P53*(1+Paths!C54)+H54*(1-dep_asia)</x:f>
        <x:v>30238.780561240343</x:v>
      </x:c>
      <x:c r="Q54" s="47" t="n">
        <x:f>Q53*(1+Paths!C54)+Labour!AK54*gw_asian</x:f>
        <x:v>18425.647441115296</x:v>
      </x:c>
      <x:c r="R54" s="47" t="n">
        <x:f>R53*(1+Paths!C54)+Labour!AF54*family_mult</x:f>
        <x:v>9934.615248707576</x:v>
      </x:c>
      <x:c r="S54" s="63" t="n">
        <x:f>(N54+O54+P54+Q54+R54)/L54</x:f>
        <x:v>0.1446427417906278</x:v>
      </x:c>
      <x:c r="T54" s="47" t="n">
        <x:f>SUM(E54:H54)*Paths!J54</x:f>
        <x:v>30000</x:v>
      </x:c>
      <x:c r="U54" s="62" t="n">
        <x:f>Paths!K54</x:f>
        <x:v>7038000</x:v>
      </x:c>
      <x:c r="V54" s="47" t="n">
        <x:f>IF(Gulf!E54=1,Gulf!B54,0)</x:f>
        <x:v>0</x:v>
      </x:c>
      <x:c r="W54" s="47" t="n">
        <x:f>L54+V54</x:f>
        <x:v>6232797.6043395065</x:v>
      </x:c>
      <x:c r="X54" s="47" t="n">
        <x:f>W54+Labour!L54</x:f>
        <x:v>6419214.672338014</x:v>
      </x:c>
    </x:row>
    <x:row r="55">
      <x:c r="A55" s="58" t="n">
        <x:v>1895</x:v>
      </x:c>
      <x:c r="B55" s="47" t="n">
        <x:f>L54</x:f>
        <x:v>6232797.6043395065</x:v>
      </x:c>
      <x:c r="C55" s="62" t="n">
        <x:f>Paths!D55</x:f>
        <x:v>0</x:v>
      </x:c>
      <x:c r="D55" s="47" t="n">
        <x:f>B55*Paths!C55</x:f>
        <x:v>118423.15448245063</x:v>
      </x:c>
      <x:c r="E55" s="47" t="n">
        <x:f>Paths!E55*IF($A55&gt;=1896,mig_scale,1)</x:f>
        <x:v>65000</x:v>
      </x:c>
      <x:c r="F55" s="47" t="n">
        <x:f>Paths!F55*IF($A55&gt;=1896,mig_scale,1)</x:f>
        <x:v>22000</x:v>
      </x:c>
      <x:c r="G55" s="47" t="n">
        <x:f>Paths!G55*IF($A55&gt;=1896,mig_scale,1)</x:f>
        <x:v>8000</x:v>
      </x:c>
      <x:c r="H55" s="47" t="n">
        <x:f>Paths!H55*IF($A55&gt;=1896,mig_scale,1)</x:f>
        <x:v>5000</x:v>
      </x:c>
      <x:c r="I55" s="47" t="n">
        <x:f>E55*Paths!I55+(F55+G55+H55)*dep_asia</x:f>
        <x:v>22800</x:v>
      </x:c>
      <x:c r="J55" s="62" t="n">
        <x:f>Labour!AL55</x:f>
        <x:v>87021.46999098174</x:v>
      </x:c>
      <x:c r="K55" s="47" t="n">
        <x:f>SUM(E55:H55)-I55+J55</x:f>
        <x:v>164221.46999098174</x:v>
      </x:c>
      <x:c r="L55" s="47" t="n">
        <x:f>B55+C55+D55+K55</x:f>
        <x:v>6515442.228812939</x:v>
      </x:c>
      <x:c r="M55" s="63" t="n">
        <x:f>IF(B55&gt;0,L55/B55-1,0)</x:f>
        <x:v>0.04534795486967913</x:v>
      </x:c>
      <x:c r="N55" s="47" t="n">
        <x:f>N54*(1+Paths!C55)+F55*(1-dep_asia)</x:f>
        <x:v>807317.8813685603</x:v>
      </x:c>
      <x:c r="O55" s="47" t="n">
        <x:f>O54*(1+Paths!C55)+G55*(1-dep_asia)</x:f>
        <x:v>73227.67783216567</x:v>
      </x:c>
      <x:c r="P55" s="47" t="n">
        <x:f>P54*(1+Paths!C55)+H55*(1-dep_asia)</x:f>
        <x:v>34413.31739190391</x:v>
      </x:c>
      <x:c r="Q55" s="47" t="n">
        <x:f>Q54*(1+Paths!C55)+Labour!AK55*gw_asian</x:f>
        <x:v>24815.647745648104</x:v>
      </x:c>
      <x:c r="R55" s="47" t="n">
        <x:f>R54*(1+Paths!C55)+Labour!AF55*family_mult</x:f>
        <x:v>12137.239206266615</x:v>
      </x:c>
      <x:c r="S55" s="63" t="n">
        <x:f>(N55+O55+P55+Q55+R55)/L55</x:f>
        <x:v>0.14610086777148437</x:v>
      </x:c>
      <x:c r="T55" s="47" t="n">
        <x:f>SUM(E55:H55)*Paths!J55</x:f>
        <x:v>30000</x:v>
      </x:c>
      <x:c r="U55" s="62" t="n">
        <x:f>Paths!K55</x:f>
        <x:v>7100000</x:v>
      </x:c>
      <x:c r="V55" s="47" t="n">
        <x:f>IF(Gulf!E55=1,Gulf!B55,0)</x:f>
        <x:v>0</x:v>
      </x:c>
      <x:c r="W55" s="47" t="n">
        <x:f>L55+V55</x:f>
        <x:v>6515442.228812939</x:v>
      </x:c>
      <x:c r="X55" s="47" t="n">
        <x:f>W55+Labour!L55</x:f>
        <x:v>6723509.887171589</x:v>
      </x:c>
    </x:row>
    <x:row r="56">
      <x:c r="A56" s="58" t="n">
        <x:v>1896</x:v>
      </x:c>
      <x:c r="B56" s="47" t="n">
        <x:f>L55</x:f>
        <x:v>6515442.228812939</x:v>
      </x:c>
      <x:c r="C56" s="62" t="n">
        <x:f>Paths!D56</x:f>
        <x:v>0</x:v>
      </x:c>
      <x:c r="D56" s="47" t="n">
        <x:f>B56*Paths!C56</x:f>
        <x:v>123793.40234744582</x:v>
      </x:c>
      <x:c r="E56" s="47" t="n">
        <x:f>Paths!E56*IF($A56&gt;=1896,mig_scale,1)</x:f>
        <x:v>65000</x:v>
      </x:c>
      <x:c r="F56" s="47" t="n">
        <x:f>Paths!F56*IF($A56&gt;=1896,mig_scale,1)</x:f>
        <x:v>22000</x:v>
      </x:c>
      <x:c r="G56" s="47" t="n">
        <x:f>Paths!G56*IF($A56&gt;=1896,mig_scale,1)</x:f>
        <x:v>8000</x:v>
      </x:c>
      <x:c r="H56" s="47" t="n">
        <x:f>Paths!H56*IF($A56&gt;=1896,mig_scale,1)</x:f>
        <x:v>5000</x:v>
      </x:c>
      <x:c r="I56" s="47" t="n">
        <x:f>E56*Paths!I56+(F56+G56+H56)*dep_asia</x:f>
        <x:v>22800</x:v>
      </x:c>
      <x:c r="J56" s="62" t="n">
        <x:f>Labour!AL56</x:f>
        <x:v>98198.8722946815</x:v>
      </x:c>
      <x:c r="K56" s="47" t="n">
        <x:f>SUM(E56:H56)-I56+J56</x:f>
        <x:v>175398.8722946815</x:v>
      </x:c>
      <x:c r="L56" s="47" t="n">
        <x:f>B56+C56+D56+K56</x:f>
        <x:v>6814634.503455065</x:v>
      </x:c>
      <x:c r="M56" s="63" t="n">
        <x:f>IF(B56&gt;0,L56/B56-1,0)</x:f>
        <x:v>0.0459204861519642</x:v>
      </x:c>
      <x:c r="N56" s="47" t="n">
        <x:f>N55*(1+Paths!C56)+F56*(1-dep_asia)</x:f>
        <x:v>838496.9211145628</x:v>
      </x:c>
      <x:c r="O56" s="47" t="n">
        <x:f>O55*(1+Paths!C56)+G56*(1-dep_asia)</x:f>
        <x:v>80379.00371097682</x:v>
      </x:c>
      <x:c r="P56" s="47" t="n">
        <x:f>P55*(1+Paths!C56)+H56*(1-dep_asia)</x:f>
        <x:v>38667.170422350086</x:v>
      </x:c>
      <x:c r="Q56" s="47" t="n">
        <x:f>Q55*(1+Paths!C56)+Labour!AK56*gw_asian</x:f>
        <x:v>32028.5371836357</x:v>
      </x:c>
      <x:c r="R56" s="47" t="n">
        <x:f>R55*(1+Paths!C56)+Labour!AF56*family_mult</x:f>
        <x:v>14821.48188967667</x:v>
      </x:c>
      <x:c r="S56" s="63" t="n">
        <x:f>(N56+O56+P56+Q56+R56)/L56</x:f>
        <x:v>0.14738767190110755</x:v>
      </x:c>
      <x:c r="T56" s="47" t="n">
        <x:f>SUM(E56:H56)*Paths!J56</x:f>
        <x:v>30000</x:v>
      </x:c>
      <x:c r="U56" s="62" t="n">
        <x:f>Paths!K56</x:f>
        <x:v>7162000</x:v>
      </x:c>
      <x:c r="V56" s="47" t="n">
        <x:f>IF(Gulf!E56=1,Gulf!B56,0)</x:f>
        <x:v>0</x:v>
      </x:c>
      <x:c r="W56" s="47" t="n">
        <x:f>L56+V56</x:f>
        <x:v>6814634.503455065</x:v>
      </x:c>
      <x:c r="X56" s="47" t="n">
        <x:f>W56+Labour!L56</x:f>
        <x:v>7043824.082785408</x:v>
      </x:c>
    </x:row>
    <x:row r="57">
      <x:c r="A57" s="58" t="n">
        <x:v>1897</x:v>
      </x:c>
      <x:c r="B57" s="47" t="n">
        <x:f>L56</x:f>
        <x:v>6814634.503455065</x:v>
      </x:c>
      <x:c r="C57" s="62" t="n">
        <x:f>Paths!D57</x:f>
        <x:v>0</x:v>
      </x:c>
      <x:c r="D57" s="47" t="n">
        <x:f>B57*Paths!C57</x:f>
        <x:v>129478.05556564624</x:v>
      </x:c>
      <x:c r="E57" s="47" t="n">
        <x:f>Paths!E57*IF($A57&gt;=1896,mig_scale,1)</x:f>
        <x:v>65000</x:v>
      </x:c>
      <x:c r="F57" s="47" t="n">
        <x:f>Paths!F57*IF($A57&gt;=1896,mig_scale,1)</x:f>
        <x:v>22000</x:v>
      </x:c>
      <x:c r="G57" s="47" t="n">
        <x:f>Paths!G57*IF($A57&gt;=1896,mig_scale,1)</x:f>
        <x:v>8000</x:v>
      </x:c>
      <x:c r="H57" s="47" t="n">
        <x:f>Paths!H57*IF($A57&gt;=1896,mig_scale,1)</x:f>
        <x:v>5000</x:v>
      </x:c>
      <x:c r="I57" s="47" t="n">
        <x:f>E57*Paths!I57+(F57+G57+H57)*dep_asia</x:f>
        <x:v>22800</x:v>
      </x:c>
      <x:c r="J57" s="62" t="n">
        <x:f>Labour!AL57</x:f>
        <x:v>99716.5011042337</x:v>
      </x:c>
      <x:c r="K57" s="47" t="n">
        <x:f>SUM(E57:H57)-I57+J57</x:f>
        <x:v>176916.5011042337</x:v>
      </x:c>
      <x:c r="L57" s="47" t="n">
        <x:f>B57+C57+D57+K57</x:f>
        <x:v>7121029.060124945</x:v>
      </x:c>
      <x:c r="M57" s="63" t="n">
        <x:f>IF(B57&gt;0,L57/B57-1,0)</x:f>
        <x:v>0.04496126043363513</x:v>
      </x:c>
      <x:c r="N57" s="47" t="n">
        <x:f>N56*(1+Paths!C57)+F57*(1-dep_asia)</x:f>
        <x:v>870268.3626157393</x:v>
      </x:c>
      <x:c r="O57" s="47" t="n">
        <x:f>O56*(1+Paths!C57)+G57*(1-dep_asia)</x:f>
        <x:v>87666.20478148537</x:v>
      </x:c>
      <x:c r="P57" s="47" t="n">
        <x:f>P56*(1+Paths!C57)+H57*(1-dep_asia)</x:f>
        <x:v>43001.84666037474</x:v>
      </x:c>
      <x:c r="Q57" s="47" t="n">
        <x:f>Q56*(1+Paths!C57)+Labour!AK57*gw_asian</x:f>
        <x:v>40062.82176042787</x:v>
      </x:c>
      <x:c r="R57" s="47" t="n">
        <x:f>R56*(1+Paths!C57)+Labour!AF57*family_mult</x:f>
        <x:v>17919.1957685571</x:v>
      </x:c>
      <x:c r="S57" s="63" t="n">
        <x:f>(N57+O57+P57+Q57+R57)/L57</x:f>
        <x:v>0.14870300663651623</x:v>
      </x:c>
      <x:c r="T57" s="47" t="n">
        <x:f>SUM(E57:H57)*Paths!J57</x:f>
        <x:v>30000</x:v>
      </x:c>
      <x:c r="U57" s="62" t="n">
        <x:f>Paths!K57</x:f>
        <x:v>7225000</x:v>
      </x:c>
      <x:c r="V57" s="47" t="n">
        <x:f>IF(Gulf!E57=1,Gulf!B57,0)</x:f>
        <x:v>0</x:v>
      </x:c>
      <x:c r="W57" s="47" t="n">
        <x:f>L57+V57</x:f>
        <x:v>7121029.060124945</x:v>
      </x:c>
      <x:c r="X57" s="47" t="n">
        <x:f>W57+Labour!L57</x:f>
        <x:v>7376722.4655533405</x:v>
      </x:c>
    </x:row>
    <x:row r="58">
      <x:c r="A58" s="58" t="n">
        <x:v>1898</x:v>
      </x:c>
      <x:c r="B58" s="47" t="n">
        <x:f>L57</x:f>
        <x:v>7121029.060124945</x:v>
      </x:c>
      <x:c r="C58" s="62" t="n">
        <x:f>Paths!D58</x:f>
        <x:v>0</x:v>
      </x:c>
      <x:c r="D58" s="47" t="n">
        <x:f>B58*Paths!C58</x:f>
        <x:v>135299.55214237396</x:v>
      </x:c>
      <x:c r="E58" s="47" t="n">
        <x:f>Paths!E58*IF($A58&gt;=1896,mig_scale,1)</x:f>
        <x:v>65000</x:v>
      </x:c>
      <x:c r="F58" s="47" t="n">
        <x:f>Paths!F58*IF($A58&gt;=1896,mig_scale,1)</x:f>
        <x:v>22000</x:v>
      </x:c>
      <x:c r="G58" s="47" t="n">
        <x:f>Paths!G58*IF($A58&gt;=1896,mig_scale,1)</x:f>
        <x:v>8000</x:v>
      </x:c>
      <x:c r="H58" s="47" t="n">
        <x:f>Paths!H58*IF($A58&gt;=1896,mig_scale,1)</x:f>
        <x:v>5000</x:v>
      </x:c>
      <x:c r="I58" s="47" t="n">
        <x:f>E58*Paths!I58+(F58+G58+H58)*dep_asia</x:f>
        <x:v>22800</x:v>
      </x:c>
      <x:c r="J58" s="62" t="n">
        <x:f>Labour!AL58</x:f>
        <x:v>103560.54951088614</x:v>
      </x:c>
      <x:c r="K58" s="47" t="n">
        <x:f>SUM(E58:H58)-I58+J58</x:f>
        <x:v>180760.54951088614</x:v>
      </x:c>
      <x:c r="L58" s="47" t="n">
        <x:f>B58+C58+D58+K58</x:f>
        <x:v>7437089.161778205</x:v>
      </x:c>
      <x:c r="M58" s="63" t="n">
        <x:f>IF(B58&gt;0,L58/B58-1,0)</x:f>
        <x:v>0.044384048848090885</x:v>
      </x:c>
      <x:c r="N58" s="47" t="n">
        <x:f>N57*(1+Paths!C58)+F58*(1-dep_asia)</x:f>
        <x:v>902643.4615054383</x:v>
      </x:c>
      <x:c r="O58" s="47" t="n">
        <x:f>O57*(1+Paths!C58)+G58*(1-dep_asia)</x:f>
        <x:v>95091.86267233359</x:v>
      </x:c>
      <x:c r="P58" s="47" t="n">
        <x:f>P57*(1+Paths!C58)+H58*(1-dep_asia)</x:f>
        <x:v>47418.881746921856</x:v>
      </x:c>
      <x:c r="Q58" s="47" t="n">
        <x:f>Q57*(1+Paths!C58)+Labour!AK58*gw_asian</x:f>
        <x:v>49108.481709756</x:v>
      </x:c>
      <x:c r="R58" s="47" t="n">
        <x:f>R57*(1+Paths!C58)+Labour!AF58*family_mult</x:f>
        <x:v>21450.882893345664</x:v>
      </x:c>
      <x:c r="S58" s="63" t="n">
        <x:f>(N58+O58+P58+Q58+R58)/L58</x:f>
        <x:v>0.1500201955708473</x:v>
      </x:c>
      <x:c r="T58" s="47" t="n">
        <x:f>SUM(E58:H58)*Paths!J58</x:f>
        <x:v>30000</x:v>
      </x:c>
      <x:c r="U58" s="62" t="n">
        <x:f>Paths!K58</x:f>
        <x:v>7288000</x:v>
      </x:c>
      <x:c r="V58" s="47" t="n">
        <x:f>IF(Gulf!E58=1,Gulf!B58,0)</x:f>
        <x:v>0</x:v>
      </x:c>
      <x:c r="W58" s="47" t="n">
        <x:f>L58+V58</x:f>
        <x:v>7437089.161778205</x:v>
      </x:c>
      <x:c r="X58" s="47" t="n">
        <x:f>W58+Labour!L58</x:f>
        <x:v>7713305.6115972</x:v>
      </x:c>
    </x:row>
    <x:row r="59">
      <x:c r="A59" s="58" t="n">
        <x:v>1899</x:v>
      </x:c>
      <x:c r="B59" s="47" t="n">
        <x:f>L58</x:f>
        <x:v>7437089.161778205</x:v>
      </x:c>
      <x:c r="C59" s="62" t="n">
        <x:f>Paths!D59</x:f>
        <x:v>0</x:v>
      </x:c>
      <x:c r="D59" s="47" t="n">
        <x:f>B59*Paths!C59</x:f>
        <x:v>141304.69407378588</x:v>
      </x:c>
      <x:c r="E59" s="47" t="n">
        <x:f>Paths!E59*IF($A59&gt;=1896,mig_scale,1)</x:f>
        <x:v>65000</x:v>
      </x:c>
      <x:c r="F59" s="47" t="n">
        <x:f>Paths!F59*IF($A59&gt;=1896,mig_scale,1)</x:f>
        <x:v>22000</x:v>
      </x:c>
      <x:c r="G59" s="47" t="n">
        <x:f>Paths!G59*IF($A59&gt;=1896,mig_scale,1)</x:f>
        <x:v>8000</x:v>
      </x:c>
      <x:c r="H59" s="47" t="n">
        <x:f>Paths!H59*IF($A59&gt;=1896,mig_scale,1)</x:f>
        <x:v>5000</x:v>
      </x:c>
      <x:c r="I59" s="47" t="n">
        <x:f>E59*Paths!I59+(F59+G59+H59)*dep_asia</x:f>
        <x:v>22800</x:v>
      </x:c>
      <x:c r="J59" s="62" t="n">
        <x:f>Labour!AL59</x:f>
        <x:v>107419.82373438799</x:v>
      </x:c>
      <x:c r="K59" s="47" t="n">
        <x:f>SUM(E59:H59)-I59+J59</x:f>
        <x:v>184619.823734388</x:v>
      </x:c>
      <x:c r="L59" s="47" t="n">
        <x:f>B59+C59+D59+K59</x:f>
        <x:v>7763013.679586379</x:v>
      </x:c>
      <x:c r="M59" s="63" t="n">
        <x:f>IF(B59&gt;0,L59/B59-1,0)</x:f>
        <x:v>0.04382420470137882</x:v>
      </x:c>
      <x:c r="N59" s="47" t="n">
        <x:f>N58*(1+Paths!C59)+F59*(1-dep_asia)</x:f>
        <x:v>935633.6872740416</x:v>
      </x:c>
      <x:c r="O59" s="47" t="n">
        <x:f>O58*(1+Paths!C59)+G59*(1-dep_asia)</x:f>
        <x:v>102658.60806310792</x:v>
      </x:c>
      <x:c r="P59" s="47" t="n">
        <x:f>P58*(1+Paths!C59)+H59*(1-dep_asia)</x:f>
        <x:v>51919.840500113365</x:v>
      </x:c>
      <x:c r="Q59" s="47" t="n">
        <x:f>Q58*(1+Paths!C59)+Labour!AK59*gw_asian</x:f>
        <x:v>58990.9558363768</x:v>
      </x:c>
      <x:c r="R59" s="47" t="n">
        <x:f>R58*(1+Paths!C59)+Labour!AF59*family_mult</x:f>
        <x:v>25287.30769808732</x:v>
      </x:c>
      <x:c r="S59" s="63" t="n">
        <x:f>(N59+O59+P59+Q59+R59)/L59</x:f>
        <x:v>0.1512930992843884</x:v>
      </x:c>
      <x:c r="T59" s="47" t="n">
        <x:f>SUM(E59:H59)*Paths!J59</x:f>
        <x:v>30000</x:v>
      </x:c>
      <x:c r="U59" s="62" t="n">
        <x:f>Paths!K59</x:f>
        <x:v>7350000</x:v>
      </x:c>
      <x:c r="V59" s="47" t="n">
        <x:f>IF(Gulf!E59=1,Gulf!B59,0)</x:f>
        <x:v>0</x:v>
      </x:c>
      <x:c r="W59" s="47" t="n">
        <x:f>L59+V59</x:f>
        <x:v>7763013.679586379</x:v>
      </x:c>
      <x:c r="X59" s="47" t="n">
        <x:f>W59+Labour!L59</x:f>
        <x:v>8056446.593699354</x:v>
      </x:c>
    </x:row>
    <x:row r="60">
      <x:c r="A60" s="58" t="n">
        <x:v>1900</x:v>
      </x:c>
      <x:c r="B60" s="47" t="n">
        <x:f>L59</x:f>
        <x:v>7763013.679586379</x:v>
      </x:c>
      <x:c r="C60" s="62" t="n">
        <x:f>Paths!D60</x:f>
        <x:v>0</x:v>
      </x:c>
      <x:c r="D60" s="47" t="n">
        <x:f>B60*Paths!C60</x:f>
        <x:v>147497.2599121412</x:v>
      </x:c>
      <x:c r="E60" s="47" t="n">
        <x:f>Paths!E60*IF($A60&gt;=1896,mig_scale,1)</x:f>
        <x:v>90000</x:v>
      </x:c>
      <x:c r="F60" s="47" t="n">
        <x:f>Paths!F60*IF($A60&gt;=1896,mig_scale,1)</x:f>
        <x:v>28000</x:v>
      </x:c>
      <x:c r="G60" s="47" t="n">
        <x:f>Paths!G60*IF($A60&gt;=1896,mig_scale,1)</x:f>
        <x:v>14000</x:v>
      </x:c>
      <x:c r="H60" s="47" t="n">
        <x:f>Paths!H60*IF($A60&gt;=1896,mig_scale,1)</x:f>
        <x:v>9000</x:v>
      </x:c>
      <x:c r="I60" s="47" t="n">
        <x:f>E60*Paths!I60+(F60+G60+H60)*dep_asia</x:f>
        <x:v>32280</x:v>
      </x:c>
      <x:c r="J60" s="62" t="n">
        <x:f>Labour!AL60</x:f>
        <x:v>128944.85716756039</x:v>
      </x:c>
      <x:c r="K60" s="47" t="n">
        <x:f>SUM(E60:H60)-I60+J60</x:f>
        <x:v>237664.85716756037</x:v>
      </x:c>
      <x:c r="L60" s="47" t="n">
        <x:f>B60+C60+D60+K60</x:f>
        <x:v>8148175.796666081</x:v>
      </x:c>
      <x:c r="M60" s="63" t="n">
        <x:f>IF(B60&gt;0,L60/B60-1,0)</x:f>
        <x:v>0.049615024908757244</x:v>
      </x:c>
      <x:c r="N60" s="47" t="n">
        <x:f>N59*(1+Paths!C60)+F60*(1-dep_asia)</x:f>
        <x:v>973570.7273322482</x:v>
      </x:c>
      <x:c r="O60" s="47" t="n">
        <x:f>O59*(1+Paths!C60)+G60*(1-dep_asia)</x:f>
        <x:v>114689.12161630696</x:v>
      </x:c>
      <x:c r="P60" s="47" t="n">
        <x:f>P59*(1+Paths!C60)+H60*(1-dep_asia)</x:f>
        <x:v>59386.31746961551</x:v>
      </x:c>
      <x:c r="Q60" s="47" t="n">
        <x:f>Q59*(1+Paths!C60)+Labour!AK60*gw_asian</x:f>
        <x:v>69619.01041452834</x:v>
      </x:c>
      <x:c r="R60" s="47" t="n">
        <x:f>R59*(1+Paths!C60)+Labour!AF60*family_mult</x:f>
        <x:v>29443.129083074182</x:v>
      </x:c>
      <x:c r="S60" s="63" t="n">
        <x:f>(N60+O60+P60+Q60+R60)/L60</x:f>
        <x:v>0.15300459109214093</x:v>
      </x:c>
      <x:c r="T60" s="47" t="n">
        <x:f>SUM(E60:H60)*Paths!J60</x:f>
        <x:v>42300</x:v>
      </x:c>
      <x:c r="U60" s="62" t="n">
        <x:f>Paths!K60</x:f>
        <x:v>7412000</x:v>
      </x:c>
      <x:c r="V60" s="47" t="n">
        <x:f>IF(Gulf!E60=1,Gulf!B60,0)</x:f>
        <x:v>0</x:v>
      </x:c>
      <x:c r="W60" s="47" t="n">
        <x:f>L60+V60</x:f>
        <x:v>8148175.796666081</x:v>
      </x:c>
      <x:c r="X60" s="47" t="n">
        <x:f>W60+Labour!L60</x:f>
        <x:v>8457102.173784174</x:v>
      </x:c>
    </x:row>
    <x:row r="61">
      <x:c r="A61" s="58" t="n">
        <x:v>1901</x:v>
      </x:c>
      <x:c r="B61" s="47" t="n">
        <x:f>L60</x:f>
        <x:v>8148175.796666081</x:v>
      </x:c>
      <x:c r="C61" s="62" t="n">
        <x:f>Paths!D61</x:f>
        <x:v>0</x:v>
      </x:c>
      <x:c r="D61" s="47" t="n">
        <x:f>B61*Paths!C61</x:f>
        <x:v>154815.34013665555</x:v>
      </x:c>
      <x:c r="E61" s="47" t="n">
        <x:f>Paths!E61*IF($A61&gt;=1896,mig_scale,1)</x:f>
        <x:v>90000</x:v>
      </x:c>
      <x:c r="F61" s="47" t="n">
        <x:f>Paths!F61*IF($A61&gt;=1896,mig_scale,1)</x:f>
        <x:v>28000</x:v>
      </x:c>
      <x:c r="G61" s="47" t="n">
        <x:f>Paths!G61*IF($A61&gt;=1896,mig_scale,1)</x:f>
        <x:v>14000</x:v>
      </x:c>
      <x:c r="H61" s="47" t="n">
        <x:f>Paths!H61*IF($A61&gt;=1896,mig_scale,1)</x:f>
        <x:v>9000</x:v>
      </x:c>
      <x:c r="I61" s="47" t="n">
        <x:f>E61*Paths!I61+(F61+G61+H61)*dep_asia</x:f>
        <x:v>32280</x:v>
      </x:c>
      <x:c r="J61" s="62" t="n">
        <x:f>Labour!AL61</x:f>
        <x:v>154066.02692273626</x:v>
      </x:c>
      <x:c r="K61" s="47" t="n">
        <x:f>SUM(E61:H61)-I61+J61</x:f>
        <x:v>262786.02692273626</x:v>
      </x:c>
      <x:c r="L61" s="47" t="n">
        <x:f>B61+C61+D61+K61</x:f>
        <x:v>8565777.163725473</x:v>
      </x:c>
      <x:c r="M61" s="63" t="n">
        <x:f>IF(B61&gt;0,L61/B61-1,0)</x:f>
        <x:v>0.05125090296042201</x:v>
      </x:c>
      <x:c r="N61" s="47" t="n">
        <x:f>N60*(1+Paths!C61)+F61*(1-dep_asia)</x:f>
        <x:v>1012228.5711515609</x:v>
      </x:c>
      <x:c r="O61" s="47" t="n">
        <x:f>O60*(1+Paths!C61)+G61*(1-dep_asia)</x:f>
        <x:v>126948.21492701679</x:v>
      </x:c>
      <x:c r="P61" s="47" t="n">
        <x:f>P60*(1+Paths!C61)+H61*(1-dep_asia)</x:f>
        <x:v>66994.6575015382</x:v>
      </x:c>
      <x:c r="Q61" s="47" t="n">
        <x:f>Q60*(1+Paths!C61)+Labour!AK61*gw_asian</x:f>
        <x:v>80950.98623103055</x:v>
      </x:c>
      <x:c r="R61" s="47" t="n">
        <x:f>R60*(1+Paths!C61)+Labour!AF61*family_mult</x:f>
        <x:v>34052.810461369576</x:v>
      </x:c>
      <x:c r="S61" s="63" t="n">
        <x:f>(N61+O61+P61+Q61+R61)/L61</x:f>
        <x:v>0.1542388057755525</x:v>
      </x:c>
      <x:c r="T61" s="47" t="n">
        <x:f>SUM(E61:H61)*Paths!J61</x:f>
        <x:v>42300</x:v>
      </x:c>
      <x:c r="U61" s="62" t="n">
        <x:f>Paths!K61</x:f>
        <x:v>7475000</x:v>
      </x:c>
      <x:c r="V61" s="47" t="n">
        <x:f>IF(Gulf!E61=1,Gulf!B61,0)</x:f>
        <x:v>0</x:v>
      </x:c>
      <x:c r="W61" s="47" t="n">
        <x:f>L61+V61</x:f>
        <x:v>8565777.163725473</x:v>
      </x:c>
      <x:c r="X61" s="47" t="n">
        <x:f>W61+Labour!L61</x:f>
        <x:v>8890333.669611124</x:v>
      </x:c>
    </x:row>
    <x:row r="62">
      <x:c r="A62" s="58" t="n">
        <x:v>1902</x:v>
      </x:c>
      <x:c r="B62" s="47" t="n">
        <x:f>L61</x:f>
        <x:v>8565777.163725473</x:v>
      </x:c>
      <x:c r="C62" s="62" t="n">
        <x:f>Paths!D62</x:f>
        <x:v>0</x:v>
      </x:c>
      <x:c r="D62" s="47" t="n">
        <x:f>B62*Paths!C62</x:f>
        <x:v>162749.766110784</x:v>
      </x:c>
      <x:c r="E62" s="47" t="n">
        <x:f>Paths!E62*IF($A62&gt;=1896,mig_scale,1)</x:f>
        <x:v>90000</x:v>
      </x:c>
      <x:c r="F62" s="47" t="n">
        <x:f>Paths!F62*IF($A62&gt;=1896,mig_scale,1)</x:f>
        <x:v>28000</x:v>
      </x:c>
      <x:c r="G62" s="47" t="n">
        <x:f>Paths!G62*IF($A62&gt;=1896,mig_scale,1)</x:f>
        <x:v>14000</x:v>
      </x:c>
      <x:c r="H62" s="47" t="n">
        <x:f>Paths!H62*IF($A62&gt;=1896,mig_scale,1)</x:f>
        <x:v>9000</x:v>
      </x:c>
      <x:c r="I62" s="47" t="n">
        <x:f>E62*Paths!I62+(F62+G62+H62)*dep_asia</x:f>
        <x:v>32280</x:v>
      </x:c>
      <x:c r="J62" s="62" t="n">
        <x:f>Labour!AL62</x:f>
        <x:v>182490.32029150482</x:v>
      </x:c>
      <x:c r="K62" s="47" t="n">
        <x:f>SUM(E62:H62)-I62+J62</x:f>
        <x:v>291210.32029150485</x:v>
      </x:c>
      <x:c r="L62" s="47" t="n">
        <x:f>B62+C62+D62+K62</x:f>
        <x:v>9019737.25012776</x:v>
      </x:c>
      <x:c r="M62" s="63" t="n">
        <x:f>IF(B62&gt;0,L62/B62-1,0)</x:f>
        <x:v>0.05299695260865844</x:v>
      </x:c>
      <x:c r="N62" s="47" t="n">
        <x:f>N61*(1+Paths!C62)+F62*(1-dep_asia)</x:f>
        <x:v>1051620.9140034404</x:v>
      </x:c>
      <x:c r="O62" s="47" t="n">
        <x:f>O61*(1+Paths!C62)+G62*(1-dep_asia)</x:f>
        <x:v>139440.2310106301</x:v>
      </x:c>
      <x:c r="P62" s="47" t="n">
        <x:f>P61*(1+Paths!C62)+H62*(1-dep_asia)</x:f>
        <x:v>74747.55599406741</x:v>
      </x:c>
      <x:c r="Q62" s="47" t="n">
        <x:f>Q61*(1+Paths!C62)+Labour!AK62*gw_asian</x:f>
        <x:v>93004.68576011523</x:v>
      </x:c>
      <x:c r="R62" s="47" t="n">
        <x:f>R61*(1+Paths!C62)+Labour!AF62*family_mult</x:f>
        <x:v>39163.29119758362</x:v>
      </x:c>
      <x:c r="S62" s="63" t="n">
        <x:f>(N62+O62+P62+Q62+R62)/L62</x:f>
        <x:v>0.15499084277050695</x:v>
      </x:c>
      <x:c r="T62" s="47" t="n">
        <x:f>SUM(E62:H62)*Paths!J62</x:f>
        <x:v>42300</x:v>
      </x:c>
      <x:c r="U62" s="62" t="n">
        <x:f>Paths!K62</x:f>
        <x:v>7538000</x:v>
      </x:c>
      <x:c r="V62" s="47" t="n">
        <x:f>IF(Gulf!E62=1,Gulf!B62,0)</x:f>
        <x:v>0</x:v>
      </x:c>
      <x:c r="W62" s="47" t="n">
        <x:f>L62+V62</x:f>
        <x:v>9019737.25012776</x:v>
      </x:c>
      <x:c r="X62" s="47" t="n">
        <x:f>W62+Labour!L62</x:f>
        <x:v>9362815.111292528</x:v>
      </x:c>
    </x:row>
    <x:row r="63">
      <x:c r="A63" s="58" t="n">
        <x:v>1903</x:v>
      </x:c>
      <x:c r="B63" s="47" t="n">
        <x:f>L62</x:f>
        <x:v>9019737.25012776</x:v>
      </x:c>
      <x:c r="C63" s="62" t="n">
        <x:f>Paths!D63</x:f>
        <x:v>0</x:v>
      </x:c>
      <x:c r="D63" s="47" t="n">
        <x:f>B63*Paths!C63</x:f>
        <x:v>171375.00775242745</x:v>
      </x:c>
      <x:c r="E63" s="47" t="n">
        <x:f>Paths!E63*IF($A63&gt;=1896,mig_scale,1)</x:f>
        <x:v>90000</x:v>
      </x:c>
      <x:c r="F63" s="47" t="n">
        <x:f>Paths!F63*IF($A63&gt;=1896,mig_scale,1)</x:f>
        <x:v>28000</x:v>
      </x:c>
      <x:c r="G63" s="47" t="n">
        <x:f>Paths!G63*IF($A63&gt;=1896,mig_scale,1)</x:f>
        <x:v>14000</x:v>
      </x:c>
      <x:c r="H63" s="47" t="n">
        <x:f>Paths!H63*IF($A63&gt;=1896,mig_scale,1)</x:f>
        <x:v>9000</x:v>
      </x:c>
      <x:c r="I63" s="47" t="n">
        <x:f>E63*Paths!I63+(F63+G63+H63)*dep_asia</x:f>
        <x:v>32280</x:v>
      </x:c>
      <x:c r="J63" s="62" t="n">
        <x:f>Labour!AL63</x:f>
        <x:v>206262.37528737314</x:v>
      </x:c>
      <x:c r="K63" s="47" t="n">
        <x:f>SUM(E63:H63)-I63+J63</x:f>
        <x:v>314982.37528737314</x:v>
      </x:c>
      <x:c r="L63" s="47" t="n">
        <x:f>B63+C63+D63+K63</x:f>
        <x:v>9506094.633167561</x:v>
      </x:c>
      <x:c r="M63" s="63" t="n">
        <x:f>IF(B63&gt;0,L63/B63-1,0)</x:f>
        <x:v>0.053921457970731</x:v>
      </x:c>
      <x:c r="N63" s="47" t="n">
        <x:f>N62*(1+Paths!C63)+F63*(1-dep_asia)</x:f>
        <x:v>1091761.7113695056</x:v>
      </x:c>
      <x:c r="O63" s="47" t="n">
        <x:f>O62*(1+Paths!C63)+G63*(1-dep_asia)</x:f>
        <x:v>152169.59539983203</x:v>
      </x:c>
      <x:c r="P63" s="47" t="n">
        <x:f>P62*(1+Paths!C63)+H63*(1-dep_asia)</x:f>
        <x:v>82647.75955795469</x:v>
      </x:c>
      <x:c r="Q63" s="47" t="n">
        <x:f>Q62*(1+Paths!C63)+Labour!AK63*gw_asian</x:f>
        <x:v>105887.49749129587</x:v>
      </x:c>
      <x:c r="R63" s="47" t="n">
        <x:f>R62*(1+Paths!C63)+Labour!AF63*family_mult</x:f>
        <x:v>44630.76843418668</x:v>
      </x:c>
      <x:c r="S63" s="63" t="n">
        <x:f>(N63+O63+P63+Q63+R63)/L63</x:f>
        <x:v>0.15538424445082408</x:v>
      </x:c>
      <x:c r="T63" s="47" t="n">
        <x:f>SUM(E63:H63)*Paths!J63</x:f>
        <x:v>42300</x:v>
      </x:c>
      <x:c r="U63" s="62" t="n">
        <x:f>Paths!K63</x:f>
        <x:v>7600000</x:v>
      </x:c>
      <x:c r="V63" s="47" t="n">
        <x:f>IF(Gulf!E63=1,Gulf!B63,0)</x:f>
        <x:v>0</x:v>
      </x:c>
      <x:c r="W63" s="47" t="n">
        <x:f>L63+V63</x:f>
        <x:v>9506094.633167561</x:v>
      </x:c>
      <x:c r="X63" s="47" t="n">
        <x:f>W63+Labour!L63</x:f>
        <x:v>9869641.923603017</x:v>
      </x:c>
    </x:row>
    <x:row r="64">
      <x:c r="A64" s="58" t="n">
        <x:v>1904</x:v>
      </x:c>
      <x:c r="B64" s="47" t="n">
        <x:f>L63</x:f>
        <x:v>9506094.633167561</x:v>
      </x:c>
      <x:c r="C64" s="62" t="n">
        <x:f>Paths!D64</x:f>
        <x:v>0</x:v>
      </x:c>
      <x:c r="D64" s="47" t="n">
        <x:f>B64*Paths!C64</x:f>
        <x:v>180615.79803018365</x:v>
      </x:c>
      <x:c r="E64" s="47" t="n">
        <x:f>Paths!E64*IF($A64&gt;=1896,mig_scale,1)</x:f>
        <x:v>90000</x:v>
      </x:c>
      <x:c r="F64" s="47" t="n">
        <x:f>Paths!F64*IF($A64&gt;=1896,mig_scale,1)</x:f>
        <x:v>28000</x:v>
      </x:c>
      <x:c r="G64" s="47" t="n">
        <x:f>Paths!G64*IF($A64&gt;=1896,mig_scale,1)</x:f>
        <x:v>14000</x:v>
      </x:c>
      <x:c r="H64" s="47" t="n">
        <x:f>Paths!H64*IF($A64&gt;=1896,mig_scale,1)</x:f>
        <x:v>9000</x:v>
      </x:c>
      <x:c r="I64" s="47" t="n">
        <x:f>E64*Paths!I64+(F64+G64+H64)*dep_asia</x:f>
        <x:v>32280</x:v>
      </x:c>
      <x:c r="J64" s="62" t="n">
        <x:f>Labour!AL64</x:f>
        <x:v>223808.5203017395</x:v>
      </x:c>
      <x:c r="K64" s="47" t="n">
        <x:f>SUM(E64:H64)-I64+J64</x:f>
        <x:v>332528.5203017395</x:v>
      </x:c>
      <x:c r="L64" s="47" t="n">
        <x:f>B64+C64+D64+K64</x:f>
        <x:v>10019238.951499483</x:v>
      </x:c>
      <x:c r="M64" s="63" t="n">
        <x:f>IF(B64&gt;0,L64/B64-1,0)</x:f>
        <x:v>0.053980560696452295</x:v>
      </x:c>
      <x:c r="N64" s="47" t="n">
        <x:f>N63*(1+Paths!C64)+F64*(1-dep_asia)</x:f>
        <x:v>1132665.1838855261</x:v>
      </x:c>
      <x:c r="O64" s="47" t="n">
        <x:f>O63*(1+Paths!C64)+G64*(1-dep_asia)</x:f>
        <x:v>165140.81771242883</x:v>
      </x:c>
      <x:c r="P64" s="47" t="n">
        <x:f>P63*(1+Paths!C64)+H64*(1-dep_asia)</x:f>
        <x:v>90698.06698955582</x:v>
      </x:c>
      <x:c r="Q64" s="47" t="n">
        <x:f>Q63*(1+Paths!C64)+Labour!AK64*gw_asian</x:f>
        <x:v>119678.29215373924</x:v>
      </x:c>
      <x:c r="R64" s="47" t="n">
        <x:f>R63*(1+Paths!C64)+Labour!AF64*family_mult</x:f>
        <x:v>50840.89839174955</x:v>
      </x:c>
      <x:c r="S64" s="63" t="n">
        <x:f>(N64+O64+P64+Q64+R64)/L64</x:f>
        <x:v>0.15560296212914207</x:v>
      </x:c>
      <x:c r="T64" s="47" t="n">
        <x:f>SUM(E64:H64)*Paths!J64</x:f>
        <x:v>42300</x:v>
      </x:c>
      <x:c r="U64" s="62" t="n">
        <x:f>Paths!K64</x:f>
        <x:v>7780000</x:v>
      </x:c>
      <x:c r="V64" s="47" t="n">
        <x:f>IF(Gulf!E64=1,Gulf!B64,0)</x:f>
        <x:v>0</x:v>
      </x:c>
      <x:c r="W64" s="47" t="n">
        <x:f>L64+V64</x:f>
        <x:v>10019238.951499483</x:v>
      </x:c>
      <x:c r="X64" s="47" t="n">
        <x:f>W64+Labour!L64</x:f>
        <x:v>10404548.135420771</x:v>
      </x:c>
    </x:row>
    <x:row r="65">
      <x:c r="A65" s="58" t="n">
        <x:v>1905</x:v>
      </x:c>
      <x:c r="B65" s="47" t="n">
        <x:f>L64</x:f>
        <x:v>10019238.951499483</x:v>
      </x:c>
      <x:c r="C65" s="62" t="n">
        <x:f>Paths!D65</x:f>
        <x:v>0</x:v>
      </x:c>
      <x:c r="D65" s="47" t="n">
        <x:f>B65*Paths!C65</x:f>
        <x:v>190365.54007849016</x:v>
      </x:c>
      <x:c r="E65" s="47" t="n">
        <x:f>Paths!E65*IF($A65&gt;=1896,mig_scale,1)</x:f>
        <x:v>90000</x:v>
      </x:c>
      <x:c r="F65" s="47" t="n">
        <x:f>Paths!F65*IF($A65&gt;=1896,mig_scale,1)</x:f>
        <x:v>28000</x:v>
      </x:c>
      <x:c r="G65" s="47" t="n">
        <x:f>Paths!G65*IF($A65&gt;=1896,mig_scale,1)</x:f>
        <x:v>14000</x:v>
      </x:c>
      <x:c r="H65" s="47" t="n">
        <x:f>Paths!H65*IF($A65&gt;=1896,mig_scale,1)</x:f>
        <x:v>9000</x:v>
      </x:c>
      <x:c r="I65" s="47" t="n">
        <x:f>E65*Paths!I65+(F65+G65+H65)*dep_asia</x:f>
        <x:v>32280</x:v>
      </x:c>
      <x:c r="J65" s="62" t="n">
        <x:f>Labour!AL65</x:f>
        <x:v>240484.3179936686</x:v>
      </x:c>
      <x:c r="K65" s="47" t="n">
        <x:f>SUM(E65:H65)-I65+J65</x:f>
        <x:v>349204.3179936686</x:v>
      </x:c>
      <x:c r="L65" s="47" t="n">
        <x:f>B65+C65+D65+K65</x:f>
        <x:v>10558808.809571642</x:v>
      </x:c>
      <x:c r="M65" s="63" t="n">
        <x:f>IF(B65&gt;0,L65/B65-1,0)</x:f>
        <x:v>0.05385337755532893</x:v>
      </x:c>
      <x:c r="N65" s="47" t="n">
        <x:f>N64*(1+Paths!C65)+F65*(1-dep_asia)</x:f>
        <x:v>1174345.8223793511</x:v>
      </x:c>
      <x:c r="O65" s="47" t="n">
        <x:f>O64*(1+Paths!C65)+G65*(1-dep_asia)</x:f>
        <x:v>178358.49324896498</x:v>
      </x:c>
      <x:c r="P65" s="47" t="n">
        <x:f>P64*(1+Paths!C65)+H65*(1-dep_asia)</x:f>
        <x:v>98901.33026235737</x:v>
      </x:c>
      <x:c r="Q65" s="47" t="n">
        <x:f>Q64*(1+Paths!C65)+Labour!AK65*gw_asian</x:f>
        <x:v>134436.19726371003</x:v>
      </x:c>
      <x:c r="R65" s="47" t="n">
        <x:f>R64*(1+Paths!C65)+Labour!AF65*family_mult</x:f>
        <x:v>58083.280340060184</x:v>
      </x:c>
      <x:c r="S65" s="63" t="n">
        <x:f>(N65+O65+P65+Q65+R65)/L65</x:f>
        <x:v>0.155711231555214</x:v>
      </x:c>
      <x:c r="T65" s="47" t="n">
        <x:f>SUM(E65:H65)*Paths!J65</x:f>
        <x:v>42300</x:v>
      </x:c>
      <x:c r="U65" s="62" t="n">
        <x:f>Paths!K65</x:f>
        <x:v>7960000</x:v>
      </x:c>
      <x:c r="V65" s="47" t="n">
        <x:f>IF(Gulf!E65=1,Gulf!B65,0)</x:f>
        <x:v>0</x:v>
      </x:c>
      <x:c r="W65" s="47" t="n">
        <x:f>L65+V65</x:f>
        <x:v>10558808.809571642</x:v>
      </x:c>
      <x:c r="X65" s="47" t="n">
        <x:f>W65+Labour!L65</x:f>
        <x:v>10967206.754520152</x:v>
      </x:c>
    </x:row>
    <x:row r="66">
      <x:c r="A66" s="58" t="n">
        <x:v>1906</x:v>
      </x:c>
      <x:c r="B66" s="47" t="n">
        <x:f>L65</x:f>
        <x:v>10558808.809571642</x:v>
      </x:c>
      <x:c r="C66" s="62" t="n">
        <x:f>Paths!D66</x:f>
        <x:v>0</x:v>
      </x:c>
      <x:c r="D66" s="47" t="n">
        <x:f>B66*Paths!C66</x:f>
        <x:v>200617.3673818612</x:v>
      </x:c>
      <x:c r="E66" s="47" t="n">
        <x:f>Paths!E66*IF($A66&gt;=1896,mig_scale,1)</x:f>
        <x:v>90000</x:v>
      </x:c>
      <x:c r="F66" s="47" t="n">
        <x:f>Paths!F66*IF($A66&gt;=1896,mig_scale,1)</x:f>
        <x:v>28000</x:v>
      </x:c>
      <x:c r="G66" s="47" t="n">
        <x:f>Paths!G66*IF($A66&gt;=1896,mig_scale,1)</x:f>
        <x:v>14000</x:v>
      </x:c>
      <x:c r="H66" s="47" t="n">
        <x:f>Paths!H66*IF($A66&gt;=1896,mig_scale,1)</x:f>
        <x:v>9000</x:v>
      </x:c>
      <x:c r="I66" s="47" t="n">
        <x:f>E66*Paths!I66+(F66+G66+H66)*dep_asia</x:f>
        <x:v>32280</x:v>
      </x:c>
      <x:c r="J66" s="62" t="n">
        <x:f>Labour!AL66</x:f>
        <x:v>252766.72938648594</x:v>
      </x:c>
      <x:c r="K66" s="47" t="n">
        <x:f>SUM(E66:H66)-I66+J66</x:f>
        <x:v>361486.72938648594</x:v>
      </x:c>
      <x:c r="L66" s="47" t="n">
        <x:f>B66+C66+D66+K66</x:f>
        <x:v>11120912.90633999</x:v>
      </x:c>
      <x:c r="M66" s="63" t="n">
        <x:f>IF(B66&gt;0,L66/B66-1,0)</x:f>
        <x:v>0.05323555970241611</x:v>
      </x:c>
      <x:c r="N66" s="47" t="n">
        <x:f>N65*(1+Paths!C66)+F66*(1-dep_asia)</x:f>
        <x:v>1216818.3930045587</x:v>
      </x:c>
      <x:c r="O66" s="47" t="n">
        <x:f>O65*(1+Paths!C66)+G66*(1-dep_asia)</x:f>
        <x:v>191827.3046206953</x:v>
      </x:c>
      <x:c r="P66" s="47" t="n">
        <x:f>P65*(1+Paths!C66)+H66*(1-dep_asia)</x:f>
        <x:v>107260.45553734215</x:v>
      </x:c>
      <x:c r="Q66" s="47" t="n">
        <x:f>Q65*(1+Paths!C66)+Labour!AK66*gw_asian</x:f>
        <x:v>150222.57842805222</x:v>
      </x:c>
      <x:c r="R66" s="47" t="n">
        <x:f>R65*(1+Paths!C66)+Labour!AF66*family_mult</x:f>
        <x:v>66538.0121174626</x:v>
      </x:c>
      <x:c r="S66" s="63" t="n">
        <x:f>(N66+O66+P66+Q66+R66)/L66</x:f>
        <x:v>0.15580256389925726</x:v>
      </x:c>
      <x:c r="T66" s="47" t="n">
        <x:f>SUM(E66:H66)*Paths!J66</x:f>
        <x:v>42300</x:v>
      </x:c>
      <x:c r="U66" s="62" t="n">
        <x:f>Paths!K66</x:f>
        <x:v>8140000</x:v>
      </x:c>
      <x:c r="V66" s="47" t="n">
        <x:f>IF(Gulf!E66=1,Gulf!B66,0)</x:f>
        <x:v>0</x:v>
      </x:c>
      <x:c r="W66" s="47" t="n">
        <x:f>L66+V66</x:f>
        <x:v>11120912.90633999</x:v>
      </x:c>
      <x:c r="X66" s="47" t="n">
        <x:f>W66+Labour!L66</x:f>
        <x:v>11552617.88016051</x:v>
      </x:c>
    </x:row>
    <x:row r="67">
      <x:c r="A67" s="58" t="n">
        <x:v>1907</x:v>
      </x:c>
      <x:c r="B67" s="47" t="n">
        <x:f>L66</x:f>
        <x:v>11120912.90633999</x:v>
      </x:c>
      <x:c r="C67" s="62" t="n">
        <x:f>Paths!D67</x:f>
        <x:v>0</x:v>
      </x:c>
      <x:c r="D67" s="47" t="n">
        <x:f>B67*Paths!C67</x:f>
        <x:v>211297.3452204598</x:v>
      </x:c>
      <x:c r="E67" s="47" t="n">
        <x:f>Paths!E67*IF($A67&gt;=1896,mig_scale,1)</x:f>
        <x:v>90000</x:v>
      </x:c>
      <x:c r="F67" s="47" t="n">
        <x:f>Paths!F67*IF($A67&gt;=1896,mig_scale,1)</x:f>
        <x:v>28000</x:v>
      </x:c>
      <x:c r="G67" s="47" t="n">
        <x:f>Paths!G67*IF($A67&gt;=1896,mig_scale,1)</x:f>
        <x:v>25000</x:v>
      </x:c>
      <x:c r="H67" s="47" t="n">
        <x:f>Paths!H67*IF($A67&gt;=1896,mig_scale,1)</x:f>
        <x:v>9000</x:v>
      </x:c>
      <x:c r="I67" s="47" t="n">
        <x:f>E67*Paths!I67+(F67+G67+H67)*dep_asia</x:f>
        <x:v>35360</x:v>
      </x:c>
      <x:c r="J67" s="62" t="n">
        <x:f>Labour!AL67</x:f>
        <x:v>255641.08155964746</x:v>
      </x:c>
      <x:c r="K67" s="47" t="n">
        <x:f>SUM(E67:H67)-I67+J67</x:f>
        <x:v>372281.08155964746</x:v>
      </x:c>
      <x:c r="L67" s="47" t="n">
        <x:f>B67+C67+D67+K67</x:f>
        <x:v>11704491.333120096</x:v>
      </x:c>
      <x:c r="M67" s="63" t="n">
        <x:f>IF(B67&gt;0,L67/B67-1,0)</x:f>
        <x:v>0.052475766305786875</x:v>
      </x:c>
      <x:c r="N67" s="47" t="n">
        <x:f>N66*(1+Paths!C67)+F67*(1-dep_asia)</x:f>
        <x:v>1260097.9424716453</x:v>
      </x:c>
      <x:c r="O67" s="47" t="n">
        <x:f>O66*(1+Paths!C67)+G67*(1-dep_asia)</x:f>
        <x:v>213472.0234084885</x:v>
      </x:c>
      <x:c r="P67" s="47" t="n">
        <x:f>P66*(1+Paths!C67)+H67*(1-dep_asia)</x:f>
        <x:v>115778.40419255164</x:v>
      </x:c>
      <x:c r="Q67" s="47" t="n">
        <x:f>Q66*(1+Paths!C67)+Labour!AK67*gw_asian</x:f>
        <x:v>167064.04856997004</x:v>
      </x:c>
      <x:c r="R67" s="47" t="n">
        <x:f>R66*(1+Paths!C67)+Labour!AF67*family_mult</x:f>
        <x:v>76136.08328901183</x:v>
      </x:c>
      <x:c r="S67" s="63" t="n">
        <x:f>(N67+O67+P67+Q67+R67)/L67</x:f>
        <x:v>0.15656797461553248</x:v>
      </x:c>
      <x:c r="T67" s="47" t="n">
        <x:f>SUM(E67:H67)*Paths!J67</x:f>
        <x:v>45600</x:v>
      </x:c>
      <x:c r="U67" s="62" t="n">
        <x:f>Paths!K67</x:f>
        <x:v>8320000</x:v>
      </x:c>
      <x:c r="V67" s="47" t="n">
        <x:f>IF(Gulf!E67=1,Gulf!B67,0)</x:f>
        <x:v>0</x:v>
      </x:c>
      <x:c r="W67" s="47" t="n">
        <x:f>L67+V67</x:f>
        <x:v>11704491.333120096</x:v>
      </x:c>
      <x:c r="X67" s="47" t="n">
        <x:f>W67+Labour!L67</x:f>
        <x:v>12147674.410568815</x:v>
      </x:c>
    </x:row>
    <x:row r="68">
      <x:c r="A68" s="58" t="n">
        <x:v>1908</x:v>
      </x:c>
      <x:c r="B68" s="47" t="n">
        <x:f>L67</x:f>
        <x:v>11704491.333120096</x:v>
      </x:c>
      <x:c r="C68" s="62" t="n">
        <x:f>Paths!D68</x:f>
        <x:v>0</x:v>
      </x:c>
      <x:c r="D68" s="47" t="n">
        <x:f>B68*Paths!C68</x:f>
        <x:v>222385.33532928184</x:v>
      </x:c>
      <x:c r="E68" s="47" t="n">
        <x:f>Paths!E68*IF($A68&gt;=1896,mig_scale,1)</x:f>
        <x:v>90000</x:v>
      </x:c>
      <x:c r="F68" s="47" t="n">
        <x:f>Paths!F68*IF($A68&gt;=1896,mig_scale,1)</x:f>
        <x:v>28000</x:v>
      </x:c>
      <x:c r="G68" s="47" t="n">
        <x:f>Paths!G68*IF($A68&gt;=1896,mig_scale,1)</x:f>
        <x:v>25000</x:v>
      </x:c>
      <x:c r="H68" s="47" t="n">
        <x:f>Paths!H68*IF($A68&gt;=1896,mig_scale,1)</x:f>
        <x:v>9000</x:v>
      </x:c>
      <x:c r="I68" s="47" t="n">
        <x:f>E68*Paths!I68+(F68+G68+H68)*dep_asia</x:f>
        <x:v>35360</x:v>
      </x:c>
      <x:c r="J68" s="62" t="n">
        <x:f>Labour!AL68</x:f>
        <x:v>191494.53766672898</x:v>
      </x:c>
      <x:c r="K68" s="47" t="n">
        <x:f>SUM(E68:H68)-I68+J68</x:f>
        <x:v>308134.53766672895</x:v>
      </x:c>
      <x:c r="L68" s="47" t="n">
        <x:f>B68+C68+D68+K68</x:f>
        <x:v>12235011.206116106</x:v>
      </x:c>
      <x:c r="M68" s="63" t="n">
        <x:f>IF(B68&gt;0,L68/B68-1,0)</x:f>
        <x:v>0.04532617931842986</x:v>
      </x:c>
      <x:c r="N68" s="47" t="n">
        <x:f>N67*(1+Paths!C68)+F68*(1-dep_asia)</x:f>
        <x:v>1304199.8033786064</x:v>
      </x:c>
      <x:c r="O68" s="47" t="n">
        <x:f>O67*(1+Paths!C68)+G68*(1-dep_asia)</x:f>
        <x:v>235527.99185324975</x:v>
      </x:c>
      <x:c r="P68" s="47" t="n">
        <x:f>P67*(1+Paths!C68)+H68*(1-dep_asia)</x:f>
        <x:v>124458.1938722101</x:v>
      </x:c>
      <x:c r="Q68" s="47" t="n">
        <x:f>Q67*(1+Paths!C68)+Labour!AK68*gw_asian</x:f>
        <x:v>184597.39720213792</x:v>
      </x:c>
      <x:c r="R68" s="47" t="n">
        <x:f>R67*(1+Paths!C68)+Labour!AF68*family_mult</x:f>
        <x:v>86295.56271306767</x:v>
      </x:c>
      <x:c r="S68" s="63" t="n">
        <x:f>(N68+O68+P68+Q68+R68)/L68</x:f>
        <x:v>0.15815914807270087</x:v>
      </x:c>
      <x:c r="T68" s="47" t="n">
        <x:f>SUM(E68:H68)*Paths!J68</x:f>
        <x:v>45600</x:v>
      </x:c>
      <x:c r="U68" s="62" t="n">
        <x:f>Paths!K68</x:f>
        <x:v>8500000</x:v>
      </x:c>
      <x:c r="V68" s="47" t="n">
        <x:f>IF(Gulf!E68=1,Gulf!B68,0)</x:f>
        <x:v>0</x:v>
      </x:c>
      <x:c r="W68" s="47" t="n">
        <x:f>L68+V68</x:f>
        <x:v>12235011.206116106</x:v>
      </x:c>
      <x:c r="X68" s="47" t="n">
        <x:f>W68+Labour!L68</x:f>
        <x:v>12668985.936760923</x:v>
      </x:c>
    </x:row>
    <x:row r="69">
      <x:c r="A69" s="58" t="n">
        <x:v>1909</x:v>
      </x:c>
      <x:c r="B69" s="47" t="n">
        <x:f>L68</x:f>
        <x:v>12235011.206116106</x:v>
      </x:c>
      <x:c r="C69" s="62" t="n">
        <x:f>Paths!D69</x:f>
        <x:v>0</x:v>
      </x:c>
      <x:c r="D69" s="47" t="n">
        <x:f>B69*Paths!C69</x:f>
        <x:v>232465.21291620602</x:v>
      </x:c>
      <x:c r="E69" s="47" t="n">
        <x:f>Paths!E69*IF($A69&gt;=1896,mig_scale,1)</x:f>
        <x:v>90000</x:v>
      </x:c>
      <x:c r="F69" s="47" t="n">
        <x:f>Paths!F69*IF($A69&gt;=1896,mig_scale,1)</x:f>
        <x:v>28000</x:v>
      </x:c>
      <x:c r="G69" s="47" t="n">
        <x:f>Paths!G69*IF($A69&gt;=1896,mig_scale,1)</x:f>
        <x:v>25000</x:v>
      </x:c>
      <x:c r="H69" s="47" t="n">
        <x:f>Paths!H69*IF($A69&gt;=1896,mig_scale,1)</x:f>
        <x:v>9000</x:v>
      </x:c>
      <x:c r="I69" s="47" t="n">
        <x:f>E69*Paths!I69+(F69+G69+H69)*dep_asia</x:f>
        <x:v>35360</x:v>
      </x:c>
      <x:c r="J69" s="62" t="n">
        <x:f>Labour!AL69</x:f>
        <x:v>181109.47983274257</x:v>
      </x:c>
      <x:c r="K69" s="47" t="n">
        <x:f>SUM(E69:H69)-I69+J69</x:f>
        <x:v>297749.4798327426</x:v>
      </x:c>
      <x:c r="L69" s="47" t="n">
        <x:f>B69+C69+D69+K69</x:f>
        <x:v>12765225.898865055</x:v>
      </x:c>
      <x:c r="M69" s="63" t="n">
        <x:f>IF(B69&gt;0,L69/B69-1,0)</x:f>
        <x:v>0.043335856732513944</x:v>
      </x:c>
      <x:c r="N69" s="47" t="n">
        <x:f>N68*(1+Paths!C69)+F69*(1-dep_asia)</x:f>
        <x:v>1349139.5996428</x:v>
      </x:c>
      <x:c r="O69" s="47" t="n">
        <x:f>O68*(1+Paths!C69)+G69*(1-dep_asia)</x:f>
        <x:v>258003.02369846147</x:v>
      </x:c>
      <x:c r="P69" s="47" t="n">
        <x:f>P68*(1+Paths!C69)+H69*(1-dep_asia)</x:f>
        <x:v>133302.8995557821</x:v>
      </x:c>
      <x:c r="Q69" s="47" t="n">
        <x:f>Q68*(1+Paths!C69)+Labour!AK69*gw_asian</x:f>
        <x:v>202165.52902187055</x:v>
      </x:c>
      <x:c r="R69" s="47" t="n">
        <x:f>R68*(1+Paths!C69)+Labour!AF69*family_mult</x:f>
        <x:v>95958.17385247482</x:v>
      </x:c>
      <x:c r="S69" s="63" t="n">
        <x:f>(N69+O69+P69+Q69+R69)/L69</x:f>
        <x:v>0.15969707406060368</x:v>
      </x:c>
      <x:c r="T69" s="47" t="n">
        <x:f>SUM(E69:H69)*Paths!J69</x:f>
        <x:v>45600</x:v>
      </x:c>
      <x:c r="U69" s="62" t="n">
        <x:f>Paths!K69</x:f>
        <x:v>8680000</x:v>
      </x:c>
      <x:c r="V69" s="47" t="n">
        <x:f>IF(Gulf!E69=1,Gulf!B69,0)</x:f>
        <x:v>0</x:v>
      </x:c>
      <x:c r="W69" s="47" t="n">
        <x:f>L69+V69</x:f>
        <x:v>12765225.898865055</x:v>
      </x:c>
      <x:c r="X69" s="47" t="n">
        <x:f>W69+Labour!L69</x:f>
        <x:v>13243644.18184524</x:v>
      </x:c>
    </x:row>
    <x:row r="70">
      <x:c r="A70" s="58" t="n">
        <x:v>1910</x:v>
      </x:c>
      <x:c r="B70" s="47" t="n">
        <x:f>L69</x:f>
        <x:v>12765225.898865055</x:v>
      </x:c>
      <x:c r="C70" s="62" t="n">
        <x:f>Paths!D70</x:f>
        <x:v>0</x:v>
      </x:c>
      <x:c r="D70" s="47" t="n">
        <x:f>B70*Paths!C70</x:f>
        <x:v>242539.29207843603</x:v>
      </x:c>
      <x:c r="E70" s="47" t="n">
        <x:f>Paths!E70*IF($A70&gt;=1896,mig_scale,1)</x:f>
        <x:v>90000</x:v>
      </x:c>
      <x:c r="F70" s="47" t="n">
        <x:f>Paths!F70*IF($A70&gt;=1896,mig_scale,1)</x:f>
        <x:v>28000</x:v>
      </x:c>
      <x:c r="G70" s="47" t="n">
        <x:f>Paths!G70*IF($A70&gt;=1896,mig_scale,1)</x:f>
        <x:v>25000</x:v>
      </x:c>
      <x:c r="H70" s="47" t="n">
        <x:f>Paths!H70*IF($A70&gt;=1896,mig_scale,1)</x:f>
        <x:v>9000</x:v>
      </x:c>
      <x:c r="I70" s="47" t="n">
        <x:f>E70*Paths!I70+(F70+G70+H70)*dep_asia</x:f>
        <x:v>35360</x:v>
      </x:c>
      <x:c r="J70" s="62" t="n">
        <x:f>Labour!AL70</x:f>
        <x:v>204056.4686128345</x:v>
      </x:c>
      <x:c r="K70" s="47" t="n">
        <x:f>SUM(E70:H70)-I70+J70</x:f>
        <x:v>320696.46861283446</x:v>
      </x:c>
      <x:c r="L70" s="47" t="n">
        <x:f>B70+C70+D70+K70</x:f>
        <x:v>13328461.659556326</x:v>
      </x:c>
      <x:c r="M70" s="63" t="n">
        <x:f>IF(B70&gt;0,L70/B70-1,0)</x:f>
        <x:v>0.0441226630185485</x:v>
      </x:c>
      <x:c r="N70" s="47" t="n">
        <x:f>N69*(1+Paths!C70)+F70*(1-dep_asia)</x:f>
        <x:v>1394933.252036013</x:v>
      </x:c>
      <x:c r="O70" s="47" t="n">
        <x:f>O69*(1+Paths!C70)+G70*(1-dep_asia)</x:f>
        <x:v>280905.0811487322</x:v>
      </x:c>
      <x:c r="P70" s="47" t="n">
        <x:f>P69*(1+Paths!C70)+H70*(1-dep_asia)</x:f>
        <x:v>142315.65464734193</x:v>
      </x:c>
      <x:c r="Q70" s="47" t="n">
        <x:f>Q69*(1+Paths!C70)+Labour!AK70*gw_asian</x:f>
        <x:v>221507.42644184406</x:v>
      </x:c>
      <x:c r="R70" s="47" t="n">
        <x:f>R69*(1+Paths!C70)+Labour!AF70*family_mult</x:f>
        <x:v>108275.39342779209</x:v>
      </x:c>
      <x:c r="S70" s="63" t="n">
        <x:f>(N70+O70+P70+Q70+R70)/L70</x:f>
        <x:v>0.16115414235833297</x:v>
      </x:c>
      <x:c r="T70" s="47" t="n">
        <x:f>SUM(E70:H70)*Paths!J70</x:f>
        <x:v>45600</x:v>
      </x:c>
      <x:c r="U70" s="62" t="n">
        <x:f>Paths!K70</x:f>
        <x:v>8860000</x:v>
      </x:c>
      <x:c r="V70" s="47" t="n">
        <x:f>IF(Gulf!E70=1,Gulf!B70,0)</x:f>
        <x:v>0</x:v>
      </x:c>
      <x:c r="W70" s="47" t="n">
        <x:f>L70+V70</x:f>
        <x:v>13328461.659556326</x:v>
      </x:c>
      <x:c r="X70" s="47" t="n">
        <x:f>W70+Labour!L70</x:f>
        <x:v>13837872.581499042</x:v>
      </x:c>
    </x:row>
    <x:row r="71">
      <x:c r="A71" s="58" t="n">
        <x:v>1911</x:v>
      </x:c>
      <x:c r="B71" s="47" t="n">
        <x:f>L70</x:f>
        <x:v>13328461.659556326</x:v>
      </x:c>
      <x:c r="C71" s="62" t="n">
        <x:f>Paths!D71</x:f>
        <x:v>0</x:v>
      </x:c>
      <x:c r="D71" s="47" t="n">
        <x:f>B71*Paths!C71</x:f>
        <x:v>253240.77153157018</x:v>
      </x:c>
      <x:c r="E71" s="47" t="n">
        <x:f>Paths!E71*IF($A71&gt;=1896,mig_scale,1)</x:f>
        <x:v>90000</x:v>
      </x:c>
      <x:c r="F71" s="47" t="n">
        <x:f>Paths!F71*IF($A71&gt;=1896,mig_scale,1)</x:f>
        <x:v>28000</x:v>
      </x:c>
      <x:c r="G71" s="47" t="n">
        <x:f>Paths!G71*IF($A71&gt;=1896,mig_scale,1)</x:f>
        <x:v>25000</x:v>
      </x:c>
      <x:c r="H71" s="47" t="n">
        <x:f>Paths!H71*IF($A71&gt;=1896,mig_scale,1)</x:f>
        <x:v>9000</x:v>
      </x:c>
      <x:c r="I71" s="47" t="n">
        <x:f>E71*Paths!I71+(F71+G71+H71)*dep_asia</x:f>
        <x:v>35360</x:v>
      </x:c>
      <x:c r="J71" s="62" t="n">
        <x:f>Labour!AL71</x:f>
        <x:v>228323.3325534379</x:v>
      </x:c>
      <x:c r="K71" s="47" t="n">
        <x:f>SUM(E71:H71)-I71+J71</x:f>
        <x:v>344963.3325534379</x:v>
      </x:c>
      <x:c r="L71" s="47" t="n">
        <x:f>B71+C71+D71+K71</x:f>
        <x:v>13926665.763641335</x:v>
      </x:c>
      <x:c r="M71" s="63" t="n">
        <x:f>IF(B71&gt;0,L71/B71-1,0)</x:f>
        <x:v>0.04488170648381651</x:v>
      </x:c>
      <x:c r="N71" s="47" t="n">
        <x:f>N70*(1+Paths!C71)+F71*(1-dep_asia)</x:f>
        <x:v>1441596.983824697</x:v>
      </x:c>
      <x:c r="O71" s="47" t="n">
        <x:f>O70*(1+Paths!C71)+G71*(1-dep_asia)</x:f>
        <x:v>304242.2776905581</x:v>
      </x:c>
      <x:c r="P71" s="47" t="n">
        <x:f>P70*(1+Paths!C71)+H71*(1-dep_asia)</x:f>
        <x:v>151499.6520856414</x:v>
      </x:c>
      <x:c r="Q71" s="47" t="n">
        <x:f>Q70*(1+Paths!C71)+Labour!AK71*gw_asian</x:f>
        <x:v>242220.98141518308</x:v>
      </x:c>
      <x:c r="R71" s="47" t="n">
        <x:f>R70*(1+Paths!C71)+Labour!AF71*family_mult</x:f>
        <x:v>121788.94486938354</x:v>
      </x:c>
      <x:c r="S71" s="63" t="n">
        <x:f>(N71+O71+P71+Q71+R71)/L71</x:f>
        <x:v>0.16237546576217968</x:v>
      </x:c>
      <x:c r="T71" s="47" t="n">
        <x:f>SUM(E71:H71)*Paths!J71</x:f>
        <x:v>45600</x:v>
      </x:c>
      <x:c r="U71" s="62" t="n">
        <x:f>Paths!K71</x:f>
        <x:v>9040000</x:v>
      </x:c>
      <x:c r="V71" s="47" t="n">
        <x:f>IF(Gulf!E71=1,Gulf!B71,0)</x:f>
        <x:v>0</x:v>
      </x:c>
      <x:c r="W71" s="47" t="n">
        <x:f>L71+V71</x:f>
        <x:v>13926665.763641335</x:v>
      </x:c>
      <x:c r="X71" s="47" t="n">
        <x:f>W71+Labour!L71</x:f>
        <x:v>14464197.230223222</x:v>
      </x:c>
    </x:row>
    <x:row r="72">
      <x:c r="A72" s="58" t="n">
        <x:v>1912</x:v>
      </x:c>
      <x:c r="B72" s="47" t="n">
        <x:f>L71</x:f>
        <x:v>13926665.763641335</x:v>
      </x:c>
      <x:c r="C72" s="62" t="n">
        <x:f>Paths!D72</x:f>
        <x:v>0</x:v>
      </x:c>
      <x:c r="D72" s="47" t="n">
        <x:f>B72*Paths!C72</x:f>
        <x:v>264606.64950918534</x:v>
      </x:c>
      <x:c r="E72" s="47" t="n">
        <x:f>Paths!E72*IF($A72&gt;=1896,mig_scale,1)</x:f>
        <x:v>90000</x:v>
      </x:c>
      <x:c r="F72" s="47" t="n">
        <x:f>Paths!F72*IF($A72&gt;=1896,mig_scale,1)</x:f>
        <x:v>28000</x:v>
      </x:c>
      <x:c r="G72" s="47" t="n">
        <x:f>Paths!G72*IF($A72&gt;=1896,mig_scale,1)</x:f>
        <x:v>25000</x:v>
      </x:c>
      <x:c r="H72" s="47" t="n">
        <x:f>Paths!H72*IF($A72&gt;=1896,mig_scale,1)</x:f>
        <x:v>9000</x:v>
      </x:c>
      <x:c r="I72" s="47" t="n">
        <x:f>E72*Paths!I72+(F72+G72+H72)*dep_asia</x:f>
        <x:v>35360</x:v>
      </x:c>
      <x:c r="J72" s="62" t="n">
        <x:f>Labour!AL72</x:f>
        <x:v>242644.12022851795</x:v>
      </x:c>
      <x:c r="K72" s="47" t="n">
        <x:f>SUM(E72:H72)-I72+J72</x:f>
        <x:v>359284.1202285179</x:v>
      </x:c>
      <x:c r="L72" s="47" t="n">
        <x:f>B72+C72+D72+K72</x:f>
        <x:v>14550556.533379039</x:v>
      </x:c>
      <x:c r="M72" s="63" t="n">
        <x:f>IF(B72&gt;0,L72/B72-1,0)</x:f>
        <x:v>0.04479828699318045</x:v>
      </x:c>
      <x:c r="N72" s="47" t="n">
        <x:f>N71*(1+Paths!C72)+F72*(1-dep_asia)</x:f>
        <x:v>1489147.326517366</x:v>
      </x:c>
      <x:c r="O72" s="47" t="n">
        <x:f>O71*(1+Paths!C72)+G72*(1-dep_asia)</x:f>
        <x:v>328022.88096667867</x:v>
      </x:c>
      <x:c r="P72" s="47" t="n">
        <x:f>P71*(1+Paths!C72)+H72*(1-dep_asia)</x:f>
        <x:v>160858.14547526857</x:v>
      </x:c>
      <x:c r="Q72" s="47" t="n">
        <x:f>Q71*(1+Paths!C72)+Labour!AK72*gw_asian</x:f>
        <x:v>264239.19957932463</x:v>
      </x:c>
      <x:c r="R72" s="47" t="n">
        <x:f>R71*(1+Paths!C72)+Labour!AF72*family_mult</x:f>
        <x:v>136630.01117555788</x:v>
      </x:c>
      <x:c r="S72" s="63" t="n">
        <x:f>(N72+O72+P72+Q72+R72)/L72</x:f>
        <x:v>0.16349186082724704</x:v>
      </x:c>
      <x:c r="T72" s="47" t="n">
        <x:f>SUM(E72:H72)*Paths!J72</x:f>
        <x:v>45600</x:v>
      </x:c>
      <x:c r="U72" s="62" t="n">
        <x:f>Paths!K72</x:f>
        <x:v>9220000</x:v>
      </x:c>
      <x:c r="V72" s="47" t="n">
        <x:f>IF(Gulf!E72=1,Gulf!B72,0)</x:f>
        <x:v>0</x:v>
      </x:c>
      <x:c r="W72" s="47" t="n">
        <x:f>L72+V72</x:f>
        <x:v>14550556.533379039</x:v>
      </x:c>
      <x:c r="X72" s="47" t="n">
        <x:f>W72+Labour!L72</x:f>
        <x:v>15115182.622594113</x:v>
      </x:c>
    </x:row>
    <x:row r="73">
      <x:c r="A73" s="58" t="n">
        <x:v>1913</x:v>
      </x:c>
      <x:c r="B73" s="47" t="n">
        <x:f>L72</x:f>
        <x:v>14550556.533379039</x:v>
      </x:c>
      <x:c r="C73" s="62" t="n">
        <x:f>Paths!D73</x:f>
        <x:v>0</x:v>
      </x:c>
      <x:c r="D73" s="47" t="n">
        <x:f>B73*Paths!C73</x:f>
        <x:v>247359.46106744368</x:v>
      </x:c>
      <x:c r="E73" s="47" t="n">
        <x:f>Paths!E73*IF($A73&gt;=1896,mig_scale,1)</x:f>
        <x:v>90000</x:v>
      </x:c>
      <x:c r="F73" s="47" t="n">
        <x:f>Paths!F73*IF($A73&gt;=1896,mig_scale,1)</x:f>
        <x:v>28000</x:v>
      </x:c>
      <x:c r="G73" s="47" t="n">
        <x:f>Paths!G73*IF($A73&gt;=1896,mig_scale,1)</x:f>
        <x:v>25000</x:v>
      </x:c>
      <x:c r="H73" s="47" t="n">
        <x:f>Paths!H73*IF($A73&gt;=1896,mig_scale,1)</x:f>
        <x:v>9000</x:v>
      </x:c>
      <x:c r="I73" s="47" t="n">
        <x:f>E73*Paths!I73+(F73+G73+H73)*dep_asia</x:f>
        <x:v>35360</x:v>
      </x:c>
      <x:c r="J73" s="62" t="n">
        <x:f>Labour!AL73</x:f>
        <x:v>263847.1010880204</x:v>
      </x:c>
      <x:c r="K73" s="47" t="n">
        <x:f>SUM(E73:H73)-I73+J73</x:f>
        <x:v>380487.1010880204</x:v>
      </x:c>
      <x:c r="L73" s="47" t="n">
        <x:f>B73+C73+D73+K73</x:f>
        <x:v>15178403.095534503</x:v>
      </x:c>
      <x:c r="M73" s="63" t="n">
        <x:f>IF(B73&gt;0,L73/B73-1,0)</x:f>
        <x:v>0.0431493160220493</x:v>
      </x:c>
      <x:c r="N73" s="47" t="n">
        <x:f>N72*(1+Paths!C73)+F73*(1-dep_asia)</x:f>
        <x:v>1534622.8310681612</x:v>
      </x:c>
      <x:c r="O73" s="47" t="n">
        <x:f>O72*(1+Paths!C73)+G73*(1-dep_asia)</x:f>
        <x:v>351599.26994311216</x:v>
      </x:c>
      <x:c r="P73" s="47" t="n">
        <x:f>P72*(1+Paths!C73)+H73*(1-dep_asia)</x:f>
        <x:v>170072.73394834812</x:v>
      </x:c>
      <x:c r="Q73" s="47" t="n">
        <x:f>Q72*(1+Paths!C73)+Labour!AK73*gw_asian</x:f>
        <x:v>287025.1512627415</x:v>
      </x:c>
      <x:c r="R73" s="47" t="n">
        <x:f>R72*(1+Paths!C73)+Labour!AF73*family_mult</x:f>
        <x:v>152287.61931154953</x:v>
      </x:c>
      <x:c r="S73" s="63" t="n">
        <x:f>(N73+O73+P73+Q73+R73)/L73</x:f>
        <x:v>0.16441832449871635</x:v>
      </x:c>
      <x:c r="T73" s="47" t="n">
        <x:f>SUM(E73:H73)*Paths!J73</x:f>
        <x:v>45600</x:v>
      </x:c>
      <x:c r="U73" s="62" t="n">
        <x:f>Paths!K73</x:f>
        <x:v>9400000</x:v>
      </x:c>
      <x:c r="V73" s="47" t="n">
        <x:f>IF(Gulf!E73=1,Gulf!B73,0)</x:f>
        <x:v>0</x:v>
      </x:c>
      <x:c r="W73" s="47" t="n">
        <x:f>L73+V73</x:f>
        <x:v>15178403.095534503</x:v>
      </x:c>
      <x:c r="X73" s="47" t="n">
        <x:f>W73+Labour!L73</x:f>
        <x:v>15772783.704024933</x:v>
      </x:c>
    </x:row>
    <x:row r="74">
      <x:c r="A74" s="61" t="n">
        <x:v>1914</x:v>
      </x:c>
      <x:c r="B74" s="47" t="n">
        <x:f>L73</x:f>
        <x:v>15178403.095534503</x:v>
      </x:c>
      <x:c r="C74" s="62" t="n">
        <x:f>Paths!D74</x:f>
        <x:v>0</x:v>
      </x:c>
      <x:c r="D74" s="47" t="n">
        <x:f>B74*Paths!C74</x:f>
        <x:v>258032.85262408658</x:v>
      </x:c>
      <x:c r="E74" s="47" t="n">
        <x:f>Paths!E74*IF($A74&gt;=1896,mig_scale,1)</x:f>
        <x:v>35000</x:v>
      </x:c>
      <x:c r="F74" s="47" t="n">
        <x:f>Paths!F74*IF($A74&gt;=1896,mig_scale,1)</x:f>
        <x:v>14000</x:v>
      </x:c>
      <x:c r="G74" s="47" t="n">
        <x:f>Paths!G74*IF($A74&gt;=1896,mig_scale,1)</x:f>
        <x:v>14000</x:v>
      </x:c>
      <x:c r="H74" s="47" t="n">
        <x:f>Paths!H74*IF($A74&gt;=1896,mig_scale,1)</x:f>
        <x:v>7000</x:v>
      </x:c>
      <x:c r="I74" s="47" t="n">
        <x:f>E74*Paths!I74+(F74+G74+H74)*dep_asia</x:f>
        <x:v>16800</x:v>
      </x:c>
      <x:c r="J74" s="62" t="n">
        <x:f>Labour!AL74</x:f>
        <x:v>249661.59042752892</x:v>
      </x:c>
      <x:c r="K74" s="47" t="n">
        <x:f>SUM(E74:H74)-I74+J74</x:f>
        <x:v>302861.59042752895</x:v>
      </x:c>
      <x:c r="L74" s="47" t="n">
        <x:f>B74+C74+D74+K74</x:f>
        <x:v>15739297.53858612</x:v>
      </x:c>
      <x:c r="M74" s="63" t="n">
        <x:f>IF(B74&gt;0,L74/B74-1,0)</x:f>
        <x:v>0.03695345548021667</x:v>
      </x:c>
      <x:c r="N74" s="47" t="n">
        <x:f>N73*(1+Paths!C74)+F74*(1-dep_asia)</x:f>
        <x:v>1570791.4191963198</x:v>
      </x:c>
      <x:c r="O74" s="47" t="n">
        <x:f>O73*(1+Paths!C74)+G74*(1-dep_asia)</x:f>
        <x:v>367656.457532145</x:v>
      </x:c>
      <x:c r="P74" s="47" t="n">
        <x:f>P73*(1+Paths!C74)+H74*(1-dep_asia)</x:f>
        <x:v>178003.97042547003</x:v>
      </x:c>
      <x:c r="Q74" s="47" t="n">
        <x:f>Q73*(1+Paths!C74)+Labour!AK74*gw_asian</x:f>
        <x:v>311162.510549298</x:v>
      </x:c>
      <x:c r="R74" s="47" t="n">
        <x:f>R73*(1+Paths!C74)+Labour!AF74*family_mult</x:f>
        <x:v>169718.06404692424</x:v>
      </x:c>
      <x:c r="S74" s="63" t="n">
        <x:f>(N74+O74+P74+Q74+R74)/L74</x:f>
        <x:v>0.16502213109464342</x:v>
      </x:c>
      <x:c r="T74" s="47" t="n">
        <x:f>SUM(E74:H74)*Paths!J74</x:f>
        <x:v>21000</x:v>
      </x:c>
      <x:c r="U74" s="62" t="n">
        <x:f>Paths!K74</x:f>
        <x:v>9580000</x:v>
      </x:c>
      <x:c r="V74" s="47" t="n">
        <x:f>IF(Gulf!E74=1,Gulf!B74,0)</x:f>
        <x:v>0</x:v>
      </x:c>
      <x:c r="W74" s="47" t="n">
        <x:f>L74+V74</x:f>
        <x:v>15739297.53858612</x:v>
      </x:c>
      <x:c r="X74" s="47" t="n">
        <x:f>W74+Labour!L74</x:f>
        <x:v>16333862.41316775</x:v>
      </x:c>
    </x:row>
    <x:row r="75">
      <x:c r="A75" s="61" t="n">
        <x:v>1915</x:v>
      </x:c>
      <x:c r="B75" s="47" t="n">
        <x:f>L74</x:f>
        <x:v>15739297.53858612</x:v>
      </x:c>
      <x:c r="C75" s="62" t="n">
        <x:f>Paths!D75</x:f>
        <x:v>0</x:v>
      </x:c>
      <x:c r="D75" s="47" t="n">
        <x:f>B75*Paths!C75</x:f>
        <x:v>267568.05815596407</x:v>
      </x:c>
      <x:c r="E75" s="47" t="n">
        <x:f>Paths!E75*IF($A75&gt;=1896,mig_scale,1)</x:f>
        <x:v>35000</x:v>
      </x:c>
      <x:c r="F75" s="47" t="n">
        <x:f>Paths!F75*IF($A75&gt;=1896,mig_scale,1)</x:f>
        <x:v>14000</x:v>
      </x:c>
      <x:c r="G75" s="47" t="n">
        <x:f>Paths!G75*IF($A75&gt;=1896,mig_scale,1)</x:f>
        <x:v>14000</x:v>
      </x:c>
      <x:c r="H75" s="47" t="n">
        <x:f>Paths!H75*IF($A75&gt;=1896,mig_scale,1)</x:f>
        <x:v>7000</x:v>
      </x:c>
      <x:c r="I75" s="47" t="n">
        <x:f>E75*Paths!I75+(F75+G75+H75)*dep_asia</x:f>
        <x:v>16800</x:v>
      </x:c>
      <x:c r="J75" s="62" t="n">
        <x:f>Labour!AL75</x:f>
        <x:v>214912.36977052758</x:v>
      </x:c>
      <x:c r="K75" s="47" t="n">
        <x:f>SUM(E75:H75)-I75+J75</x:f>
        <x:v>268112.3697705276</x:v>
      </x:c>
      <x:c r="L75" s="47" t="n">
        <x:f>B75+C75+D75+K75</x:f>
        <x:v>16274977.96651261</x:v>
      </x:c>
      <x:c r="M75" s="63" t="n">
        <x:f>IF(B75&gt;0,L75/B75-1,0)</x:f>
        <x:v>0.034034582967456206</x:v>
      </x:c>
      <x:c r="N75" s="47" t="n">
        <x:f>N74*(1+Paths!C75)+F75*(1-dep_asia)</x:f>
        <x:v>1607574.873322657</x:v>
      </x:c>
      <x:c r="O75" s="47" t="n">
        <x:f>O74*(1+Paths!C75)+G75*(1-dep_asia)</x:f>
        <x:v>383986.61731019145</x:v>
      </x:c>
      <x:c r="P75" s="47" t="n">
        <x:f>P74*(1+Paths!C75)+H75*(1-dep_asia)</x:f>
        <x:v>186070.03792270302</x:v>
      </x:c>
      <x:c r="Q75" s="47" t="n">
        <x:f>Q74*(1+Paths!C75)+Labour!AK75*gw_asian</x:f>
        <x:v>335716.17516508093</x:v>
      </x:c>
      <x:c r="R75" s="47" t="n">
        <x:f>R74*(1+Paths!C75)+Labour!AF75*family_mult</x:f>
        <x:v>192368.7462256823</x:v>
      </x:c>
      <x:c r="S75" s="63" t="n">
        <x:f>(N75+O75+P75+Q75+R75)/L75</x:f>
        <x:v>0.16625008374902847</x:v>
      </x:c>
      <x:c r="T75" s="47" t="n">
        <x:f>SUM(E75:H75)*Paths!J75</x:f>
        <x:v>21000</x:v>
      </x:c>
      <x:c r="U75" s="62" t="n">
        <x:f>Paths!K75</x:f>
        <x:v>9760000</x:v>
      </x:c>
      <x:c r="V75" s="47" t="n">
        <x:f>IF(Gulf!E75=1,Gulf!B75,0)</x:f>
        <x:v>0</x:v>
      </x:c>
      <x:c r="W75" s="47" t="n">
        <x:f>L75+V75</x:f>
        <x:v>16274977.96651261</x:v>
      </x:c>
      <x:c r="X75" s="47" t="n">
        <x:f>W75+Labour!L75</x:f>
        <x:v>16928646.944574174</x:v>
      </x:c>
    </x:row>
    <x:row r="76">
      <x:c r="A76" s="61" t="n">
        <x:v>1916</x:v>
      </x:c>
      <x:c r="B76" s="47" t="n">
        <x:f>L75</x:f>
        <x:v>16274977.96651261</x:v>
      </x:c>
      <x:c r="C76" s="62" t="n">
        <x:f>Paths!D76</x:f>
        <x:v>0</x:v>
      </x:c>
      <x:c r="D76" s="47" t="n">
        <x:f>B76*Paths!C76</x:f>
        <x:v>276674.6254307144</x:v>
      </x:c>
      <x:c r="E76" s="47" t="n">
        <x:f>Paths!E76*IF($A76&gt;=1896,mig_scale,1)</x:f>
        <x:v>35000</x:v>
      </x:c>
      <x:c r="F76" s="47" t="n">
        <x:f>Paths!F76*IF($A76&gt;=1896,mig_scale,1)</x:f>
        <x:v>14000</x:v>
      </x:c>
      <x:c r="G76" s="47" t="n">
        <x:f>Paths!G76*IF($A76&gt;=1896,mig_scale,1)</x:f>
        <x:v>14000</x:v>
      </x:c>
      <x:c r="H76" s="47" t="n">
        <x:f>Paths!H76*IF($A76&gt;=1896,mig_scale,1)</x:f>
        <x:v>7000</x:v>
      </x:c>
      <x:c r="I76" s="47" t="n">
        <x:f>E76*Paths!I76+(F76+G76+H76)*dep_asia</x:f>
        <x:v>16800</x:v>
      </x:c>
      <x:c r="J76" s="62" t="n">
        <x:f>Labour!AL76</x:f>
        <x:v>180217.14770786557</x:v>
      </x:c>
      <x:c r="K76" s="47" t="n">
        <x:f>SUM(E76:H76)-I76+J76</x:f>
        <x:v>233417.14770786557</x:v>
      </x:c>
      <x:c r="L76" s="47" t="n">
        <x:f>B76+C76+D76+K76</x:f>
        <x:v>16785069.73965119</x:v>
      </x:c>
      <x:c r="M76" s="63" t="n">
        <x:f>IF(B76&gt;0,L76/B76-1,0)</x:f>
        <x:v>0.03134208686415074</x:v>
      </x:c>
      <x:c r="N76" s="47" t="n">
        <x:f>N75*(1+Paths!C76)+F76*(1-dep_asia)</x:f>
        <x:v>1644983.646169142</x:v>
      </x:c>
      <x:c r="O76" s="47" t="n">
        <x:f>O75*(1+Paths!C76)+G76*(1-dep_asia)</x:f>
        <x:v>400594.38980446465</x:v>
      </x:c>
      <x:c r="P76" s="47" t="n">
        <x:f>P75*(1+Paths!C76)+H76*(1-dep_asia)</x:f>
        <x:v>194273.22856738896</x:v>
      </x:c>
      <x:c r="Q76" s="47" t="n">
        <x:f>Q75*(1+Paths!C76)+Labour!AK76*gw_asian</x:f>
        <x:v>362602.22503208194</x:v>
      </x:c>
      <x:c r="R76" s="47" t="n">
        <x:f>R75*(1+Paths!C76)+Labour!AF76*family_mult</x:f>
        <x:v>213800.6156858997</x:v>
      </x:c>
      <x:c r="S76" s="63" t="n">
        <x:f>(N76+O76+P76+Q76+R76)/L76</x:f>
        <x:v>0.16778328293782244</x:v>
      </x:c>
      <x:c r="T76" s="47" t="n">
        <x:f>SUM(E76:H76)*Paths!J76</x:f>
        <x:v>21000</x:v>
      </x:c>
      <x:c r="U76" s="62" t="n">
        <x:f>Paths!K76</x:f>
        <x:v>9940000</x:v>
      </x:c>
      <x:c r="V76" s="47" t="n">
        <x:f>IF(Gulf!E76=1,Gulf!B76,0)</x:f>
        <x:v>0</x:v>
      </x:c>
      <x:c r="W76" s="47" t="n">
        <x:f>L76+V76</x:f>
        <x:v>16785069.73965119</x:v>
      </x:c>
      <x:c r="X76" s="47" t="n">
        <x:f>W76+Labour!L76</x:f>
        <x:v>17494564.78326433</x:v>
      </x:c>
    </x:row>
    <x:row r="77">
      <x:c r="A77" s="61" t="n">
        <x:v>1917</x:v>
      </x:c>
      <x:c r="B77" s="47" t="n">
        <x:f>L76</x:f>
        <x:v>16785069.73965119</x:v>
      </x:c>
      <x:c r="C77" s="62" t="n">
        <x:f>Paths!D77</x:f>
        <x:v>0</x:v>
      </x:c>
      <x:c r="D77" s="47" t="n">
        <x:f>B77*Paths!C77</x:f>
        <x:v>251776.0460947678</x:v>
      </x:c>
      <x:c r="E77" s="47" t="n">
        <x:f>Paths!E77*IF($A77&gt;=1896,mig_scale,1)</x:f>
        <x:v>35000</x:v>
      </x:c>
      <x:c r="F77" s="47" t="n">
        <x:f>Paths!F77*IF($A77&gt;=1896,mig_scale,1)</x:f>
        <x:v>14000</x:v>
      </x:c>
      <x:c r="G77" s="47" t="n">
        <x:f>Paths!G77*IF($A77&gt;=1896,mig_scale,1)</x:f>
        <x:v>14000</x:v>
      </x:c>
      <x:c r="H77" s="47" t="n">
        <x:f>Paths!H77*IF($A77&gt;=1896,mig_scale,1)</x:f>
        <x:v>7000</x:v>
      </x:c>
      <x:c r="I77" s="47" t="n">
        <x:f>E77*Paths!I77+(F77+G77+H77)*dep_asia</x:f>
        <x:v>16800</x:v>
      </x:c>
      <x:c r="J77" s="62" t="n">
        <x:f>Labour!AL77</x:f>
        <x:v>164419.9360769856</x:v>
      </x:c>
      <x:c r="K77" s="47" t="n">
        <x:f>SUM(E77:H77)-I77+J77</x:f>
        <x:v>217619.9360769856</x:v>
      </x:c>
      <x:c r="L77" s="47" t="n">
        <x:f>B77+C77+D77+K77</x:f>
        <x:v>17254465.72182294</x:v>
      </x:c>
      <x:c r="M77" s="63" t="n">
        <x:f>IF(B77&gt;0,L77/B77-1,0)</x:f>
        <x:v>0.02796508977635659</x:v>
      </x:c>
      <x:c r="N77" s="47" t="n">
        <x:f>N76*(1+Paths!C77)+F77*(1-dep_asia)</x:f>
        <x:v>1679738.400861679</x:v>
      </x:c>
      <x:c r="O77" s="47" t="n">
        <x:f>O76*(1+Paths!C77)+G77*(1-dep_asia)</x:f>
        <x:v>416683.30565153155</x:v>
      </x:c>
      <x:c r="P77" s="47" t="n">
        <x:f>P76*(1+Paths!C77)+H77*(1-dep_asia)</x:f>
        <x:v>202227.32699589978</x:v>
      </x:c>
      <x:c r="Q77" s="47" t="n">
        <x:f>Q76*(1+Paths!C77)+Labour!AK77*gw_asian</x:f>
        <x:v>391028.897820629</x:v>
      </x:c>
      <x:c r="R77" s="47" t="n">
        <x:f>R76*(1+Paths!C77)+Labour!AF77*family_mult</x:f>
        <x:v>238033.9422506765</x:v>
      </x:c>
      <x:c r="S77" s="63" t="n">
        <x:f>(N77+O77+P77+Q77+R77)/L77</x:f>
        <x:v>0.1696785006722945</x:v>
      </x:c>
      <x:c r="T77" s="47" t="n">
        <x:f>SUM(E77:H77)*Paths!J77</x:f>
        <x:v>21000</x:v>
      </x:c>
      <x:c r="U77" s="62" t="n">
        <x:f>Paths!K77</x:f>
        <x:v>10120000</x:v>
      </x:c>
      <x:c r="V77" s="47" t="n">
        <x:f>IF(Gulf!E77=1,Gulf!B77,0)</x:f>
        <x:v>0</x:v>
      </x:c>
      <x:c r="W77" s="47" t="n">
        <x:f>L77+V77</x:f>
        <x:v>17254465.72182294</x:v>
      </x:c>
      <x:c r="X77" s="47" t="n">
        <x:f>W77+Labour!L77</x:f>
        <x:v>18010763.831379775</x:v>
      </x:c>
    </x:row>
    <x:row r="78">
      <x:c r="A78" s="61" t="n">
        <x:v>1918</x:v>
      </x:c>
      <x:c r="B78" s="47" t="n">
        <x:f>L77</x:f>
        <x:v>17254465.72182294</x:v>
      </x:c>
      <x:c r="C78" s="62" t="n">
        <x:f>Paths!D78</x:f>
        <x:v>0</x:v>
      </x:c>
      <x:c r="D78" s="47" t="n">
        <x:f>B78*Paths!C78</x:f>
        <x:v>86272.3286091147</x:v>
      </x:c>
      <x:c r="E78" s="47" t="n">
        <x:f>Paths!E78*IF($A78&gt;=1896,mig_scale,1)</x:f>
        <x:v>35000</x:v>
      </x:c>
      <x:c r="F78" s="47" t="n">
        <x:f>Paths!F78*IF($A78&gt;=1896,mig_scale,1)</x:f>
        <x:v>14000</x:v>
      </x:c>
      <x:c r="G78" s="47" t="n">
        <x:f>Paths!G78*IF($A78&gt;=1896,mig_scale,1)</x:f>
        <x:v>14000</x:v>
      </x:c>
      <x:c r="H78" s="47" t="n">
        <x:f>Paths!H78*IF($A78&gt;=1896,mig_scale,1)</x:f>
        <x:v>7000</x:v>
      </x:c>
      <x:c r="I78" s="47" t="n">
        <x:f>E78*Paths!I78+(F78+G78+H78)*dep_asia</x:f>
        <x:v>16800</x:v>
      </x:c>
      <x:c r="J78" s="62" t="n">
        <x:f>Labour!AL78</x:f>
        <x:v>124993.54724878988</x:v>
      </x:c>
      <x:c r="K78" s="47" t="n">
        <x:f>SUM(E78:H78)-I78+J78</x:f>
        <x:v>178193.54724878987</x:v>
      </x:c>
      <x:c r="L78" s="47" t="n">
        <x:f>B78+C78+D78+K78</x:f>
        <x:v>17518931.597680844</x:v>
      </x:c>
      <x:c r="M78" s="63" t="n">
        <x:f>IF(B78&gt;0,L78/B78-1,0)</x:f>
        <x:v>0.015327387131055303</x:v>
      </x:c>
      <x:c r="N78" s="47" t="n">
        <x:f>N77*(1+Paths!C78)+F78*(1-dep_asia)</x:f>
        <x:v>1698217.0928659872</x:v>
      </x:c>
      <x:c r="O78" s="47" t="n">
        <x:f>O77*(1+Paths!C78)+G78*(1-dep_asia)</x:f>
        <x:v>428846.72217978915</x:v>
      </x:c>
      <x:c r="P78" s="47" t="n">
        <x:f>P77*(1+Paths!C78)+H78*(1-dep_asia)</x:f>
        <x:v>208278.46363087927</x:v>
      </x:c>
      <x:c r="Q78" s="47" t="n">
        <x:f>Q77*(1+Paths!C78)+Labour!AK78*gw_asian</x:f>
        <x:v>417488.1010593735</x:v>
      </x:c>
      <x:c r="R78" s="47" t="n">
        <x:f>R77*(1+Paths!C78)+Labour!AF78*family_mult</x:f>
        <x:v>262157.08816138044</x:v>
      </x:c>
      <x:c r="S78" s="63" t="n">
        <x:f>(N78+O78+P78+Q78+R78)/L78</x:f>
        <x:v>0.17209882070071747</x:v>
      </x:c>
      <x:c r="T78" s="47" t="n">
        <x:f>SUM(E78:H78)*Paths!J78</x:f>
        <x:v>21000</x:v>
      </x:c>
      <x:c r="U78" s="62" t="n">
        <x:f>Paths!K78</x:f>
        <x:v>10300000</x:v>
      </x:c>
      <x:c r="V78" s="47" t="n">
        <x:f>IF(Gulf!E78=1,Gulf!B78,0)</x:f>
        <x:v>0</x:v>
      </x:c>
      <x:c r="W78" s="47" t="n">
        <x:f>L78+V78</x:f>
        <x:v>17518931.597680844</x:v>
      </x:c>
      <x:c r="X78" s="47" t="n">
        <x:f>W78+Labour!L78</x:f>
        <x:v>18301730.29568657</x:v>
      </x:c>
    </x:row>
    <x:row r="79">
      <x:c r="A79" s="61" t="n">
        <x:v>1919</x:v>
      </x:c>
      <x:c r="B79" s="47" t="n">
        <x:f>L78</x:f>
        <x:v>17518931.597680844</x:v>
      </x:c>
      <x:c r="C79" s="62" t="n">
        <x:f>Paths!D79</x:f>
        <x:v>0</x:v>
      </x:c>
      <x:c r="D79" s="47" t="n">
        <x:f>B79*Paths!C79</x:f>
        <x:v>262783.97396521264</x:v>
      </x:c>
      <x:c r="E79" s="47" t="n">
        <x:f>Paths!E79*IF($A79&gt;=1896,mig_scale,1)</x:f>
        <x:v>110000</x:v>
      </x:c>
      <x:c r="F79" s="47" t="n">
        <x:f>Paths!F79*IF($A79&gt;=1896,mig_scale,1)</x:f>
        <x:v>30000</x:v>
      </x:c>
      <x:c r="G79" s="47" t="n">
        <x:f>Paths!G79*IF($A79&gt;=1896,mig_scale,1)</x:f>
        <x:v>30000</x:v>
      </x:c>
      <x:c r="H79" s="47" t="n">
        <x:f>Paths!H79*IF($A79&gt;=1896,mig_scale,1)</x:f>
        <x:v>20000</x:v>
      </x:c>
      <x:c r="I79" s="47" t="n">
        <x:f>E79*Paths!I79+(F79+G79+H79)*dep_asia</x:f>
        <x:v>44400</x:v>
      </x:c>
      <x:c r="J79" s="62" t="n">
        <x:f>Labour!AL79</x:f>
        <x:v>171381.35571661955</x:v>
      </x:c>
      <x:c r="K79" s="47" t="n">
        <x:f>SUM(E79:H79)-I79+J79</x:f>
        <x:v>316981.3557166195</x:v>
      </x:c>
      <x:c r="L79" s="47" t="n">
        <x:f>B79+C79+D79+K79</x:f>
        <x:v>18098696.927362677</x:v>
      </x:c>
      <x:c r="M79" s="63" t="n">
        <x:f>IF(B79&gt;0,L79/B79-1,0)</x:f>
        <x:v>0.03309364651886537</x:v>
      </x:c>
      <x:c r="N79" s="47" t="n">
        <x:f>N78*(1+Paths!C79)+F79*(1-dep_asia)</x:f>
        <x:v>1745290.3492589768</x:v>
      </x:c>
      <x:c r="O79" s="47" t="n">
        <x:f>O78*(1+Paths!C79)+G79*(1-dep_asia)</x:f>
        <x:v>456879.42301248596</x:v>
      </x:c>
      <x:c r="P79" s="47" t="n">
        <x:f>P78*(1+Paths!C79)+H79*(1-dep_asia)</x:f>
        <x:v>225802.64058534245</x:v>
      </x:c>
      <x:c r="Q79" s="47" t="n">
        <x:f>Q78*(1+Paths!C79)+Labour!AK79*gw_asian</x:f>
        <x:v>449113.1003906495</x:v>
      </x:c>
      <x:c r="R79" s="47" t="n">
        <x:f>R78*(1+Paths!C79)+Labour!AF79*family_mult</x:f>
        <x:v>285027.2746617924</x:v>
      </x:c>
      <x:c r="S79" s="63" t="n">
        <x:f>(N79+O79+P79+Q79+R79)/L79</x:f>
        <x:v>0.1747149422193251</x:v>
      </x:c>
      <x:c r="T79" s="47" t="n">
        <x:f>SUM(E79:H79)*Paths!J79</x:f>
        <x:v>57000</x:v>
      </x:c>
      <x:c r="U79" s="62" t="n">
        <x:f>Paths!K79</x:f>
        <x:v>10493000</x:v>
      </x:c>
      <x:c r="V79" s="47" t="n">
        <x:f>IF(Gulf!E79=1,Gulf!B79,0)</x:f>
        <x:v>0</x:v>
      </x:c>
      <x:c r="W79" s="47" t="n">
        <x:f>L79+V79</x:f>
        <x:v>18098696.927362677</x:v>
      </x:c>
      <x:c r="X79" s="47" t="n">
        <x:f>W79+Labour!L79</x:f>
        <x:v>18897102.1745727</x:v>
      </x:c>
    </x:row>
    <x:row r="80">
      <x:c r="A80" s="61" t="n">
        <x:v>1920</x:v>
      </x:c>
      <x:c r="B80" s="47" t="n">
        <x:f>L79</x:f>
        <x:v>18098696.927362677</x:v>
      </x:c>
      <x:c r="C80" s="62" t="n">
        <x:f>Paths!D80</x:f>
        <x:v>0</x:v>
      </x:c>
      <x:c r="D80" s="47" t="n">
        <x:f>B80*Paths!C80</x:f>
        <x:v>271480.45391044015</x:v>
      </x:c>
      <x:c r="E80" s="47" t="n">
        <x:f>Paths!E80*IF($A80&gt;=1896,mig_scale,1)</x:f>
        <x:v>110000</x:v>
      </x:c>
      <x:c r="F80" s="47" t="n">
        <x:f>Paths!F80*IF($A80&gt;=1896,mig_scale,1)</x:f>
        <x:v>30000</x:v>
      </x:c>
      <x:c r="G80" s="47" t="n">
        <x:f>Paths!G80*IF($A80&gt;=1896,mig_scale,1)</x:f>
        <x:v>30000</x:v>
      </x:c>
      <x:c r="H80" s="47" t="n">
        <x:f>Paths!H80*IF($A80&gt;=1896,mig_scale,1)</x:f>
        <x:v>20000</x:v>
      </x:c>
      <x:c r="I80" s="47" t="n">
        <x:f>E80*Paths!I80+(F80+G80+H80)*dep_asia</x:f>
        <x:v>44400</x:v>
      </x:c>
      <x:c r="J80" s="62" t="n">
        <x:f>Labour!AL80</x:f>
        <x:v>195353.93356846197</x:v>
      </x:c>
      <x:c r="K80" s="47" t="n">
        <x:f>SUM(E80:H80)-I80+J80</x:f>
        <x:v>340953.933568462</x:v>
      </x:c>
      <x:c r="L80" s="47" t="n">
        <x:f>B80+C80+D80+K80</x:f>
        <x:v>18711131.31484158</x:v>
      </x:c>
      <x:c r="M80" s="63" t="n">
        <x:f>IF(B80&gt;0,L80/B80-1,0)</x:f>
        <x:v>0.033838590144740666</x:v>
      </x:c>
      <x:c r="N80" s="47" t="n">
        <x:f>N79*(1+Paths!C80)+F80*(1-dep_asia)</x:f>
        <x:v>1793069.7044978612</x:v>
      </x:c>
      <x:c r="O80" s="47" t="n">
        <x:f>O79*(1+Paths!C80)+G80*(1-dep_asia)</x:f>
        <x:v>485332.6143576732</x:v>
      </x:c>
      <x:c r="P80" s="47" t="n">
        <x:f>P79*(1+Paths!C80)+H80*(1-dep_asia)</x:f>
        <x:v>243589.68019412257</x:v>
      </x:c>
      <x:c r="Q80" s="47" t="n">
        <x:f>Q79*(1+Paths!C80)+Labour!AK80*gw_asian</x:f>
        <x:v>481718.126906114</x:v>
      </x:c>
      <x:c r="R80" s="47" t="n">
        <x:f>R79*(1+Paths!C80)+Labour!AF80*family_mult</x:f>
        <x:v>310880.4739723459</x:v>
      </x:c>
      <x:c r="S80" s="63" t="n">
        <x:f>(N80+O80+P80+Q80+R80)/L80</x:f>
        <x:v>0.17714538710435962</x:v>
      </x:c>
      <x:c r="T80" s="47" t="n">
        <x:f>SUM(E80:H80)*Paths!J80</x:f>
        <x:v>57000</x:v>
      </x:c>
      <x:c r="U80" s="62" t="n">
        <x:f>Paths!K80</x:f>
        <x:v>10686000</x:v>
      </x:c>
      <x:c r="V80" s="47" t="n">
        <x:f>IF(Gulf!E80=1,Gulf!B80,0)</x:f>
        <x:v>0</x:v>
      </x:c>
      <x:c r="W80" s="47" t="n">
        <x:f>L80+V80</x:f>
        <x:v>18711131.31484158</x:v>
      </x:c>
      <x:c r="X80" s="47" t="n">
        <x:f>W80+Labour!L80</x:f>
        <x:v>19518125.34352067</x:v>
      </x:c>
    </x:row>
    <x:row r="81">
      <x:c r="A81" s="61" t="n">
        <x:v>1921</x:v>
      </x:c>
      <x:c r="B81" s="47" t="n">
        <x:f>L80</x:f>
        <x:v>18711131.31484158</x:v>
      </x:c>
      <x:c r="C81" s="62" t="n">
        <x:f>Paths!D81</x:f>
        <x:v>0</x:v>
      </x:c>
      <x:c r="D81" s="47" t="n">
        <x:f>B81*Paths!C81</x:f>
        <x:v>280666.9697226237</x:v>
      </x:c>
      <x:c r="E81" s="47" t="n">
        <x:f>Paths!E81*IF($A81&gt;=1896,mig_scale,1)</x:f>
        <x:v>110000</x:v>
      </x:c>
      <x:c r="F81" s="47" t="n">
        <x:f>Paths!F81*IF($A81&gt;=1896,mig_scale,1)</x:f>
        <x:v>30000</x:v>
      </x:c>
      <x:c r="G81" s="47" t="n">
        <x:f>Paths!G81*IF($A81&gt;=1896,mig_scale,1)</x:f>
        <x:v>30000</x:v>
      </x:c>
      <x:c r="H81" s="47" t="n">
        <x:f>Paths!H81*IF($A81&gt;=1896,mig_scale,1)</x:f>
        <x:v>20000</x:v>
      </x:c>
      <x:c r="I81" s="47" t="n">
        <x:f>E81*Paths!I81+(F81+G81+H81)*dep_asia</x:f>
        <x:v>44400</x:v>
      </x:c>
      <x:c r="J81" s="62" t="n">
        <x:f>Labour!AL81</x:f>
        <x:v>265716.72903570463</x:v>
      </x:c>
      <x:c r="K81" s="47" t="n">
        <x:f>SUM(E81:H81)-I81+J81</x:f>
        <x:v>411316.72903570463</x:v>
      </x:c>
      <x:c r="L81" s="47" t="n">
        <x:f>B81+C81+D81+K81</x:f>
        <x:v>19403115.01359991</x:v>
      </x:c>
      <x:c r="M81" s="63" t="n">
        <x:f>IF(B81&gt;0,L81/B81-1,0)</x:f>
        <x:v>0.03698246178249276</x:v>
      </x:c>
      <x:c r="N81" s="47" t="n">
        <x:f>N80*(1+Paths!C81)+F81*(1-dep_asia)</x:f>
        <x:v>1841565.750065329</x:v>
      </x:c>
      <x:c r="O81" s="47" t="n">
        <x:f>O80*(1+Paths!C81)+G81*(1-dep_asia)</x:f>
        <x:v>514212.60357303824</x:v>
      </x:c>
      <x:c r="P81" s="47" t="n">
        <x:f>P80*(1+Paths!C81)+H81*(1-dep_asia)</x:f>
        <x:v>261643.5253970344</x:v>
      </x:c>
      <x:c r="Q81" s="47" t="n">
        <x:f>Q80*(1+Paths!C81)+Labour!AK81*gw_asian</x:f>
        <x:v>515090.50533890823</x:v>
      </x:c>
      <x:c r="R81" s="47" t="n">
        <x:f>R80*(1+Paths!C81)+Labour!AF81*family_mult</x:f>
        <x:v>342650.4908871485</x:v>
      </x:c>
      <x:c r="S81" s="63" t="n">
        <x:f>(N81+O81+P81+Q81+R81)/L81</x:f>
        <x:v>0.17910334875743758</x:v>
      </x:c>
      <x:c r="T81" s="47" t="n">
        <x:f>SUM(E81:H81)*Paths!J81</x:f>
        <x:v>57000</x:v>
      </x:c>
      <x:c r="U81" s="62" t="n">
        <x:f>Paths!K81</x:f>
        <x:v>10879000</x:v>
      </x:c>
      <x:c r="V81" s="47" t="n">
        <x:f>IF(Gulf!E81=1,Gulf!B81,0)</x:f>
        <x:v>0</x:v>
      </x:c>
      <x:c r="W81" s="47" t="n">
        <x:f>L81+V81</x:f>
        <x:v>19403115.01359991</x:v>
      </x:c>
      <x:c r="X81" s="47" t="n">
        <x:f>W81+Labour!L81</x:f>
        <x:v>20123909.604136586</x:v>
      </x:c>
    </x:row>
    <x:row r="82">
      <x:c r="A82" s="61" t="n">
        <x:v>1922</x:v>
      </x:c>
      <x:c r="B82" s="47" t="n">
        <x:f>L81</x:f>
        <x:v>19403115.01359991</x:v>
      </x:c>
      <x:c r="C82" s="62" t="n">
        <x:f>Paths!D82</x:f>
        <x:v>0</x:v>
      </x:c>
      <x:c r="D82" s="47" t="n">
        <x:f>B82*Paths!C82</x:f>
        <x:v>291046.7252039986</x:v>
      </x:c>
      <x:c r="E82" s="47" t="n">
        <x:f>Paths!E82*IF($A82&gt;=1896,mig_scale,1)</x:f>
        <x:v>110000</x:v>
      </x:c>
      <x:c r="F82" s="47" t="n">
        <x:f>Paths!F82*IF($A82&gt;=1896,mig_scale,1)</x:f>
        <x:v>30000</x:v>
      </x:c>
      <x:c r="G82" s="47" t="n">
        <x:f>Paths!G82*IF($A82&gt;=1896,mig_scale,1)</x:f>
        <x:v>30000</x:v>
      </x:c>
      <x:c r="H82" s="47" t="n">
        <x:f>Paths!H82*IF($A82&gt;=1896,mig_scale,1)</x:f>
        <x:v>20000</x:v>
      </x:c>
      <x:c r="I82" s="47" t="n">
        <x:f>E82*Paths!I82+(F82+G82+H82)*dep_asia</x:f>
        <x:v>44400</x:v>
      </x:c>
      <x:c r="J82" s="62" t="n">
        <x:f>Labour!AL82</x:f>
        <x:v>275822.8118783446</x:v>
      </x:c>
      <x:c r="K82" s="47" t="n">
        <x:f>SUM(E82:H82)-I82+J82</x:f>
        <x:v>421422.8118783446</x:v>
      </x:c>
      <x:c r="L82" s="47" t="n">
        <x:f>B82+C82+D82+K82</x:f>
        <x:v>20115584.550682254</x:v>
      </x:c>
      <x:c r="M82" s="63" t="n">
        <x:f>IF(B82&gt;0,L82/B82-1,0)</x:f>
        <x:v>0.03671933793017068</x:v>
      </x:c>
      <x:c r="N82" s="47" t="n">
        <x:f>N81*(1+Paths!C82)+F82*(1-dep_asia)</x:f>
        <x:v>1890789.2363163088</x:v>
      </x:c>
      <x:c r="O82" s="47" t="n">
        <x:f>O81*(1+Paths!C82)+G82*(1-dep_asia)</x:f>
        <x:v>543525.7926266338</x:v>
      </x:c>
      <x:c r="P82" s="47" t="n">
        <x:f>P81*(1+Paths!C82)+H82*(1-dep_asia)</x:f>
        <x:v>279968.1782779899</x:v>
      </x:c>
      <x:c r="Q82" s="47" t="n">
        <x:f>Q81*(1+Paths!C82)+Labour!AK82*gw_asian</x:f>
        <x:v>546170.6076523801</x:v>
      </x:c>
      <x:c r="R82" s="47" t="n">
        <x:f>R81*(1+Paths!C82)+Labour!AF82*family_mult</x:f>
        <x:v>381865.97938394285</x:v>
      </x:c>
      <x:c r="S82" s="63" t="n">
        <x:f>(N82+O82+P82+Q82+R82)/L82</x:f>
        <x:v>0.18106954759779625</x:v>
      </x:c>
      <x:c r="T82" s="47" t="n">
        <x:f>SUM(E82:H82)*Paths!J82</x:f>
        <x:v>57000</x:v>
      </x:c>
      <x:c r="U82" s="62" t="n">
        <x:f>Paths!K82</x:f>
        <x:v>11071000</x:v>
      </x:c>
      <x:c r="V82" s="47" t="n">
        <x:f>IF(Gulf!E82=1,Gulf!B82,0)</x:f>
        <x:v>0</x:v>
      </x:c>
      <x:c r="W82" s="47" t="n">
        <x:f>L82+V82</x:f>
        <x:v>20115584.550682254</x:v>
      </x:c>
      <x:c r="X82" s="47" t="n">
        <x:f>W82+Labour!L82</x:f>
        <x:v>20862989.026538618</x:v>
      </x:c>
    </x:row>
    <x:row r="83">
      <x:c r="A83" s="58" t="n">
        <x:v>1923</x:v>
      </x:c>
      <x:c r="B83" s="47" t="n">
        <x:f>L82</x:f>
        <x:v>20115584.550682254</x:v>
      </x:c>
      <x:c r="C83" s="62" t="n">
        <x:f>Paths!D83</x:f>
        <x:v>0</x:v>
      </x:c>
      <x:c r="D83" s="47" t="n">
        <x:f>B83*Paths!C83</x:f>
        <x:v>301733.7682602338</x:v>
      </x:c>
      <x:c r="E83" s="47" t="n">
        <x:f>Paths!E83*IF($A83&gt;=1896,mig_scale,1)</x:f>
        <x:v>110000</x:v>
      </x:c>
      <x:c r="F83" s="47" t="n">
        <x:f>Paths!F83*IF($A83&gt;=1896,mig_scale,1)</x:f>
        <x:v>30000</x:v>
      </x:c>
      <x:c r="G83" s="47" t="n">
        <x:f>Paths!G83*IF($A83&gt;=1896,mig_scale,1)</x:f>
        <x:v>30000</x:v>
      </x:c>
      <x:c r="H83" s="47" t="n">
        <x:f>Paths!H83*IF($A83&gt;=1896,mig_scale,1)</x:f>
        <x:v>20000</x:v>
      </x:c>
      <x:c r="I83" s="47" t="n">
        <x:f>E83*Paths!I83+(F83+G83+H83)*dep_asia</x:f>
        <x:v>44400</x:v>
      </x:c>
      <x:c r="J83" s="62" t="n">
        <x:f>Labour!AL83</x:f>
        <x:v>306065.3269059553</x:v>
      </x:c>
      <x:c r="K83" s="47" t="n">
        <x:f>SUM(E83:H83)-I83+J83</x:f>
        <x:v>451665.3269059553</x:v>
      </x:c>
      <x:c r="L83" s="47" t="n">
        <x:f>B83+C83+D83+K83</x:f>
        <x:v>20868983.645848442</x:v>
      </x:c>
      <x:c r="M83" s="63" t="n">
        <x:f>IF(B83&gt;0,L83/B83-1,0)</x:f>
        <x:v>0.037453502445726095</x:v>
      </x:c>
      <x:c r="N83" s="47" t="n">
        <x:f>N82*(1+Paths!C83)+F83*(1-dep_asia)</x:f>
        <x:v>1940751.0748610534</x:v>
      </x:c>
      <x:c r="O83" s="47" t="n">
        <x:f>O82*(1+Paths!C83)+G83*(1-dep_asia)</x:f>
        <x:v>573278.6795160333</x:v>
      </x:c>
      <x:c r="P83" s="47" t="n">
        <x:f>P82*(1+Paths!C83)+H83*(1-dep_asia)</x:f>
        <x:v>298567.7009521597</x:v>
      </x:c>
      <x:c r="Q83" s="47" t="n">
        <x:f>Q82*(1+Paths!C83)+Labour!AK83*gw_asian</x:f>
        <x:v>578579.071784912</x:v>
      </x:c>
      <x:c r="R83" s="47" t="n">
        <x:f>R82*(1+Paths!C83)+Labour!AF83*family_mult</x:f>
        <x:v>418120.005647237</x:v>
      </x:c>
      <x:c r="S83" s="63" t="n">
        <x:f>(N83+O83+P83+Q83+R83)/L83</x:f>
        <x:v>0.18253387886089964</x:v>
      </x:c>
      <x:c r="T83" s="47" t="n">
        <x:f>SUM(E83:H83)*Paths!J83</x:f>
        <x:v>57000</x:v>
      </x:c>
      <x:c r="U83" s="62" t="n">
        <x:f>Paths!K83</x:f>
        <x:v>11264000</x:v>
      </x:c>
      <x:c r="V83" s="47" t="n">
        <x:f>IF(Gulf!E83=1,Gulf!B83,0)</x:f>
        <x:v>0</x:v>
      </x:c>
      <x:c r="W83" s="47" t="n">
        <x:f>L83+V83</x:f>
        <x:v>20868983.645848442</x:v>
      </x:c>
      <x:c r="X83" s="47" t="n">
        <x:f>W83+Labour!L83</x:f>
        <x:v>21701163.207874548</x:v>
      </x:c>
    </x:row>
    <x:row r="84">
      <x:c r="A84" s="58" t="n">
        <x:v>1924</x:v>
      </x:c>
      <x:c r="B84" s="47" t="n">
        <x:f>L83</x:f>
        <x:v>20868983.645848442</x:v>
      </x:c>
      <x:c r="C84" s="62" t="n">
        <x:f>Paths!D84</x:f>
        <x:v>0</x:v>
      </x:c>
      <x:c r="D84" s="47" t="n">
        <x:f>B84*Paths!C84</x:f>
        <x:v>313034.7546877266</x:v>
      </x:c>
      <x:c r="E84" s="47" t="n">
        <x:f>Paths!E84*IF($A84&gt;=1896,mig_scale,1)</x:f>
        <x:v>110000</x:v>
      </x:c>
      <x:c r="F84" s="47" t="n">
        <x:f>Paths!F84*IF($A84&gt;=1896,mig_scale,1)</x:f>
        <x:v>30000</x:v>
      </x:c>
      <x:c r="G84" s="47" t="n">
        <x:f>Paths!G84*IF($A84&gt;=1896,mig_scale,1)</x:f>
        <x:v>30000</x:v>
      </x:c>
      <x:c r="H84" s="47" t="n">
        <x:f>Paths!H84*IF($A84&gt;=1896,mig_scale,1)</x:f>
        <x:v>20000</x:v>
      </x:c>
      <x:c r="I84" s="47" t="n">
        <x:f>E84*Paths!I84+(F84+G84+H84)*dep_asia</x:f>
        <x:v>44400</x:v>
      </x:c>
      <x:c r="J84" s="62" t="n">
        <x:f>Labour!AL84</x:f>
        <x:v>285378.2555844276</x:v>
      </x:c>
      <x:c r="K84" s="47" t="n">
        <x:f>SUM(E84:H84)-I84+J84</x:f>
        <x:v>430978.2555844276</x:v>
      </x:c>
      <x:c r="L84" s="47" t="n">
        <x:f>B84+C84+D84+K84</x:f>
        <x:v>21612996.656120595</x:v>
      </x:c>
      <x:c r="M84" s="63" t="n">
        <x:f>IF(B84&gt;0,L84/B84-1,0)</x:f>
        <x:v>0.035651616911404505</x:v>
      </x:c>
      <x:c r="N84" s="47" t="n">
        <x:f>N83*(1+Paths!C84)+F84*(1-dep_asia)</x:f>
        <x:v>1991462.340983969</x:v>
      </x:c>
      <x:c r="O84" s="47" t="n">
        <x:f>O83*(1+Paths!C84)+G84*(1-dep_asia)</x:f>
        <x:v>603477.8597087737</x:v>
      </x:c>
      <x:c r="P84" s="47" t="n">
        <x:f>P83*(1+Paths!C84)+H84*(1-dep_asia)</x:f>
        <x:v>317446.2164664421</x:v>
      </x:c>
      <x:c r="Q84" s="47" t="n">
        <x:f>Q83*(1+Paths!C84)+Labour!AK84*gw_asian</x:f>
        <x:v>614220.3756713315</x:v>
      </x:c>
      <x:c r="R84" s="47" t="n">
        <x:f>R83*(1+Paths!C84)+Labour!AF84*family_mult</x:f>
        <x:v>452710.3912198393</x:v>
      </x:c>
      <x:c r="S84" s="63" t="n">
        <x:f>(N84+O84+P84+Q84+R84)/L84</x:f>
        <x:v>0.18411686483667</x:v>
      </x:c>
      <x:c r="T84" s="47" t="n">
        <x:f>SUM(E84:H84)*Paths!J84</x:f>
        <x:v>57000</x:v>
      </x:c>
      <x:c r="U84" s="62" t="n">
        <x:f>Paths!K84</x:f>
        <x:v>11457000</x:v>
      </x:c>
      <x:c r="V84" s="47" t="n">
        <x:f>IF(Gulf!E84=1,Gulf!B84,0)</x:f>
        <x:v>0</x:v>
      </x:c>
      <x:c r="W84" s="47" t="n">
        <x:f>L84+V84</x:f>
        <x:v>21612996.656120595</x:v>
      </x:c>
      <x:c r="X84" s="47" t="n">
        <x:f>W84+Labour!L84</x:f>
        <x:v>22514679.601449985</x:v>
      </x:c>
    </x:row>
    <x:row r="85">
      <x:c r="A85" s="58" t="n">
        <x:v>1925</x:v>
      </x:c>
      <x:c r="B85" s="47" t="n">
        <x:f>L84</x:f>
        <x:v>21612996.656120595</x:v>
      </x:c>
      <x:c r="C85" s="62" t="n">
        <x:f>Paths!D85</x:f>
        <x:v>0</x:v>
      </x:c>
      <x:c r="D85" s="47" t="n">
        <x:f>B85*Paths!C85</x:f>
        <x:v>324194.94984180894</x:v>
      </x:c>
      <x:c r="E85" s="47" t="n">
        <x:f>Paths!E85*IF($A85&gt;=1896,mig_scale,1)</x:f>
        <x:v>110000</x:v>
      </x:c>
      <x:c r="F85" s="47" t="n">
        <x:f>Paths!F85*IF($A85&gt;=1896,mig_scale,1)</x:f>
        <x:v>30000</x:v>
      </x:c>
      <x:c r="G85" s="47" t="n">
        <x:f>Paths!G85*IF($A85&gt;=1896,mig_scale,1)</x:f>
        <x:v>30000</x:v>
      </x:c>
      <x:c r="H85" s="47" t="n">
        <x:f>Paths!H85*IF($A85&gt;=1896,mig_scale,1)</x:f>
        <x:v>20000</x:v>
      </x:c>
      <x:c r="I85" s="47" t="n">
        <x:f>E85*Paths!I85+(F85+G85+H85)*dep_asia</x:f>
        <x:v>44400</x:v>
      </x:c>
      <x:c r="J85" s="62" t="n">
        <x:f>Labour!AL85</x:f>
        <x:v>266469.2010547624</x:v>
      </x:c>
      <x:c r="K85" s="47" t="n">
        <x:f>SUM(E85:H85)-I85+J85</x:f>
        <x:v>412069.2010547624</x:v>
      </x:c>
      <x:c r="L85" s="47" t="n">
        <x:f>B85+C85+D85+K85</x:f>
        <x:v>22349260.807017166</x:v>
      </x:c>
      <x:c r="M85" s="63" t="n">
        <x:f>IF(B85&gt;0,L85/B85-1,0)</x:f>
        <x:v>0.03406580598753162</x:v>
      </x:c>
      <x:c r="N85" s="47" t="n">
        <x:f>N84*(1+Paths!C85)+F85*(1-dep_asia)</x:f>
        <x:v>2042934.2760987282</x:v>
      </x:c>
      <x:c r="O85" s="47" t="n">
        <x:f>O84*(1+Paths!C85)+G85*(1-dep_asia)</x:f>
        <x:v>634130.0276044052</x:v>
      </x:c>
      <x:c r="P85" s="47" t="n">
        <x:f>P84*(1+Paths!C85)+H85*(1-dep_asia)</x:f>
        <x:v>336607.9097134387</x:v>
      </x:c>
      <x:c r="Q85" s="47" t="n">
        <x:f>Q84*(1+Paths!C85)+Labour!AK85*gw_asian</x:f>
        <x:v>652648.2087350738</x:v>
      </x:c>
      <x:c r="R85" s="47" t="n">
        <x:f>R84*(1+Paths!C85)+Labour!AF85*family_mult</x:f>
        <x:v>493180.13438718533</x:v>
      </x:c>
      <x:c r="S85" s="63" t="n">
        <x:f>(N85+O85+P85+Q85+R85)/L85</x:f>
        <x:v>0.18611356288047082</x:v>
      </x:c>
      <x:c r="T85" s="47" t="n">
        <x:f>SUM(E85:H85)*Paths!J85</x:f>
        <x:v>57000</x:v>
      </x:c>
      <x:c r="U85" s="62" t="n">
        <x:f>Paths!K85</x:f>
        <x:v>11650000</x:v>
      </x:c>
      <x:c r="V85" s="47" t="n">
        <x:f>IF(Gulf!E85=1,Gulf!B85,0)</x:f>
        <x:v>0</x:v>
      </x:c>
      <x:c r="W85" s="47" t="n">
        <x:f>L85+V85</x:f>
        <x:v>22349260.807017166</x:v>
      </x:c>
      <x:c r="X85" s="47" t="n">
        <x:f>W85+Labour!L85</x:f>
        <x:v>23313884.025624286</x:v>
      </x:c>
    </x:row>
    <x:row r="86">
      <x:c r="A86" s="58" t="n">
        <x:v>1926</x:v>
      </x:c>
      <x:c r="B86" s="47" t="n">
        <x:f>L85</x:f>
        <x:v>22349260.807017166</x:v>
      </x:c>
      <x:c r="C86" s="62" t="n">
        <x:f>Paths!D86</x:f>
        <x:v>0</x:v>
      </x:c>
      <x:c r="D86" s="47" t="n">
        <x:f>B86*Paths!C86</x:f>
        <x:v>335238.9121052575</x:v>
      </x:c>
      <x:c r="E86" s="47" t="n">
        <x:f>Paths!E86*IF($A86&gt;=1896,mig_scale,1)</x:f>
        <x:v>110000</x:v>
      </x:c>
      <x:c r="F86" s="47" t="n">
        <x:f>Paths!F86*IF($A86&gt;=1896,mig_scale,1)</x:f>
        <x:v>30000</x:v>
      </x:c>
      <x:c r="G86" s="47" t="n">
        <x:f>Paths!G86*IF($A86&gt;=1896,mig_scale,1)</x:f>
        <x:v>30000</x:v>
      </x:c>
      <x:c r="H86" s="47" t="n">
        <x:f>Paths!H86*IF($A86&gt;=1896,mig_scale,1)</x:f>
        <x:v>20000</x:v>
      </x:c>
      <x:c r="I86" s="47" t="n">
        <x:f>E86*Paths!I86+(F86+G86+H86)*dep_asia</x:f>
        <x:v>44400</x:v>
      </x:c>
      <x:c r="J86" s="62" t="n">
        <x:f>Labour!AL86</x:f>
        <x:v>259359.31012794055</x:v>
      </x:c>
      <x:c r="K86" s="47" t="n">
        <x:f>SUM(E86:H86)-I86+J86</x:f>
        <x:v>404959.31012794055</x:v>
      </x:c>
      <x:c r="L86" s="47" t="n">
        <x:f>B86+C86+D86+K86</x:f>
        <x:v>23089459.029250365</x:v>
      </x:c>
      <x:c r="M86" s="63" t="n">
        <x:f>IF(B86&gt;0,L86/B86-1,0)</x:f>
        <x:v>0.03311958407146931</x:v>
      </x:c>
      <x:c r="N86" s="47" t="n">
        <x:f>N85*(1+Paths!C86)+F86*(1-dep_asia)</x:f>
        <x:v>2095178.2902402089</x:v>
      </x:c>
      <x:c r="O86" s="47" t="n">
        <x:f>O85*(1+Paths!C86)+G86*(1-dep_asia)</x:f>
        <x:v>665241.9780184712</x:v>
      </x:c>
      <x:c r="P86" s="47" t="n">
        <x:f>P85*(1+Paths!C86)+H86*(1-dep_asia)</x:f>
        <x:v>356057.02835914027</x:v>
      </x:c>
      <x:c r="Q86" s="47" t="n">
        <x:f>Q85*(1+Paths!C86)+Labour!AK86*gw_asian</x:f>
        <x:v>693691.7241489704</x:v>
      </x:c>
      <x:c r="R86" s="47" t="n">
        <x:f>R85*(1+Paths!C86)+Labour!AF86*family_mult</x:f>
        <x:v>536779.3916199689</x:v>
      </x:c>
      <x:c r="S86" s="63" t="n">
        <x:f>(N86+O86+P86+Q86+R86)/L86</x:f>
        <x:v>0.18826549408887952</x:v>
      </x:c>
      <x:c r="T86" s="47" t="n">
        <x:f>SUM(E86:H86)*Paths!J86</x:f>
        <x:v>57000</x:v>
      </x:c>
      <x:c r="U86" s="62" t="n">
        <x:f>Paths!K86</x:f>
        <x:v>11843000</x:v>
      </x:c>
      <x:c r="V86" s="47" t="n">
        <x:f>IF(Gulf!E86=1,Gulf!B86,0)</x:f>
        <x:v>0</x:v>
      </x:c>
      <x:c r="W86" s="47" t="n">
        <x:f>L86+V86</x:f>
        <x:v>23089459.029250365</x:v>
      </x:c>
      <x:c r="X86" s="47" t="n">
        <x:f>W86+Labour!L86</x:f>
        <x:v>24107209.42875271</x:v>
      </x:c>
    </x:row>
    <x:row r="87">
      <x:c r="A87" s="58" t="n">
        <x:v>1927</x:v>
      </x:c>
      <x:c r="B87" s="47" t="n">
        <x:f>L86</x:f>
        <x:v>23089459.029250365</x:v>
      </x:c>
      <x:c r="C87" s="62" t="n">
        <x:f>Paths!D87</x:f>
        <x:v>0</x:v>
      </x:c>
      <x:c r="D87" s="47" t="n">
        <x:f>B87*Paths!C87</x:f>
        <x:v>346341.88543875545</x:v>
      </x:c>
      <x:c r="E87" s="47" t="n">
        <x:f>Paths!E87*IF($A87&gt;=1896,mig_scale,1)</x:f>
        <x:v>110000</x:v>
      </x:c>
      <x:c r="F87" s="47" t="n">
        <x:f>Paths!F87*IF($A87&gt;=1896,mig_scale,1)</x:f>
        <x:v>30000</x:v>
      </x:c>
      <x:c r="G87" s="47" t="n">
        <x:f>Paths!G87*IF($A87&gt;=1896,mig_scale,1)</x:f>
        <x:v>30000</x:v>
      </x:c>
      <x:c r="H87" s="47" t="n">
        <x:f>Paths!H87*IF($A87&gt;=1896,mig_scale,1)</x:f>
        <x:v>20000</x:v>
      </x:c>
      <x:c r="I87" s="47" t="n">
        <x:f>E87*Paths!I87+(F87+G87+H87)*dep_asia</x:f>
        <x:v>44400</x:v>
      </x:c>
      <x:c r="J87" s="62" t="n">
        <x:f>Labour!AL87</x:f>
        <x:v>263854.95522896486</x:v>
      </x:c>
      <x:c r="K87" s="47" t="n">
        <x:f>SUM(E87:H87)-I87+J87</x:f>
        <x:v>409454.95522896486</x:v>
      </x:c>
      <x:c r="L87" s="47" t="n">
        <x:f>B87+C87+D87+K87</x:f>
        <x:v>23845255.869918086</x:v>
      </x:c>
      <x:c r="M87" s="63" t="n">
        <x:f>IF(B87&gt;0,L87/B87-1,0)</x:f>
        <x:v>0.032733414832727625</x:v>
      </x:c>
      <x:c r="N87" s="47" t="n">
        <x:f>N86*(1+Paths!C87)+F87*(1-dep_asia)</x:f>
        <x:v>2148205.964593812</x:v>
      </x:c>
      <x:c r="O87" s="47" t="n">
        <x:f>O86*(1+Paths!C87)+G87*(1-dep_asia)</x:f>
        <x:v>696820.6076887482</x:v>
      </x:c>
      <x:c r="P87" s="47" t="n">
        <x:f>P86*(1+Paths!C87)+H87*(1-dep_asia)</x:f>
        <x:v>375797.88378452737</x:v>
      </x:c>
      <x:c r="Q87" s="47" t="n">
        <x:f>Q86*(1+Paths!C87)+Labour!AK87*gw_asian</x:f>
        <x:v>737072.212955081</x:v>
      </x:c>
      <x:c r="R87" s="47" t="n">
        <x:f>R86*(1+Paths!C87)+Labour!AF87*family_mult</x:f>
        <x:v>578916.2316864949</x:v>
      </x:c>
      <x:c r="S87" s="63" t="n">
        <x:f>(N87+O87+P87+Q87+R87)/L87</x:f>
        <x:v>0.19026060887994356</x:v>
      </x:c>
      <x:c r="T87" s="47" t="n">
        <x:f>SUM(E87:H87)*Paths!J87</x:f>
        <x:v>57000</x:v>
      </x:c>
      <x:c r="U87" s="62" t="n">
        <x:f>Paths!K87</x:f>
        <x:v>12036000</x:v>
      </x:c>
      <x:c r="V87" s="47" t="n">
        <x:f>IF(Gulf!E87=1,Gulf!B87,0)</x:f>
        <x:v>0</x:v>
      </x:c>
      <x:c r="W87" s="47" t="n">
        <x:f>L87+V87</x:f>
        <x:v>23845255.869918086</x:v>
      </x:c>
      <x:c r="X87" s="47" t="n">
        <x:f>W87+Labour!L87</x:f>
        <x:v>24915721.964834835</x:v>
      </x:c>
    </x:row>
    <x:row r="88">
      <x:c r="A88" s="58" t="n">
        <x:v>1928</x:v>
      </x:c>
      <x:c r="B88" s="47" t="n">
        <x:f>L87</x:f>
        <x:v>23845255.869918086</x:v>
      </x:c>
      <x:c r="C88" s="62" t="n">
        <x:f>Paths!D88</x:f>
        <x:v>0</x:v>
      </x:c>
      <x:c r="D88" s="47" t="n">
        <x:f>B88*Paths!C88</x:f>
        <x:v>357678.83804877126</x:v>
      </x:c>
      <x:c r="E88" s="47" t="n">
        <x:f>Paths!E88*IF($A88&gt;=1896,mig_scale,1)</x:f>
        <x:v>110000</x:v>
      </x:c>
      <x:c r="F88" s="47" t="n">
        <x:f>Paths!F88*IF($A88&gt;=1896,mig_scale,1)</x:f>
        <x:v>30000</x:v>
      </x:c>
      <x:c r="G88" s="47" t="n">
        <x:f>Paths!G88*IF($A88&gt;=1896,mig_scale,1)</x:f>
        <x:v>30000</x:v>
      </x:c>
      <x:c r="H88" s="47" t="n">
        <x:f>Paths!H88*IF($A88&gt;=1896,mig_scale,1)</x:f>
        <x:v>20000</x:v>
      </x:c>
      <x:c r="I88" s="47" t="n">
        <x:f>E88*Paths!I88+(F88+G88+H88)*dep_asia</x:f>
        <x:v>44400</x:v>
      </x:c>
      <x:c r="J88" s="62" t="n">
        <x:f>Labour!AL88</x:f>
        <x:v>285436.32390946563</x:v>
      </x:c>
      <x:c r="K88" s="47" t="n">
        <x:f>SUM(E88:H88)-I88+J88</x:f>
        <x:v>431036.32390946563</x:v>
      </x:c>
      <x:c r="L88" s="47" t="n">
        <x:f>B88+C88+D88+K88</x:f>
        <x:v>24633971.031876322</x:v>
      </x:c>
      <x:c r="M88" s="63" t="n">
        <x:f>IF(B88&gt;0,L88/B88-1,0)</x:f>
        <x:v>0.03307639751323599</x:v>
      </x:c>
      <x:c r="N88" s="47" t="n">
        <x:f>N87*(1+Paths!C88)+F88*(1-dep_asia)</x:f>
        <x:v>2202029.054062719</x:v>
      </x:c>
      <x:c r="O88" s="47" t="n">
        <x:f>O87*(1+Paths!C88)+G88*(1-dep_asia)</x:f>
        <x:v>728872.9168040793</x:v>
      </x:c>
      <x:c r="P88" s="47" t="n">
        <x:f>P87*(1+Paths!C88)+H88*(1-dep_asia)</x:f>
        <x:v>395834.85204129526</x:v>
      </x:c>
      <x:c r="Q88" s="47" t="n">
        <x:f>Q87*(1+Paths!C88)+Labour!AK88*gw_asian</x:f>
        <x:v>782811.3976247099</x:v>
      </x:c>
      <x:c r="R88" s="47" t="n">
        <x:f>R87*(1+Paths!C88)+Labour!AF88*family_mult</x:f>
        <x:v>625732.3113712635</x:v>
      </x:c>
      <x:c r="S88" s="63" t="n">
        <x:f>(N88+O88+P88+Q88+R88)/L88</x:f>
        <x:v>0.1922256271949261</x:v>
      </x:c>
      <x:c r="T88" s="47" t="n">
        <x:f>SUM(E88:H88)*Paths!J88</x:f>
        <x:v>57000</x:v>
      </x:c>
      <x:c r="U88" s="62" t="n">
        <x:f>Paths!K88</x:f>
        <x:v>12229000</x:v>
      </x:c>
      <x:c r="V88" s="47" t="n">
        <x:f>IF(Gulf!E88=1,Gulf!B88,0)</x:f>
        <x:v>0</x:v>
      </x:c>
      <x:c r="W88" s="47" t="n">
        <x:f>L88+V88</x:f>
        <x:v>24633971.031876322</x:v>
      </x:c>
      <x:c r="X88" s="47" t="n">
        <x:f>W88+Labour!L88</x:f>
        <x:v>25760009.94629935</x:v>
      </x:c>
    </x:row>
    <x:row r="89">
      <x:c r="A89" s="58" t="n">
        <x:v>1929</x:v>
      </x:c>
      <x:c r="B89" s="47" t="n">
        <x:f>L88</x:f>
        <x:v>24633971.031876322</x:v>
      </x:c>
      <x:c r="C89" s="62" t="n">
        <x:f>Paths!D89</x:f>
        <x:v>0</x:v>
      </x:c>
      <x:c r="D89" s="47" t="n">
        <x:f>B89*Paths!C89</x:f>
        <x:v>369509.5654781448</x:v>
      </x:c>
      <x:c r="E89" s="47" t="n">
        <x:f>Paths!E89*IF($A89&gt;=1896,mig_scale,1)</x:f>
        <x:v>110000</x:v>
      </x:c>
      <x:c r="F89" s="47" t="n">
        <x:f>Paths!F89*IF($A89&gt;=1896,mig_scale,1)</x:f>
        <x:v>30000</x:v>
      </x:c>
      <x:c r="G89" s="47" t="n">
        <x:f>Paths!G89*IF($A89&gt;=1896,mig_scale,1)</x:f>
        <x:v>30000</x:v>
      </x:c>
      <x:c r="H89" s="47" t="n">
        <x:f>Paths!H89*IF($A89&gt;=1896,mig_scale,1)</x:f>
        <x:v>20000</x:v>
      </x:c>
      <x:c r="I89" s="47" t="n">
        <x:f>E89*Paths!I89+(F89+G89+H89)*dep_asia</x:f>
        <x:v>44400</x:v>
      </x:c>
      <x:c r="J89" s="62" t="n">
        <x:f>Labour!AL89</x:f>
        <x:v>281636.1099163099</x:v>
      </x:c>
      <x:c r="K89" s="47" t="n">
        <x:f>SUM(E89:H89)-I89+J89</x:f>
        <x:v>427236.1099163099</x:v>
      </x:c>
      <x:c r="L89" s="47" t="n">
        <x:f>B89+C89+D89+K89</x:f>
        <x:v>25430716.70727078</x:v>
      </x:c>
      <x:c r="M89" s="63" t="n">
        <x:f>IF(B89&gt;0,L89/B89-1,0)</x:f>
        <x:v>0.03234337145089072</x:v>
      </x:c>
      <x:c r="N89" s="47" t="n">
        <x:f>N88*(1+Paths!C89)+F89*(1-dep_asia)</x:f>
        <x:v>2256659.4898736593</x:v>
      </x:c>
      <x:c r="O89" s="47" t="n">
        <x:f>O88*(1+Paths!C89)+G89*(1-dep_asia)</x:f>
        <x:v>761406.0105561404</x:v>
      </x:c>
      <x:c r="P89" s="47" t="n">
        <x:f>P88*(1+Paths!C89)+H89*(1-dep_asia)</x:f>
        <x:v>416172.37482191465</x:v>
      </x:c>
      <x:c r="Q89" s="47" t="n">
        <x:f>Q88*(1+Paths!C89)+Labour!AK89*gw_asian</x:f>
        <x:v>831037.2294163867</x:v>
      </x:c>
      <x:c r="R89" s="47" t="n">
        <x:f>R88*(1+Paths!C89)+Labour!AF89*family_mult</x:f>
        <x:v>677583.470285563</x:v>
      </x:c>
      <x:c r="S89" s="63" t="n">
        <x:f>(N89+O89+P89+Q89+R89)/L89</x:f>
        <x:v>0.19436568115048344</x:v>
      </x:c>
      <x:c r="T89" s="47" t="n">
        <x:f>SUM(E89:H89)*Paths!J89</x:f>
        <x:v>57000</x:v>
      </x:c>
      <x:c r="U89" s="62" t="n">
        <x:f>Paths!K89</x:f>
        <x:v>12421000</x:v>
      </x:c>
      <x:c r="V89" s="47" t="n">
        <x:f>IF(Gulf!E89=1,Gulf!B89,0)</x:f>
        <x:v>0</x:v>
      </x:c>
      <x:c r="W89" s="47" t="n">
        <x:f>L89+V89</x:f>
        <x:v>25430716.70727078</x:v>
      </x:c>
      <x:c r="X89" s="47" t="n">
        <x:f>W89+Labour!L89</x:f>
        <x:v>26607206.601660013</x:v>
      </x:c>
    </x:row>
    <x:row r="90">
      <x:c r="A90" s="58" t="n">
        <x:v>1930</x:v>
      </x:c>
      <x:c r="B90" s="47" t="n">
        <x:f>L89</x:f>
        <x:v>25430716.70727078</x:v>
      </x:c>
      <x:c r="C90" s="62" t="n">
        <x:f>Paths!D90</x:f>
        <x:v>0</x:v>
      </x:c>
      <x:c r="D90" s="47" t="n">
        <x:f>B90*Paths!C90</x:f>
        <x:v>305168.6004872494</x:v>
      </x:c>
      <x:c r="E90" s="47" t="n">
        <x:f>Paths!E90*IF($A90&gt;=1896,mig_scale,1)</x:f>
        <x:v>30000</x:v>
      </x:c>
      <x:c r="F90" s="47" t="n">
        <x:f>Paths!F90*IF($A90&gt;=1896,mig_scale,1)</x:f>
        <x:v>12000</x:v>
      </x:c>
      <x:c r="G90" s="47" t="n">
        <x:f>Paths!G90*IF($A90&gt;=1896,mig_scale,1)</x:f>
        <x:v>12000</x:v>
      </x:c>
      <x:c r="H90" s="47" t="n">
        <x:f>Paths!H90*IF($A90&gt;=1896,mig_scale,1)</x:f>
        <x:v>8000</x:v>
      </x:c>
      <x:c r="I90" s="47" t="n">
        <x:f>E90*Paths!I90+(F90+G90+H90)*dep_asia</x:f>
        <x:v>14960</x:v>
      </x:c>
      <x:c r="J90" s="62" t="n">
        <x:f>Labour!AL90</x:f>
        <x:v>271184.01963054226</x:v>
      </x:c>
      <x:c r="K90" s="47" t="n">
        <x:f>SUM(E90:H90)-I90+J90</x:f>
        <x:v>318224.01963054226</x:v>
      </x:c>
      <x:c r="L90" s="47" t="n">
        <x:f>B90+C90+D90+K90</x:f>
        <x:v>26054109.327388573</x:v>
      </x:c>
      <x:c r="M90" s="63" t="n">
        <x:f>IF(B90&gt;0,L90/B90-1,0)</x:f>
        <x:v>0.024513372048990067</x:v>
      </x:c>
      <x:c r="N90" s="47" t="n">
        <x:f>N89*(1+Paths!C90)+F90*(1-dep_asia)</x:f>
        <x:v>2292379.4037521435</x:v>
      </x:c>
      <x:c r="O90" s="47" t="n">
        <x:f>O89*(1+Paths!C90)+G90*(1-dep_asia)</x:f>
        <x:v>779182.8826828141</x:v>
      </x:c>
      <x:c r="P90" s="47" t="n">
        <x:f>P89*(1+Paths!C90)+H90*(1-dep_asia)</x:f>
        <x:v>426926.4433197776</x:v>
      </x:c>
      <x:c r="Q90" s="47" t="n">
        <x:f>Q89*(1+Paths!C90)+Labour!AK90*gw_asian</x:f>
        <x:v>879127.9487475946</x:v>
      </x:c>
      <x:c r="R90" s="47" t="n">
        <x:f>R89*(1+Paths!C90)+Labour!AF90*family_mult</x:f>
        <x:v>726047.536773537</x:v>
      </x:c>
      <x:c r="S90" s="63" t="n">
        <x:f>(N90+O90+P90+Q90+R90)/L90</x:f>
        <x:v>0.19588711136292034</x:v>
      </x:c>
      <x:c r="T90" s="47" t="n">
        <x:f>SUM(E90:H90)*Paths!J90</x:f>
        <x:v>18600</x:v>
      </x:c>
      <x:c r="U90" s="62" t="n">
        <x:f>Paths!K90</x:f>
        <x:v>12614000</x:v>
      </x:c>
      <x:c r="V90" s="47" t="n">
        <x:f>IF(Gulf!E90=1,Gulf!B90,0)</x:f>
        <x:v>0</x:v>
      </x:c>
      <x:c r="W90" s="47" t="n">
        <x:f>L90+V90</x:f>
        <x:v>26054109.327388573</x:v>
      </x:c>
      <x:c r="X90" s="47" t="n">
        <x:f>W90+Labour!L90</x:f>
        <x:v>27161658.577304408</x:v>
      </x:c>
    </x:row>
    <x:row r="91">
      <x:c r="A91" s="58" t="n">
        <x:v>1931</x:v>
      </x:c>
      <x:c r="B91" s="47" t="n">
        <x:f>L90</x:f>
        <x:v>26054109.327388573</x:v>
      </x:c>
      <x:c r="C91" s="62" t="n">
        <x:f>Paths!D91</x:f>
        <x:v>0</x:v>
      </x:c>
      <x:c r="D91" s="47" t="n">
        <x:f>B91*Paths!C91</x:f>
        <x:v>312649.3119286629</x:v>
      </x:c>
      <x:c r="E91" s="47" t="n">
        <x:f>Paths!E91*IF($A91&gt;=1896,mig_scale,1)</x:f>
        <x:v>30000</x:v>
      </x:c>
      <x:c r="F91" s="47" t="n">
        <x:f>Paths!F91*IF($A91&gt;=1896,mig_scale,1)</x:f>
        <x:v>12000</x:v>
      </x:c>
      <x:c r="G91" s="47" t="n">
        <x:f>Paths!G91*IF($A91&gt;=1896,mig_scale,1)</x:f>
        <x:v>12000</x:v>
      </x:c>
      <x:c r="H91" s="47" t="n">
        <x:f>Paths!H91*IF($A91&gt;=1896,mig_scale,1)</x:f>
        <x:v>8000</x:v>
      </x:c>
      <x:c r="I91" s="47" t="n">
        <x:f>E91*Paths!I91+(F91+G91+H91)*dep_asia</x:f>
        <x:v>14960</x:v>
      </x:c>
      <x:c r="J91" s="62" t="n">
        <x:f>Labour!AL91</x:f>
        <x:v>206066.06618980673</x:v>
      </x:c>
      <x:c r="K91" s="47" t="n">
        <x:f>SUM(E91:H91)-I91+J91</x:f>
        <x:v>253106.06618980673</x:v>
      </x:c>
      <x:c r="L91" s="47" t="n">
        <x:f>B91+C91+D91+K91</x:f>
        <x:v>26619864.705507044</x:v>
      </x:c>
      <x:c r="M91" s="63" t="n">
        <x:f>IF(B91&gt;0,L91/B91-1,0)</x:f>
        <x:v>0.02171463130861051</x:v>
      </x:c>
      <x:c r="N91" s="47" t="n">
        <x:f>N90*(1+Paths!C91)+F91*(1-dep_asia)</x:f>
        <x:v>2328527.9565971694</x:v>
      </x:c>
      <x:c r="O91" s="47" t="n">
        <x:f>O90*(1+Paths!C91)+G91*(1-dep_asia)</x:f>
        <x:v>797173.077275008</x:v>
      </x:c>
      <x:c r="P91" s="47" t="n">
        <x:f>P90*(1+Paths!C91)+H91*(1-dep_asia)</x:f>
        <x:v>437809.56063961494</x:v>
      </x:c>
      <x:c r="Q91" s="47" t="n">
        <x:f>Q90*(1+Paths!C91)+Labour!AK91*gw_asian</x:f>
        <x:v>925562.0798298388</x:v>
      </x:c>
      <x:c r="R91" s="47" t="n">
        <x:f>R90*(1+Paths!C91)+Labour!AF91*family_mult</x:f>
        <x:v>782807.4358593889</x:v>
      </x:c>
      <x:c r="S91" s="63" t="n">
        <x:f>(N91+O91+P91+Q91+R91)/L91</x:f>
        <x:v>0.19804308431028156</x:v>
      </x:c>
      <x:c r="T91" s="47" t="n">
        <x:f>SUM(E91:H91)*Paths!J91</x:f>
        <x:v>18600</x:v>
      </x:c>
      <x:c r="U91" s="62" t="n">
        <x:f>Paths!K91</x:f>
        <x:v>12807000</x:v>
      </x:c>
      <x:c r="V91" s="47" t="n">
        <x:f>IF(Gulf!E91=1,Gulf!B91,0)</x:f>
        <x:v>0</x:v>
      </x:c>
      <x:c r="W91" s="47" t="n">
        <x:f>L91+V91</x:f>
        <x:v>26619864.705507044</x:v>
      </x:c>
      <x:c r="X91" s="47" t="n">
        <x:f>W91+Labour!L91</x:f>
        <x:v>27592080.289054148</x:v>
      </x:c>
    </x:row>
    <x:row r="92">
      <x:c r="A92" s="58" t="n">
        <x:v>1932</x:v>
      </x:c>
      <x:c r="B92" s="47" t="n">
        <x:f>L91</x:f>
        <x:v>26619864.705507044</x:v>
      </x:c>
      <x:c r="C92" s="62" t="n">
        <x:f>Paths!D92</x:f>
        <x:v>0</x:v>
      </x:c>
      <x:c r="D92" s="47" t="n">
        <x:f>B92*Paths!C92</x:f>
        <x:v>319438.3764660845</x:v>
      </x:c>
      <x:c r="E92" s="47" t="n">
        <x:f>Paths!E92*IF($A92&gt;=1896,mig_scale,1)</x:f>
        <x:v>30000</x:v>
      </x:c>
      <x:c r="F92" s="47" t="n">
        <x:f>Paths!F92*IF($A92&gt;=1896,mig_scale,1)</x:f>
        <x:v>12000</x:v>
      </x:c>
      <x:c r="G92" s="47" t="n">
        <x:f>Paths!G92*IF($A92&gt;=1896,mig_scale,1)</x:f>
        <x:v>12000</x:v>
      </x:c>
      <x:c r="H92" s="47" t="n">
        <x:f>Paths!H92*IF($A92&gt;=1896,mig_scale,1)</x:f>
        <x:v>8000</x:v>
      </x:c>
      <x:c r="I92" s="47" t="n">
        <x:f>E92*Paths!I92+(F92+G92+H92)*dep_asia</x:f>
        <x:v>14960</x:v>
      </x:c>
      <x:c r="J92" s="62" t="n">
        <x:f>Labour!AL92</x:f>
        <x:v>239444.31855730087</x:v>
      </x:c>
      <x:c r="K92" s="47" t="n">
        <x:f>SUM(E92:H92)-I92+J92</x:f>
        <x:v>286484.31855730084</x:v>
      </x:c>
      <x:c r="L92" s="47" t="n">
        <x:f>B92+C92+D92+K92</x:f>
        <x:v>27225787.400530428</x:v>
      </x:c>
      <x:c r="M92" s="63" t="n">
        <x:f>IF(B92&gt;0,L92/B92-1,0)</x:f>
        <x:v>0.02276205013536492</x:v>
      </x:c>
      <x:c r="N92" s="47" t="n">
        <x:f>N91*(1+Paths!C92)+F92*(1-dep_asia)</x:f>
        <x:v>2365110.2920763353</x:v>
      </x:c>
      <x:c r="O92" s="47" t="n">
        <x:f>O91*(1+Paths!C92)+G92*(1-dep_asia)</x:f>
        <x:v>815379.154202308</x:v>
      </x:c>
      <x:c r="P92" s="47" t="n">
        <x:f>P91*(1+Paths!C92)+H92*(1-dep_asia)</x:f>
        <x:v>448823.2753672903</x:v>
      </x:c>
      <x:c r="Q92" s="47" t="n">
        <x:f>Q91*(1+Paths!C92)+Labour!AK92*gw_asian</x:f>
        <x:v>968168.6096947232</x:v>
      </x:c>
      <x:c r="R92" s="47" t="n">
        <x:f>R91*(1+Paths!C92)+Labour!AF92*family_mult</x:f>
        <x:v>849904.9011330584</x:v>
      </x:c>
      <x:c r="S92" s="63" t="n">
        <x:f>(N92+O92+P92+Q92+R92)/L92</x:f>
        <x:v>0.2000818618148611</x:v>
      </x:c>
      <x:c r="T92" s="47" t="n">
        <x:f>SUM(E92:H92)*Paths!J92</x:f>
        <x:v>18600</x:v>
      </x:c>
      <x:c r="U92" s="62" t="n">
        <x:f>Paths!K92</x:f>
        <x:v>13000000</x:v>
      </x:c>
      <x:c r="V92" s="47" t="n">
        <x:f>IF(Gulf!E92=1,Gulf!B92,0)</x:f>
        <x:v>0</x:v>
      </x:c>
      <x:c r="W92" s="47" t="n">
        <x:f>L92+V92</x:f>
        <x:v>27225787.400530428</x:v>
      </x:c>
      <x:c r="X92" s="47" t="n">
        <x:f>W92+Labour!L92</x:f>
        <x:v>28080168.716545336</x:v>
      </x:c>
    </x:row>
  </x:sheetData>
  <x:mergeCells>
    <x:mergeCell ref="L4:M4"/>
    <x:mergeCell ref="B4:D4"/>
    <x:mergeCell ref="E4:K4"/>
    <x:mergeCell ref="V4:X4"/>
    <x:mergeCell ref="N4:S4"/>
    <x:mergeCell ref="T4:U4"/>
  </x:mergeCells>
  <x:pageMargins left="0.7" right="0.7" top="0.75" bottom="0.75" header="0.3" footer="0.3"/>
  <x:legacyDrawing xmlns:r="http://schemas.openxmlformats.org/officeDocument/2006/relationships" r:id="R63f0a24164b646ff"/>
</x:worksheet>
</file>

<file path=xl/worksheets/sheet7.xml><?xml version="1.0" encoding="utf-8"?>
<x:worksheet xmlns:x="http://schemas.openxmlformats.org/spreadsheetml/2006/main">
  <x:sheetPr>
    <x:tabColor rgb="FF548235"/>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2.5" customWidth="1"/>
  </x:cols>
  <x:sheetData>
    <x:row r="1">
      <x:c r="A1" s="18" t="inlineStr">
        <x:is>
          <x:t xml:space="preserve">Economy</x:t>
        </x:is>
      </x:c>
    </x:row>
    <x:row r="2">
      <x:c r="A2" s="2" t="inlineStr">
        <x:is>
          <x:t xml:space="preserve">GDP = residents × real output per resident × slump factor × prices, plus mining and oil and the national champions.</x:t>
        </x:is>
      </x:c>
    </x:row>
    <x:row r="3">
      <x:c r="A3" s="19" t="inlineStr">
        <x:is>
          <x:t xml:space="preserve">Years run down the page. Blue = input you can change · black = formula · green = link to another sheet. Hover a column heading for its definition.</x:t>
        </x:is>
      </x:c>
    </x:row>
    <x:row r="4">
      <x:c r="B4" s="56" t="inlineStr">
        <x:is>
          <x:t xml:space="preserve">Inputs</x:t>
        </x:is>
      </x:c>
      <x:c r="I4" s="56" t="inlineStr">
        <x:is>
          <x:t xml:space="preserve">GDP</x:t>
        </x:is>
      </x:c>
      <x:c r="Q4" s="56" t="inlineStr">
        <x:is>
          <x:t xml:space="preserve">Benchmark</x:t>
        </x:is>
      </x:c>
    </x:row>
    <x:row r="5" ht="54" customHeight="1">
      <x:c r="A5" s="57" t="inlineStr">
        <x:is>
          <x:t xml:space="preserve">Year</x:t>
        </x:is>
      </x:c>
      <x:c r="B5" s="6" t="inlineStr">
        <x:is>
          <x:t xml:space="preserve">Average residents</x:t>
        </x:is>
      </x:c>
      <x:c r="C5" s="6" t="inlineStr">
        <x:is>
          <x:t xml:space="preserve">Real growth per resident, before the Development Fund</x:t>
        </x:is>
      </x:c>
      <x:c r="D5" s="6" t="inlineStr">
        <x:is>
          <x:t xml:space="preserve">Extra growth from the Development Fund</x:t>
        </x:is>
      </x:c>
      <x:c r="E5" s="6" t="inlineStr">
        <x:is>
          <x:t xml:space="preserve">Real growth per resident</x:t>
        </x:is>
      </x:c>
      <x:c r="F5" s="6" t="inlineStr">
        <x:is>
          <x:t xml:space="preserve">Real non-mining output per resident (1913 $)</x:t>
        </x:is>
      </x:c>
      <x:c r="G5" s="6" t="inlineStr">
        <x:is>
          <x:t xml:space="preserve">Output vs trend</x:t>
        </x:is>
      </x:c>
      <x:c r="H5" s="6" t="inlineStr">
        <x:is>
          <x:t xml:space="preserve">Price level</x:t>
        </x:is>
      </x:c>
      <x:c r="I5" s="6" t="inlineStr">
        <x:is>
          <x:t xml:space="preserve">Output raised by the extra talent</x:t>
        </x:is>
      </x:c>
      <x:c r="J5" s="6" t="inlineStr">
        <x:is>
          <x:t xml:space="preserve">Non-mining GDP ($m)</x:t>
        </x:is>
      </x:c>
      <x:c r="K5" s="6" t="inlineStr">
        <x:is>
          <x:t xml:space="preserve">Mining &amp; oil ($m)</x:t>
        </x:is>
      </x:c>
      <x:c r="L5" s="6" t="inlineStr">
        <x:is>
          <x:t xml:space="preserve">Guest workers' output ($m)</x:t>
        </x:is>
      </x:c>
      <x:c r="M5" s="6" t="inlineStr">
        <x:is>
          <x:t xml:space="preserve">National champions, extra ($m)</x:t>
        </x:is>
      </x:c>
      <x:c r="N5" s="6" t="inlineStr">
        <x:is>
          <x:t xml:space="preserve">Gulf Republic ($m, once a member)</x:t>
        </x:is>
      </x:c>
      <x:c r="O5" s="6" t="inlineStr">
        <x:is>
          <x:t xml:space="preserve">Core GDP ($m)</x:t>
        </x:is>
      </x:c>
      <x:c r="P5" s="6" t="inlineStr">
        <x:is>
          <x:t xml:space="preserve">GDP per person present ($)</x:t>
        </x:is>
      </x:c>
      <x:c r="Q5" s="6" t="inlineStr">
        <x:is>
          <x:t xml:space="preserve">US GDP per person, historical ($)</x:t>
        </x:is>
      </x:c>
      <x:c r="R5" s="6" t="inlineStr">
        <x:is>
          <x:t xml:space="preserve">Pacifica / US per person</x:t>
        </x:is>
      </x:c>
      <x:c r="S5" s="6" t="inlineStr">
        <x:is>
          <x:t xml:space="preserve">Real GDP (1913 $m)</x:t>
        </x:is>
      </x:c>
    </x:row>
    <x:row r="6">
      <x:c r="A6" s="58" t="n">
        <x:v>1846</x:v>
      </x:c>
      <x:c r="B6" s="47" t="n">
        <x:f>(People!B6+People!L6)/2</x:f>
        <x:v>172075</x:v>
      </x:c>
      <x:c r="C6" s="63" t="n">
        <x:f>Paths!L6*IF($A6&gt;=1896,prod_factor,1)</x:f>
        <x:v>0</x:v>
      </x:c>
      <x:c r="D6" s="64" t="n">
        <x:f>0</x:f>
        <x:v>0</x:v>
      </x:c>
      <x:c r="E6" s="63" t="n">
        <x:f>C6+D6</x:f>
        <x:v>0</x:v>
      </x:c>
      <x:c r="F6" s="47" t="n">
        <x:f>real_pc_1846</x:f>
        <x:v>150</x:v>
      </x:c>
      <x:c r="G6" s="65" t="n">
        <x:f>1-(1-Paths!M6)*IF($A6&gt;=1930,dep_severity,1)</x:f>
        <x:v>1</x:v>
      </x:c>
      <x:c r="H6" s="65" t="n">
        <x:f>IF($A6&gt;=1930,Paths!B$89+(Paths!B6-Paths!B$89)*slump_price,Paths!B6)</x:f>
        <x:v>0.74</x:v>
      </x:c>
      <x:c r="I6" s="66" t="n">
        <x:f>Labour!AO6</x:f>
        <x:v>0</x:v>
      </x:c>
      <x:c r="J6" s="47" t="n">
        <x:f>B6*F6*(1+I6)*G6*H6/1000000</x:f>
        <x:v>19.100325</x:v>
      </x:c>
      <x:c r="K6" s="62" t="n">
        <x:f>Resources!O6</x:f>
        <x:v>0</x:v>
      </x:c>
      <x:c r="L6" s="47" t="n">
        <x:f>Labour!L6*gw_rel*J6/Labour!B6</x:f>
        <x:v>0</x:v>
      </x:c>
      <x:c r="M6" s="62" t="n">
        <x:f>Champions!AQ6</x:f>
        <x:v>0</x:v>
      </x:c>
      <x:c r="N6" s="47" t="n">
        <x:f>IF(Gulf!E6=1,Gulf!D6,0)</x:f>
        <x:v>0</x:v>
      </x:c>
      <x:c r="O6" s="47" t="n">
        <x:f>J6+K6+L6+M6+N6</x:f>
        <x:v>19.100325</x:v>
      </x:c>
      <x:c r="P6" s="47" t="n">
        <x:f>O6*1000000/(B6+People!V6+Labour!L6)</x:f>
        <x:v>111</x:v>
      </x:c>
      <x:c r="Q6" s="45" t="n">
        <x:v>95</x:v>
      </x:c>
      <x:c r="R6" s="67" t="n">
        <x:f>P6/Q6</x:f>
        <x:v>1.168421052631579</x:v>
      </x:c>
      <x:c r="S6" s="47" t="n">
        <x:f>O6/H6</x:f>
        <x:v>25.81125</x:v>
      </x:c>
    </x:row>
    <x:row r="7">
      <x:c r="A7" s="58" t="n">
        <x:v>1847</x:v>
      </x:c>
      <x:c r="B7" s="47" t="n">
        <x:f>(People!B7+People!L7)/2</x:f>
        <x:v>176656.125</x:v>
      </x:c>
      <x:c r="C7" s="63" t="n">
        <x:f>Paths!L7*IF($A7&gt;=1896,prod_factor,1)</x:f>
        <x:v>0.04</x:v>
      </x:c>
      <x:c r="D7" s="64" t="n">
        <x:f>IF(O6&gt;0,MIN(dev_cap,dev_return*'Debt &amp; cash'!N6/O6),0)</x:f>
        <x:v>0</x:v>
      </x:c>
      <x:c r="E7" s="63" t="n">
        <x:f>C7+D7</x:f>
        <x:v>0.04</x:v>
      </x:c>
      <x:c r="F7" s="47" t="n">
        <x:f>F6*(1+E7)</x:f>
        <x:v>156</x:v>
      </x:c>
      <x:c r="G7" s="65" t="n">
        <x:f>1-(1-Paths!M7)*IF($A7&gt;=1930,dep_severity,1)</x:f>
        <x:v>1</x:v>
      </x:c>
      <x:c r="H7" s="65" t="n">
        <x:f>IF($A7&gt;=1930,Paths!B$89+(Paths!B7-Paths!B$89)*slump_price,Paths!B7)</x:f>
        <x:v>0.74</x:v>
      </x:c>
      <x:c r="I7" s="66" t="n">
        <x:f>Labour!AO7</x:f>
        <x:v>0</x:v>
      </x:c>
      <x:c r="J7" s="47" t="n">
        <x:f>B7*F7*(1+I7)*G7*H7/1000000</x:f>
        <x:v>20.39318307</x:v>
      </x:c>
      <x:c r="K7" s="62" t="n">
        <x:f>Resources!O7</x:f>
        <x:v>0</x:v>
      </x:c>
      <x:c r="L7" s="47" t="n">
        <x:f>Labour!L7*gw_rel*J7/Labour!B7</x:f>
        <x:v>0</x:v>
      </x:c>
      <x:c r="M7" s="62" t="n">
        <x:f>Champions!AQ7</x:f>
        <x:v>0</x:v>
      </x:c>
      <x:c r="N7" s="47" t="n">
        <x:f>IF(Gulf!E7=1,Gulf!D7,0)</x:f>
        <x:v>0</x:v>
      </x:c>
      <x:c r="O7" s="47" t="n">
        <x:f>J7+K7+L7+M7+N7</x:f>
        <x:v>20.39318307</x:v>
      </x:c>
      <x:c r="P7" s="47" t="n">
        <x:f>O7*1000000/(B7+People!V7+Labour!L7)</x:f>
        <x:v>115.44</x:v>
      </x:c>
      <x:c r="Q7" s="45" t="n">
        <x:v>98</x:v>
      </x:c>
      <x:c r="R7" s="67" t="n">
        <x:f>P7/Q7</x:f>
        <x:v>1.1779591836734693</x:v>
      </x:c>
      <x:c r="S7" s="47" t="n">
        <x:f>O7/H7</x:f>
        <x:v>27.558355499999998</x:v>
      </x:c>
    </x:row>
    <x:row r="8">
      <x:c r="A8" s="58" t="n">
        <x:v>1848</x:v>
      </x:c>
      <x:c r="B8" s="47" t="n">
        <x:f>(People!B8+People!L8)/2</x:f>
        <x:v>185878.899</x:v>
      </x:c>
      <x:c r="C8" s="63" t="n">
        <x:f>Paths!L8*IF($A8&gt;=1896,prod_factor,1)</x:f>
        <x:v>0.04</x:v>
      </x:c>
      <x:c r="D8" s="64" t="n">
        <x:f>IF(O7&gt;0,MIN(dev_cap,dev_return*'Debt &amp; cash'!N7/O7),0)</x:f>
        <x:v>0</x:v>
      </x:c>
      <x:c r="E8" s="63" t="n">
        <x:f>C8+D8</x:f>
        <x:v>0.04</x:v>
      </x:c>
      <x:c r="F8" s="47" t="n">
        <x:f>F7*(1+E8)</x:f>
        <x:v>162.24</x:v>
      </x:c>
      <x:c r="G8" s="65" t="n">
        <x:f>1-(1-Paths!M8)*IF($A8&gt;=1930,dep_severity,1)</x:f>
        <x:v>1</x:v>
      </x:c>
      <x:c r="H8" s="65" t="n">
        <x:f>IF($A8&gt;=1930,Paths!B$89+(Paths!B8-Paths!B$89)*slump_price,Paths!B8)</x:f>
        <x:v>0.74</x:v>
      </x:c>
      <x:c r="I8" s="66" t="n">
        <x:f>Labour!AO8</x:f>
        <x:v>0</x:v>
      </x:c>
      <x:c r="J8" s="47" t="n">
        <x:f>B8*F8*(1+I8)*G8*H8/1000000</x:f>
        <x:v>22.316174504582403</x:v>
      </x:c>
      <x:c r="K8" s="62" t="n">
        <x:f>Resources!O8</x:f>
        <x:v>7</x:v>
      </x:c>
      <x:c r="L8" s="47" t="n">
        <x:f>Labour!L8*gw_rel*J8/Labour!B8</x:f>
        <x:v>0</x:v>
      </x:c>
      <x:c r="M8" s="62" t="n">
        <x:f>Champions!AQ8</x:f>
        <x:v>0</x:v>
      </x:c>
      <x:c r="N8" s="47" t="n">
        <x:f>IF(Gulf!E8=1,Gulf!D8,0)</x:f>
        <x:v>0</x:v>
      </x:c>
      <x:c r="O8" s="47" t="n">
        <x:f>J8+K8+L8+M8+N8</x:f>
        <x:v>29.316174504582403</x:v>
      </x:c>
      <x:c r="P8" s="47" t="n">
        <x:f>O8*1000000/(B8+People!V8+Labour!L8)</x:f>
        <x:v>157.7165276010291</x:v>
      </x:c>
      <x:c r="Q8" s="45" t="n">
        <x:v>100</x:v>
      </x:c>
      <x:c r="R8" s="67" t="n">
        <x:f>P8/Q8</x:f>
        <x:v>1.577165276010291</x:v>
      </x:c>
      <x:c r="S8" s="47" t="n">
        <x:f>O8/H8</x:f>
        <x:v>39.61645203321947</x:v>
      </x:c>
    </x:row>
    <x:row r="9">
      <x:c r="A9" s="58" t="n">
        <x:v>1849</x:v>
      </x:c>
      <x:c r="B9" s="47" t="n">
        <x:f>(People!B9+People!L9)/2</x:f>
        <x:v>212973.930192</x:v>
      </x:c>
      <x:c r="C9" s="63" t="n">
        <x:f>Paths!L9*IF($A9&gt;=1896,prod_factor,1)</x:f>
        <x:v>0.04</x:v>
      </x:c>
      <x:c r="D9" s="64" t="n">
        <x:f>IF(O8&gt;0,MIN(dev_cap,dev_return*'Debt &amp; cash'!N8/O8),0)</x:f>
        <x:v>0</x:v>
      </x:c>
      <x:c r="E9" s="63" t="n">
        <x:f>C9+D9</x:f>
        <x:v>0.04</x:v>
      </x:c>
      <x:c r="F9" s="47" t="n">
        <x:f>F8*(1+E9)</x:f>
        <x:v>168.7296</x:v>
      </x:c>
      <x:c r="G9" s="65" t="n">
        <x:f>1-(1-Paths!M9)*IF($A9&gt;=1930,dep_severity,1)</x:f>
        <x:v>1</x:v>
      </x:c>
      <x:c r="H9" s="65" t="n">
        <x:f>IF($A9&gt;=1930,Paths!B$89+(Paths!B9-Paths!B$89)*slump_price,Paths!B9)</x:f>
        <x:v>1.18</x:v>
      </x:c>
      <x:c r="I9" s="66" t="n">
        <x:f>Labour!AO9</x:f>
        <x:v>0</x:v>
      </x:c>
      <x:c r="J9" s="47" t="n">
        <x:f>B9*F9*(1+I9)*G9*H9/1000000</x:f>
        <x:v>42.40330714103442</x:v>
      </x:c>
      <x:c r="K9" s="62" t="n">
        <x:f>Resources!O9</x:f>
        <x:v>28</x:v>
      </x:c>
      <x:c r="L9" s="47" t="n">
        <x:f>Labour!L9*gw_rel*J9/Labour!B9</x:f>
        <x:v>0</x:v>
      </x:c>
      <x:c r="M9" s="62" t="n">
        <x:f>Champions!AQ9</x:f>
        <x:v>0</x:v>
      </x:c>
      <x:c r="N9" s="47" t="n">
        <x:f>IF(Gulf!E9=1,Gulf!D9,0)</x:f>
        <x:v>0</x:v>
      </x:c>
      <x:c r="O9" s="47" t="n">
        <x:f>J9+K9+L9+M9+N9</x:f>
        <x:v>70.40330714103442</x:v>
      </x:c>
      <x:c r="P9" s="47" t="n">
        <x:f>O9*1000000/(B9+People!V9+Labour!L9)</x:f>
        <x:v>330.57241831225315</x:v>
      </x:c>
      <x:c r="Q9" s="45" t="n">
        <x:v>102</x:v>
      </x:c>
      <x:c r="R9" s="67" t="n">
        <x:f>P9/Q9</x:f>
        <x:v>3.240906061884835</x:v>
      </x:c>
      <x:c r="S9" s="47" t="n">
        <x:f>O9/H9</x:f>
        <x:v>59.66381961104612</x:v>
      </x:c>
    </x:row>
    <x:row r="10">
      <x:c r="A10" s="58" t="n">
        <x:v>1850</x:v>
      </x:c>
      <x:c r="B10" s="47" t="n">
        <x:f>(People!B10+People!L10)/2</x:f>
        <x:v>251975.72163353604</x:v>
      </x:c>
      <x:c r="C10" s="63" t="n">
        <x:f>Paths!L10*IF($A10&gt;=1896,prod_factor,1)</x:f>
        <x:v>0.04</x:v>
      </x:c>
      <x:c r="D10" s="64" t="n">
        <x:f>IF(O9&gt;0,MIN(dev_cap,dev_return*'Debt &amp; cash'!N9/O9),0)</x:f>
        <x:v>0</x:v>
      </x:c>
      <x:c r="E10" s="63" t="n">
        <x:f>C10+D10</x:f>
        <x:v>0.04</x:v>
      </x:c>
      <x:c r="F10" s="47" t="n">
        <x:f>F9*(1+E10)</x:f>
        <x:v>175.47878400000002</x:v>
      </x:c>
      <x:c r="G10" s="65" t="n">
        <x:f>1-(1-Paths!M10)*IF($A10&gt;=1930,dep_severity,1)</x:f>
        <x:v>1</x:v>
      </x:c>
      <x:c r="H10" s="65" t="n">
        <x:f>IF($A10&gt;=1930,Paths!B$89+(Paths!B10-Paths!B$89)*slump_price,Paths!B10)</x:f>
        <x:v>1.1</x:v>
      </x:c>
      <x:c r="I10" s="66" t="n">
        <x:f>Labour!AO10</x:f>
        <x:v>0</x:v>
      </x:c>
      <x:c r="J10" s="47" t="n">
        <x:f>B10*F10*(1+I10)*G10*H10/1000000</x:f>
        <x:v>48.63803255275295</x:v>
      </x:c>
      <x:c r="K10" s="62" t="n">
        <x:f>Resources!O10</x:f>
        <x:v>28.7</x:v>
      </x:c>
      <x:c r="L10" s="47" t="n">
        <x:f>Labour!L10*gw_rel*J10/Labour!B10</x:f>
        <x:v>0</x:v>
      </x:c>
      <x:c r="M10" s="62" t="n">
        <x:f>Champions!AQ10</x:f>
        <x:v>0</x:v>
      </x:c>
      <x:c r="N10" s="47" t="n">
        <x:f>IF(Gulf!E10=1,Gulf!D10,0)</x:f>
        <x:v>0</x:v>
      </x:c>
      <x:c r="O10" s="47" t="n">
        <x:f>J10+K10+L10+M10+N10</x:f>
        <x:v>77.33803255275295</x:v>
      </x:c>
      <x:c r="P10" s="47" t="n">
        <x:f>O10*1000000/(B10+People!V10+Labour!L10)</x:f>
        <x:v>306.9265247118945</x:v>
      </x:c>
      <x:c r="Q10" s="45" t="n">
        <x:v>105</x:v>
      </x:c>
      <x:c r="R10" s="67" t="n">
        <x:f>P10/Q10</x:f>
        <x:v>2.9231097591609</x:v>
      </x:c>
      <x:c r="S10" s="47" t="n">
        <x:f>O10/H10</x:f>
        <x:v>70.3073023206845</x:v>
      </x:c>
    </x:row>
    <x:row r="11">
      <x:c r="A11" s="58" t="n">
        <x:v>1851</x:v>
      </x:c>
      <x:c r="B11" s="47" t="n">
        <x:f>(People!B11+People!L11)/2</x:f>
        <x:v>285761.5274066043</x:v>
      </x:c>
      <x:c r="C11" s="63" t="n">
        <x:f>Paths!L11*IF($A11&gt;=1896,prod_factor,1)</x:f>
        <x:v>0.04</x:v>
      </x:c>
      <x:c r="D11" s="64" t="n">
        <x:f>IF(O10&gt;0,MIN(dev_cap,dev_return*'Debt &amp; cash'!N10/O10),0)</x:f>
        <x:v>0</x:v>
      </x:c>
      <x:c r="E11" s="63" t="n">
        <x:f>C11+D11</x:f>
        <x:v>0.04</x:v>
      </x:c>
      <x:c r="F11" s="47" t="n">
        <x:f>F10*(1+E11)</x:f>
        <x:v>182.49793536</x:v>
      </x:c>
      <x:c r="G11" s="65" t="n">
        <x:f>1-(1-Paths!M11)*IF($A11&gt;=1930,dep_severity,1)</x:f>
        <x:v>1</x:v>
      </x:c>
      <x:c r="H11" s="65" t="n">
        <x:f>IF($A11&gt;=1930,Paths!B$89+(Paths!B11-Paths!B$89)*slump_price,Paths!B11)</x:f>
        <x:v>1.02</x:v>
      </x:c>
      <x:c r="I11" s="66" t="n">
        <x:f>Labour!AO11</x:f>
        <x:v>0</x:v>
      </x:c>
      <x:c r="J11" s="47" t="n">
        <x:f>B11*F11*(1+I11)*G11*H11/1000000</x:f>
        <x:v>53.193906532165855</x:v>
      </x:c>
      <x:c r="K11" s="62" t="n">
        <x:f>Resources!O11</x:f>
        <x:v>52.5</x:v>
      </x:c>
      <x:c r="L11" s="47" t="n">
        <x:f>Labour!L11*gw_rel*J11/Labour!B11</x:f>
        <x:v>0</x:v>
      </x:c>
      <x:c r="M11" s="62" t="n">
        <x:f>Champions!AQ11</x:f>
        <x:v>0</x:v>
      </x:c>
      <x:c r="N11" s="47" t="n">
        <x:f>IF(Gulf!E11=1,Gulf!D11,0)</x:f>
        <x:v>0</x:v>
      </x:c>
      <x:c r="O11" s="47" t="n">
        <x:f>J11+K11+L11+M11+N11</x:f>
        <x:v>105.69390653216585</x:v>
      </x:c>
      <x:c r="P11" s="47" t="n">
        <x:f>O11*1000000/(B11+People!V11+Labour!L11)</x:f>
        <x:v>369.8675167765888</x:v>
      </x:c>
      <x:c r="Q11" s="45" t="n">
        <x:v>109</x:v>
      </x:c>
      <x:c r="R11" s="67" t="n">
        <x:f>P11/Q11</x:f>
        <x:v>3.39327997042742</x:v>
      </x:c>
      <x:c r="S11" s="47" t="n">
        <x:f>O11/H11</x:f>
        <x:v>103.62147699231946</x:v>
      </x:c>
    </x:row>
    <x:row r="12">
      <x:c r="A12" s="58" t="n">
        <x:v>1852</x:v>
      </x:c>
      <x:c r="B12" s="47" t="n">
        <x:f>(People!B12+People!L12)/2</x:f>
        <x:v>327202.61962585716</x:v>
      </x:c>
      <x:c r="C12" s="63" t="n">
        <x:f>Paths!L12*IF($A12&gt;=1896,prod_factor,1)</x:f>
        <x:v>0.04</x:v>
      </x:c>
      <x:c r="D12" s="64" t="n">
        <x:f>IF(O11&gt;0,MIN(dev_cap,dev_return*'Debt &amp; cash'!N11/O11),0)</x:f>
        <x:v>0</x:v>
      </x:c>
      <x:c r="E12" s="63" t="n">
        <x:f>C12+D12</x:f>
        <x:v>0.04</x:v>
      </x:c>
      <x:c r="F12" s="47" t="n">
        <x:f>F11*(1+E12)</x:f>
        <x:v>189.7978527744</x:v>
      </x:c>
      <x:c r="G12" s="65" t="n">
        <x:f>1-(1-Paths!M12)*IF($A12&gt;=1930,dep_severity,1)</x:f>
        <x:v>1</x:v>
      </x:c>
      <x:c r="H12" s="65" t="n">
        <x:f>IF($A12&gt;=1930,Paths!B$89+(Paths!B12-Paths!B$89)*slump_price,Paths!B12)</x:f>
        <x:v>1</x:v>
      </x:c>
      <x:c r="I12" s="66" t="n">
        <x:f>Labour!AO12</x:f>
        <x:v>0</x:v>
      </x:c>
      <x:c r="J12" s="47" t="n">
        <x:f>B12*F12*(1+I12)*G12*H12/1000000</x:f>
        <x:v>62.10235462714645</x:v>
      </x:c>
      <x:c r="K12" s="62" t="n">
        <x:f>Resources!O12</x:f>
        <x:v>56.699999999999996</x:v>
      </x:c>
      <x:c r="L12" s="47" t="n">
        <x:f>Labour!L12*gw_rel*J12/Labour!B12</x:f>
        <x:v>0</x:v>
      </x:c>
      <x:c r="M12" s="62" t="n">
        <x:f>Champions!AQ12</x:f>
        <x:v>0</x:v>
      </x:c>
      <x:c r="N12" s="47" t="n">
        <x:f>IF(Gulf!E12=1,Gulf!D12,0)</x:f>
        <x:v>0</x:v>
      </x:c>
      <x:c r="O12" s="47" t="n">
        <x:f>J12+K12+L12+M12+N12</x:f>
        <x:v>118.80235462714644</x:v>
      </x:c>
      <x:c r="P12" s="47" t="n">
        <x:f>O12*1000000/(B12+People!V12+Labour!L12)</x:f>
        <x:v>363.08497396198135</x:v>
      </x:c>
      <x:c r="Q12" s="45" t="n">
        <x:v>113</x:v>
      </x:c>
      <x:c r="R12" s="67" t="n">
        <x:f>P12/Q12</x:f>
        <x:v>3.21314136249541</x:v>
      </x:c>
      <x:c r="S12" s="47" t="n">
        <x:f>O12/H12</x:f>
        <x:v>118.80235462714644</x:v>
      </x:c>
    </x:row>
    <x:row r="13">
      <x:c r="A13" s="58" t="n">
        <x:v>1853</x:v>
      </x:c>
      <x:c r="B13" s="47" t="n">
        <x:f>(People!B13+People!L13)/2</x:f>
        <x:v>370055.24058286403</x:v>
      </x:c>
      <x:c r="C13" s="63" t="n">
        <x:f>Paths!L13*IF($A13&gt;=1896,prod_factor,1)</x:f>
        <x:v>0.04</x:v>
      </x:c>
      <x:c r="D13" s="64" t="n">
        <x:f>IF(O12&gt;0,MIN(dev_cap,dev_return*'Debt &amp; cash'!N12/O12),0)</x:f>
        <x:v>0</x:v>
      </x:c>
      <x:c r="E13" s="63" t="n">
        <x:f>C13+D13</x:f>
        <x:v>0.04</x:v>
      </x:c>
      <x:c r="F13" s="47" t="n">
        <x:f>F12*(1+E13)</x:f>
        <x:v>197.38976688537602</x:v>
      </x:c>
      <x:c r="G13" s="65" t="n">
        <x:f>1-(1-Paths!M13)*IF($A13&gt;=1930,dep_severity,1)</x:f>
        <x:v>1</x:v>
      </x:c>
      <x:c r="H13" s="65" t="n">
        <x:f>IF($A13&gt;=1930,Paths!B$89+(Paths!B13-Paths!B$89)*slump_price,Paths!B13)</x:f>
        <x:v>0.99</x:v>
      </x:c>
      <x:c r="I13" s="66" t="n">
        <x:f>Labour!AO13</x:f>
        <x:v>0</x:v>
      </x:c>
      <x:c r="J13" s="47" t="n">
        <x:f>B13*F13*(1+I13)*G13*H13/1000000</x:f>
        <x:v>72.31466649662964</x:v>
      </x:c>
      <x:c r="K13" s="62" t="n">
        <x:f>Resources!O13</x:f>
        <x:v>46.9</x:v>
      </x:c>
      <x:c r="L13" s="47" t="n">
        <x:f>Labour!L13*gw_rel*J13/Labour!B13</x:f>
        <x:v>0</x:v>
      </x:c>
      <x:c r="M13" s="62" t="n">
        <x:f>Champions!AQ13</x:f>
        <x:v>0</x:v>
      </x:c>
      <x:c r="N13" s="47" t="n">
        <x:f>IF(Gulf!E13=1,Gulf!D13,0)</x:f>
        <x:v>0</x:v>
      </x:c>
      <x:c r="O13" s="47" t="n">
        <x:f>J13+K13+L13+M13+N13</x:f>
        <x:v>119.21466649662963</x:v>
      </x:c>
      <x:c r="P13" s="47" t="n">
        <x:f>O13*1000000/(B13+People!V13+Labour!L13)</x:f>
        <x:v>322.15370415740585</x:v>
      </x:c>
      <x:c r="Q13" s="45" t="n">
        <x:v>117</x:v>
      </x:c>
      <x:c r="R13" s="67" t="n">
        <x:f>P13/Q13</x:f>
        <x:v>2.753450462883811</x:v>
      </x:c>
      <x:c r="S13" s="47" t="n">
        <x:f>O13/H13</x:f>
        <x:v>120.41885504710064</x:v>
      </x:c>
    </x:row>
    <x:row r="14">
      <x:c r="A14" s="58" t="n">
        <x:v>1854</x:v>
      </x:c>
      <x:c r="B14" s="47" t="n">
        <x:f>(People!B14+People!L14)/2</x:f>
        <x:v>401710.68250752694</x:v>
      </x:c>
      <x:c r="C14" s="63" t="n">
        <x:f>Paths!L14*IF($A14&gt;=1896,prod_factor,1)</x:f>
        <x:v>0.04</x:v>
      </x:c>
      <x:c r="D14" s="64" t="n">
        <x:f>IF(O13&gt;0,MIN(dev_cap,dev_return*'Debt &amp; cash'!N13/O13),0)</x:f>
        <x:v>0</x:v>
      </x:c>
      <x:c r="E14" s="63" t="n">
        <x:f>C14+D14</x:f>
        <x:v>0.04</x:v>
      </x:c>
      <x:c r="F14" s="47" t="n">
        <x:f>F13*(1+E14)</x:f>
        <x:v>205.28535756079106</x:v>
      </x:c>
      <x:c r="G14" s="65" t="n">
        <x:f>1-(1-Paths!M14)*IF($A14&gt;=1930,dep_severity,1)</x:f>
        <x:v>1</x:v>
      </x:c>
      <x:c r="H14" s="65" t="n">
        <x:f>IF($A14&gt;=1930,Paths!B$89+(Paths!B14-Paths!B$89)*slump_price,Paths!B14)</x:f>
        <x:v>0.97</x:v>
      </x:c>
      <x:c r="I14" s="66" t="n">
        <x:f>Labour!AO14</x:f>
        <x:v>0</x:v>
      </x:c>
      <x:c r="J14" s="47" t="n">
        <x:f>B14*F14*(1+I14)*G14*H14/1000000</x:f>
        <x:v>79.99136146171067</x:v>
      </x:c>
      <x:c r="K14" s="62" t="n">
        <x:f>Resources!O14</x:f>
        <x:v>48.3</x:v>
      </x:c>
      <x:c r="L14" s="47" t="n">
        <x:f>Labour!L14*gw_rel*J14/Labour!B14</x:f>
        <x:v>0</x:v>
      </x:c>
      <x:c r="M14" s="62" t="n">
        <x:f>Champions!AQ14</x:f>
        <x:v>0</x:v>
      </x:c>
      <x:c r="N14" s="47" t="n">
        <x:f>IF(Gulf!E14=1,Gulf!D14,0)</x:f>
        <x:v>0</x:v>
      </x:c>
      <x:c r="O14" s="47" t="n">
        <x:f>J14+K14+L14+M14+N14</x:f>
        <x:v>128.29136146171066</x:v>
      </x:c>
      <x:c r="P14" s="47" t="n">
        <x:f>O14*1000000/(B14+People!V14+Labour!L14)</x:f>
        <x:v>319.36258369058146</x:v>
      </x:c>
      <x:c r="Q14" s="45" t="n">
        <x:v>121</x:v>
      </x:c>
      <x:c r="R14" s="67" t="n">
        <x:f>P14/Q14</x:f>
        <x:v>2.6393601957899295</x:v>
      </x:c>
      <x:c r="S14" s="47" t="n">
        <x:f>O14/H14</x:f>
        <x:v>132.25913552753678</x:v>
      </x:c>
    </x:row>
    <x:row r="15">
      <x:c r="A15" s="58" t="n">
        <x:v>1855</x:v>
      </x:c>
      <x:c r="B15" s="47" t="n">
        <x:f>(People!B15+People!L15)/2</x:f>
        <x:v>430369.36796758714</x:v>
      </x:c>
      <x:c r="C15" s="63" t="n">
        <x:f>Paths!L15*IF($A15&gt;=1896,prod_factor,1)</x:f>
        <x:v>0.04</x:v>
      </x:c>
      <x:c r="D15" s="64" t="n">
        <x:f>IF(O14&gt;0,MIN(dev_cap,dev_return*'Debt &amp; cash'!N14/O14),0)</x:f>
        <x:v>0</x:v>
      </x:c>
      <x:c r="E15" s="63" t="n">
        <x:f>C15+D15</x:f>
        <x:v>0.04</x:v>
      </x:c>
      <x:c r="F15" s="47" t="n">
        <x:f>F14*(1+E15)</x:f>
        <x:v>213.4967718632227</x:v>
      </x:c>
      <x:c r="G15" s="65" t="n">
        <x:f>1-(1-Paths!M15)*IF($A15&gt;=1930,dep_severity,1)</x:f>
        <x:v>1</x:v>
      </x:c>
      <x:c r="H15" s="65" t="n">
        <x:f>IF($A15&gt;=1930,Paths!B$89+(Paths!B15-Paths!B$89)*slump_price,Paths!B15)</x:f>
        <x:v>0.95</x:v>
      </x:c>
      <x:c r="I15" s="66" t="n">
        <x:f>Labour!AO15</x:f>
        <x:v>0</x:v>
      </x:c>
      <x:c r="J15" s="47" t="n">
        <x:f>B15*F15*(1+I15)*G15*H15/1000000</x:f>
        <x:v>87.28834723140054</x:v>
      </x:c>
      <x:c r="K15" s="62" t="n">
        <x:f>Resources!O15</x:f>
        <x:v>38.5</x:v>
      </x:c>
      <x:c r="L15" s="47" t="n">
        <x:f>Labour!L15*gw_rel*J15/Labour!B15</x:f>
        <x:v>0</x:v>
      </x:c>
      <x:c r="M15" s="62" t="n">
        <x:f>Champions!AQ15</x:f>
        <x:v>0</x:v>
      </x:c>
      <x:c r="N15" s="47" t="n">
        <x:f>IF(Gulf!E15=1,Gulf!D15,0)</x:f>
        <x:v>0</x:v>
      </x:c>
      <x:c r="O15" s="47" t="n">
        <x:f>J15+K15+L15+M15+N15</x:f>
        <x:v>125.78834723140054</x:v>
      </x:c>
      <x:c r="P15" s="47" t="n">
        <x:f>O15*1000000/(B15+People!V15+Labour!L15)</x:f>
        <x:v>292.27997295772724</x:v>
      </x:c>
      <x:c r="Q15" s="45" t="n">
        <x:v>125</x:v>
      </x:c>
      <x:c r="R15" s="67" t="n">
        <x:f>P15/Q15</x:f>
        <x:v>2.338239783661818</x:v>
      </x:c>
      <x:c r="S15" s="47" t="n">
        <x:f>O15/H15</x:f>
        <x:v>132.408786559369</x:v>
      </x:c>
    </x:row>
    <x:row r="16">
      <x:c r="A16" s="58" t="n">
        <x:v>1856</x:v>
      </x:c>
      <x:c r="B16" s="47" t="n">
        <x:f>(People!B16+People!L16)/2</x:f>
        <x:v>496548.2427164742</x:v>
      </x:c>
      <x:c r="C16" s="63" t="n">
        <x:f>Paths!L16*IF($A16&gt;=1896,prod_factor,1)</x:f>
        <x:v>0.025</x:v>
      </x:c>
      <x:c r="D16" s="64" t="n">
        <x:f>IF(O15&gt;0,MIN(dev_cap,dev_return*'Debt &amp; cash'!N15/O15),0)</x:f>
        <x:v>0</x:v>
      </x:c>
      <x:c r="E16" s="63" t="n">
        <x:f>C16+D16</x:f>
        <x:v>0.025</x:v>
      </x:c>
      <x:c r="F16" s="47" t="n">
        <x:f>F15*(1+E16)</x:f>
        <x:v>218.83419115980325</x:v>
      </x:c>
      <x:c r="G16" s="65" t="n">
        <x:f>1-(1-Paths!M16)*IF($A16&gt;=1930,dep_severity,1)</x:f>
        <x:v>1</x:v>
      </x:c>
      <x:c r="H16" s="65" t="n">
        <x:f>IF($A16&gt;=1930,Paths!B$89+(Paths!B16-Paths!B$89)*slump_price,Paths!B16)</x:f>
        <x:v>0.935</x:v>
      </x:c>
      <x:c r="I16" s="66" t="n">
        <x:f>Labour!AO16</x:f>
        <x:v>0</x:v>
      </x:c>
      <x:c r="J16" s="47" t="n">
        <x:f>B16*F16*(1+I16)*G16*H16/1000000</x:f>
        <x:v>101.59872041734702</x:v>
      </x:c>
      <x:c r="K16" s="62" t="n">
        <x:f>Resources!O16</x:f>
        <x:v>39.9</x:v>
      </x:c>
      <x:c r="L16" s="47" t="n">
        <x:f>Labour!L16*gw_rel*J16/Labour!B16</x:f>
        <x:v>0</x:v>
      </x:c>
      <x:c r="M16" s="62" t="n">
        <x:f>Champions!AQ16</x:f>
        <x:v>0</x:v>
      </x:c>
      <x:c r="N16" s="47" t="n">
        <x:f>IF(Gulf!E16=1,Gulf!D16,0)</x:f>
        <x:v>0</x:v>
      </x:c>
      <x:c r="O16" s="47" t="n">
        <x:f>J16+K16+L16+M16+N16</x:f>
        <x:v>141.49872041734702</x:v>
      </x:c>
      <x:c r="P16" s="47" t="n">
        <x:f>O16*1000000/(B16+People!V16+Labour!L16)</x:f>
        <x:v>284.96469878384374</x:v>
      </x:c>
      <x:c r="Q16" s="45" t="n">
        <x:v>128</x:v>
      </x:c>
      <x:c r="R16" s="67" t="n">
        <x:f>P16/Q16</x:f>
        <x:v>2.2262867092487792</x:v>
      </x:c>
      <x:c r="S16" s="47" t="n">
        <x:f>O16/H16</x:f>
        <x:v>151.33552985812514</x:v>
      </x:c>
    </x:row>
    <x:row r="17">
      <x:c r="A17" s="58" t="n">
        <x:v>1857</x:v>
      </x:c>
      <x:c r="B17" s="47" t="n">
        <x:f>(People!B17+People!L17)/2</x:f>
        <x:v>566330.2733863555</x:v>
      </x:c>
      <x:c r="C17" s="63" t="n">
        <x:f>Paths!L17*IF($A17&gt;=1896,prod_factor,1)</x:f>
        <x:v>0.025</x:v>
      </x:c>
      <x:c r="D17" s="64" t="n">
        <x:f>IF(O16&gt;0,MIN(dev_cap,dev_return*'Debt &amp; cash'!N16/O16),0)</x:f>
        <x:v>0</x:v>
      </x:c>
      <x:c r="E17" s="63" t="n">
        <x:f>C17+D17</x:f>
        <x:v>0.025</x:v>
      </x:c>
      <x:c r="F17" s="47" t="n">
        <x:f>F16*(1+E17)</x:f>
        <x:v>224.30504593879832</x:v>
      </x:c>
      <x:c r="G17" s="65" t="n">
        <x:f>1-(1-Paths!M17)*IF($A17&gt;=1930,dep_severity,1)</x:f>
        <x:v>0.97</x:v>
      </x:c>
      <x:c r="H17" s="65" t="n">
        <x:f>IF($A17&gt;=1930,Paths!B$89+(Paths!B17-Paths!B$89)*slump_price,Paths!B17)</x:f>
        <x:v>0.92</x:v>
      </x:c>
      <x:c r="I17" s="66" t="n">
        <x:f>Labour!AO17</x:f>
        <x:v>0</x:v>
      </x:c>
      <x:c r="J17" s="47" t="n">
        <x:f>B17*F17*(1+I17)*G17*H17/1000000</x:f>
        <x:v>113.36223058090053</x:v>
      </x:c>
      <x:c r="K17" s="62" t="n">
        <x:f>Resources!O17</x:f>
        <x:v>30.099999999999998</x:v>
      </x:c>
      <x:c r="L17" s="47" t="n">
        <x:f>Labour!L17*gw_rel*J17/Labour!B17</x:f>
        <x:v>0</x:v>
      </x:c>
      <x:c r="M17" s="62" t="n">
        <x:f>Champions!AQ17</x:f>
        <x:v>0</x:v>
      </x:c>
      <x:c r="N17" s="47" t="n">
        <x:f>IF(Gulf!E17=1,Gulf!D17,0)</x:f>
        <x:v>0</x:v>
      </x:c>
      <x:c r="O17" s="47" t="n">
        <x:f>J17+K17+L17+M17+N17</x:f>
        <x:v>143.46223058090052</x:v>
      </x:c>
      <x:c r="P17" s="47" t="n">
        <x:f>O17*1000000/(B17+People!V17+Labour!L17)</x:f>
        <x:v>253.31902128959533</x:v>
      </x:c>
      <x:c r="Q17" s="45" t="n">
        <x:v>131</x:v>
      </x:c>
      <x:c r="R17" s="67" t="n">
        <x:f>P17/Q17</x:f>
        <x:v>1.9337329869434758</x:v>
      </x:c>
      <x:c r="S17" s="47" t="n">
        <x:f>O17/H17</x:f>
        <x:v>155.93720715315274</x:v>
      </x:c>
    </x:row>
    <x:row r="18">
      <x:c r="A18" s="58" t="n">
        <x:v>1858</x:v>
      </x:c>
      <x:c r="B18" s="47" t="n">
        <x:f>(People!B18+People!L18)/2</x:f>
        <x:v>600879.9063936053</x:v>
      </x:c>
      <x:c r="C18" s="63" t="n">
        <x:f>Paths!L18*IF($A18&gt;=1896,prod_factor,1)</x:f>
        <x:v>0.025</x:v>
      </x:c>
      <x:c r="D18" s="64" t="n">
        <x:f>IF(O17&gt;0,MIN(dev_cap,dev_return*'Debt &amp; cash'!N17/O17),0)</x:f>
        <x:v>0</x:v>
      </x:c>
      <x:c r="E18" s="63" t="n">
        <x:f>C18+D18</x:f>
        <x:v>0.025</x:v>
      </x:c>
      <x:c r="F18" s="47" t="n">
        <x:f>F17*(1+E18)</x:f>
        <x:v>229.91267208726825</x:v>
      </x:c>
      <x:c r="G18" s="65" t="n">
        <x:f>1-(1-Paths!M18)*IF($A18&gt;=1930,dep_severity,1)</x:f>
        <x:v>0.98</x:v>
      </x:c>
      <x:c r="H18" s="65" t="n">
        <x:f>IF($A18&gt;=1930,Paths!B$89+(Paths!B18-Paths!B$89)*slump_price,Paths!B18)</x:f>
        <x:v>0.9067</x:v>
      </x:c>
      <x:c r="I18" s="66" t="n">
        <x:f>Labour!AO18</x:f>
        <x:v>0</x:v>
      </x:c>
      <x:c r="J18" s="47" t="n">
        <x:f>B18*F18*(1+I18)*G18*H18/1000000</x:f>
        <x:v>122.75530838182476</x:v>
      </x:c>
      <x:c r="K18" s="62" t="n">
        <x:f>Resources!O18</x:f>
        <x:v>32.9</x:v>
      </x:c>
      <x:c r="L18" s="47" t="n">
        <x:f>Labour!L18*gw_rel*J18/Labour!B18</x:f>
        <x:v>0</x:v>
      </x:c>
      <x:c r="M18" s="62" t="n">
        <x:f>Champions!AQ18</x:f>
        <x:v>0</x:v>
      </x:c>
      <x:c r="N18" s="47" t="n">
        <x:f>IF(Gulf!E18=1,Gulf!D18,0)</x:f>
        <x:v>0</x:v>
      </x:c>
      <x:c r="O18" s="47" t="n">
        <x:f>J18+K18+L18+M18+N18</x:f>
        <x:v>155.65530838182477</x:v>
      </x:c>
      <x:c r="P18" s="47" t="n">
        <x:f>O18*1000000/(B18+People!V18+Labour!L18)</x:f>
        <x:v>259.04562080640295</x:v>
      </x:c>
      <x:c r="Q18" s="45" t="n">
        <x:v>134</x:v>
      </x:c>
      <x:c r="R18" s="67" t="n">
        <x:f>P18/Q18</x:f>
        <x:v>1.9331762746746488</x:v>
      </x:c>
      <x:c r="S18" s="47" t="n">
        <x:f>O18/H18</x:f>
        <x:v>171.6723374675469</x:v>
      </x:c>
    </x:row>
    <x:row r="19">
      <x:c r="A19" s="58" t="n">
        <x:v>1859</x:v>
      </x:c>
      <x:c r="B19" s="47" t="n">
        <x:f>(People!B19+People!L19)/2</x:f>
        <x:v>635809.585363935</x:v>
      </x:c>
      <x:c r="C19" s="63" t="n">
        <x:f>Paths!L19*IF($A19&gt;=1896,prod_factor,1)</x:f>
        <x:v>0.025</x:v>
      </x:c>
      <x:c r="D19" s="64" t="n">
        <x:f>IF(O18&gt;0,MIN(dev_cap,dev_return*'Debt &amp; cash'!N18/O18),0)</x:f>
        <x:v>0</x:v>
      </x:c>
      <x:c r="E19" s="63" t="n">
        <x:f>C19+D19</x:f>
        <x:v>0.025</x:v>
      </x:c>
      <x:c r="F19" s="47" t="n">
        <x:f>F18*(1+E19)</x:f>
        <x:v>235.66048888944994</x:v>
      </x:c>
      <x:c r="G19" s="65" t="n">
        <x:f>1-(1-Paths!M19)*IF($A19&gt;=1930,dep_severity,1)</x:f>
        <x:v>1</x:v>
      </x:c>
      <x:c r="H19" s="65" t="n">
        <x:f>IF($A19&gt;=1930,Paths!B$89+(Paths!B19-Paths!B$89)*slump_price,Paths!B19)</x:f>
        <x:v>0.8933</x:v>
      </x:c>
      <x:c r="I19" s="66" t="n">
        <x:f>Labour!AO19</x:f>
        <x:v>0</x:v>
      </x:c>
      <x:c r="J19" s="47" t="n">
        <x:f>B19*F19*(1+I19)*G19*H19/1000000</x:f>
        <x:v>133.84778212994303</x:v>
      </x:c>
      <x:c r="K19" s="62" t="n">
        <x:f>Resources!O19</x:f>
        <x:v>32.199999999999996</x:v>
      </x:c>
      <x:c r="L19" s="47" t="n">
        <x:f>Labour!L19*gw_rel*J19/Labour!B19</x:f>
        <x:v>0</x:v>
      </x:c>
      <x:c r="M19" s="62" t="n">
        <x:f>Champions!AQ19</x:f>
        <x:v>0</x:v>
      </x:c>
      <x:c r="N19" s="47" t="n">
        <x:f>IF(Gulf!E19=1,Gulf!D19,0)</x:f>
        <x:v>0</x:v>
      </x:c>
      <x:c r="O19" s="47" t="n">
        <x:f>J19+K19+L19+M19+N19</x:f>
        <x:v>166.04778212994302</x:v>
      </x:c>
      <x:c r="P19" s="47" t="n">
        <x:f>O19*1000000/(B19+People!V19+Labour!L19)</x:f>
        <x:v>261.1596080843888</x:v>
      </x:c>
      <x:c r="Q19" s="45" t="n">
        <x:v>137</x:v>
      </x:c>
      <x:c r="R19" s="67" t="n">
        <x:f>P19/Q19</x:f>
        <x:v>1.9062745115648818</x:v>
      </x:c>
      <x:c r="S19" s="47" t="n">
        <x:f>O19/H19</x:f>
        <x:v>185.88131885138588</x:v>
      </x:c>
    </x:row>
    <x:row r="20">
      <x:c r="A20" s="58" t="n">
        <x:v>1860</x:v>
      </x:c>
      <x:c r="B20" s="47" t="n">
        <x:f>(People!B20+People!L20)/2</x:f>
        <x:v>671843.4908029382</x:v>
      </x:c>
      <x:c r="C20" s="63" t="n">
        <x:f>Paths!L20*IF($A20&gt;=1896,prod_factor,1)</x:f>
        <x:v>0.025</x:v>
      </x:c>
      <x:c r="D20" s="64" t="n">
        <x:f>IF(O19&gt;0,MIN(dev_cap,dev_return*'Debt &amp; cash'!N19/O19),0)</x:f>
        <x:v>0</x:v>
      </x:c>
      <x:c r="E20" s="63" t="n">
        <x:f>C20+D20</x:f>
        <x:v>0.025</x:v>
      </x:c>
      <x:c r="F20" s="47" t="n">
        <x:f>F19*(1+E20)</x:f>
        <x:v>241.55200111168617</x:v>
      </x:c>
      <x:c r="G20" s="65" t="n">
        <x:f>1-(1-Paths!M20)*IF($A20&gt;=1930,dep_severity,1)</x:f>
        <x:v>1</x:v>
      </x:c>
      <x:c r="H20" s="65" t="n">
        <x:f>IF($A20&gt;=1930,Paths!B$89+(Paths!B20-Paths!B$89)*slump_price,Paths!B20)</x:f>
        <x:v>0.88</x:v>
      </x:c>
      <x:c r="I20" s="66" t="n">
        <x:f>Labour!AO20</x:f>
        <x:v>0</x:v>
      </x:c>
      <x:c r="J20" s="47" t="n">
        <x:f>B20*F20*(1+I20)*G20*H20/1000000</x:f>
        <x:v>142.81092288083317</x:v>
      </x:c>
      <x:c r="K20" s="62" t="n">
        <x:f>Resources!O20</x:f>
        <x:v>31.499999999999996</x:v>
      </x:c>
      <x:c r="L20" s="47" t="n">
        <x:f>Labour!L20*gw_rel*J20/Labour!B20</x:f>
        <x:v>0</x:v>
      </x:c>
      <x:c r="M20" s="62" t="n">
        <x:f>Champions!AQ20</x:f>
        <x:v>0.6944444444444444</x:v>
      </x:c>
      <x:c r="N20" s="47" t="n">
        <x:f>IF(Gulf!E20=1,Gulf!D20,0)</x:f>
        <x:v>0</x:v>
      </x:c>
      <x:c r="O20" s="47" t="n">
        <x:f>J20+K20+L20+M20+N20</x:f>
        <x:v>175.00536732527763</x:v>
      </x:c>
      <x:c r="P20" s="47" t="n">
        <x:f>O20*1000000/(B20+People!V20+Labour!L20)</x:f>
        <x:v>260.4853209430131</x:v>
      </x:c>
      <x:c r="Q20" s="45" t="n">
        <x:v>140</x:v>
      </x:c>
      <x:c r="R20" s="67" t="n">
        <x:f>P20/Q20</x:f>
        <x:v>1.8606094353072364</x:v>
      </x:c>
      <x:c r="S20" s="47" t="n">
        <x:f>O20/H20</x:f>
        <x:v>198.8697355969064</x:v>
      </x:c>
    </x:row>
    <x:row r="21">
      <x:c r="A21" s="61" t="n">
        <x:v>1861</x:v>
      </x:c>
      <x:c r="B21" s="47" t="n">
        <x:f>(People!B21+People!L21)/2</x:f>
        <x:v>710993.7692017705</x:v>
      </x:c>
      <x:c r="C21" s="63" t="n">
        <x:f>Paths!L21*IF($A21&gt;=1896,prod_factor,1)</x:f>
        <x:v>0.02</x:v>
      </x:c>
      <x:c r="D21" s="64" t="n">
        <x:f>IF(O20&gt;0,MIN(dev_cap,dev_return*'Debt &amp; cash'!N20/O20),0)</x:f>
        <x:v>0</x:v>
      </x:c>
      <x:c r="E21" s="63" t="n">
        <x:f>C21+D21</x:f>
        <x:v>0.02</x:v>
      </x:c>
      <x:c r="F21" s="47" t="n">
        <x:f>F20*(1+E21)</x:f>
        <x:v>246.3830411339199</x:v>
      </x:c>
      <x:c r="G21" s="65" t="n">
        <x:f>1-(1-Paths!M21)*IF($A21&gt;=1930,dep_severity,1)</x:f>
        <x:v>0.98</x:v>
      </x:c>
      <x:c r="H21" s="65" t="n">
        <x:f>IF($A21&gt;=1930,Paths!B$89+(Paths!B21-Paths!B$89)*slump_price,Paths!B21)</x:f>
        <x:v>0.88</x:v>
      </x:c>
      <x:c r="I21" s="66" t="n">
        <x:f>Labour!AO21</x:f>
        <x:v>0</x:v>
      </x:c>
      <x:c r="J21" s="47" t="n">
        <x:f>B21*F21*(1+I21)*G21*H21/1000000</x:f>
        <x:v>151.07247842855216</x:v>
      </x:c>
      <x:c r="K21" s="62" t="n">
        <x:f>Resources!O21</x:f>
        <x:v>28.7</x:v>
      </x:c>
      <x:c r="L21" s="47" t="n">
        <x:f>Labour!L21*gw_rel*J21/Labour!B21</x:f>
        <x:v>0</x:v>
      </x:c>
      <x:c r="M21" s="62" t="n">
        <x:f>Champions!AQ21</x:f>
        <x:v>0.6944444444444444</x:v>
      </x:c>
      <x:c r="N21" s="47" t="n">
        <x:f>IF(Gulf!E21=1,Gulf!D21,0)</x:f>
        <x:v>0</x:v>
      </x:c>
      <x:c r="O21" s="47" t="n">
        <x:f>J21+K21+L21+M21+N21</x:f>
        <x:v>180.4669228729966</x:v>
      </x:c>
      <x:c r="P21" s="47" t="n">
        <x:f>O21*1000000/(B21+People!V21+Labour!L21)</x:f>
        <x:v>253.82349422781297</x:v>
      </x:c>
      <x:c r="Q21" s="45" t="n">
        <x:v>142</x:v>
      </x:c>
      <x:c r="R21" s="67" t="n">
        <x:f>P21/Q21</x:f>
        <x:v>1.7874893959705138</x:v>
      </x:c>
      <x:c r="S21" s="47" t="n">
        <x:f>O21/H21</x:f>
        <x:v>205.07604871931431</x:v>
      </x:c>
    </x:row>
    <x:row r="22">
      <x:c r="A22" s="61" t="n">
        <x:v>1862</x:v>
      </x:c>
      <x:c r="B22" s="47" t="n">
        <x:f>(People!B22+People!L22)/2</x:f>
        <x:v>842172.2064322536</x:v>
      </x:c>
      <x:c r="C22" s="63" t="n">
        <x:f>Paths!L22*IF($A22&gt;=1896,prod_factor,1)</x:f>
        <x:v>0.02</x:v>
      </x:c>
      <x:c r="D22" s="64" t="n">
        <x:f>IF(O21&gt;0,MIN(dev_cap,dev_return*'Debt &amp; cash'!N21/O21),0)</x:f>
        <x:v>0</x:v>
      </x:c>
      <x:c r="E22" s="63" t="n">
        <x:f>C22+D22</x:f>
        <x:v>0.02</x:v>
      </x:c>
      <x:c r="F22" s="47" t="n">
        <x:f>F21*(1+E22)</x:f>
        <x:v>251.3107019565983</x:v>
      </x:c>
      <x:c r="G22" s="65" t="n">
        <x:f>1-(1-Paths!M22)*IF($A22&gt;=1930,dep_severity,1)</x:f>
        <x:v>0.97</x:v>
      </x:c>
      <x:c r="H22" s="65" t="n">
        <x:f>IF($A22&gt;=1930,Paths!B$89+(Paths!B22-Paths!B$89)*slump_price,Paths!B22)</x:f>
        <x:v>0.88</x:v>
      </x:c>
      <x:c r="I22" s="66" t="n">
        <x:f>Labour!AO22</x:f>
        <x:v>0</x:v>
      </x:c>
      <x:c r="J22" s="47" t="n">
        <x:f>B22*F22*(1+I22)*G22*H22/1000000</x:f>
        <x:v>180.6617839099234</x:v>
      </x:c>
      <x:c r="K22" s="62" t="n">
        <x:f>Resources!O22</x:f>
        <x:v>26.599999999999998</x:v>
      </x:c>
      <x:c r="L22" s="47" t="n">
        <x:f>Labour!L22*gw_rel*J22/Labour!B22</x:f>
        <x:v>0</x:v>
      </x:c>
      <x:c r="M22" s="62" t="n">
        <x:f>Champions!AQ22</x:f>
        <x:v>0.6944444444444444</x:v>
      </x:c>
      <x:c r="N22" s="47" t="n">
        <x:f>IF(Gulf!E22=1,Gulf!D22,0)</x:f>
        <x:v>0</x:v>
      </x:c>
      <x:c r="O22" s="47" t="n">
        <x:f>J22+K22+L22+M22+N22</x:f>
        <x:v>207.95622835436785</x:v>
      </x:c>
      <x:c r="P22" s="47" t="n">
        <x:f>O22*1000000/(B22+People!V22+Labour!L22)</x:f>
        <x:v>246.92839156417395</x:v>
      </x:c>
      <x:c r="Q22" s="45" t="n">
        <x:v>144</x:v>
      </x:c>
      <x:c r="R22" s="67" t="n">
        <x:f>P22/Q22</x:f>
        <x:v>1.7147804969734302</x:v>
      </x:c>
      <x:c r="S22" s="47" t="n">
        <x:f>O22/H22</x:f>
        <x:v>236.3138958572362</x:v>
      </x:c>
    </x:row>
    <x:row r="23">
      <x:c r="A23" s="61" t="n">
        <x:v>1863</x:v>
      </x:c>
      <x:c r="B23" s="47" t="n">
        <x:f>(People!B23+People!L23)/2</x:f>
        <x:v>1018722.6173223051</x:v>
      </x:c>
      <x:c r="C23" s="63" t="n">
        <x:f>Paths!L23*IF($A23&gt;=1896,prod_factor,1)</x:f>
        <x:v>0.02</x:v>
      </x:c>
      <x:c r="D23" s="64" t="n">
        <x:f>IF(O22&gt;0,MIN(dev_cap,dev_return*'Debt &amp; cash'!N22/O22),0)</x:f>
        <x:v>0</x:v>
      </x:c>
      <x:c r="E23" s="63" t="n">
        <x:f>C23+D23</x:f>
        <x:v>0.02</x:v>
      </x:c>
      <x:c r="F23" s="47" t="n">
        <x:f>F22*(1+E23)</x:f>
        <x:v>256.3369159957303</x:v>
      </x:c>
      <x:c r="G23" s="65" t="n">
        <x:f>1-(1-Paths!M23)*IF($A23&gt;=1930,dep_severity,1)</x:f>
        <x:v>0.98</x:v>
      </x:c>
      <x:c r="H23" s="65" t="n">
        <x:f>IF($A23&gt;=1930,Paths!B$89+(Paths!B23-Paths!B$89)*slump_price,Paths!B23)</x:f>
        <x:v>0.9033</x:v>
      </x:c>
      <x:c r="I23" s="66" t="n">
        <x:f>Labour!AO23</x:f>
        <x:v>0</x:v>
      </x:c>
      <x:c r="J23" s="47" t="n">
        <x:f>B23*F23*(1+I23)*G23*H23/1000000</x:f>
        <x:v>231.1666552459271</x:v>
      </x:c>
      <x:c r="K23" s="62" t="n">
        <x:f>Resources!O23</x:f>
        <x:v>26.599999999999998</x:v>
      </x:c>
      <x:c r="L23" s="47" t="n">
        <x:f>Labour!L23*gw_rel*J23/Labour!B23</x:f>
        <x:v>0</x:v>
      </x:c>
      <x:c r="M23" s="62" t="n">
        <x:f>Champions!AQ23</x:f>
        <x:v>1.3890725650395161</x:v>
      </x:c>
      <x:c r="N23" s="47" t="n">
        <x:f>IF(Gulf!E23=1,Gulf!D23,0)</x:f>
        <x:v>0</x:v>
      </x:c>
      <x:c r="O23" s="47" t="n">
        <x:f>J23+K23+L23+M23+N23</x:f>
        <x:v>259.1557278109666</x:v>
      </x:c>
      <x:c r="P23" s="47" t="n">
        <x:f>O23*1000000/(B23+People!V23+Labour!L23)</x:f>
        <x:v>254.39282823832158</x:v>
      </x:c>
      <x:c r="Q23" s="45" t="n">
        <x:v>146</x:v>
      </x:c>
      <x:c r="R23" s="67" t="n">
        <x:f>P23/Q23</x:f>
        <x:v>1.742416631769326</x:v>
      </x:c>
      <x:c r="S23" s="47" t="n">
        <x:f>O23/H23</x:f>
        <x:v>286.8988462426288</x:v>
      </x:c>
    </x:row>
    <x:row r="24">
      <x:c r="A24" s="61" t="n">
        <x:v>1864</x:v>
      </x:c>
      <x:c r="B24" s="47" t="n">
        <x:f>(People!B24+People!L24)/2</x:f>
        <x:v>1121744.7339648174</x:v>
      </x:c>
      <x:c r="C24" s="63" t="n">
        <x:f>Paths!L24*IF($A24&gt;=1896,prod_factor,1)</x:f>
        <x:v>0.02</x:v>
      </x:c>
      <x:c r="D24" s="64" t="n">
        <x:f>IF(O23&gt;0,MIN(dev_cap,dev_return*'Debt &amp; cash'!N23/O23),0)</x:f>
        <x:v>0</x:v>
      </x:c>
      <x:c r="E24" s="63" t="n">
        <x:f>C24+D24</x:f>
        <x:v>0.02</x:v>
      </x:c>
      <x:c r="F24" s="47" t="n">
        <x:f>F23*(1+E24)</x:f>
        <x:v>261.46365431564493</x:v>
      </x:c>
      <x:c r="G24" s="65" t="n">
        <x:f>1-(1-Paths!M24)*IF($A24&gt;=1930,dep_severity,1)</x:f>
        <x:v>1</x:v>
      </x:c>
      <x:c r="H24" s="65" t="n">
        <x:f>IF($A24&gt;=1930,Paths!B$89+(Paths!B24-Paths!B$89)*slump_price,Paths!B24)</x:f>
        <x:v>0.9267</x:v>
      </x:c>
      <x:c r="I24" s="66" t="n">
        <x:f>Labour!AO24</x:f>
        <x:v>0</x:v>
      </x:c>
      <x:c r="J24" s="47" t="n">
        <x:f>B24*F24*(1+I24)*G24*H24/1000000</x:f>
        <x:v>271.79691886188715</x:v>
      </x:c>
      <x:c r="K24" s="62" t="n">
        <x:f>Resources!O24</x:f>
        <x:v>41.3</x:v>
      </x:c>
      <x:c r="L24" s="47" t="n">
        <x:f>Labour!L24*gw_rel*J24/Labour!B24</x:f>
        <x:v>0</x:v>
      </x:c>
      <x:c r="M24" s="62" t="n">
        <x:f>Champions!AQ24</x:f>
        <x:v>1.3892716064229618</x:v>
      </x:c>
      <x:c r="N24" s="47" t="n">
        <x:f>IF(Gulf!E24=1,Gulf!D24,0)</x:f>
        <x:v>0</x:v>
      </x:c>
      <x:c r="O24" s="47" t="n">
        <x:f>J24+K24+L24+M24+N24</x:f>
        <x:v>314.4861904683101</x:v>
      </x:c>
      <x:c r="P24" s="47" t="n">
        <x:f>O24*1000000/(B24+People!V24+Labour!L24)</x:f>
        <x:v>280.3545057499452</x:v>
      </x:c>
      <x:c r="Q24" s="45" t="n">
        <x:v>148</x:v>
      </x:c>
      <x:c r="R24" s="67" t="n">
        <x:f>P24/Q24</x:f>
        <x:v>1.894287201013143</x:v>
      </x:c>
      <x:c r="S24" s="47" t="n">
        <x:f>O24/H24</x:f>
        <x:v>339.36137959243564</x:v>
      </x:c>
    </x:row>
    <x:row r="25">
      <x:c r="A25" s="61" t="n">
        <x:v>1865</x:v>
      </x:c>
      <x:c r="B25" s="47" t="n">
        <x:f>(People!B25+People!L25)/2</x:f>
        <x:v>1188709.1602403247</x:v>
      </x:c>
      <x:c r="C25" s="63" t="n">
        <x:f>Paths!L25*IF($A25&gt;=1896,prod_factor,1)</x:f>
        <x:v>0.02</x:v>
      </x:c>
      <x:c r="D25" s="64" t="n">
        <x:f>IF(O24&gt;0,MIN(dev_cap,dev_return*'Debt &amp; cash'!N24/O24),0)</x:f>
        <x:v>0</x:v>
      </x:c>
      <x:c r="E25" s="63" t="n">
        <x:f>C25+D25</x:f>
        <x:v>0.02</x:v>
      </x:c>
      <x:c r="F25" s="47" t="n">
        <x:f>F24*(1+E25)</x:f>
        <x:v>266.69292740195783</x:v>
      </x:c>
      <x:c r="G25" s="65" t="n">
        <x:f>1-(1-Paths!M25)*IF($A25&gt;=1930,dep_severity,1)</x:f>
        <x:v>1</x:v>
      </x:c>
      <x:c r="H25" s="65" t="n">
        <x:f>IF($A25&gt;=1930,Paths!B$89+(Paths!B25-Paths!B$89)*slump_price,Paths!B25)</x:f>
        <x:v>0.95</x:v>
      </x:c>
      <x:c r="I25" s="66" t="n">
        <x:f>Labour!AO25</x:f>
        <x:v>0</x:v>
      </x:c>
      <x:c r="J25" s="47" t="n">
        <x:f>B25*F25*(1+I25)*G25*H25/1000000</x:f>
        <x:v>301.16930948531444</x:v>
      </x:c>
      <x:c r="K25" s="62" t="n">
        <x:f>Resources!O25</x:f>
        <x:v>40.599999999999994</x:v>
      </x:c>
      <x:c r="L25" s="47" t="n">
        <x:f>Labour!L25*gw_rel*J25/Labour!B25</x:f>
        <x:v>0</x:v>
      </x:c>
      <x:c r="M25" s="62" t="n">
        <x:f>Champions!AQ25</x:f>
        <x:v>1.389490654938339</x:v>
      </x:c>
      <x:c r="N25" s="47" t="n">
        <x:f>IF(Gulf!E25=1,Gulf!D25,0)</x:f>
        <x:v>0</x:v>
      </x:c>
      <x:c r="O25" s="47" t="n">
        <x:f>J25+K25+L25+M25+N25</x:f>
        <x:v>343.1588001402528</x:v>
      </x:c>
      <x:c r="P25" s="47" t="n">
        <x:f>O25*1000000/(B25+People!V25+Labour!L25)</x:f>
        <x:v>288.6818841968673</x:v>
      </x:c>
      <x:c r="Q25" s="45" t="n">
        <x:v>150</x:v>
      </x:c>
      <x:c r="R25" s="67" t="n">
        <x:f>P25/Q25</x:f>
        <x:v>1.924545894645782</x:v>
      </x:c>
      <x:c r="S25" s="47" t="n">
        <x:f>O25/H25</x:f>
        <x:v>361.2197896213188</x:v>
      </x:c>
    </x:row>
    <x:row r="26">
      <x:c r="A26" s="58" t="n">
        <x:v>1866</x:v>
      </x:c>
      <x:c r="B26" s="47" t="n">
        <x:f>(People!B26+People!L26)/2</x:f>
        <x:v>1262111.0884836894</x:v>
      </x:c>
      <x:c r="C26" s="63" t="n">
        <x:f>Paths!L26*IF($A26&gt;=1896,prod_factor,1)</x:f>
        <x:v>0.02</x:v>
      </x:c>
      <x:c r="D26" s="64" t="n">
        <x:f>IF(O25&gt;0,MIN(dev_cap,dev_return*'Debt &amp; cash'!N25/O25),0)</x:f>
        <x:v>0</x:v>
      </x:c>
      <x:c r="E26" s="63" t="n">
        <x:f>C26+D26</x:f>
        <x:v>0.02</x:v>
      </x:c>
      <x:c r="F26" s="47" t="n">
        <x:f>F25*(1+E26)</x:f>
        <x:v>272.026785949997</x:v>
      </x:c>
      <x:c r="G26" s="65" t="n">
        <x:f>1-(1-Paths!M26)*IF($A26&gt;=1930,dep_severity,1)</x:f>
        <x:v>1</x:v>
      </x:c>
      <x:c r="H26" s="65" t="n">
        <x:f>IF($A26&gt;=1930,Paths!B$89+(Paths!B26-Paths!B$89)*slump_price,Paths!B26)</x:f>
        <x:v>0.95</x:v>
      </x:c>
      <x:c r="I26" s="66" t="n">
        <x:f>Labour!AO26</x:f>
        <x:v>0</x:v>
      </x:c>
      <x:c r="J26" s="47" t="n">
        <x:f>B26*F26*(1+I26)*G26*H26/1000000</x:f>
        <x:v>326.1616217664668</x:v>
      </x:c>
      <x:c r="K26" s="62" t="n">
        <x:f>Resources!O26</x:f>
        <x:v>39.199999999999996</x:v>
      </x:c>
      <x:c r="L26" s="47" t="n">
        <x:f>Labour!L26*gw_rel*J26/Labour!B26</x:f>
        <x:v>0</x:v>
      </x:c>
      <x:c r="M26" s="62" t="n">
        <x:f>Champions!AQ26</x:f>
        <x:v>1.389722321369006</x:v>
      </x:c>
      <x:c r="N26" s="47" t="n">
        <x:f>IF(Gulf!E26=1,Gulf!D26,0)</x:f>
        <x:v>0</x:v>
      </x:c>
      <x:c r="O26" s="47" t="n">
        <x:f>J26+K26+L26+M26+N26</x:f>
        <x:v>366.7513440878358</x:v>
      </x:c>
      <x:c r="P26" s="47" t="n">
        <x:f>O26*1000000/(B26+People!V26+Labour!L26)</x:f>
        <x:v>290.5856286616211</x:v>
      </x:c>
      <x:c r="Q26" s="45" t="n">
        <x:v>154</x:v>
      </x:c>
      <x:c r="R26" s="67" t="n">
        <x:f>P26/Q26</x:f>
        <x:v>1.8869196666339034</x:v>
      </x:c>
      <x:c r="S26" s="47" t="n">
        <x:f>O26/H26</x:f>
        <x:v>386.0540464082482</x:v>
      </x:c>
    </x:row>
    <x:row r="27">
      <x:c r="A27" s="58" t="n">
        <x:v>1867</x:v>
      </x:c>
      <x:c r="B27" s="47" t="n">
        <x:f>(People!B27+People!L27)/2</x:f>
        <x:v>1374540.643722461</x:v>
      </x:c>
      <x:c r="C27" s="63" t="n">
        <x:f>Paths!L27*IF($A27&gt;=1896,prod_factor,1)</x:f>
        <x:v>0.02</x:v>
      </x:c>
      <x:c r="D27" s="64" t="n">
        <x:f>IF(O26&gt;0,MIN(dev_cap,dev_return*'Debt &amp; cash'!N26/O26),0)</x:f>
        <x:v>0</x:v>
      </x:c>
      <x:c r="E27" s="63" t="n">
        <x:f>C27+D27</x:f>
        <x:v>0.02</x:v>
      </x:c>
      <x:c r="F27" s="47" t="n">
        <x:f>F26*(1+E27)</x:f>
        <x:v>277.467321668997</x:v>
      </x:c>
      <x:c r="G27" s="65" t="n">
        <x:f>1-(1-Paths!M27)*IF($A27&gt;=1930,dep_severity,1)</x:f>
        <x:v>1</x:v>
      </x:c>
      <x:c r="H27" s="65" t="n">
        <x:f>IF($A27&gt;=1930,Paths!B$89+(Paths!B27-Paths!B$89)*slump_price,Paths!B27)</x:f>
        <x:v>0.95</x:v>
      </x:c>
      <x:c r="I27" s="66" t="n">
        <x:f>Labour!AO27</x:f>
        <x:v>0</x:v>
      </x:c>
      <x:c r="J27" s="47" t="n">
        <x:f>B27*F27*(1+I27)*G27*H27/1000000</x:f>
        <x:v>362.32060539190775</x:v>
      </x:c>
      <x:c r="K27" s="62" t="n">
        <x:f>Resources!O27</x:f>
        <x:v>35</x:v>
      </x:c>
      <x:c r="L27" s="47" t="n">
        <x:f>Labour!L27*gw_rel*J27/Labour!B27</x:f>
        <x:v>0</x:v>
      </x:c>
      <x:c r="M27" s="62" t="n">
        <x:f>Champions!AQ27</x:f>
        <x:v>1.5776145589806931</x:v>
      </x:c>
      <x:c r="N27" s="47" t="n">
        <x:f>IF(Gulf!E27=1,Gulf!D27,0)</x:f>
        <x:v>0</x:v>
      </x:c>
      <x:c r="O27" s="47" t="n">
        <x:f>J27+K27+L27+M27+N27</x:f>
        <x:v>398.89821995088846</x:v>
      </x:c>
      <x:c r="P27" s="47" t="n">
        <x:f>O27*1000000/(B27+People!V27+Labour!L27)</x:f>
        <x:v>290.20474714418964</x:v>
      </x:c>
      <x:c r="Q27" s="45" t="n">
        <x:v>159</x:v>
      </x:c>
      <x:c r="R27" s="67" t="n">
        <x:f>P27/Q27</x:f>
        <x:v>1.8251870889571675</x:v>
      </x:c>
      <x:c r="S27" s="47" t="n">
        <x:f>O27/H27</x:f>
        <x:v>419.8928631061984</x:v>
      </x:c>
    </x:row>
    <x:row r="28">
      <x:c r="A28" s="58" t="n">
        <x:v>1868</x:v>
      </x:c>
      <x:c r="B28" s="47" t="n">
        <x:f>(People!B28+People!L28)/2</x:f>
        <x:v>1494673.110978703</x:v>
      </x:c>
      <x:c r="C28" s="63" t="n">
        <x:f>Paths!L28*IF($A28&gt;=1896,prod_factor,1)</x:f>
        <x:v>0.02</x:v>
      </x:c>
      <x:c r="D28" s="64" t="n">
        <x:f>IF(O27&gt;0,MIN(dev_cap,dev_return*'Debt &amp; cash'!N27/O27),0)</x:f>
        <x:v>0</x:v>
      </x:c>
      <x:c r="E28" s="63" t="n">
        <x:f>C28+D28</x:f>
        <x:v>0.02</x:v>
      </x:c>
      <x:c r="F28" s="47" t="n">
        <x:f>F27*(1+E28)</x:f>
        <x:v>283.0166681023769</x:v>
      </x:c>
      <x:c r="G28" s="65" t="n">
        <x:f>1-(1-Paths!M28)*IF($A28&gt;=1930,dep_severity,1)</x:f>
        <x:v>1</x:v>
      </x:c>
      <x:c r="H28" s="65" t="n">
        <x:f>IF($A28&gt;=1930,Paths!B$89+(Paths!B28-Paths!B$89)*slump_price,Paths!B28)</x:f>
        <x:v>0.95</x:v>
      </x:c>
      <x:c r="I28" s="66" t="n">
        <x:f>Labour!AO28</x:f>
        <x:v>0</x:v>
      </x:c>
      <x:c r="J28" s="47" t="n">
        <x:f>B28*F28*(1+I28)*G28*H28/1000000</x:f>
        <x:v>401.8665335828364</x:v>
      </x:c>
      <x:c r="K28" s="62" t="n">
        <x:f>Resources!O28</x:f>
        <x:v>29.866666666666667</x:v>
      </x:c>
      <x:c r="L28" s="47" t="n">
        <x:f>Labour!L28*gw_rel*J28/Labour!B28</x:f>
        <x:v>0</x:v>
      </x:c>
      <x:c r="M28" s="62" t="n">
        <x:f>Champions!AQ28</x:f>
        <x:v>2.527471986024663</x:v>
      </x:c>
      <x:c r="N28" s="47" t="n">
        <x:f>IF(Gulf!E28=1,Gulf!D28,0)</x:f>
        <x:v>0</x:v>
      </x:c>
      <x:c r="O28" s="47" t="n">
        <x:f>J28+K28+L28+M28+N28</x:f>
        <x:v>434.2606722355277</x:v>
      </x:c>
      <x:c r="P28" s="47" t="n">
        <x:f>O28*1000000/(B28+People!V28+Labour!L28)</x:f>
        <x:v>290.5388937860643</x:v>
      </x:c>
      <x:c r="Q28" s="45" t="n">
        <x:v>163</x:v>
      </x:c>
      <x:c r="R28" s="67" t="n">
        <x:f>P28/Q28</x:f>
        <x:v>1.782447201141499</x:v>
      </x:c>
      <x:c r="S28" s="47" t="n">
        <x:f>O28/H28</x:f>
        <x:v>457.11649709002916</x:v>
      </x:c>
    </x:row>
    <x:row r="29">
      <x:c r="A29" s="58" t="n">
        <x:v>1869</x:v>
      </x:c>
      <x:c r="B29" s="47" t="n">
        <x:f>(People!B29+People!L29)/2</x:f>
        <x:v>1601543.9000872984</x:v>
      </x:c>
      <x:c r="C29" s="63" t="n">
        <x:f>Paths!L29*IF($A29&gt;=1896,prod_factor,1)</x:f>
        <x:v>0.02</x:v>
      </x:c>
      <x:c r="D29" s="64" t="n">
        <x:f>IF(O28&gt;0,MIN(dev_cap,dev_return*'Debt &amp; cash'!N28/O28),0)</x:f>
        <x:v>0</x:v>
      </x:c>
      <x:c r="E29" s="63" t="n">
        <x:f>C29+D29</x:f>
        <x:v>0.02</x:v>
      </x:c>
      <x:c r="F29" s="47" t="n">
        <x:f>F28*(1+E29)</x:f>
        <x:v>288.67700146442445</x:v>
      </x:c>
      <x:c r="G29" s="65" t="n">
        <x:f>1-(1-Paths!M29)*IF($A29&gt;=1930,dep_severity,1)</x:f>
        <x:v>1</x:v>
      </x:c>
      <x:c r="H29" s="65" t="n">
        <x:f>IF($A29&gt;=1930,Paths!B$89+(Paths!B29-Paths!B$89)*slump_price,Paths!B29)</x:f>
        <x:v>0.95</x:v>
      </x:c>
      <x:c r="I29" s="66" t="n">
        <x:f>Labour!AO29</x:f>
        <x:v>0</x:v>
      </x:c>
      <x:c r="J29" s="47" t="n">
        <x:f>B29*F29*(1+I29)*G29*H29/1000000</x:f>
        <x:v>439.212446251299</x:v>
      </x:c>
      <x:c r="K29" s="62" t="n">
        <x:f>Resources!O29</x:f>
        <x:v>29.63333333333333</x:v>
      </x:c>
      <x:c r="L29" s="47" t="n">
        <x:f>Labour!L29*gw_rel*J29/Labour!B29</x:f>
        <x:v>0</x:v>
      </x:c>
      <x:c r="M29" s="62" t="n">
        <x:f>Champions!AQ29</x:f>
        <x:v>2.7662843735966813</x:v>
      </x:c>
      <x:c r="N29" s="47" t="n">
        <x:f>IF(Gulf!E29=1,Gulf!D29,0)</x:f>
        <x:v>0</x:v>
      </x:c>
      <x:c r="O29" s="47" t="n">
        <x:f>J29+K29+L29+M29+N29</x:f>
        <x:v>471.61206395822904</x:v>
      </x:c>
      <x:c r="P29" s="47" t="n">
        <x:f>O29*1000000/(B29+People!V29+Labour!L29)</x:f>
        <x:v>294.47339153957756</x:v>
      </x:c>
      <x:c r="Q29" s="45" t="n">
        <x:v>168</x:v>
      </x:c>
      <x:c r="R29" s="67" t="n">
        <x:f>P29/Q29</x:f>
        <x:v>1.7528178067831999</x:v>
      </x:c>
      <x:c r="S29" s="47" t="n">
        <x:f>O29/H29</x:f>
        <x:v>496.43375153497794</x:v>
      </x:c>
    </x:row>
    <x:row r="30">
      <x:c r="A30" s="61" t="n">
        <x:v>1870</x:v>
      </x:c>
      <x:c r="B30" s="47" t="n">
        <x:f>(People!B30+People!L30)/2</x:f>
        <x:v>1714225.234188957</x:v>
      </x:c>
      <x:c r="C30" s="63" t="n">
        <x:f>Paths!L30*IF($A30&gt;=1896,prod_factor,1)</x:f>
        <x:v>0.02</x:v>
      </x:c>
      <x:c r="D30" s="64" t="n">
        <x:f>IF(O29&gt;0,MIN(dev_cap,dev_return*'Debt &amp; cash'!N29/O29),0)</x:f>
        <x:v>0</x:v>
      </x:c>
      <x:c r="E30" s="63" t="n">
        <x:f>C30+D30</x:f>
        <x:v>0.02</x:v>
      </x:c>
      <x:c r="F30" s="47" t="n">
        <x:f>F29*(1+E30)</x:f>
        <x:v>294.45054149371293</x:v>
      </x:c>
      <x:c r="G30" s="65" t="n">
        <x:f>1-(1-Paths!M30)*IF($A30&gt;=1930,dep_severity,1)</x:f>
        <x:v>1</x:v>
      </x:c>
      <x:c r="H30" s="65" t="n">
        <x:f>IF($A30&gt;=1930,Paths!B$89+(Paths!B30-Paths!B$89)*slump_price,Paths!B30)</x:f>
        <x:v>0.95</x:v>
      </x:c>
      <x:c r="I30" s="66" t="n">
        <x:f>Labour!AO30</x:f>
        <x:v>0</x:v>
      </x:c>
      <x:c r="J30" s="47" t="n">
        <x:f>B30*F30*(1+I30)*G30*H30/1000000</x:f>
        <x:v>479.516821026669</x:v>
      </x:c>
      <x:c r="K30" s="62" t="n">
        <x:f>Resources!O30</x:f>
        <x:v>29.749999999999996</x:v>
      </x:c>
      <x:c r="L30" s="47" t="n">
        <x:f>Labour!L30*gw_rel*J30/Labour!B30</x:f>
        <x:v>0</x:v>
      </x:c>
      <x:c r="M30" s="62" t="n">
        <x:f>Champions!AQ30</x:f>
        <x:v>5.21012831759502</x:v>
      </x:c>
      <x:c r="N30" s="47" t="n">
        <x:f>IF(Gulf!E30=1,Gulf!D30,0)</x:f>
        <x:v>0</x:v>
      </x:c>
      <x:c r="O30" s="47" t="n">
        <x:f>J30+K30+L30+M30+N30</x:f>
        <x:v>514.476949344264</x:v>
      </x:c>
      <x:c r="P30" s="47" t="n">
        <x:f>O30*1000000/(B30+People!V30+Labour!L30)</x:f>
        <x:v>300.1221421102671</x:v>
      </x:c>
      <x:c r="Q30" s="45" t="n">
        <x:v>172</x:v>
      </x:c>
      <x:c r="R30" s="67" t="n">
        <x:f>P30/Q30</x:f>
        <x:v>1.7448961750596923</x:v>
      </x:c>
      <x:c r="S30" s="47" t="n">
        <x:f>O30/H30</x:f>
        <x:v>541.5546835202779</x:v>
      </x:c>
    </x:row>
    <x:row r="31">
      <x:c r="A31" s="61" t="n">
        <x:v>1871</x:v>
      </x:c>
      <x:c r="B31" s="47" t="n">
        <x:f>(People!B31+People!L31)/2</x:f>
        <x:v>1829155.5136385472</x:v>
      </x:c>
      <x:c r="C31" s="63" t="n">
        <x:f>Paths!L31*IF($A31&gt;=1896,prod_factor,1)</x:f>
        <x:v>0.022</x:v>
      </x:c>
      <x:c r="D31" s="64" t="n">
        <x:f>IF(O30&gt;0,MIN(dev_cap,dev_return*'Debt &amp; cash'!N30/O30),0)</x:f>
        <x:v>0</x:v>
      </x:c>
      <x:c r="E31" s="63" t="n">
        <x:f>C31+D31</x:f>
        <x:v>0.022</x:v>
      </x:c>
      <x:c r="F31" s="47" t="n">
        <x:f>F30*(1+E31)</x:f>
        <x:v>300.92845340657465</x:v>
      </x:c>
      <x:c r="G31" s="65" t="n">
        <x:f>1-(1-Paths!M31)*IF($A31&gt;=1930,dep_severity,1)</x:f>
        <x:v>1</x:v>
      </x:c>
      <x:c r="H31" s="65" t="n">
        <x:f>IF($A31&gt;=1930,Paths!B$89+(Paths!B31-Paths!B$89)*slump_price,Paths!B31)</x:f>
        <x:v>0.936</x:v>
      </x:c>
      <x:c r="I31" s="66" t="n">
        <x:f>Labour!AO31</x:f>
        <x:v>0</x:v>
      </x:c>
      <x:c r="J31" s="47" t="n">
        <x:f>B31*F31*(1+I31)*G31*H31/1000000</x:f>
        <x:v>515.2164636147578</x:v>
      </x:c>
      <x:c r="K31" s="62" t="n">
        <x:f>Resources!O31</x:f>
        <x:v>31.57</x:v>
      </x:c>
      <x:c r="L31" s="47" t="n">
        <x:f>Labour!L31*gw_rel*J31/Labour!B31</x:f>
        <x:v>0</x:v>
      </x:c>
      <x:c r="M31" s="62" t="n">
        <x:f>Champions!AQ31</x:f>
        <x:v>6.207123336920851</x:v>
      </x:c>
      <x:c r="N31" s="47" t="n">
        <x:f>IF(Gulf!E31=1,Gulf!D31,0)</x:f>
        <x:v>0</x:v>
      </x:c>
      <x:c r="O31" s="47" t="n">
        <x:f>J31+K31+L31+M31+N31</x:f>
        <x:v>552.9935869516787</x:v>
      </x:c>
      <x:c r="P31" s="47" t="n">
        <x:f>O31*1000000/(B31+People!V31+Labour!L31)</x:f>
        <x:v>302.3217997750594</x:v>
      </x:c>
      <x:c r="Q31" s="45" t="n">
        <x:v>173</x:v>
      </x:c>
      <x:c r="R31" s="67" t="n">
        <x:f>P31/Q31</x:f>
        <x:v>1.7475248541910948</x:v>
      </x:c>
      <x:c r="S31" s="47" t="n">
        <x:f>O31/H31</x:f>
        <x:v>590.805114264614</x:v>
      </x:c>
    </x:row>
    <x:row r="32">
      <x:c r="A32" s="58" t="n">
        <x:v>1872</x:v>
      </x:c>
      <x:c r="B32" s="47" t="n">
        <x:f>(People!B32+People!L32)/2</x:f>
        <x:v>1946269.4683976793</x:v>
      </x:c>
      <x:c r="C32" s="63" t="n">
        <x:f>Paths!L32*IF($A32&gt;=1896,prod_factor,1)</x:f>
        <x:v>0.022</x:v>
      </x:c>
      <x:c r="D32" s="64" t="n">
        <x:f>IF(O31&gt;0,MIN(dev_cap,dev_return*'Debt &amp; cash'!N31/O31),0)</x:f>
        <x:v>0</x:v>
      </x:c>
      <x:c r="E32" s="63" t="n">
        <x:f>C32+D32</x:f>
        <x:v>0.022</x:v>
      </x:c>
      <x:c r="F32" s="47" t="n">
        <x:f>F31*(1+E32)</x:f>
        <x:v>307.54887938151927</x:v>
      </x:c>
      <x:c r="G32" s="65" t="n">
        <x:f>1-(1-Paths!M32)*IF($A32&gt;=1930,dep_severity,1)</x:f>
        <x:v>1</x:v>
      </x:c>
      <x:c r="H32" s="65" t="n">
        <x:f>IF($A32&gt;=1930,Paths!B$89+(Paths!B32-Paths!B$89)*slump_price,Paths!B32)</x:f>
        <x:v>0.922</x:v>
      </x:c>
      <x:c r="I32" s="66" t="n">
        <x:f>Labour!AO32</x:f>
        <x:v>0</x:v>
      </x:c>
      <x:c r="J32" s="47" t="n">
        <x:f>B32*F32*(1+I32)*G32*H32/1000000</x:f>
        <x:v>551.8843004497181</x:v>
      </x:c>
      <x:c r="K32" s="62" t="n">
        <x:f>Resources!O32</x:f>
        <x:v>33.39</x:v>
      </x:c>
      <x:c r="L32" s="47" t="n">
        <x:f>Labour!L32*gw_rel*J32/Labour!B32</x:f>
        <x:v>0</x:v>
      </x:c>
      <x:c r="M32" s="62" t="n">
        <x:f>Champions!AQ32</x:f>
        <x:v>7.324171306845765</x:v>
      </x:c>
      <x:c r="N32" s="47" t="n">
        <x:f>IF(Gulf!E32=1,Gulf!D32,0)</x:f>
        <x:v>0</x:v>
      </x:c>
      <x:c r="O32" s="47" t="n">
        <x:f>J32+K32+L32+M32+N32</x:f>
        <x:v>592.5984717565639</x:v>
      </x:c>
      <x:c r="P32" s="47" t="n">
        <x:f>O32*1000000/(B32+People!V32+Labour!L32)</x:f>
        <x:v>304.4791491511384</x:v>
      </x:c>
      <x:c r="Q32" s="45" t="n">
        <x:v>173</x:v>
      </x:c>
      <x:c r="R32" s="67" t="n">
        <x:f>P32/Q32</x:f>
        <x:v>1.759995081798488</x:v>
      </x:c>
      <x:c r="S32" s="47" t="n">
        <x:f>O32/H32</x:f>
        <x:v>642.7315311893317</x:v>
      </x:c>
    </x:row>
    <x:row r="33">
      <x:c r="A33" s="58" t="n">
        <x:v>1873</x:v>
      </x:c>
      <x:c r="B33" s="47" t="n">
        <x:f>(People!B33+People!L33)/2</x:f>
        <x:v>2077608.5882972353</x:v>
      </x:c>
      <x:c r="C33" s="63" t="n">
        <x:f>Paths!L33*IF($A33&gt;=1896,prod_factor,1)</x:f>
        <x:v>0.022</x:v>
      </x:c>
      <x:c r="D33" s="64" t="n">
        <x:f>IF(O32&gt;0,MIN(dev_cap,dev_return*'Debt &amp; cash'!N32/O32),0)</x:f>
        <x:v>0</x:v>
      </x:c>
      <x:c r="E33" s="63" t="n">
        <x:f>C33+D33</x:f>
        <x:v>0.022</x:v>
      </x:c>
      <x:c r="F33" s="47" t="n">
        <x:f>F32*(1+E33)</x:f>
        <x:v>314.3149547279127</x:v>
      </x:c>
      <x:c r="G33" s="65" t="n">
        <x:f>1-(1-Paths!M33)*IF($A33&gt;=1930,dep_severity,1)</x:f>
        <x:v>0.98</x:v>
      </x:c>
      <x:c r="H33" s="65" t="n">
        <x:f>IF($A33&gt;=1930,Paths!B$89+(Paths!B33-Paths!B$89)*slump_price,Paths!B33)</x:f>
        <x:v>0.908</x:v>
      </x:c>
      <x:c r="I33" s="66" t="n">
        <x:f>Labour!AO33</x:f>
        <x:v>0</x:v>
      </x:c>
      <x:c r="J33" s="47" t="n">
        <x:f>B33*F33*(1+I33)*G33*H33/1000000</x:f>
        <x:v>581.086386190042</x:v>
      </x:c>
      <x:c r="K33" s="62" t="n">
        <x:f>Resources!O33</x:f>
        <x:v>39.059999999999995</x:v>
      </x:c>
      <x:c r="L33" s="47" t="n">
        <x:f>Labour!L33*gw_rel*J33/Labour!B33</x:f>
        <x:v>0</x:v>
      </x:c>
      <x:c r="M33" s="62" t="n">
        <x:f>Champions!AQ33</x:f>
        <x:v>8.428226775883402</x:v>
      </x:c>
      <x:c r="N33" s="47" t="n">
        <x:f>IF(Gulf!E33=1,Gulf!D33,0)</x:f>
        <x:v>0</x:v>
      </x:c>
      <x:c r="O33" s="47" t="n">
        <x:f>J33+K33+L33+M33+N33</x:f>
        <x:v>628.5746129659254</x:v>
      </x:c>
      <x:c r="P33" s="47" t="n">
        <x:f>O33*1000000/(B33+People!V33+Labour!L33)</x:f>
        <x:v>302.5471768390658</x:v>
      </x:c>
      <x:c r="Q33" s="45" t="n">
        <x:v>174</x:v>
      </x:c>
      <x:c r="R33" s="67" t="n">
        <x:f>P33/Q33</x:f>
        <x:v>1.7387768783854356</x:v>
      </x:c>
      <x:c r="S33" s="47" t="n">
        <x:f>O33/H33</x:f>
        <x:v>692.26278961005</x:v>
      </x:c>
    </x:row>
    <x:row r="34">
      <x:c r="A34" s="58" t="n">
        <x:v>1874</x:v>
      </x:c>
      <x:c r="B34" s="47" t="n">
        <x:f>(People!B34+People!L34)/2</x:f>
        <x:v>2223443.151474883</x:v>
      </x:c>
      <x:c r="C34" s="63" t="n">
        <x:f>Paths!L34*IF($A34&gt;=1896,prod_factor,1)</x:f>
        <x:v>0.022</x:v>
      </x:c>
      <x:c r="D34" s="64" t="n">
        <x:f>IF(O33&gt;0,MIN(dev_cap,dev_return*'Debt &amp; cash'!N33/O33),0)</x:f>
        <x:v>0</x:v>
      </x:c>
      <x:c r="E34" s="63" t="n">
        <x:f>C34+D34</x:f>
        <x:v>0.022</x:v>
      </x:c>
      <x:c r="F34" s="47" t="n">
        <x:f>F33*(1+E34)</x:f>
        <x:v>321.2298837319268</x:v>
      </x:c>
      <x:c r="G34" s="65" t="n">
        <x:f>1-(1-Paths!M34)*IF($A34&gt;=1930,dep_severity,1)</x:f>
        <x:v>0.97</x:v>
      </x:c>
      <x:c r="H34" s="65" t="n">
        <x:f>IF($A34&gt;=1930,Paths!B$89+(Paths!B34-Paths!B$89)*slump_price,Paths!B34)</x:f>
        <x:v>0.894</x:v>
      </x:c>
      <x:c r="I34" s="66" t="n">
        <x:f>Labour!AO34</x:f>
        <x:v>0</x:v>
      </x:c>
      <x:c r="J34" s="47" t="n">
        <x:f>B34*F34*(1+I34)*G34*H34/1000000</x:f>
        <x:v>619.3715083727658</x:v>
      </x:c>
      <x:c r="K34" s="62" t="n">
        <x:f>Resources!O34</x:f>
        <x:v>41.58</x:v>
      </x:c>
      <x:c r="L34" s="47" t="n">
        <x:f>Labour!L34*gw_rel*J34/Labour!B34</x:f>
        <x:v>0</x:v>
      </x:c>
      <x:c r="M34" s="62" t="n">
        <x:f>Champions!AQ34</x:f>
        <x:v>9.410718693049146</x:v>
      </x:c>
      <x:c r="N34" s="47" t="n">
        <x:f>IF(Gulf!E34=1,Gulf!D34,0)</x:f>
        <x:v>0</x:v>
      </x:c>
      <x:c r="O34" s="47" t="n">
        <x:f>J34+K34+L34+M34+N34</x:f>
        <x:v>670.362227065815</x:v>
      </x:c>
      <x:c r="P34" s="47" t="n">
        <x:f>O34*1000000/(B34+People!V34+Labour!L34)</x:f>
        <x:v>301.4973540569911</x:v>
      </x:c>
      <x:c r="Q34" s="45" t="n">
        <x:v>174</x:v>
      </x:c>
      <x:c r="R34" s="67" t="n">
        <x:f>P34/Q34</x:f>
        <x:v>1.7327434141206386</x:v>
      </x:c>
      <x:c r="S34" s="47" t="n">
        <x:f>O34/H34</x:f>
        <x:v>749.8458915724999</x:v>
      </x:c>
    </x:row>
    <x:row r="35">
      <x:c r="A35" s="58" t="n">
        <x:v>1875</x:v>
      </x:c>
      <x:c r="B35" s="47" t="n">
        <x:f>(People!B35+People!L35)/2</x:f>
        <x:v>2372048.5713529056</x:v>
      </x:c>
      <x:c r="C35" s="63" t="n">
        <x:f>Paths!L35*IF($A35&gt;=1896,prod_factor,1)</x:f>
        <x:v>0.022</x:v>
      </x:c>
      <x:c r="D35" s="64" t="n">
        <x:f>IF(O34&gt;0,MIN(dev_cap,dev_return*'Debt &amp; cash'!N34/O34),0)</x:f>
        <x:v>0</x:v>
      </x:c>
      <x:c r="E35" s="63" t="n">
        <x:f>C35+D35</x:f>
        <x:v>0.022</x:v>
      </x:c>
      <x:c r="F35" s="47" t="n">
        <x:f>F34*(1+E35)</x:f>
        <x:v>328.2969411740292</x:v>
      </x:c>
      <x:c r="G35" s="65" t="n">
        <x:f>1-(1-Paths!M35)*IF($A35&gt;=1930,dep_severity,1)</x:f>
        <x:v>0.98</x:v>
      </x:c>
      <x:c r="H35" s="65" t="n">
        <x:f>IF($A35&gt;=1930,Paths!B$89+(Paths!B35-Paths!B$89)*slump_price,Paths!B35)</x:f>
        <x:v>0.88</x:v>
      </x:c>
      <x:c r="I35" s="66" t="n">
        <x:f>Labour!AO35</x:f>
        <x:v>0</x:v>
      </x:c>
      <x:c r="J35" s="47" t="n">
        <x:f>B35*F35*(1+I35)*G35*H35/1000000</x:f>
        <x:v>671.5821767472903</x:v>
      </x:c>
      <x:c r="K35" s="62" t="n">
        <x:f>Resources!O35</x:f>
        <x:v>44.099999999999994</x:v>
      </x:c>
      <x:c r="L35" s="47" t="n">
        <x:f>Labour!L35*gw_rel*J35/Labour!B35</x:f>
        <x:v>0</x:v>
      </x:c>
      <x:c r="M35" s="62" t="n">
        <x:f>Champions!AQ35</x:f>
        <x:v>10.534467893047365</x:v>
      </x:c>
      <x:c r="N35" s="47" t="n">
        <x:f>IF(Gulf!E35=1,Gulf!D35,0)</x:f>
        <x:v>0</x:v>
      </x:c>
      <x:c r="O35" s="47" t="n">
        <x:f>J35+K35+L35+M35+N35</x:f>
        <x:v>726.2166446403377</x:v>
      </x:c>
      <x:c r="P35" s="47" t="n">
        <x:f>O35*1000000/(B35+People!V35+Labour!L35)</x:f>
        <x:v>306.1558913298886</x:v>
      </x:c>
      <x:c r="Q35" s="45" t="n">
        <x:v>175</x:v>
      </x:c>
      <x:c r="R35" s="67" t="n">
        <x:f>P35/Q35</x:f>
        <x:v>1.749462236170792</x:v>
      </x:c>
      <x:c r="S35" s="47" t="n">
        <x:f>O35/H35</x:f>
        <x:v>825.2461870912928</x:v>
      </x:c>
    </x:row>
    <x:row r="36">
      <x:c r="A36" s="58" t="n">
        <x:v>1876</x:v>
      </x:c>
      <x:c r="B36" s="47" t="n">
        <x:f>(People!B36+People!L36)/2</x:f>
        <x:v>2523477.4942086106</x:v>
      </x:c>
      <x:c r="C36" s="63" t="n">
        <x:f>Paths!L36*IF($A36&gt;=1896,prod_factor,1)</x:f>
        <x:v>0.022</x:v>
      </x:c>
      <x:c r="D36" s="64" t="n">
        <x:f>IF(O35&gt;0,MIN(dev_cap,dev_return*'Debt &amp; cash'!N35/O35),0)</x:f>
        <x:v>0.0004957198415333646</x:v>
      </x:c>
      <x:c r="E36" s="63" t="n">
        <x:f>C36+D36</x:f>
        <x:v>0.022495719841533365</x:v>
      </x:c>
      <x:c r="F36" s="47" t="n">
        <x:f>F35*(1+E36)</x:f>
        <x:v>335.68221718751255</x:v>
      </x:c>
      <x:c r="G36" s="65" t="n">
        <x:f>1-(1-Paths!M36)*IF($A36&gt;=1930,dep_severity,1)</x:f>
        <x:v>1</x:v>
      </x:c>
      <x:c r="H36" s="65" t="n">
        <x:f>IF($A36&gt;=1930,Paths!B$89+(Paths!B36-Paths!B$89)*slump_price,Paths!B36)</x:f>
        <x:v>0.864</x:v>
      </x:c>
      <x:c r="I36" s="66" t="n">
        <x:f>Labour!AO36</x:f>
        <x:v>0</x:v>
      </x:c>
      <x:c r="J36" s="47" t="n">
        <x:f>B36*F36*(1+I36)*G36*H36/1000000</x:f>
        <x:v>731.8827535208268</x:v>
      </x:c>
      <x:c r="K36" s="62" t="n">
        <x:f>Resources!O36</x:f>
        <x:v>48.17399999999999</x:v>
      </x:c>
      <x:c r="L36" s="47" t="n">
        <x:f>Labour!L36*gw_rel*J36/Labour!B36</x:f>
        <x:v>0</x:v>
      </x:c>
      <x:c r="M36" s="62" t="n">
        <x:f>Champions!AQ36</x:f>
        <x:v>11.663328395527868</x:v>
      </x:c>
      <x:c r="N36" s="47" t="n">
        <x:f>IF(Gulf!E36=1,Gulf!D36,0)</x:f>
        <x:v>0</x:v>
      </x:c>
      <x:c r="O36" s="47" t="n">
        <x:f>J36+K36+L36+M36+N36</x:f>
        <x:v>791.7200819163546</x:v>
      </x:c>
      <x:c r="P36" s="47" t="n">
        <x:f>O36*1000000/(B36+People!V36+Labour!L36)</x:f>
        <x:v>313.74168532644137</x:v>
      </x:c>
      <x:c r="Q36" s="45" t="n">
        <x:v>182</x:v>
      </x:c>
      <x:c r="R36" s="67" t="n">
        <x:f>P36/Q36</x:f>
        <x:v>1.723855413881546</x:v>
      </x:c>
      <x:c r="S36" s="47" t="n">
        <x:f>O36/H36</x:f>
        <x:v>916.3426874031883</x:v>
      </x:c>
    </x:row>
    <x:row r="37">
      <x:c r="A37" s="58" t="n">
        <x:v>1877</x:v>
      </x:c>
      <x:c r="B37" s="47" t="n">
        <x:f>(People!B37+People!L37)/2</x:f>
        <x:v>2678143.5665985746</x:v>
      </x:c>
      <x:c r="C37" s="63" t="n">
        <x:f>Paths!L37*IF($A37&gt;=1896,prod_factor,1)</x:f>
        <x:v>0.022</x:v>
      </x:c>
      <x:c r="D37" s="64" t="n">
        <x:f>IF(O36&gt;0,MIN(dev_cap,dev_return*'Debt &amp; cash'!N36/O36),0)</x:f>
        <x:v>0.0008336279640684031</x:v>
      </x:c>
      <x:c r="E37" s="63" t="n">
        <x:f>C37+D37</x:f>
        <x:v>0.0228336279640684</x:v>
      </x:c>
      <x:c r="F37" s="47" t="n">
        <x:f>F36*(1+E37)</x:f>
        <x:v>343.3470600489258</x:v>
      </x:c>
      <x:c r="G37" s="65" t="n">
        <x:f>1-(1-Paths!M37)*IF($A37&gt;=1930,dep_severity,1)</x:f>
        <x:v>0.98</x:v>
      </x:c>
      <x:c r="H37" s="65" t="n">
        <x:f>IF($A37&gt;=1930,Paths!B$89+(Paths!B37-Paths!B$89)*slump_price,Paths!B37)</x:f>
        <x:v>0.848</x:v>
      </x:c>
      <x:c r="I37" s="66" t="n">
        <x:f>Labour!AO37</x:f>
        <x:v>0</x:v>
      </x:c>
      <x:c r="J37" s="47" t="n">
        <x:f>B37*F37*(1+I37)*G37*H37/1000000</x:f>
        <x:v>764.1684716126489</x:v>
      </x:c>
      <x:c r="K37" s="62" t="n">
        <x:f>Resources!O37</x:f>
        <x:v>52.2473</x:v>
      </x:c>
      <x:c r="L37" s="47" t="n">
        <x:f>Labour!L37*gw_rel*J37/Labour!B37</x:f>
        <x:v>0</x:v>
      </x:c>
      <x:c r="M37" s="62" t="n">
        <x:f>Champions!AQ37</x:f>
        <x:v>12.63277181493472</x:v>
      </x:c>
      <x:c r="N37" s="47" t="n">
        <x:f>IF(Gulf!E37=1,Gulf!D37,0)</x:f>
        <x:v>0</x:v>
      </x:c>
      <x:c r="O37" s="47" t="n">
        <x:f>J37+K37+L37+M37+N37</x:f>
        <x:v>829.0485434275836</x:v>
      </x:c>
      <x:c r="P37" s="47" t="n">
        <x:f>O37*1000000/(B37+People!V37+Labour!L37)</x:f>
        <x:v>309.5609039662246</x:v>
      </x:c>
      <x:c r="Q37" s="45" t="n">
        <x:v>188</x:v>
      </x:c>
      <x:c r="R37" s="67" t="n">
        <x:f>P37/Q37</x:f>
        <x:v>1.646600553011833</x:v>
      </x:c>
      <x:c r="S37" s="47" t="n">
        <x:f>O37/H37</x:f>
        <x:v>977.651584230641</x:v>
      </x:c>
    </x:row>
    <x:row r="38">
      <x:c r="A38" s="58" t="n">
        <x:v>1878</x:v>
      </x:c>
      <x:c r="B38" s="47" t="n">
        <x:f>(People!B38+People!L38)/2</x:f>
        <x:v>2836108.2943639476</x:v>
      </x:c>
      <x:c r="C38" s="63" t="n">
        <x:f>Paths!L38*IF($A38&gt;=1896,prod_factor,1)</x:f>
        <x:v>0.022</x:v>
      </x:c>
      <x:c r="D38" s="64" t="n">
        <x:f>IF(O37&gt;0,MIN(dev_cap,dev_return*'Debt &amp; cash'!N37/O37),0)</x:f>
        <x:v>0.0007960933111001241</x:v>
      </x:c>
      <x:c r="E38" s="63" t="n">
        <x:f>C38+D38</x:f>
        <x:v>0.02279609331110012</x:v>
      </x:c>
      <x:c r="F38" s="47" t="n">
        <x:f>F37*(1+E38)</x:f>
        <x:v>351.1740316678931</x:v>
      </x:c>
      <x:c r="G38" s="65" t="n">
        <x:f>1-(1-Paths!M38)*IF($A38&gt;=1930,dep_severity,1)</x:f>
        <x:v>1</x:v>
      </x:c>
      <x:c r="H38" s="65" t="n">
        <x:f>IF($A38&gt;=1930,Paths!B$89+(Paths!B38-Paths!B$89)*slump_price,Paths!B38)</x:f>
        <x:v>0.832</x:v>
      </x:c>
      <x:c r="I38" s="66" t="n">
        <x:f>Labour!AO38</x:f>
        <x:v>0</x:v>
      </x:c>
      <x:c r="J38" s="47" t="n">
        <x:f>B38*F38*(1+I38)*G38*H38/1000000</x:f>
        <x:v>828.6450298701445</x:v>
      </x:c>
      <x:c r="K38" s="62" t="n">
        <x:f>Resources!O38</x:f>
        <x:v>40.9199</x:v>
      </x:c>
      <x:c r="L38" s="47" t="n">
        <x:f>Labour!L38*gw_rel*J38/Labour!B38</x:f>
        <x:v>0</x:v>
      </x:c>
      <x:c r="M38" s="62" t="n">
        <x:f>Champions!AQ38</x:f>
        <x:v>13.75139352520467</x:v>
      </x:c>
      <x:c r="N38" s="47" t="n">
        <x:f>IF(Gulf!E38=1,Gulf!D38,0)</x:f>
        <x:v>0</x:v>
      </x:c>
      <x:c r="O38" s="47" t="n">
        <x:f>J38+K38+L38+M38+N38</x:f>
        <x:v>883.3163233953492</x:v>
      </x:c>
      <x:c r="P38" s="47" t="n">
        <x:f>O38*1000000/(B38+People!V38+Labour!L38)</x:f>
        <x:v>311.45366527460124</x:v>
      </x:c>
      <x:c r="Q38" s="45" t="n">
        <x:v>195</x:v>
      </x:c>
      <x:c r="R38" s="67" t="n">
        <x:f>P38/Q38</x:f>
        <x:v>1.5971982834594936</x:v>
      </x:c>
      <x:c r="S38" s="47" t="n">
        <x:f>O38/H38</x:f>
        <x:v>1061.6782733117177</x:v>
      </x:c>
    </x:row>
    <x:row r="39">
      <x:c r="A39" s="58" t="n">
        <x:v>1879</x:v>
      </x:c>
      <x:c r="B39" s="47" t="n">
        <x:f>(People!B39+People!L39)/2</x:f>
        <x:v>2997074.351956862</x:v>
      </x:c>
      <x:c r="C39" s="63" t="n">
        <x:f>Paths!L39*IF($A39&gt;=1896,prod_factor,1)</x:f>
        <x:v>0.022</x:v>
      </x:c>
      <x:c r="D39" s="64" t="n">
        <x:f>IF(O38&gt;0,MIN(dev_cap,dev_return*'Debt &amp; cash'!N38/O38),0)</x:f>
        <x:v>0.0015962571534737968</x:v>
      </x:c>
      <x:c r="E39" s="63" t="n">
        <x:f>C39+D39</x:f>
        <x:v>0.023596257153473795</x:v>
      </x:c>
      <x:c r="F39" s="47" t="n">
        <x:f>F38*(1+E39)</x:f>
        <x:v>359.46042442475084</x:v>
      </x:c>
      <x:c r="G39" s="65" t="n">
        <x:f>1-(1-Paths!M39)*IF($A39&gt;=1930,dep_severity,1)</x:f>
        <x:v>1</x:v>
      </x:c>
      <x:c r="H39" s="65" t="n">
        <x:f>IF($A39&gt;=1930,Paths!B$89+(Paths!B39-Paths!B$89)*slump_price,Paths!B39)</x:f>
        <x:v>0.816</x:v>
      </x:c>
      <x:c r="I39" s="66" t="n">
        <x:f>Labour!AO39</x:f>
        <x:v>0</x:v>
      </x:c>
      <x:c r="J39" s="47" t="n">
        <x:f>B39*F39*(1+I39)*G39*H39/1000000</x:f>
        <x:v>879.10096876695</x:v>
      </x:c>
      <x:c r="K39" s="62" t="n">
        <x:f>Resources!O39</x:f>
        <x:v>32.391799999999996</x:v>
      </x:c>
      <x:c r="L39" s="47" t="n">
        <x:f>Labour!L39*gw_rel*J39/Labour!B39</x:f>
        <x:v>0</x:v>
      </x:c>
      <x:c r="M39" s="62" t="n">
        <x:f>Champions!AQ39</x:f>
        <x:v>14.709866609166491</x:v>
      </x:c>
      <x:c r="N39" s="47" t="n">
        <x:f>IF(Gulf!E39=1,Gulf!D39,0)</x:f>
        <x:v>0</x:v>
      </x:c>
      <x:c r="O39" s="47" t="n">
        <x:f>J39+K39+L39+M39+N39</x:f>
        <x:v>926.2026353761165</x:v>
      </x:c>
      <x:c r="P39" s="47" t="n">
        <x:f>O39*1000000/(B39+People!V39+Labour!L39)</x:f>
        <x:v>309.0355882467102</x:v>
      </x:c>
      <x:c r="Q39" s="45" t="n">
        <x:v>201</x:v>
      </x:c>
      <x:c r="R39" s="67" t="n">
        <x:f>P39/Q39</x:f>
        <x:v>1.5374904887896028</x:v>
      </x:c>
      <x:c r="S39" s="47" t="n">
        <x:f>O39/H39</x:f>
        <x:v>1135.0522492354369</x:v>
      </x:c>
    </x:row>
    <x:row r="40">
      <x:c r="A40" s="58" t="n">
        <x:v>1880</x:v>
      </x:c>
      <x:c r="B40" s="47" t="n">
        <x:f>(People!B40+People!L40)/2</x:f>
        <x:v>3165438.8150414154</x:v>
      </x:c>
      <x:c r="C40" s="63" t="n">
        <x:f>Paths!L40*IF($A40&gt;=1896,prod_factor,1)</x:f>
        <x:v>0.022</x:v>
      </x:c>
      <x:c r="D40" s="64" t="n">
        <x:f>IF(O39&gt;0,MIN(dev_cap,dev_return*'Debt &amp; cash'!N39/O39),0)</x:f>
        <x:v>0.0015223450529563876</x:v>
      </x:c>
      <x:c r="E40" s="63" t="n">
        <x:f>C40+D40</x:f>
        <x:v>0.023522345052956386</x:v>
      </x:c>
      <x:c r="F40" s="47" t="n">
        <x:f>F39*(1+E40)</x:f>
        <x:v>367.915776560952</x:v>
      </x:c>
      <x:c r="G40" s="65" t="n">
        <x:f>1-(1-Paths!M40)*IF($A40&gt;=1930,dep_severity,1)</x:f>
        <x:v>1</x:v>
      </x:c>
      <x:c r="H40" s="65" t="n">
        <x:f>IF($A40&gt;=1930,Paths!B$89+(Paths!B40-Paths!B$89)*slump_price,Paths!B40)</x:f>
        <x:v>0.8</x:v>
      </x:c>
      <x:c r="I40" s="66" t="n">
        <x:f>Labour!AO40</x:f>
        <x:v>0</x:v>
      </x:c>
      <x:c r="J40" s="47" t="n">
        <x:f>B40*F40*(1+I40)*G40*H40/1000000</x:f>
        <x:v>931.6919038337138</x:v>
      </x:c>
      <x:c r="K40" s="62" t="n">
        <x:f>Resources!O40</x:f>
        <x:v>30.933</x:v>
      </x:c>
      <x:c r="L40" s="47" t="n">
        <x:f>Labour!L40*gw_rel*J40/Labour!B40</x:f>
        <x:v>0</x:v>
      </x:c>
      <x:c r="M40" s="62" t="n">
        <x:f>Champions!AQ40</x:f>
        <x:v>15.852371097144616</x:v>
      </x:c>
      <x:c r="N40" s="47" t="n">
        <x:f>IF(Gulf!E40=1,Gulf!D40,0)</x:f>
        <x:v>0</x:v>
      </x:c>
      <x:c r="O40" s="47" t="n">
        <x:f>J40+K40+L40+M40+N40</x:f>
        <x:v>978.4772749308585</x:v>
      </x:c>
      <x:c r="P40" s="47" t="n">
        <x:f>O40*1000000/(B40+People!V40+Labour!L40)</x:f>
        <x:v>309.11267982226235</x:v>
      </x:c>
      <x:c r="Q40" s="45" t="n">
        <x:v>208</x:v>
      </x:c>
      <x:c r="R40" s="67" t="n">
        <x:f>P40/Q40</x:f>
        <x:v>1.486118652991646</x:v>
      </x:c>
      <x:c r="S40" s="47" t="n">
        <x:f>O40/H40</x:f>
        <x:v>1223.096593663573</x:v>
      </x:c>
    </x:row>
    <x:row r="41">
      <x:c r="A41" s="58" t="n">
        <x:v>1881</x:v>
      </x:c>
      <x:c r="B41" s="47" t="n">
        <x:f>(People!B41+People!L41)/2</x:f>
        <x:v>3337688.2054927577</x:v>
      </x:c>
      <x:c r="C41" s="63" t="n">
        <x:f>Paths!L41*IF($A41&gt;=1896,prod_factor,1)</x:f>
        <x:v>0.018</x:v>
      </x:c>
      <x:c r="D41" s="64" t="n">
        <x:f>IF(O40&gt;0,MIN(dev_cap,dev_return*'Debt &amp; cash'!N40/O40),0)</x:f>
        <x:v>0.003931154705859706</x:v>
      </x:c>
      <x:c r="E41" s="63" t="n">
        <x:f>C41+D41</x:f>
        <x:v>0.021931154705859705</x:v>
      </x:c>
      <x:c r="F41" s="47" t="n">
        <x:f>F40*(1+E41)</x:f>
        <x:v>375.9845943754367</x:v>
      </x:c>
      <x:c r="G41" s="65" t="n">
        <x:f>1-(1-Paths!M41)*IF($A41&gt;=1930,dep_severity,1)</x:f>
        <x:v>1</x:v>
      </x:c>
      <x:c r="H41" s="65" t="n">
        <x:f>IF($A41&gt;=1930,Paths!B$89+(Paths!B41-Paths!B$89)*slump_price,Paths!B41)</x:f>
        <x:v>0.788</x:v>
      </x:c>
      <x:c r="I41" s="66" t="n">
        <x:f>Labour!AO41</x:f>
        <x:v>0.001025374860289168</x:v>
      </x:c>
      <x:c r="J41" s="47" t="n">
        <x:f>B41*F41*(1+I41)*G41*H41/1000000</x:f>
        <x:v>989.8904137683224</x:v>
      </x:c>
      <x:c r="K41" s="62" t="n">
        <x:f>Resources!O41</x:f>
        <x:v>31.17562</x:v>
      </x:c>
      <x:c r="L41" s="47" t="n">
        <x:f>Labour!L41*gw_rel*J41/Labour!B41</x:f>
        <x:v>0</x:v>
      </x:c>
      <x:c r="M41" s="62" t="n">
        <x:f>Champions!AQ41</x:f>
        <x:v>18.2382113560384</x:v>
      </x:c>
      <x:c r="N41" s="47" t="n">
        <x:f>IF(Gulf!E41=1,Gulf!D41,0)</x:f>
        <x:v>0</x:v>
      </x:c>
      <x:c r="O41" s="47" t="n">
        <x:f>J41+K41+L41+M41+N41</x:f>
        <x:v>1039.304245124361</x:v>
      </x:c>
      <x:c r="P41" s="47" t="n">
        <x:f>O41*1000000/(B41+People!V41+Labour!L41)</x:f>
        <x:v>311.3844616803935</x:v>
      </x:c>
      <x:c r="Q41" s="45" t="n">
        <x:v>207</x:v>
      </x:c>
      <x:c r="R41" s="67" t="n">
        <x:f>P41/Q41</x:f>
        <x:v>1.5042727617410314</x:v>
      </x:c>
      <x:c r="S41" s="47" t="n">
        <x:f>O41/H41</x:f>
        <x:v>1318.9140166552804</x:v>
      </x:c>
    </x:row>
    <x:row r="42">
      <x:c r="A42" s="58" t="n">
        <x:v>1882</x:v>
      </x:c>
      <x:c r="B42" s="47" t="n">
        <x:f>(People!B42+People!L42)/2</x:f>
        <x:v>3510813.411325652</x:v>
      </x:c>
      <x:c r="C42" s="63" t="n">
        <x:f>Paths!L42*IF($A42&gt;=1896,prod_factor,1)</x:f>
        <x:v>0.018</x:v>
      </x:c>
      <x:c r="D42" s="64" t="n">
        <x:f>IF(O41&gt;0,MIN(dev_cap,dev_return*'Debt &amp; cash'!N41/O41),0)</x:f>
        <x:v>0.00447695983191803</x:v>
      </x:c>
      <x:c r="E42" s="63" t="n">
        <x:f>C42+D42</x:f>
        <x:v>0.02247695983191803</x:v>
      </x:c>
      <x:c r="F42" s="47" t="n">
        <x:f>F41*(1+E42)</x:f>
        <x:v>384.4355850006334</x:v>
      </x:c>
      <x:c r="G42" s="65" t="n">
        <x:f>1-(1-Paths!M42)*IF($A42&gt;=1930,dep_severity,1)</x:f>
        <x:v>1</x:v>
      </x:c>
      <x:c r="H42" s="65" t="n">
        <x:f>IF($A42&gt;=1930,Paths!B$89+(Paths!B42-Paths!B$89)*slump_price,Paths!B42)</x:f>
        <x:v>0.776</x:v>
      </x:c>
      <x:c r="I42" s="66" t="n">
        <x:f>Labour!AO42</x:f>
        <x:v>0.0009563075802488847</x:v>
      </x:c>
      <x:c r="J42" s="47" t="n">
        <x:f>B42*F42*(1+I42)*G42*H42/1000000</x:f>
        <x:v>1048.354519049942</x:v>
      </x:c>
      <x:c r="K42" s="62" t="n">
        <x:f>Resources!O42</x:f>
        <x:v>31.40312</x:v>
      </x:c>
      <x:c r="L42" s="47" t="n">
        <x:f>Labour!L42*gw_rel*J42/Labour!B42</x:f>
        <x:v>0</x:v>
      </x:c>
      <x:c r="M42" s="62" t="n">
        <x:f>Champions!AQ42</x:f>
        <x:v>20.070863432984012</x:v>
      </x:c>
      <x:c r="N42" s="47" t="n">
        <x:f>IF(Gulf!E42=1,Gulf!D42,0)</x:f>
        <x:v>0</x:v>
      </x:c>
      <x:c r="O42" s="47" t="n">
        <x:f>J42+K42+L42+M42+N42</x:f>
        <x:v>1099.8285024829258</x:v>
      </x:c>
      <x:c r="P42" s="47" t="n">
        <x:f>O42*1000000/(B42+People!V42+Labour!L42)</x:f>
        <x:v>313.2688564236857</x:v>
      </x:c>
      <x:c r="Q42" s="45" t="n">
        <x:v>207</x:v>
      </x:c>
      <x:c r="R42" s="67" t="n">
        <x:f>P42/Q42</x:f>
        <x:v>1.5133761179888197</x:v>
      </x:c>
      <x:c r="S42" s="47" t="n">
        <x:f>O42/H42</x:f>
        <x:v>1417.3047712408838</x:v>
      </x:c>
    </x:row>
    <x:row r="43">
      <x:c r="A43" s="58" t="n">
        <x:v>1883</x:v>
      </x:c>
      <x:c r="B43" s="47" t="n">
        <x:f>(People!B43+People!L43)/2</x:f>
        <x:v>3689288.27267218</x:v>
      </x:c>
      <x:c r="C43" s="63" t="n">
        <x:f>Paths!L43*IF($A43&gt;=1896,prod_factor,1)</x:f>
        <x:v>0.018</x:v>
      </x:c>
      <x:c r="D43" s="64" t="n">
        <x:f>IF(O42&gt;0,MIN(dev_cap,dev_return*'Debt &amp; cash'!N42/O42),0)</x:f>
        <x:v>0.004407759140756203</x:v>
      </x:c>
      <x:c r="E43" s="63" t="n">
        <x:f>C43+D43</x:f>
        <x:v>0.0224077591407562</x:v>
      </x:c>
      <x:c r="F43" s="47" t="n">
        <x:f>F42*(1+E43)</x:f>
        <x:v>393.04992499446325</x:v>
      </x:c>
      <x:c r="G43" s="65" t="n">
        <x:f>1-(1-Paths!M43)*IF($A43&gt;=1930,dep_severity,1)</x:f>
        <x:v>1</x:v>
      </x:c>
      <x:c r="H43" s="65" t="n">
        <x:f>IF($A43&gt;=1930,Paths!B$89+(Paths!B43-Paths!B$89)*slump_price,Paths!B43)</x:f>
        <x:v>0.764</x:v>
      </x:c>
      <x:c r="I43" s="66" t="n">
        <x:f>Labour!AO43</x:f>
        <x:v>0.0009830551065445022</x:v>
      </x:c>
      <x:c r="J43" s="47" t="n">
        <x:f>B43*F43*(1+I43)*G43*H43/1000000</x:f>
        <x:v>1108.9459862312403</x:v>
      </x:c>
      <x:c r="K43" s="62" t="n">
        <x:f>Resources!O43</x:f>
        <x:v>31.639439999999997</x:v>
      </x:c>
      <x:c r="L43" s="47" t="n">
        <x:f>Labour!L43*gw_rel*J43/Labour!B43</x:f>
        <x:v>0</x:v>
      </x:c>
      <x:c r="M43" s="62" t="n">
        <x:f>Champions!AQ43</x:f>
        <x:v>21.912135469292565</x:v>
      </x:c>
      <x:c r="N43" s="47" t="n">
        <x:f>IF(Gulf!E43=1,Gulf!D43,0)</x:f>
        <x:v>0</x:v>
      </x:c>
      <x:c r="O43" s="47" t="n">
        <x:f>J43+K43+L43+M43+N43</x:f>
        <x:v>1162.4975617005327</x:v>
      </x:c>
      <x:c r="P43" s="47" t="n">
        <x:f>O43*1000000/(B43+People!V43+Labour!L43)</x:f>
        <x:v>315.1007662674532</x:v>
      </x:c>
      <x:c r="Q43" s="45" t="n">
        <x:v>206</x:v>
      </x:c>
      <x:c r="R43" s="67" t="n">
        <x:f>P43/Q43</x:f>
        <x:v>1.5296153702303552</x:v>
      </x:c>
      <x:c r="S43" s="47" t="n">
        <x:f>O43/H43</x:f>
        <x:v>1521.5936671472941</x:v>
      </x:c>
    </x:row>
    <x:row r="44">
      <x:c r="A44" s="58" t="n">
        <x:v>1884</x:v>
      </x:c>
      <x:c r="B44" s="47" t="n">
        <x:f>(People!B44+People!L44)/2</x:f>
        <x:v>3873677.470649441</x:v>
      </x:c>
      <x:c r="C44" s="63" t="n">
        <x:f>Paths!L44*IF($A44&gt;=1896,prod_factor,1)</x:f>
        <x:v>0.018</x:v>
      </x:c>
      <x:c r="D44" s="64" t="n">
        <x:f>IF(O43&gt;0,MIN(dev_cap,dev_return*'Debt &amp; cash'!N43/O43),0)</x:f>
        <x:v>0.004178317696497948</x:v>
      </x:c>
      <x:c r="E44" s="63" t="n">
        <x:f>C44+D44</x:f>
        <x:v>0.022178317696497946</x:v>
      </x:c>
      <x:c r="F44" s="47" t="n">
        <x:f>F43*(1+E44)</x:f>
        <x:v>401.76711110157515</x:v>
      </x:c>
      <x:c r="G44" s="65" t="n">
        <x:f>1-(1-Paths!M44)*IF($A44&gt;=1930,dep_severity,1)</x:f>
        <x:v>0.98</x:v>
      </x:c>
      <x:c r="H44" s="65" t="n">
        <x:f>IF($A44&gt;=1930,Paths!B$89+(Paths!B44-Paths!B$89)*slump_price,Paths!B44)</x:f>
        <x:v>0.752</x:v>
      </x:c>
      <x:c r="I44" s="66" t="n">
        <x:f>Labour!AO44</x:f>
        <x:v>0.0012261481999854098</x:v>
      </x:c>
      <x:c r="J44" s="47" t="n">
        <x:f>B44*F44*(1+I44)*G44*H44/1000000</x:f>
        <x:v>1148.3491135454424</x:v>
      </x:c>
      <x:c r="K44" s="62" t="n">
        <x:f>Resources!O44</x:f>
        <x:v>31.872399999999995</x:v>
      </x:c>
      <x:c r="L44" s="47" t="n">
        <x:f>Labour!L44*gw_rel*J44/Labour!B44</x:f>
        <x:v>0</x:v>
      </x:c>
      <x:c r="M44" s="62" t="n">
        <x:f>Champions!AQ44</x:f>
        <x:v>23.536258792003537</x:v>
      </x:c>
      <x:c r="N44" s="47" t="n">
        <x:f>IF(Gulf!E44=1,Gulf!D44,0)</x:f>
        <x:v>0</x:v>
      </x:c>
      <x:c r="O44" s="47" t="n">
        <x:f>J44+K44+L44+M44+N44</x:f>
        <x:v>1203.7577723374459</x:v>
      </x:c>
      <x:c r="P44" s="47" t="n">
        <x:f>O44*1000000/(B44+People!V44+Labour!L44)</x:f>
        <x:v>310.7532264774822</x:v>
      </x:c>
      <x:c r="Q44" s="45" t="n">
        <x:v>206</x:v>
      </x:c>
      <x:c r="R44" s="67" t="n">
        <x:f>P44/Q44</x:f>
        <x:v>1.5085108081431176</x:v>
      </x:c>
      <x:c r="S44" s="47" t="n">
        <x:f>O44/H44</x:f>
        <x:v>1600.7417185338377</x:v>
      </x:c>
    </x:row>
    <x:row r="45">
      <x:c r="A45" s="58" t="n">
        <x:v>1885</x:v>
      </x:c>
      <x:c r="B45" s="47" t="n">
        <x:f>(People!B45+People!L45)/2</x:f>
        <x:v>4061774.478111203</x:v>
      </x:c>
      <x:c r="C45" s="63" t="n">
        <x:f>Paths!L45*IF($A45&gt;=1896,prod_factor,1)</x:f>
        <x:v>0.018</x:v>
      </x:c>
      <x:c r="D45" s="64" t="n">
        <x:f>IF(O44&gt;0,MIN(dev_cap,dev_return*'Debt &amp; cash'!N44/O44),0)</x:f>
        <x:v>0.00408100730880492</x:v>
      </x:c>
      <x:c r="E45" s="63" t="n">
        <x:f>C45+D45</x:f>
        <x:v>0.02208100730880492</x:v>
      </x:c>
      <x:c r="F45" s="47" t="n">
        <x:f>F44*(1+E45)</x:f>
        <x:v>410.63853361824647</x:v>
      </x:c>
      <x:c r="G45" s="65" t="n">
        <x:f>1-(1-Paths!M45)*IF($A45&gt;=1930,dep_severity,1)</x:f>
        <x:v>0.98</x:v>
      </x:c>
      <x:c r="H45" s="65" t="n">
        <x:f>IF($A45&gt;=1930,Paths!B$89+(Paths!B45-Paths!B$89)*slump_price,Paths!B45)</x:f>
        <x:v>0.74</x:v>
      </x:c>
      <x:c r="I45" s="66" t="n">
        <x:f>Labour!AO45</x:f>
        <x:v>0.001879073053446575</x:v>
      </x:c>
      <x:c r="J45" s="47" t="n">
        <x:f>B45*F45*(1+I45)*G45*H45/1000000</x:f>
        <x:v>1211.8492754245335</x:v>
      </x:c>
      <x:c r="K45" s="62" t="n">
        <x:f>Resources!O45</x:f>
        <x:v>32.269999999999996</x:v>
      </x:c>
      <x:c r="L45" s="47" t="n">
        <x:f>Labour!L45*gw_rel*J45/Labour!B45</x:f>
        <x:v>0</x:v>
      </x:c>
      <x:c r="M45" s="62" t="n">
        <x:f>Champions!AQ45</x:f>
        <x:v>27.597876677785194</x:v>
      </x:c>
      <x:c r="N45" s="47" t="n">
        <x:f>IF(Gulf!E45=1,Gulf!D45,0)</x:f>
        <x:v>0</x:v>
      </x:c>
      <x:c r="O45" s="47" t="n">
        <x:f>J45+K45+L45+M45+N45</x:f>
        <x:v>1271.7171521023188</x:v>
      </x:c>
      <x:c r="P45" s="47" t="n">
        <x:f>O45*1000000/(B45+People!V45+Labour!L45)</x:f>
        <x:v>313.0939836654077</x:v>
      </x:c>
      <x:c r="Q45" s="45" t="n">
        <x:v>205</x:v>
      </x:c>
      <x:c r="R45" s="67" t="n">
        <x:f>P45/Q45</x:f>
        <x:v>1.5272877251971106</x:v>
      </x:c>
      <x:c r="S45" s="47" t="n">
        <x:f>O45/H45</x:f>
        <x:v>1718.5366920301606</x:v>
      </x:c>
    </x:row>
    <x:row r="46">
      <x:c r="A46" s="58" t="n">
        <x:v>1886</x:v>
      </x:c>
      <x:c r="B46" s="47" t="n">
        <x:f>(People!B46+People!L46)/2</x:f>
        <x:v>4256434.9599631075</x:v>
      </x:c>
      <x:c r="C46" s="63" t="n">
        <x:f>Paths!L46*IF($A46&gt;=1896,prod_factor,1)</x:f>
        <x:v>0.018</x:v>
      </x:c>
      <x:c r="D46" s="64" t="n">
        <x:f>IF(O45&gt;0,MIN(dev_cap,dev_return*'Debt &amp; cash'!N45/O45),0)</x:f>
        <x:v>0.00398587581482846</x:v>
      </x:c>
      <x:c r="E46" s="63" t="n">
        <x:f>C46+D46</x:f>
        <x:v>0.021985875814828457</x:v>
      </x:c>
      <x:c r="F46" s="47" t="n">
        <x:f>F45*(1+E46)</x:f>
        <x:v>419.66678142316044</x:v>
      </x:c>
      <x:c r="G46" s="65" t="n">
        <x:f>1-(1-Paths!M46)*IF($A46&gt;=1930,dep_severity,1)</x:f>
        <x:v>1</x:v>
      </x:c>
      <x:c r="H46" s="65" t="n">
        <x:f>IF($A46&gt;=1930,Paths!B$89+(Paths!B46-Paths!B$89)*slump_price,Paths!B46)</x:f>
        <x:v>0.738</x:v>
      </x:c>
      <x:c r="I46" s="66" t="n">
        <x:f>Labour!AO46</x:f>
        <x:v>0.001985337929778362</x:v>
      </x:c>
      <x:c r="J46" s="47" t="n">
        <x:f>B46*F46*(1+I46)*G46*H46/1000000</x:f>
        <x:v>1320.895084701552</x:v>
      </x:c>
      <x:c r="K46" s="62" t="n">
        <x:f>Resources!O46</x:f>
        <x:v>34.888000000000005</x:v>
      </x:c>
      <x:c r="L46" s="47" t="n">
        <x:f>Labour!L46*gw_rel*J46/Labour!B46</x:f>
        <x:v>0</x:v>
      </x:c>
      <x:c r="M46" s="62" t="n">
        <x:f>Champions!AQ46</x:f>
        <x:v>30.757842081564053</x:v>
      </x:c>
      <x:c r="N46" s="47" t="n">
        <x:f>IF(Gulf!E46=1,Gulf!D46,0)</x:f>
        <x:v>0</x:v>
      </x:c>
      <x:c r="O46" s="47" t="n">
        <x:f>J46+K46+L46+M46+N46</x:f>
        <x:v>1386.540926783116</x:v>
      </x:c>
      <x:c r="P46" s="47" t="n">
        <x:f>O46*1000000/(B46+People!V46+Labour!L46)</x:f>
        <x:v>325.75170061922756</x:v>
      </x:c>
      <x:c r="Q46" s="45" t="n">
        <x:v>206</x:v>
      </x:c>
      <x:c r="R46" s="67" t="n">
        <x:f>P46/Q46</x:f>
        <x:v>1.581318935044794</x:v>
      </x:c>
      <x:c r="S46" s="47" t="n">
        <x:f>O46/H46</x:f>
        <x:v>1878.7817436085584</x:v>
      </x:c>
    </x:row>
    <x:row r="47">
      <x:c r="A47" s="58" t="n">
        <x:v>1887</x:v>
      </x:c>
      <x:c r="B47" s="47" t="n">
        <x:f>(People!B47+People!L47)/2</x:f>
        <x:v>4464316.0075587705</x:v>
      </x:c>
      <x:c r="C47" s="63" t="n">
        <x:f>Paths!L47*IF($A47&gt;=1896,prod_factor,1)</x:f>
        <x:v>0.018</x:v>
      </x:c>
      <x:c r="D47" s="64" t="n">
        <x:f>IF(O46&gt;0,MIN(dev_cap,dev_return*'Debt &amp; cash'!N46/O46),0)</x:f>
        <x:v>0.004041111180892334</x:v>
      </x:c>
      <x:c r="E47" s="63" t="n">
        <x:f>C47+D47</x:f>
        <x:v>0.02204111118089233</x:v>
      </x:c>
      <x:c r="F47" s="47" t="n">
        <x:f>F46*(1+E47)</x:f>
        <x:v>428.91670361143554</x:v>
      </x:c>
      <x:c r="G47" s="65" t="n">
        <x:f>1-(1-Paths!M47)*IF($A47&gt;=1930,dep_severity,1)</x:f>
        <x:v>1</x:v>
      </x:c>
      <x:c r="H47" s="65" t="n">
        <x:f>IF($A47&gt;=1930,Paths!B$89+(Paths!B47-Paths!B$89)*slump_price,Paths!B47)</x:f>
        <x:v>0.736</x:v>
      </x:c>
      <x:c r="I47" s="66" t="n">
        <x:f>Labour!AO47</x:f>
        <x:v>0.002612654183771162</x:v>
      </x:c>
      <x:c r="J47" s="47" t="n">
        <x:f>B47*F47*(1+I47)*G47*H47/1000000</x:f>
        <x:v>1412.9893361223258</x:v>
      </x:c>
      <x:c r="K47" s="62" t="n">
        <x:f>Resources!O47</x:f>
        <x:v>37.93299999999999</x:v>
      </x:c>
      <x:c r="L47" s="47" t="n">
        <x:f>Labour!L47*gw_rel*J47/Labour!B47</x:f>
        <x:v>0</x:v>
      </x:c>
      <x:c r="M47" s="62" t="n">
        <x:f>Champions!AQ47</x:f>
        <x:v>33.574928491586185</x:v>
      </x:c>
      <x:c r="N47" s="47" t="n">
        <x:f>IF(Gulf!E47=1,Gulf!D47,0)</x:f>
        <x:v>0</x:v>
      </x:c>
      <x:c r="O47" s="47" t="n">
        <x:f>J47+K47+L47+M47+N47</x:f>
        <x:v>1484.497264613912</x:v>
      </x:c>
      <x:c r="P47" s="47" t="n">
        <x:f>O47*1000000/(B47+People!V47+Labour!L47)</x:f>
        <x:v>332.52513086000874</x:v>
      </x:c>
      <x:c r="Q47" s="45" t="n">
        <x:v>206</x:v>
      </x:c>
      <x:c r="R47" s="67" t="n">
        <x:f>P47/Q47</x:f>
        <x:v>1.6141996643689744</x:v>
      </x:c>
      <x:c r="S47" s="47" t="n">
        <x:f>O47/H47</x:f>
        <x:v>2016.9799790949892</x:v>
      </x:c>
    </x:row>
    <x:row r="48">
      <x:c r="A48" s="58" t="n">
        <x:v>1888</x:v>
      </x:c>
      <x:c r="B48" s="47" t="n">
        <x:f>(People!B48+People!L48)/2</x:f>
        <x:v>4667357.053541556</x:v>
      </x:c>
      <x:c r="C48" s="63" t="n">
        <x:f>Paths!L48*IF($A48&gt;=1896,prod_factor,1)</x:f>
        <x:v>0.018</x:v>
      </x:c>
      <x:c r="D48" s="64" t="n">
        <x:f>IF(O47&gt;0,MIN(dev_cap,dev_return*'Debt &amp; cash'!N47/O47),0)</x:f>
        <x:v>0.008763841541489183</x:v>
      </x:c>
      <x:c r="E48" s="63" t="n">
        <x:f>C48+D48</x:f>
        <x:v>0.026763841541489183</x:v>
      </x:c>
      <x:c r="F48" s="47" t="n">
        <x:f>F47*(1+E48)</x:f>
        <x:v>440.3961623013899</x:v>
      </x:c>
      <x:c r="G48" s="65" t="n">
        <x:f>1-(1-Paths!M48)*IF($A48&gt;=1930,dep_severity,1)</x:f>
        <x:v>1</x:v>
      </x:c>
      <x:c r="H48" s="65" t="n">
        <x:f>IF($A48&gt;=1930,Paths!B$89+(Paths!B48-Paths!B$89)*slump_price,Paths!B48)</x:f>
        <x:v>0.734</x:v>
      </x:c>
      <x:c r="I48" s="66" t="n">
        <x:f>Labour!AO48</x:f>
        <x:v>0.004520402044035195</x:v>
      </x:c>
      <x:c r="J48" s="47" t="n">
        <x:f>B48*F48*(1+I48)*G48*H48/1000000</x:f>
        <x:v>1515.546874514226</x:v>
      </x:c>
      <x:c r="K48" s="62" t="n">
        <x:f>Resources!O48</x:f>
        <x:v>40.879999999999995</x:v>
      </x:c>
      <x:c r="L48" s="47" t="n">
        <x:f>Labour!L48*gw_rel*J48/Labour!B48</x:f>
        <x:v>0</x:v>
      </x:c>
      <x:c r="M48" s="62" t="n">
        <x:f>Champions!AQ48</x:f>
        <x:v>36.317004160717566</x:v>
      </x:c>
      <x:c r="N48" s="47" t="n">
        <x:f>IF(Gulf!E48=1,Gulf!D48,0)</x:f>
        <x:v>0</x:v>
      </x:c>
      <x:c r="O48" s="47" t="n">
        <x:f>J48+K48+L48+M48+N48</x:f>
        <x:v>1592.7438786749433</x:v>
      </x:c>
      <x:c r="P48" s="47" t="n">
        <x:f>O48*1000000/(B48+People!V48+Labour!L48)</x:f>
        <x:v>341.25177491325223</x:v>
      </x:c>
      <x:c r="Q48" s="45" t="n">
        <x:v>207</x:v>
      </x:c>
      <x:c r="R48" s="67" t="n">
        <x:f>P48/Q48</x:f>
        <x:v>1.6485592990978368</x:v>
      </x:c>
      <x:c r="S48" s="47" t="n">
        <x:f>O48/H48</x:f>
        <x:v>2169.9507883854812</x:v>
      </x:c>
    </x:row>
    <x:row r="49">
      <x:c r="A49" s="58" t="n">
        <x:v>1889</x:v>
      </x:c>
      <x:c r="B49" s="47" t="n">
        <x:f>(People!B49+People!L49)/2</x:f>
        <x:v>4864265.780760733</x:v>
      </x:c>
      <x:c r="C49" s="63" t="n">
        <x:f>Paths!L49*IF($A49&gt;=1896,prod_factor,1)</x:f>
        <x:v>0.018</x:v>
      </x:c>
      <x:c r="D49" s="64" t="n">
        <x:f>IF(O48&gt;0,MIN(dev_cap,dev_return*'Debt &amp; cash'!N48/O48),0)</x:f>
        <x:v>0.00618377712058249</x:v>
      </x:c>
      <x:c r="E49" s="63" t="n">
        <x:f>C49+D49</x:f>
        <x:v>0.02418377712058249</x:v>
      </x:c>
      <x:c r="F49" s="47" t="n">
        <x:f>F48*(1+E49)</x:f>
        <x:v>451.04660493524653</x:v>
      </x:c>
      <x:c r="G49" s="65" t="n">
        <x:f>1-(1-Paths!M49)*IF($A49&gt;=1930,dep_severity,1)</x:f>
        <x:v>1</x:v>
      </x:c>
      <x:c r="H49" s="65" t="n">
        <x:f>IF($A49&gt;=1930,Paths!B$89+(Paths!B49-Paths!B$89)*slump_price,Paths!B49)</x:f>
        <x:v>0.732</x:v>
      </x:c>
      <x:c r="I49" s="66" t="n">
        <x:f>Labour!AO49</x:f>
        <x:v>0.006940401978813076</x:v>
      </x:c>
      <x:c r="J49" s="47" t="n">
        <x:f>B49*F49*(1+I49)*G49*H49/1000000</x:f>
        <x:v>1617.162129029643</x:v>
      </x:c>
      <x:c r="K49" s="62" t="n">
        <x:f>Resources!O49</x:f>
        <x:v>43.959999999999994</x:v>
      </x:c>
      <x:c r="L49" s="47" t="n">
        <x:f>Labour!L49*gw_rel*J49/Labour!B49</x:f>
        <x:v>0</x:v>
      </x:c>
      <x:c r="M49" s="62" t="n">
        <x:f>Champions!AQ49</x:f>
        <x:v>39.50152860054932</x:v>
      </x:c>
      <x:c r="N49" s="47" t="n">
        <x:f>IF(Gulf!E49=1,Gulf!D49,0)</x:f>
        <x:v>0</x:v>
      </x:c>
      <x:c r="O49" s="47" t="n">
        <x:f>J49+K49+L49+M49+N49</x:f>
        <x:v>1700.6236576301924</x:v>
      </x:c>
      <x:c r="P49" s="47" t="n">
        <x:f>O49*1000000/(B49+People!V49+Labour!L49)</x:f>
        <x:v>349.61569418277713</x:v>
      </x:c>
      <x:c r="Q49" s="45" t="n">
        <x:v>207</x:v>
      </x:c>
      <x:c r="R49" s="67" t="n">
        <x:f>P49/Q49</x:f>
        <x:v>1.688964706196991</x:v>
      </x:c>
      <x:c r="S49" s="47" t="n">
        <x:f>O49/H49</x:f>
        <x:v>2323.2563628827766</x:v>
      </x:c>
    </x:row>
    <x:row r="50">
      <x:c r="A50" s="58" t="n">
        <x:v>1890</x:v>
      </x:c>
      <x:c r="B50" s="47" t="n">
        <x:f>(People!B50+People!L50)/2</x:f>
        <x:v>5075030.899431697</x:v>
      </x:c>
      <x:c r="C50" s="63" t="n">
        <x:f>Paths!L50*IF($A50&gt;=1896,prod_factor,1)</x:f>
        <x:v>0.018</x:v>
      </x:c>
      <x:c r="D50" s="64" t="n">
        <x:f>IF(O49&gt;0,MIN(dev_cap,dev_return*'Debt &amp; cash'!N49/O49),0)</x:f>
        <x:v>0.0012325006996856708</x:v>
      </x:c>
      <x:c r="E50" s="63" t="n">
        <x:f>C50+D50</x:f>
        <x:v>0.01923250069968567</x:v>
      </x:c>
      <x:c r="F50" s="47" t="n">
        <x:f>F49*(1+E50)</x:f>
        <x:v>459.7213590802545</x:v>
      </x:c>
      <x:c r="G50" s="65" t="n">
        <x:f>1-(1-Paths!M50)*IF($A50&gt;=1930,dep_severity,1)</x:f>
        <x:v>1</x:v>
      </x:c>
      <x:c r="H50" s="65" t="n">
        <x:f>IF($A50&gt;=1930,Paths!B$89+(Paths!B50-Paths!B$89)*slump_price,Paths!B50)</x:f>
        <x:v>0.73</x:v>
      </x:c>
      <x:c r="I50" s="66" t="n">
        <x:f>Labour!AO50</x:f>
        <x:v>0.010064308938549493</x:v>
      </x:c>
      <x:c r="J50" s="47" t="n">
        <x:f>B50*F50*(1+I50)*G50*H50/1000000</x:f>
        <x:v>1720.3042341540315</x:v>
      </x:c>
      <x:c r="K50" s="62" t="n">
        <x:f>Resources!O50</x:f>
        <x:v>46.9</x:v>
      </x:c>
      <x:c r="L50" s="47" t="n">
        <x:f>Labour!L50*gw_rel*J50/Labour!B50</x:f>
        <x:v>39.15863062759101</x:v>
      </x:c>
      <x:c r="M50" s="62" t="n">
        <x:f>Champions!AQ50</x:f>
        <x:v>44.21830309538774</x:v>
      </x:c>
      <x:c r="N50" s="47" t="n">
        <x:f>IF(Gulf!E50=1,Gulf!D50,0)</x:f>
        <x:v>0</x:v>
      </x:c>
      <x:c r="O50" s="47" t="n">
        <x:f>J50+K50+L50+M50+N50</x:f>
        <x:v>1850.5811678770103</x:v>
      </x:c>
      <x:c r="P50" s="47" t="n">
        <x:f>O50*1000000/(B50+People!V50+Labour!L50)</x:f>
        <x:v>358.92526000992774</x:v>
      </x:c>
      <x:c r="Q50" s="45" t="n">
        <x:v>208</x:v>
      </x:c>
      <x:c r="R50" s="67" t="n">
        <x:f>P50/Q50</x:f>
        <x:v>1.725602211586191</x:v>
      </x:c>
      <x:c r="S50" s="47" t="n">
        <x:f>O50/H50</x:f>
        <x:v>2535.042695721932</x:v>
      </x:c>
    </x:row>
    <x:row r="51">
      <x:c r="A51" s="58" t="n">
        <x:v>1891</x:v>
      </x:c>
      <x:c r="B51" s="47" t="n">
        <x:f>(People!B51+People!L51)/2</x:f>
        <x:v>5303510.8458085805</x:v>
      </x:c>
      <x:c r="C51" s="63" t="n">
        <x:f>Paths!L51*IF($A51&gt;=1896,prod_factor,1)</x:f>
        <x:v>0.018</x:v>
      </x:c>
      <x:c r="D51" s="64" t="n">
        <x:f>IF(O50&gt;0,MIN(dev_cap,dev_return*'Debt &amp; cash'!N50/O50),0)</x:f>
        <x:v>0.004285311019013172</x:v>
      </x:c>
      <x:c r="E51" s="63" t="n">
        <x:f>C51+D51</x:f>
        <x:v>0.02228531101901317</x:v>
      </x:c>
      <x:c r="F51" s="47" t="n">
        <x:f>F50*(1+E51)</x:f>
        <x:v>469.96639254944137</x:v>
      </x:c>
      <x:c r="G51" s="65" t="n">
        <x:f>1-(1-Paths!M51)*IF($A51&gt;=1930,dep_severity,1)</x:f>
        <x:v>1</x:v>
      </x:c>
      <x:c r="H51" s="65" t="n">
        <x:f>IF($A51&gt;=1930,Paths!B$89+(Paths!B51-Paths!B$89)*slump_price,Paths!B51)</x:f>
        <x:v>0.7217</x:v>
      </x:c>
      <x:c r="I51" s="66" t="n">
        <x:f>Labour!AO51</x:f>
        <x:v>0.013963778938157851</x:v>
      </x:c>
      <x:c r="J51" s="47" t="n">
        <x:f>B51*F51*(1+I51)*G51*H51/1000000</x:f>
        <x:v>1823.9352235190752</x:v>
      </x:c>
      <x:c r="K51" s="62" t="n">
        <x:f>Resources!O51</x:f>
        <x:v>48.3</x:v>
      </x:c>
      <x:c r="L51" s="47" t="n">
        <x:f>Labour!L51*gw_rel*J51/Labour!B51</x:f>
        <x:v>64.63355054454362</x:v>
      </x:c>
      <x:c r="M51" s="62" t="n">
        <x:f>Champions!AQ51</x:f>
        <x:v>51.92040172428509</x:v>
      </x:c>
      <x:c r="N51" s="47" t="n">
        <x:f>IF(Gulf!E51=1,Gulf!D51,0)</x:f>
        <x:v>0</x:v>
      </x:c>
      <x:c r="O51" s="47" t="n">
        <x:f>J51+K51+L51+M51+N51</x:f>
        <x:v>1988.7891757879038</x:v>
      </x:c>
      <x:c r="P51" s="47" t="n">
        <x:f>O51*1000000/(B51+People!V51+Labour!L51)</x:f>
        <x:v>365.91808229197716</x:v>
      </x:c>
      <x:c r="Q51" s="45" t="n">
        <x:v>206</x:v>
      </x:c>
      <x:c r="R51" s="67" t="n">
        <x:f>P51/Q51</x:f>
        <x:v>1.7763013703494037</x:v>
      </x:c>
      <x:c r="S51" s="47" t="n">
        <x:f>O51/H51</x:f>
        <x:v>2755.70067311612</x:v>
      </x:c>
    </x:row>
    <x:row r="52">
      <x:c r="A52" s="58" t="n">
        <x:v>1892</x:v>
      </x:c>
      <x:c r="B52" s="47" t="n">
        <x:f>(People!B52+People!L52)/2</x:f>
        <x:v>5552205.1972407345</x:v>
      </x:c>
      <x:c r="C52" s="63" t="n">
        <x:f>Paths!L52*IF($A52&gt;=1896,prod_factor,1)</x:f>
        <x:v>0.018</x:v>
      </x:c>
      <x:c r="D52" s="64" t="n">
        <x:f>IF(O51&gt;0,MIN(dev_cap,dev_return*'Debt &amp; cash'!N51/O51),0)</x:f>
        <x:v>0.0050621348400848145</x:v>
      </x:c>
      <x:c r="E52" s="63" t="n">
        <x:f>C52+D52</x:f>
        <x:v>0.023062134840084812</x:v>
      </x:c>
      <x:c r="F52" s="47" t="n">
        <x:f>F51*(1+E52)</x:f>
        <x:v>480.80482086472483</x:v>
      </x:c>
      <x:c r="G52" s="65" t="n">
        <x:f>1-(1-Paths!M52)*IF($A52&gt;=1930,dep_severity,1)</x:f>
        <x:v>1</x:v>
      </x:c>
      <x:c r="H52" s="65" t="n">
        <x:f>IF($A52&gt;=1930,Paths!B$89+(Paths!B52-Paths!B$89)*slump_price,Paths!B52)</x:f>
        <x:v>0.7133</x:v>
      </x:c>
      <x:c r="I52" s="66" t="n">
        <x:f>Labour!AO52</x:f>
        <x:v>0.018440889744603</x:v>
      </x:c>
      <x:c r="J52" s="47" t="n">
        <x:f>B52*F52*(1+I52)*G52*H52/1000000</x:f>
        <x:v>1939.2882830327821</x:v>
      </x:c>
      <x:c r="K52" s="62" t="n">
        <x:f>Resources!O52</x:f>
        <x:v>49.644</x:v>
      </x:c>
      <x:c r="L52" s="47" t="n">
        <x:f>Labour!L52*gw_rel*J52/Labour!B52</x:f>
        <x:v>83.01333985543556</x:v>
      </x:c>
      <x:c r="M52" s="62" t="n">
        <x:f>Champions!AQ52</x:f>
        <x:v>59.97395027072659</x:v>
      </x:c>
      <x:c r="N52" s="47" t="n">
        <x:f>IF(Gulf!E52=1,Gulf!D52,0)</x:f>
        <x:v>0</x:v>
      </x:c>
      <x:c r="O52" s="47" t="n">
        <x:f>J52+K52+L52+M52+N52</x:f>
        <x:v>2131.9195731589443</x:v>
      </x:c>
      <x:c r="P52" s="47" t="n">
        <x:f>O52*1000000/(B52+People!V52+Labour!L52)</x:f>
        <x:v>372.8062235860887</x:v>
      </x:c>
      <x:c r="Q52" s="45" t="n">
        <x:v>205</x:v>
      </x:c>
      <x:c r="R52" s="67" t="n">
        <x:f>P52/Q52</x:f>
        <x:v>1.818566944322384</x:v>
      </x:c>
      <x:c r="S52" s="47" t="n">
        <x:f>O52/H52</x:f>
        <x:v>2988.8119629313674</x:v>
      </x:c>
    </x:row>
    <x:row r="53">
      <x:c r="A53" s="58" t="n">
        <x:v>1893</x:v>
      </x:c>
      <x:c r="B53" s="47" t="n">
        <x:f>(People!B53+People!L53)/2</x:f>
        <x:v>5819643.501643851</x:v>
      </x:c>
      <x:c r="C53" s="63" t="n">
        <x:f>Paths!L53*IF($A53&gt;=1896,prod_factor,1)</x:f>
        <x:v>0.018</x:v>
      </x:c>
      <x:c r="D53" s="64" t="n">
        <x:f>IF(O52&gt;0,MIN(dev_cap,dev_return*'Debt &amp; cash'!N52/O52),0)</x:f>
        <x:v>0.005782498203240435</x:v>
      </x:c>
      <x:c r="E53" s="63" t="n">
        <x:f>C53+D53</x:f>
        <x:v>0.023782498203240434</x:v>
      </x:c>
      <x:c r="F53" s="47" t="n">
        <x:f>F52*(1+E53)</x:f>
        <x:v>492.23956065304947</x:v>
      </x:c>
      <x:c r="G53" s="65" t="n">
        <x:f>1-(1-Paths!M53)*IF($A53&gt;=1930,dep_severity,1)</x:f>
        <x:v>0.95</x:v>
      </x:c>
      <x:c r="H53" s="65" t="n">
        <x:f>IF($A53&gt;=1930,Paths!B$89+(Paths!B53-Paths!B$89)*slump_price,Paths!B53)</x:f>
        <x:v>0.705</x:v>
      </x:c>
      <x:c r="I53" s="66" t="n">
        <x:f>Labour!AO53</x:f>
        <x:v>0.023769714398944715</x:v>
      </x:c>
      <x:c r="J53" s="47" t="n">
        <x:f>B53*F53*(1+I53)*G53*H53/1000000</x:f>
        <x:v>1964.2099025442863</x:v>
      </x:c>
      <x:c r="K53" s="62" t="n">
        <x:f>Resources!O53</x:f>
        <x:v>51.135279999999995</x:v>
      </x:c>
      <x:c r="L53" s="47" t="n">
        <x:f>Labour!L53*gw_rel*J53/Labour!B53</x:f>
        <x:v>85.34255657427217</x:v>
      </x:c>
      <x:c r="M53" s="62" t="n">
        <x:f>Champions!AQ53</x:f>
        <x:v>68.73536178714853</x:v>
      </x:c>
      <x:c r="N53" s="47" t="n">
        <x:f>IF(Gulf!E53=1,Gulf!D53,0)</x:f>
        <x:v>0</x:v>
      </x:c>
      <x:c r="O53" s="47" t="n">
        <x:f>J53+K53+L53+M53+N53</x:f>
        <x:v>2169.423100905707</x:v>
      </x:c>
      <x:c r="P53" s="47" t="n">
        <x:f>O53*1000000/(B53+People!V53+Labour!L53)</x:f>
        <x:v>361.77292536412466</x:v>
      </x:c>
      <x:c r="Q53" s="45" t="n">
        <x:v>203</x:v>
      </x:c>
      <x:c r="R53" s="67" t="n">
        <x:f>P53/Q53</x:f>
        <x:v>1.782132637261698</x:v>
      </x:c>
      <x:c r="S53" s="47" t="n">
        <x:f>O53/H53</x:f>
        <x:v>3077.195887809514</x:v>
      </x:c>
    </x:row>
    <x:row r="54">
      <x:c r="A54" s="58" t="n">
        <x:v>1894</x:v>
      </x:c>
      <x:c r="B54" s="47" t="n">
        <x:f>(People!B54+People!L54)/2</x:f>
        <x:v>6095085.474168379</x:v>
      </x:c>
      <x:c r="C54" s="63" t="n">
        <x:f>Paths!L54*IF($A54&gt;=1896,prod_factor,1)</x:f>
        <x:v>0.018</x:v>
      </x:c>
      <x:c r="D54" s="64" t="n">
        <x:f>IF(O53&gt;0,MIN(dev_cap,dev_return*'Debt &amp; cash'!N53/O53),0)</x:f>
        <x:v>0.005088033449519334</x:v>
      </x:c>
      <x:c r="E54" s="63" t="n">
        <x:f>C54+D54</x:f>
        <x:v>0.023088033449519332</x:v>
      </x:c>
      <x:c r="F54" s="47" t="n">
        <x:f>F53*(1+E54)</x:f>
        <x:v>503.6044040945838</x:v>
      </x:c>
      <x:c r="G54" s="65" t="n">
        <x:f>1-(1-Paths!M54)*IF($A54&gt;=1930,dep_severity,1)</x:f>
        <x:v>0.94</x:v>
      </x:c>
      <x:c r="H54" s="65" t="n">
        <x:f>IF($A54&gt;=1930,Paths!B$89+(Paths!B54-Paths!B$89)*slump_price,Paths!B54)</x:f>
        <x:v>0.6967</x:v>
      </x:c>
      <x:c r="I54" s="66" t="n">
        <x:f>Labour!AO54</x:f>
        <x:v>0.02965884427727749</x:v>
      </x:c>
      <x:c r="J54" s="47" t="n">
        <x:f>B54*F54*(1+I54)*G54*H54/1000000</x:f>
        <x:v>2069.837915303467</x:v>
      </x:c>
      <x:c r="K54" s="62" t="n">
        <x:f>Resources!O54</x:f>
        <x:v>52.557959999999994</x:v>
      </x:c>
      <x:c r="L54" s="47" t="n">
        <x:f>Labour!L54*gw_rel*J54/Labour!B54</x:f>
        <x:v>90.43658839997296</x:v>
      </x:c>
      <x:c r="M54" s="62" t="n">
        <x:f>Champions!AQ54</x:f>
        <x:v>77.63271996072321</x:v>
      </x:c>
      <x:c r="N54" s="47" t="n">
        <x:f>IF(Gulf!E54=1,Gulf!D54,0)</x:f>
        <x:v>0</x:v>
      </x:c>
      <x:c r="O54" s="47" t="n">
        <x:f>J54+K54+L54+M54+N54</x:f>
        <x:v>2290.4651836641633</x:v>
      </x:c>
      <x:c r="P54" s="47" t="n">
        <x:f>O54*1000000/(B54+People!V54+Labour!L54)</x:f>
        <x:v>364.6365130458162</x:v>
      </x:c>
      <x:c r="Q54" s="45" t="n">
        <x:v>202</x:v>
      </x:c>
      <x:c r="R54" s="67" t="n">
        <x:f>P54/Q54</x:f>
        <x:v>1.8051312527020602</x:v>
      </x:c>
      <x:c r="S54" s="47" t="n">
        <x:f>O54/H54</x:f>
        <x:v>3287.591766419066</x:v>
      </x:c>
    </x:row>
    <x:row r="55">
      <x:c r="A55" s="58" t="n">
        <x:v>1895</x:v>
      </x:c>
      <x:c r="B55" s="47" t="n">
        <x:f>(People!B55+People!L55)/2</x:f>
        <x:v>6374119.9165762225</x:v>
      </x:c>
      <x:c r="C55" s="63" t="n">
        <x:f>Paths!L55*IF($A55&gt;=1896,prod_factor,1)</x:f>
        <x:v>0.018</x:v>
      </x:c>
      <x:c r="D55" s="64" t="n">
        <x:f>IF(O54&gt;0,MIN(dev_cap,dev_return*'Debt &amp; cash'!N54/O54),0)</x:f>
        <x:v>0.004328589301766797</x:v>
      </x:c>
      <x:c r="E55" s="63" t="n">
        <x:f>C55+D55</x:f>
        <x:v>0.022328589301766795</x:v>
      </x:c>
      <x:c r="F55" s="47" t="n">
        <x:f>F54*(1+E55)</x:f>
        <x:v>514.8491800041728</x:v>
      </x:c>
      <x:c r="G55" s="65" t="n">
        <x:f>1-(1-Paths!M55)*IF($A55&gt;=1930,dep_severity,1)</x:f>
        <x:v>0.97</x:v>
      </x:c>
      <x:c r="H55" s="65" t="n">
        <x:f>IF($A55&gt;=1930,Paths!B$89+(Paths!B55-Paths!B$89)*slump_price,Paths!B55)</x:f>
        <x:v>0.6883</x:v>
      </x:c>
      <x:c r="I55" s="66" t="n">
        <x:f>Labour!AO55</x:f>
        <x:v>0.03427847069371788</x:v>
      </x:c>
      <x:c r="J55" s="47" t="n">
        <x:f>B55*F55*(1+I55)*G55*H55/1000000</x:f>
        <x:v>2266.142644248972</x:v>
      </x:c>
      <x:c r="K55" s="62" t="n">
        <x:f>Resources!O55</x:f>
        <x:v>53.9</x:v>
      </x:c>
      <x:c r="L55" s="47" t="n">
        <x:f>Labour!L55*gw_rel*J55/Labour!B55</x:f>
        <x:v>105.67531555429237</x:v>
      </x:c>
      <x:c r="M55" s="62" t="n">
        <x:f>Champions!AQ55</x:f>
        <x:v>86.70450556487398</x:v>
      </x:c>
      <x:c r="N55" s="47" t="n">
        <x:f>IF(Gulf!E55=1,Gulf!D55,0)</x:f>
        <x:v>0</x:v>
      </x:c>
      <x:c r="O55" s="47" t="n">
        <x:f>J55+K55+L55+M55+N55</x:f>
        <x:v>2512.4224653681385</x:v>
      </x:c>
      <x:c r="P55" s="47" t="n">
        <x:f>O55*1000000/(B55+People!V55+Labour!L55)</x:f>
        <x:v>381.7002230285115</x:v>
      </x:c>
      <x:c r="Q55" s="45" t="n">
        <x:v>200</x:v>
      </x:c>
      <x:c r="R55" s="67" t="n">
        <x:f>P55/Q55</x:f>
        <x:v>1.9085011151425575</x:v>
      </x:c>
      <x:c r="S55" s="47" t="n">
        <x:f>O55/H55</x:f>
        <x:v>3650.185188679556</x:v>
      </x:c>
    </x:row>
    <x:row r="56">
      <x:c r="A56" s="58" t="n">
        <x:v>1896</x:v>
      </x:c>
      <x:c r="B56" s="47" t="n">
        <x:f>(People!B56+People!L56)/2</x:f>
        <x:v>6665038.366134002</x:v>
      </x:c>
      <x:c r="C56" s="63" t="n">
        <x:f>Paths!L56*IF($A56&gt;=1896,prod_factor,1)</x:f>
        <x:v>0.015</x:v>
      </x:c>
      <x:c r="D56" s="64" t="n">
        <x:f>IF(O55&gt;0,MIN(dev_cap,dev_return*'Debt &amp; cash'!N55/O55),0)</x:f>
        <x:v>0.0003958615826604513</x:v>
      </x:c>
      <x:c r="E56" s="63" t="n">
        <x:f>C56+D56</x:f>
        <x:v>0.015395861582660451</x:v>
      </x:c>
      <x:c r="F56" s="47" t="n">
        <x:f>F55*(1+E56)</x:f>
        <x:v>522.7757267154633</x:v>
      </x:c>
      <x:c r="G56" s="65" t="n">
        <x:f>1-(1-Paths!M56)*IF($A56&gt;=1930,dep_severity,1)</x:f>
        <x:v>0.98</x:v>
      </x:c>
      <x:c r="H56" s="65" t="n">
        <x:f>IF($A56&gt;=1930,Paths!B$89+(Paths!B56-Paths!B$89)*slump_price,Paths!B56)</x:f>
        <x:v>0.68</x:v>
      </x:c>
      <x:c r="I56" s="66" t="n">
        <x:f>Labour!AO56</x:f>
        <x:v>0.039144046438189944</x:v>
      </x:c>
      <x:c r="J56" s="47" t="n">
        <x:f>B56*F56*(1+I56)*G56*H56/1000000</x:f>
        <x:v>2412.841590561025</x:v>
      </x:c>
      <x:c r="K56" s="62" t="n">
        <x:f>Resources!O56</x:f>
        <x:v>60.066509999999994</x:v>
      </x:c>
      <x:c r="L56" s="47" t="n">
        <x:f>Labour!L56*gw_rel*J56/Labour!B56</x:f>
        <x:v>118.52855340130353</x:v>
      </x:c>
      <x:c r="M56" s="62" t="n">
        <x:f>Champions!AQ56</x:f>
        <x:v>96.46840049857785</x:v>
      </x:c>
      <x:c r="N56" s="47" t="n">
        <x:f>IF(Gulf!E56=1,Gulf!D56,0)</x:f>
        <x:v>0</x:v>
      </x:c>
      <x:c r="O56" s="47" t="n">
        <x:f>J56+K56+L56+M56+N56</x:f>
        <x:v>2687.9050544609067</x:v>
      </x:c>
      <x:c r="P56" s="47" t="n">
        <x:f>O56*1000000/(B56+People!V56+Labour!L56)</x:f>
        <x:v>389.87760133884996</x:v>
      </x:c>
      <x:c r="Q56" s="45" t="n">
        <x:v>209</x:v>
      </x:c>
      <x:c r="R56" s="67" t="n">
        <x:f>P56/Q56</x:f>
        <x:v>1.8654430686069376</x:v>
      </x:c>
      <x:c r="S56" s="47" t="n">
        <x:f>O56/H56</x:f>
        <x:v>3952.801550677804</x:v>
      </x:c>
    </x:row>
    <x:row r="57">
      <x:c r="A57" s="58" t="n">
        <x:v>1897</x:v>
      </x:c>
      <x:c r="B57" s="47" t="n">
        <x:f>(People!B57+People!L57)/2</x:f>
        <x:v>6967831.781790005</x:v>
      </x:c>
      <x:c r="C57" s="63" t="n">
        <x:f>Paths!L57*IF($A57&gt;=1896,prod_factor,1)</x:f>
        <x:v>0.015</x:v>
      </x:c>
      <x:c r="D57" s="64" t="n">
        <x:f>IF(O56&gt;0,MIN(dev_cap,dev_return*'Debt &amp; cash'!N56/O56),0)</x:f>
        <x:v>0.0050203381362873</x:v>
      </x:c>
      <x:c r="E57" s="63" t="n">
        <x:f>C57+D57</x:f>
        <x:v>0.0200203381362873</x:v>
      </x:c>
      <x:c r="F57" s="47" t="n">
        <x:f>F56*(1+E57)</x:f>
        <x:v>533.2418735337502</x:v>
      </x:c>
      <x:c r="G57" s="65" t="n">
        <x:f>1-(1-Paths!M57)*IF($A57&gt;=1930,dep_severity,1)</x:f>
        <x:v>1</x:v>
      </x:c>
      <x:c r="H57" s="65" t="n">
        <x:f>IF($A57&gt;=1930,Paths!B$89+(Paths!B57-Paths!B$89)*slump_price,Paths!B57)</x:f>
        <x:v>0.7</x:v>
      </x:c>
      <x:c r="I57" s="66" t="n">
        <x:f>Labour!AO57</x:f>
        <x:v>0.044457110723859126</x:v>
      </x:c>
      <x:c r="J57" s="47" t="n">
        <x:f>B57*F57*(1+I57)*G57*H57/1000000</x:f>
        <x:v>2716.5052827263903</x:v>
      </x:c>
      <x:c r="K57" s="62" t="n">
        <x:f>Resources!O57</x:f>
        <x:v>66.19018</x:v>
      </x:c>
      <x:c r="L57" s="47" t="n">
        <x:f>Labour!L57*gw_rel*J57/Labour!B57</x:f>
        <x:v>142.40799892110948</x:v>
      </x:c>
      <x:c r="M57" s="62" t="n">
        <x:f>Champions!AQ57</x:f>
        <x:v>107.51476826747113</x:v>
      </x:c>
      <x:c r="N57" s="47" t="n">
        <x:f>IF(Gulf!E57=1,Gulf!D57,0)</x:f>
        <x:v>0</x:v>
      </x:c>
      <x:c r="O57" s="47" t="n">
        <x:f>J57+K57+L57+M57+N57</x:f>
        <x:v>3032.618229914971</x:v>
      </x:c>
      <x:c r="P57" s="47" t="n">
        <x:f>O57*1000000/(B57+People!V57+Labour!L57)</x:f>
        <x:v>419.82524478228567</x:v>
      </x:c>
      <x:c r="Q57" s="45" t="n">
        <x:v>218</x:v>
      </x:c>
      <x:c r="R57" s="67" t="n">
        <x:f>P57/Q57</x:f>
        <x:v>1.9258038751480995</x:v>
      </x:c>
      <x:c r="S57" s="47" t="n">
        <x:f>O57/H57</x:f>
        <x:v>4332.311757021387</x:v>
      </x:c>
    </x:row>
    <x:row r="58">
      <x:c r="A58" s="58" t="n">
        <x:v>1898</x:v>
      </x:c>
      <x:c r="B58" s="47" t="n">
        <x:f>(People!B58+People!L58)/2</x:f>
        <x:v>7279059.1109515745</x:v>
      </x:c>
      <x:c r="C58" s="63" t="n">
        <x:f>Paths!L58*IF($A58&gt;=1896,prod_factor,1)</x:f>
        <x:v>0.015</x:v>
      </x:c>
      <x:c r="D58" s="64" t="n">
        <x:f>IF(O57&gt;0,MIN(dev_cap,dev_return*'Debt &amp; cash'!N57/O57),0)</x:f>
        <x:v>0.0033576547178281405</x:v>
      </x:c>
      <x:c r="E58" s="63" t="n">
        <x:f>C58+D58</x:f>
        <x:v>0.018357654717828138</x:v>
      </x:c>
      <x:c r="F58" s="47" t="n">
        <x:f>F57*(1+E58)</x:f>
        <x:v>543.0309437291705</x:v>
      </x:c>
      <x:c r="G58" s="65" t="n">
        <x:f>1-(1-Paths!M58)*IF($A58&gt;=1930,dep_severity,1)</x:f>
        <x:v>1</x:v>
      </x:c>
      <x:c r="H58" s="65" t="n">
        <x:f>IF($A58&gt;=1930,Paths!B$89+(Paths!B58-Paths!B$89)*slump_price,Paths!B58)</x:f>
        <x:v>0.72</x:v>
      </x:c>
      <x:c r="I58" s="66" t="n">
        <x:f>Labour!AO58</x:f>
        <x:v>0.04965900774119973</x:v>
      </x:c>
      <x:c r="J58" s="47" t="n">
        <x:f>B58*F58*(1+I58)*G58*H58/1000000</x:f>
        <x:v>2987.3118216773605</x:v>
      </x:c>
      <x:c r="K58" s="62" t="n">
        <x:f>Resources!O58</x:f>
        <x:v>72.282</x:v>
      </x:c>
      <x:c r="L58" s="47" t="n">
        <x:f>Labour!L58*gw_rel*J58/Labour!B58</x:f>
        <x:v>161.9409976145679</x:v>
      </x:c>
      <x:c r="M58" s="62" t="n">
        <x:f>Champions!AQ58</x:f>
        <x:v>117.091188321748</x:v>
      </x:c>
      <x:c r="N58" s="47" t="n">
        <x:f>IF(Gulf!E58=1,Gulf!D58,0)</x:f>
        <x:v>0</x:v>
      </x:c>
      <x:c r="O58" s="47" t="n">
        <x:f>J58+K58+L58+M58+N58</x:f>
        <x:v>3338.626007613677</x:v>
      </x:c>
      <x:c r="P58" s="47" t="n">
        <x:f>O58*1000000/(B58+People!V58+Labour!L58)</x:f>
        <x:v>441.893347338501</x:v>
      </x:c>
      <x:c r="Q58" s="45" t="n">
        <x:v>228</x:v>
      </x:c>
      <x:c r="R58" s="67" t="n">
        <x:f>P58/Q58</x:f>
        <x:v>1.938128716396934</x:v>
      </x:c>
      <x:c r="S58" s="47" t="n">
        <x:f>O58/H58</x:f>
        <x:v>4636.980566130107</x:v>
      </x:c>
    </x:row>
    <x:row r="59">
      <x:c r="A59" s="58" t="n">
        <x:v>1899</x:v>
      </x:c>
      <x:c r="B59" s="47" t="n">
        <x:f>(People!B59+People!L59)/2</x:f>
        <x:v>7600051.420682292</x:v>
      </x:c>
      <x:c r="C59" s="63" t="n">
        <x:f>Paths!L59*IF($A59&gt;=1896,prod_factor,1)</x:f>
        <x:v>0.015</x:v>
      </x:c>
      <x:c r="D59" s="64" t="n">
        <x:f>IF(O58&gt;0,MIN(dev_cap,dev_return*'Debt &amp; cash'!N58/O58),0)</x:f>
        <x:v>0.0025424026816334684</x:v>
      </x:c>
      <x:c r="E59" s="63" t="n">
        <x:f>C59+D59</x:f>
        <x:v>0.017542402681633467</x:v>
      </x:c>
      <x:c r="F59" s="47" t="n">
        <x:f>F58*(1+E59)</x:f>
        <x:v>552.5570112126551</x:v>
      </x:c>
      <x:c r="G59" s="65" t="n">
        <x:f>1-(1-Paths!M59)*IF($A59&gt;=1930,dep_severity,1)</x:f>
        <x:v>1</x:v>
      </x:c>
      <x:c r="H59" s="65" t="n">
        <x:f>IF($A59&gt;=1930,Paths!B$89+(Paths!B59-Paths!B$89)*slump_price,Paths!B59)</x:f>
        <x:v>0.74</x:v>
      </x:c>
      <x:c r="I59" s="66" t="n">
        <x:f>Labour!AO59</x:f>
        <x:v>0.05446668640324524</x:v>
      </x:c>
      <x:c r="J59" s="47" t="n">
        <x:f>B59*F59*(1+I59)*G59*H59/1000000</x:f>
        <x:v>3276.86242147017</x:v>
      </x:c>
      <x:c r="K59" s="62" t="n">
        <x:f>Resources!O59</x:f>
        <x:v>80.878</x:v>
      </x:c>
      <x:c r="L59" s="47" t="n">
        <x:f>Labour!L59*gw_rel*J59/Labour!B59</x:f>
        <x:v>180.73924508732728</x:v>
      </x:c>
      <x:c r="M59" s="62" t="n">
        <x:f>Champions!AQ59</x:f>
        <x:v>127.360577543432</x:v>
      </x:c>
      <x:c r="N59" s="47" t="n">
        <x:f>IF(Gulf!E59=1,Gulf!D59,0)</x:f>
        <x:v>0</x:v>
      </x:c>
      <x:c r="O59" s="47" t="n">
        <x:f>J59+K59+L59+M59+N59</x:f>
        <x:v>3665.8402441009293</x:v>
      </x:c>
      <x:c r="P59" s="47" t="n">
        <x:f>O59*1000000/(B59+People!V59+Labour!L59)</x:f>
        <x:v>464.4134438756709</x:v>
      </x:c>
      <x:c r="Q59" s="45" t="n">
        <x:v>237</x:v>
      </x:c>
      <x:c r="R59" s="67" t="n">
        <x:f>P59/Q59</x:f>
        <x:v>1.9595503960998772</x:v>
      </x:c>
      <x:c r="S59" s="47" t="n">
        <x:f>O59/H59</x:f>
        <x:v>4953.838167703959</x:v>
      </x:c>
    </x:row>
    <x:row r="60">
      <x:c r="A60" s="58" t="n">
        <x:v>1900</x:v>
      </x:c>
      <x:c r="B60" s="47" t="n">
        <x:f>(People!B60+People!L60)/2</x:f>
        <x:v>7955594.7381262295</x:v>
      </x:c>
      <x:c r="C60" s="63" t="n">
        <x:f>Paths!L60*IF($A60&gt;=1896,prod_factor,1)</x:f>
        <x:v>0.015</x:v>
      </x:c>
      <x:c r="D60" s="64" t="n">
        <x:f>IF(O59&gt;0,MIN(dev_cap,dev_return*'Debt &amp; cash'!N59/O59),0)</x:f>
        <x:v>0.002825487831425065</x:v>
      </x:c>
      <x:c r="E60" s="63" t="n">
        <x:f>C60+D60</x:f>
        <x:v>0.017825487831425065</x:v>
      </x:c>
      <x:c r="F60" s="47" t="n">
        <x:f>F59*(1+E60)</x:f>
        <x:v>562.4066094921949</x:v>
      </x:c>
      <x:c r="G60" s="65" t="n">
        <x:f>1-(1-Paths!M60)*IF($A60&gt;=1930,dep_severity,1)</x:f>
        <x:v>1</x:v>
      </x:c>
      <x:c r="H60" s="65" t="n">
        <x:f>IF($A60&gt;=1930,Paths!B$89+(Paths!B60-Paths!B$89)*slump_price,Paths!B60)</x:f>
        <x:v>0.76</x:v>
      </x:c>
      <x:c r="I60" s="66" t="n">
        <x:f>Labour!AO60</x:f>
        <x:v>0.059046442491428375</x:v>
      </x:c>
      <x:c r="J60" s="47" t="n">
        <x:f>B60*F60*(1+I60)*G60*H60/1000000</x:f>
        <x:v>3601.236686663476</x:v>
      </x:c>
      <x:c r="K60" s="62" t="n">
        <x:f>Resources!O60</x:f>
        <x:v>89.425</x:v>
      </x:c>
      <x:c r="L60" s="47" t="n">
        <x:f>Labour!L60*gw_rel*J60/Labour!B60</x:f>
        <x:v>199.77261992999115</x:v>
      </x:c>
      <x:c r="M60" s="62" t="n">
        <x:f>Champions!AQ60</x:f>
        <x:v>140.55873541926647</x:v>
      </x:c>
      <x:c r="N60" s="47" t="n">
        <x:f>IF(Gulf!E60=1,Gulf!D60,0)</x:f>
        <x:v>0</x:v>
      </x:c>
      <x:c r="O60" s="47" t="n">
        <x:f>J60+K60+L60+M60+N60</x:f>
        <x:v>4030.993042012734</x:v>
      </x:c>
      <x:c r="P60" s="47" t="n">
        <x:f>O60*1000000/(B60+People!V60+Labour!L60)</x:f>
        <x:v>487.74671705749125</x:v>
      </x:c>
      <x:c r="Q60" s="45" t="n">
        <x:v>246</x:v>
      </x:c>
      <x:c r="R60" s="67" t="n">
        <x:f>P60/Q60</x:f>
        <x:v>1.9827102319410213</x:v>
      </x:c>
      <x:c r="S60" s="47" t="n">
        <x:f>O60/H60</x:f>
        <x:v>5303.93821317465</x:v>
      </x:c>
    </x:row>
    <x:row r="61">
      <x:c r="A61" s="58" t="n">
        <x:v>1901</x:v>
      </x:c>
      <x:c r="B61" s="47" t="n">
        <x:f>(People!B61+People!L61)/2</x:f>
        <x:v>8356976.4801957775</x:v>
      </x:c>
      <x:c r="C61" s="63" t="n">
        <x:f>Paths!L61*IF($A61&gt;=1896,prod_factor,1)</x:f>
        <x:v>0.015</x:v>
      </x:c>
      <x:c r="D61" s="64" t="n">
        <x:f>IF(O60&gt;0,MIN(dev_cap,dev_return*'Debt &amp; cash'!N60/O60),0)</x:f>
        <x:v>0.004799682407612278</x:v>
      </x:c>
      <x:c r="E61" s="63" t="n">
        <x:f>C61+D61</x:f>
        <x:v>0.019799682407612276</x:v>
      </x:c>
      <x:c r="F61" s="47" t="n">
        <x:f>F60*(1+E61)</x:f>
        <x:v>573.5420817440823</x:v>
      </x:c>
      <x:c r="G61" s="65" t="n">
        <x:f>1-(1-Paths!M61)*IF($A61&gt;=1930,dep_severity,1)</x:f>
        <x:v>1</x:v>
      </x:c>
      <x:c r="H61" s="65" t="n">
        <x:f>IF($A61&gt;=1930,Paths!B$89+(Paths!B61-Paths!B$89)*slump_price,Paths!B61)</x:f>
        <x:v>0.772</x:v>
      </x:c>
      <x:c r="I61" s="66" t="n">
        <x:f>Labour!AO61</x:f>
        <x:v>0.06266243564513205</x:v>
      </x:c>
      <x:c r="J61" s="47" t="n">
        <x:f>B61*F61*(1+I61)*G61*H61/1000000</x:f>
        <x:v>3932.1230266693137</x:v>
      </x:c>
      <x:c r="K61" s="62" t="n">
        <x:f>Resources!O61</x:f>
        <x:v>97.08999999999999</x:v>
      </x:c>
      <x:c r="L61" s="47" t="n">
        <x:f>Labour!L61*gw_rel*J61/Labour!B61</x:f>
        <x:v>218.15752439595377</x:v>
      </x:c>
      <x:c r="M61" s="62" t="n">
        <x:f>Champions!AQ61</x:f>
        <x:v>161.19569008562547</x:v>
      </x:c>
      <x:c r="N61" s="47" t="n">
        <x:f>IF(Gulf!E61=1,Gulf!D61,0)</x:f>
        <x:v>0</x:v>
      </x:c>
      <x:c r="O61" s="47" t="n">
        <x:f>J61+K61+L61+M61+N61</x:f>
        <x:v>4408.566241150894</x:v>
      </x:c>
      <x:c r="P61" s="47" t="n">
        <x:f>O61*1000000/(B61+People!V61+Labour!L61)</x:f>
        <x:v>507.8096516155475</x:v>
      </x:c>
      <x:c r="Q61" s="45" t="n">
        <x:v>255</x:v>
      </x:c>
      <x:c r="R61" s="67" t="n">
        <x:f>P61/Q61</x:f>
        <x:v>1.9914103984923432</x:v>
      </x:c>
      <x:c r="S61" s="47" t="n">
        <x:f>O61/H61</x:f>
        <x:v>5710.578032578878</x:v>
      </x:c>
    </x:row>
    <x:row r="62">
      <x:c r="A62" s="58" t="n">
        <x:v>1902</x:v>
      </x:c>
      <x:c r="B62" s="47" t="n">
        <x:f>(People!B62+People!L62)/2</x:f>
        <x:v>8792757.206926618</x:v>
      </x:c>
      <x:c r="C62" s="63" t="n">
        <x:f>Paths!L62*IF($A62&gt;=1896,prod_factor,1)</x:f>
        <x:v>0.015</x:v>
      </x:c>
      <x:c r="D62" s="64" t="n">
        <x:f>IF(O61&gt;0,MIN(dev_cap,dev_return*'Debt &amp; cash'!N61/O61),0)</x:f>
        <x:v>0.006161681151070817</x:v>
      </x:c>
      <x:c r="E62" s="63" t="n">
        <x:f>C62+D62</x:f>
        <x:v>0.021161681151070817</x:v>
      </x:c>
      <x:c r="F62" s="47" t="n">
        <x:f>F61*(1+E62)</x:f>
        <x:v>585.679196404672</x:v>
      </x:c>
      <x:c r="G62" s="65" t="n">
        <x:f>1-(1-Paths!M62)*IF($A62&gt;=1930,dep_severity,1)</x:f>
        <x:v>1</x:v>
      </x:c>
      <x:c r="H62" s="65" t="n">
        <x:f>IF($A62&gt;=1930,Paths!B$89+(Paths!B62-Paths!B$89)*slump_price,Paths!B62)</x:f>
        <x:v>0.784</x:v>
      </x:c>
      <x:c r="I62" s="66" t="n">
        <x:f>Labour!AO62</x:f>
        <x:v>0.06534208485758891</x:v>
      </x:c>
      <x:c r="J62" s="47" t="n">
        <x:f>B62*F62*(1+I62)*G62*H62/1000000</x:f>
        <x:v>4301.203845580809</x:v>
      </x:c>
      <x:c r="K62" s="62" t="n">
        <x:f>Resources!O62</x:f>
        <x:v>104.54499999999999</x:v>
      </x:c>
      <x:c r="L62" s="47" t="n">
        <x:f>Labour!L62*gw_rel*J62/Labour!B62</x:f>
        <x:v>239.75054225199182</x:v>
      </x:c>
      <x:c r="M62" s="62" t="n">
        <x:f>Champions!AQ62</x:f>
        <x:v>182.5819757101284</x:v>
      </x:c>
      <x:c r="N62" s="47" t="n">
        <x:f>IF(Gulf!E62=1,Gulf!D62,0)</x:f>
        <x:v>0</x:v>
      </x:c>
      <x:c r="O62" s="47" t="n">
        <x:f>J62+K62+L62+M62+N62</x:f>
        <x:v>4828.081363542929</x:v>
      </x:c>
      <x:c r="P62" s="47" t="n">
        <x:f>O62*1000000/(B62+People!V62+Labour!L62)</x:f>
        <x:v>528.4772905331782</x:v>
      </x:c>
      <x:c r="Q62" s="45" t="n">
        <x:v>264</x:v>
      </x:c>
      <x:c r="R62" s="67" t="n">
        <x:f>P62/Q62</x:f>
        <x:v>2.001807918686281</x:v>
      </x:c>
      <x:c r="S62" s="47" t="n">
        <x:f>O62/H62</x:f>
        <x:v>6158.267045335368</x:v>
      </x:c>
    </x:row>
    <x:row r="63">
      <x:c r="A63" s="58" t="n">
        <x:v>1903</x:v>
      </x:c>
      <x:c r="B63" s="47" t="n">
        <x:f>(People!B63+People!L63)/2</x:f>
        <x:v>9262915.94164766</x:v>
      </x:c>
      <x:c r="C63" s="63" t="n">
        <x:f>Paths!L63*IF($A63&gt;=1896,prod_factor,1)</x:f>
        <x:v>0.015</x:v>
      </x:c>
      <x:c r="D63" s="64" t="n">
        <x:f>IF(O62&gt;0,MIN(dev_cap,dev_return*'Debt &amp; cash'!N62/O62),0)</x:f>
        <x:v>0.0075077543080278196</x:v>
      </x:c>
      <x:c r="E63" s="63" t="n">
        <x:f>C63+D63</x:f>
        <x:v>0.02250775430802782</x:v>
      </x:c>
      <x:c r="F63" s="47" t="n">
        <x:f>F62*(1+E63)</x:f>
        <x:v>598.8615198606716</x:v>
      </x:c>
      <x:c r="G63" s="65" t="n">
        <x:f>1-(1-Paths!M63)*IF($A63&gt;=1930,dep_severity,1)</x:f>
        <x:v>1</x:v>
      </x:c>
      <x:c r="H63" s="65" t="n">
        <x:f>IF($A63&gt;=1930,Paths!B$89+(Paths!B63-Paths!B$89)*slump_price,Paths!B63)</x:f>
        <x:v>0.796</x:v>
      </x:c>
      <x:c r="I63" s="66" t="n">
        <x:f>Labour!AO63</x:f>
        <x:v>0.06734091592752275</x:v>
      </x:c>
      <x:c r="J63" s="47" t="n">
        <x:f>B63*F63*(1+I63)*G63*H63/1000000</x:f>
        <x:v>4712.923138679979</x:v>
      </x:c>
      <x:c r="K63" s="62" t="n">
        <x:f>Resources!O63</x:f>
        <x:v>111.44000000000001</x:v>
      </x:c>
      <x:c r="L63" s="47" t="n">
        <x:f>Labour!L63*gw_rel*J63/Labour!B63</x:f>
        <x:v>264.2442259452574</x:v>
      </x:c>
      <x:c r="M63" s="62" t="n">
        <x:f>Champions!AQ63</x:f>
        <x:v>204.29725514495598</x:v>
      </x:c>
      <x:c r="N63" s="47" t="n">
        <x:f>IF(Gulf!E63=1,Gulf!D63,0)</x:f>
        <x:v>0</x:v>
      </x:c>
      <x:c r="O63" s="47" t="n">
        <x:f>J63+K63+L63+M63+N63</x:f>
        <x:v>5292.904619770192</x:v>
      </x:c>
      <x:c r="P63" s="47" t="n">
        <x:f>O63*1000000/(B63+People!V63+Labour!L63)</x:f>
        <x:v>549.8285810857282</x:v>
      </x:c>
      <x:c r="Q63" s="45" t="n">
        <x:v>272</x:v>
      </x:c>
      <x:c r="R63" s="67" t="n">
        <x:f>P63/Q63</x:f>
        <x:v>2.0214286069328242</x:v>
      </x:c>
      <x:c r="S63" s="47" t="n">
        <x:f>O63/H63</x:f>
        <x:v>6649.377663027879</x:v>
      </x:c>
    </x:row>
    <x:row r="64">
      <x:c r="A64" s="58" t="n">
        <x:v>1904</x:v>
      </x:c>
      <x:c r="B64" s="47" t="n">
        <x:f>(People!B64+People!L64)/2</x:f>
        <x:v>9762666.792333521</x:v>
      </x:c>
      <x:c r="C64" s="63" t="n">
        <x:f>Paths!L64*IF($A64&gt;=1896,prod_factor,1)</x:f>
        <x:v>0.015</x:v>
      </x:c>
      <x:c r="D64" s="64" t="n">
        <x:f>IF(O63&gt;0,MIN(dev_cap,dev_return*'Debt &amp; cash'!N63/O63),0)</x:f>
        <x:v>0.0076641558462462655</x:v>
      </x:c>
      <x:c r="E64" s="63" t="n">
        <x:f>C64+D64</x:f>
        <x:v>0.022664155846246266</x:v>
      </x:c>
      <x:c r="F64" s="47" t="n">
        <x:f>F63*(1+E64)</x:f>
        <x:v>612.4342106771138</x:v>
      </x:c>
      <x:c r="G64" s="65" t="n">
        <x:f>1-(1-Paths!M64)*IF($A64&gt;=1930,dep_severity,1)</x:f>
        <x:v>1</x:v>
      </x:c>
      <x:c r="H64" s="65" t="n">
        <x:f>IF($A64&gt;=1930,Paths!B$89+(Paths!B64-Paths!B$89)*slump_price,Paths!B64)</x:f>
        <x:v>0.808</x:v>
      </x:c>
      <x:c r="I64" s="66" t="n">
        <x:f>Labour!AO64</x:f>
        <x:v>0.06875445174109499</x:v>
      </x:c>
      <x:c r="J64" s="47" t="n">
        <x:f>B64*F64*(1+I64)*G64*H64/1000000</x:f>
        <x:v>5163.179297704217</x:v>
      </x:c>
      <x:c r="K64" s="62" t="n">
        <x:f>Resources!O64</x:f>
        <x:v>118.12499999999997</x:v>
      </x:c>
      <x:c r="L64" s="47" t="n">
        <x:f>Labour!L64*gw_rel*J64/Labour!B64</x:f>
        <x:v>291.11196824094486</x:v>
      </x:c>
      <x:c r="M64" s="62" t="n">
        <x:f>Champions!AQ64</x:f>
        <x:v>228.04517332688766</x:v>
      </x:c>
      <x:c r="N64" s="47" t="n">
        <x:f>IF(Gulf!E64=1,Gulf!D64,0)</x:f>
        <x:v>0</x:v>
      </x:c>
      <x:c r="O64" s="47" t="n">
        <x:f>J64+K64+L64+M64+N64</x:f>
        <x:v>5800.461439272049</x:v>
      </x:c>
      <x:c r="P64" s="47" t="n">
        <x:f>O64*1000000/(B64+People!V64+Labour!L64)</x:f>
        <x:v>571.5880144813622</x:v>
      </x:c>
      <x:c r="Q64" s="45" t="n">
        <x:v>281</x:v>
      </x:c>
      <x:c r="R64" s="67" t="n">
        <x:f>P64/Q64</x:f>
        <x:v>2.034121047976378</x:v>
      </x:c>
      <x:c r="S64" s="47" t="n">
        <x:f>O64/H64</x:f>
        <x:v>7178.788909990159</x:v>
      </x:c>
    </x:row>
    <x:row r="65">
      <x:c r="A65" s="58" t="n">
        <x:v>1905</x:v>
      </x:c>
      <x:c r="B65" s="47" t="n">
        <x:f>(People!B65+People!L65)/2</x:f>
        <x:v>10289023.880535562</x:v>
      </x:c>
      <x:c r="C65" s="63" t="n">
        <x:f>Paths!L65*IF($A65&gt;=1896,prod_factor,1)</x:f>
        <x:v>0.015</x:v>
      </x:c>
      <x:c r="D65" s="64" t="n">
        <x:f>IF(O64&gt;0,MIN(dev_cap,dev_return*'Debt &amp; cash'!N64/O64),0)</x:f>
        <x:v>0.006101341363117465</x:v>
      </x:c>
      <x:c r="E65" s="63" t="n">
        <x:f>C65+D65</x:f>
        <x:v>0.021101341363117462</x:v>
      </x:c>
      <x:c r="F65" s="47" t="n">
        <x:f>F64*(1+E65)</x:f>
        <x:v>625.3573940190629</x:v>
      </x:c>
      <x:c r="G65" s="65" t="n">
        <x:f>1-(1-Paths!M65)*IF($A65&gt;=1930,dep_severity,1)</x:f>
        <x:v>1</x:v>
      </x:c>
      <x:c r="H65" s="65" t="n">
        <x:f>IF($A65&gt;=1930,Paths!B$89+(Paths!B65-Paths!B$89)*slump_price,Paths!B65)</x:f>
        <x:v>0.82</x:v>
      </x:c>
      <x:c r="I65" s="66" t="n">
        <x:f>Labour!AO65</x:f>
        <x:v>0.069891939053675</x:v>
      </x:c>
      <x:c r="J65" s="47" t="n">
        <x:f>B65*F65*(1+I65)*G65*H65/1000000</x:f>
        <x:v>5644.899732312287</x:v>
      </x:c>
      <x:c r="K65" s="62" t="n">
        <x:f>Resources!O65</x:f>
        <x:v>124.24999999999999</x:v>
      </x:c>
      <x:c r="L65" s="47" t="n">
        <x:f>Labour!L65*gw_rel*J65/Labour!B65</x:f>
        <x:v>320.0866527953906</x:v>
      </x:c>
      <x:c r="M65" s="62" t="n">
        <x:f>Champions!AQ65</x:f>
        <x:v>248.93500467242663</x:v>
      </x:c>
      <x:c r="N65" s="47" t="n">
        <x:f>IF(Gulf!E65=1,Gulf!D65,0)</x:f>
        <x:v>0</x:v>
      </x:c>
      <x:c r="O65" s="47" t="n">
        <x:f>J65+K65+L65+M65+N65</x:f>
        <x:v>6338.171389780104</x:v>
      </x:c>
      <x:c r="P65" s="47" t="n">
        <x:f>O65*1000000/(B65+People!V65+Labour!L65)</x:f>
        <x:v>592.4952285868463</x:v>
      </x:c>
      <x:c r="Q65" s="45" t="n">
        <x:v>290</x:v>
      </x:c>
      <x:c r="R65" s="67" t="n">
        <x:f>P65/Q65</x:f>
        <x:v>2.0430869951270565</x:v>
      </x:c>
      <x:c r="S65" s="47" t="n">
        <x:f>O65/H65</x:f>
        <x:v>7729.477304609883</x:v>
      </x:c>
    </x:row>
    <x:row r="66">
      <x:c r="A66" s="58" t="n">
        <x:v>1906</x:v>
      </x:c>
      <x:c r="B66" s="47" t="n">
        <x:f>(People!B66+People!L66)/2</x:f>
        <x:v>10839860.857955817</x:v>
      </x:c>
      <x:c r="C66" s="63" t="n">
        <x:f>Paths!L66*IF($A66&gt;=1896,prod_factor,1)</x:f>
        <x:v>0.015</x:v>
      </x:c>
      <x:c r="D66" s="64" t="n">
        <x:f>IF(O65&gt;0,MIN(dev_cap,dev_return*'Debt &amp; cash'!N65/O65),0)</x:f>
        <x:v>0.006061807721588876</x:v>
      </x:c>
      <x:c r="E66" s="63" t="n">
        <x:f>C66+D66</x:f>
        <x:v>0.021061807721588874</x:v>
      </x:c>
      <x:c r="F66" s="47" t="n">
        <x:f>F65*(1+E66)</x:f>
        <x:v>638.5285512091664</x:v>
      </x:c>
      <x:c r="G66" s="65" t="n">
        <x:f>1-(1-Paths!M66)*IF($A66&gt;=1930,dep_severity,1)</x:f>
        <x:v>1</x:v>
      </x:c>
      <x:c r="H66" s="65" t="n">
        <x:f>IF($A66&gt;=1930,Paths!B$89+(Paths!B66-Paths!B$89)*slump_price,Paths!B66)</x:f>
        <x:v>0.844</x:v>
      </x:c>
      <x:c r="I66" s="66" t="n">
        <x:f>Labour!AO66</x:f>
        <x:v>0.07089093288355365</x:v>
      </x:c>
      <x:c r="J66" s="47" t="n">
        <x:f>B66*F66*(1+I66)*G66*H66/1000000</x:f>
        <x:v>6255.927640057842</x:v>
      </x:c>
      <x:c r="K66" s="62" t="n">
        <x:f>Resources!O66</x:f>
        <x:v>136.5</x:v>
      </x:c>
      <x:c r="L66" s="47" t="n">
        <x:f>Labour!L66*gw_rel*J66/Labour!B66</x:f>
        <x:v>355.92379346984364</x:v>
      </x:c>
      <x:c r="M66" s="62" t="n">
        <x:f>Champions!AQ66</x:f>
        <x:v>268.80134536144647</x:v>
      </x:c>
      <x:c r="N66" s="47" t="n">
        <x:f>IF(Gulf!E66=1,Gulf!D66,0)</x:f>
        <x:v>0</x:v>
      </x:c>
      <x:c r="O66" s="47" t="n">
        <x:f>J66+K66+L66+M66+N66</x:f>
        <x:v>7017.152778889133</x:v>
      </x:c>
      <x:c r="P66" s="47" t="n">
        <x:f>O66*1000000/(B66+People!V66+Labour!L66)</x:f>
        <x:v>622.5535017598587</x:v>
      </x:c>
      <x:c r="Q66" s="45" t="n">
        <x:v>305</x:v>
      </x:c>
      <x:c r="R66" s="67" t="n">
        <x:f>P66/Q66</x:f>
        <x:v>2.041159022163471</x:v>
      </x:c>
      <x:c r="S66" s="47" t="n">
        <x:f>O66/H66</x:f>
        <x:v>8314.16206029518</x:v>
      </x:c>
    </x:row>
    <x:row r="67">
      <x:c r="A67" s="58" t="n">
        <x:v>1907</x:v>
      </x:c>
      <x:c r="B67" s="47" t="n">
        <x:f>(People!B67+People!L67)/2</x:f>
        <x:v>11412702.119730044</x:v>
      </x:c>
      <x:c r="C67" s="63" t="n">
        <x:f>Paths!L67*IF($A67&gt;=1896,prod_factor,1)</x:f>
        <x:v>0.015</x:v>
      </x:c>
      <x:c r="D67" s="64" t="n">
        <x:f>IF(O66&gt;0,MIN(dev_cap,dev_return*'Debt &amp; cash'!N66/O66),0)</x:f>
        <x:v>0.007469546565045112</x:v>
      </x:c>
      <x:c r="E67" s="63" t="n">
        <x:f>C67+D67</x:f>
        <x:v>0.02246954656504511</x:v>
      </x:c>
      <x:c r="F67" s="47" t="n">
        <x:f>F66*(1+E67)</x:f>
        <x:v>652.8759982236716</x:v>
      </x:c>
      <x:c r="G67" s="65" t="n">
        <x:f>1-(1-Paths!M67)*IF($A67&gt;=1930,dep_severity,1)</x:f>
        <x:v>0.985</x:v>
      </x:c>
      <x:c r="H67" s="65" t="n">
        <x:f>IF($A67&gt;=1930,Paths!B$89+(Paths!B67-Paths!B$89)*slump_price,Paths!B67)</x:f>
        <x:v>0.868</x:v>
      </x:c>
      <x:c r="I67" s="66" t="n">
        <x:f>Labour!AO67</x:f>
        <x:v>0.0718433841740861</x:v>
      </x:c>
      <x:c r="J67" s="47" t="n">
        <x:f>B67*F67*(1+I67)*G67*H67/1000000</x:f>
        <x:v>6828.203757004919</x:v>
      </x:c>
      <x:c r="K67" s="62" t="n">
        <x:f>Resources!O67</x:f>
        <x:v>143.01</x:v>
      </x:c>
      <x:c r="L67" s="47" t="n">
        <x:f>Labour!L67*gw_rel*J67/Labour!B67</x:f>
        <x:v>378.7940242533803</x:v>
      </x:c>
      <x:c r="M67" s="62" t="n">
        <x:f>Champions!AQ67</x:f>
        <x:v>293.8707885542929</x:v>
      </x:c>
      <x:c r="N67" s="47" t="n">
        <x:f>IF(Gulf!E67=1,Gulf!D67,0)</x:f>
        <x:v>0</x:v>
      </x:c>
      <x:c r="O67" s="47" t="n">
        <x:f>J67+K67+L67+M67+N67</x:f>
        <x:v>7643.878569812592</x:v>
      </x:c>
      <x:c r="P67" s="47" t="n">
        <x:f>O67*1000000/(B67+People!V67+Labour!L67)</x:f>
        <x:v>644.7328430298513</x:v>
      </x:c>
      <x:c r="Q67" s="45" t="n">
        <x:v>319</x:v>
      </x:c>
      <x:c r="R67" s="67" t="n">
        <x:f>P67/Q67</x:f>
        <x:v>2.0211060910026686</x:v>
      </x:c>
      <x:c r="S67" s="47" t="n">
        <x:f>O67/H67</x:f>
        <x:v>8806.311716373953</x:v>
      </x:c>
    </x:row>
    <x:row r="68">
      <x:c r="A68" s="58" t="n">
        <x:v>1908</x:v>
      </x:c>
      <x:c r="B68" s="47" t="n">
        <x:f>(People!B68+People!L68)/2</x:f>
        <x:v>11969751.269618101</x:v>
      </x:c>
      <x:c r="C68" s="63" t="n">
        <x:f>Paths!L68*IF($A68&gt;=1896,prod_factor,1)</x:f>
        <x:v>0.015</x:v>
      </x:c>
      <x:c r="D68" s="64" t="n">
        <x:f>IF(O67&gt;0,MIN(dev_cap,dev_return*'Debt &amp; cash'!N67/O67),0)</x:f>
        <x:v>0.0072877544525764585</x:v>
      </x:c>
      <x:c r="E68" s="63" t="n">
        <x:f>C68+D68</x:f>
        <x:v>0.02228775445257646</x:v>
      </x:c>
      <x:c r="F68" s="47" t="n">
        <x:f>F67*(1+E68)</x:f>
        <x:v>667.4271381600614</x:v>
      </x:c>
      <x:c r="G68" s="65" t="n">
        <x:f>1-(1-Paths!M68)*IF($A68&gt;=1930,dep_severity,1)</x:f>
        <x:v>0.95</x:v>
      </x:c>
      <x:c r="H68" s="65" t="n">
        <x:f>IF($A68&gt;=1930,Paths!B$89+(Paths!B68-Paths!B$89)*slump_price,Paths!B68)</x:f>
        <x:v>0.892</x:v>
      </x:c>
      <x:c r="I68" s="66" t="n">
        <x:f>Labour!AO68</x:f>
        <x:v>0.07230917476604609</x:v>
      </x:c>
      <x:c r="J68" s="47" t="n">
        <x:f>B68*F68*(1+I68)*G68*H68/1000000</x:f>
        <x:v>7259.345537815507</x:v>
      </x:c>
      <x:c r="K68" s="62" t="n">
        <x:f>Resources!O68</x:f>
        <x:v>148.44666666666666</x:v>
      </x:c>
      <x:c r="L68" s="47" t="n">
        <x:f>Labour!L68*gw_rel*J68/Labour!B68</x:f>
        <x:v>375.99212183983394</x:v>
      </x:c>
      <x:c r="M68" s="62" t="n">
        <x:f>Champions!AQ68</x:f>
        <x:v>319.0064019133389</x:v>
      </x:c>
      <x:c r="N68" s="47" t="n">
        <x:f>IF(Gulf!E68=1,Gulf!D68,0)</x:f>
        <x:v>0</x:v>
      </x:c>
      <x:c r="O68" s="47" t="n">
        <x:f>J68+K68+L68+M68+N68</x:f>
        <x:v>8102.790728235346</x:v>
      </x:c>
      <x:c r="P68" s="47" t="n">
        <x:f>O68*1000000/(B68+People!V68+Labour!L68)</x:f>
        <x:v>653.2545727036854</x:v>
      </x:c>
      <x:c r="Q68" s="45" t="n">
        <x:v>334</x:v>
      </x:c>
      <x:c r="R68" s="67" t="n">
        <x:f>P68/Q68</x:f>
        <x:v>1.9558520140828906</x:v>
      </x:c>
      <x:c r="S68" s="47" t="n">
        <x:f>O68/H68</x:f>
        <x:v>9083.846107887159</x:v>
      </x:c>
    </x:row>
    <x:row r="69">
      <x:c r="A69" s="58" t="n">
        <x:v>1909</x:v>
      </x:c>
      <x:c r="B69" s="47" t="n">
        <x:f>(People!B69+People!L69)/2</x:f>
        <x:v>12500118.55249058</x:v>
      </x:c>
      <x:c r="C69" s="63" t="n">
        <x:f>Paths!L69*IF($A69&gt;=1896,prod_factor,1)</x:f>
        <x:v>0.015</x:v>
      </x:c>
      <x:c r="D69" s="64" t="n">
        <x:f>IF(O68&gt;0,MIN(dev_cap,dev_return*'Debt &amp; cash'!N68/O68),0)</x:f>
        <x:v>0.006891176292512905</x:v>
      </x:c>
      <x:c r="E69" s="63" t="n">
        <x:f>C69+D69</x:f>
        <x:v>0.021891176292512905</x:v>
      </x:c>
      <x:c r="F69" s="47" t="n">
        <x:f>F68*(1+E69)</x:f>
        <x:v>682.0379033039306</x:v>
      </x:c>
      <x:c r="G69" s="65" t="n">
        <x:f>1-(1-Paths!M69)*IF($A69&gt;=1930,dep_severity,1)</x:f>
        <x:v>1</x:v>
      </x:c>
      <x:c r="H69" s="65" t="n">
        <x:f>IF($A69&gt;=1930,Paths!B$89+(Paths!B69-Paths!B$89)*slump_price,Paths!B69)</x:f>
        <x:v>0.916</x:v>
      </x:c>
      <x:c r="I69" s="66" t="n">
        <x:f>Labour!AO69</x:f>
        <x:v>0.07345712608903332</x:v>
      </x:c>
      <x:c r="J69" s="47" t="n">
        <x:f>B69*F69*(1+I69)*G69*H69/1000000</x:f>
        <x:v>8383.064730514843</x:v>
      </x:c>
      <x:c r="K69" s="62" t="n">
        <x:f>Resources!O69</x:f>
        <x:v>154.91583333333332</x:v>
      </x:c>
      <x:c r="L69" s="47" t="n">
        <x:f>Labour!L69*gw_rel*J69/Labour!B69</x:f>
        <x:v>458.35124541799587</x:v>
      </x:c>
      <x:c r="M69" s="62" t="n">
        <x:f>Champions!AQ69</x:f>
        <x:v>343.21219332839274</x:v>
      </x:c>
      <x:c r="N69" s="47" t="n">
        <x:f>IF(Gulf!E69=1,Gulf!D69,0)</x:f>
        <x:v>0</x:v>
      </x:c>
      <x:c r="O69" s="47" t="n">
        <x:f>J69+K69+L69+M69+N69</x:f>
        <x:v>9339.544002594565</x:v>
      </x:c>
      <x:c r="P69" s="47" t="n">
        <x:f>O69*1000000/(B69+People!V69+Labour!L69)</x:f>
        <x:v>719.6145544749918</x:v>
      </x:c>
      <x:c r="Q69" s="45" t="n">
        <x:v>348</x:v>
      </x:c>
      <x:c r="R69" s="67" t="n">
        <x:f>P69/Q69</x:f>
        <x:v>2.0678579151580223</x:v>
      </x:c>
      <x:c r="S69" s="47" t="n">
        <x:f>O69/H69</x:f>
        <x:v>10196.008736456948</x:v>
      </x:c>
    </x:row>
    <x:row r="70">
      <x:c r="A70" s="58" t="n">
        <x:v>1910</x:v>
      </x:c>
      <x:c r="B70" s="47" t="n">
        <x:f>(People!B70+People!L70)/2</x:f>
        <x:v>13046843.77921069</x:v>
      </x:c>
      <x:c r="C70" s="63" t="n">
        <x:f>Paths!L70*IF($A70&gt;=1896,prod_factor,1)</x:f>
        <x:v>0.015</x:v>
      </x:c>
      <x:c r="D70" s="64" t="n">
        <x:f>IF(O69&gt;0,MIN(dev_cap,dev_return*'Debt &amp; cash'!N69/O69),0)</x:f>
        <x:v>0.007377694159792521</x:v>
      </x:c>
      <x:c r="E70" s="63" t="n">
        <x:f>C70+D70</x:f>
        <x:v>0.02237769415979252</x:v>
      </x:c>
      <x:c r="F70" s="47" t="n">
        <x:f>F69*(1+E70)</x:f>
        <x:v>697.3003389094522</x:v>
      </x:c>
      <x:c r="G70" s="65" t="n">
        <x:f>1-(1-Paths!M70)*IF($A70&gt;=1930,dep_severity,1)</x:f>
        <x:v>1</x:v>
      </x:c>
      <x:c r="H70" s="65" t="n">
        <x:f>IF($A70&gt;=1930,Paths!B$89+(Paths!B70-Paths!B$89)*slump_price,Paths!B70)</x:f>
        <x:v>0.94</x:v>
      </x:c>
      <x:c r="I70" s="66" t="n">
        <x:f>Labour!AO70</x:f>
        <x:v>0.07337002285190558</x:v>
      </x:c>
      <x:c r="J70" s="47" t="n">
        <x:f>B70*F70*(1+I70)*G70*H70/1000000</x:f>
        <x:v>9179.153959957182</x:v>
      </x:c>
      <x:c r="K70" s="62" t="n">
        <x:f>Resources!O70</x:f>
        <x:v>161.7</x:v>
      </x:c>
      <x:c r="L70" s="47" t="n">
        <x:f>Labour!L70*gw_rel*J70/Labour!B70</x:f>
        <x:v>511.9969856887931</x:v>
      </x:c>
      <x:c r="M70" s="62" t="n">
        <x:f>Champions!AQ70</x:f>
        <x:v>375.78399966098647</x:v>
      </x:c>
      <x:c r="N70" s="47" t="n">
        <x:f>IF(Gulf!E70=1,Gulf!D70,0)</x:f>
        <x:v>0</x:v>
      </x:c>
      <x:c r="O70" s="47" t="n">
        <x:f>J70+K70+L70+M70+N70</x:f>
        <x:v>10228.634945306963</x:v>
      </x:c>
      <x:c r="P70" s="47" t="n">
        <x:f>O70*1000000/(B70+People!V70+Labour!L70)</x:f>
        <x:v>754.5325143851627</x:v>
      </x:c>
      <x:c r="Q70" s="45" t="n">
        <x:v>363</x:v>
      </x:c>
      <x:c r="R70" s="67" t="n">
        <x:f>P70/Q70</x:f>
        <x:v>2.078601968003203</x:v>
      </x:c>
      <x:c r="S70" s="47" t="n">
        <x:f>O70/H70</x:f>
        <x:v>10881.5265375606</x:v>
      </x:c>
    </x:row>
    <x:row r="71">
      <x:c r="A71" s="58" t="n">
        <x:v>1911</x:v>
      </x:c>
      <x:c r="B71" s="47" t="n">
        <x:f>(People!B71+People!L71)/2</x:f>
        <x:v>13627563.71159883</x:v>
      </x:c>
      <x:c r="C71" s="63" t="n">
        <x:f>Paths!L71*IF($A71&gt;=1896,prod_factor,1)</x:f>
        <x:v>0.015</x:v>
      </x:c>
      <x:c r="D71" s="64" t="n">
        <x:f>IF(O70&gt;0,MIN(dev_cap,dev_return*'Debt &amp; cash'!N70/O70),0)</x:f>
        <x:v>0.006846881143783634</x:v>
      </x:c>
      <x:c r="E71" s="63" t="n">
        <x:f>C71+D71</x:f>
        <x:v>0.021846881143783633</x:v>
      </x:c>
      <x:c r="F71" s="47" t="n">
        <x:f>F70*(1+E71)</x:f>
        <x:v>712.534176535127</x:v>
      </x:c>
      <x:c r="G71" s="65" t="n">
        <x:f>1-(1-Paths!M71)*IF($A71&gt;=1930,dep_severity,1)</x:f>
        <x:v>1</x:v>
      </x:c>
      <x:c r="H71" s="65" t="n">
        <x:f>IF($A71&gt;=1930,Paths!B$89+(Paths!B71-Paths!B$89)*slump_price,Paths!B71)</x:f>
        <x:v>0.96</x:v>
      </x:c>
      <x:c r="I71" s="66" t="n">
        <x:f>Labour!AO71</x:f>
        <x:v>0.07351604638514805</x:v>
      </x:c>
      <x:c r="J71" s="47" t="n">
        <x:f>B71*F71*(1+I71)*G71*H71/1000000</x:f>
        <x:v>10006.995272383268</x:v>
      </x:c>
      <x:c r="K71" s="62" t="n">
        <x:f>Resources!O71</x:f>
        <x:v>167.7679033333333</x:v>
      </x:c>
      <x:c r="L71" s="47" t="n">
        <x:f>Labour!L71*gw_rel*J71/Labour!B71</x:f>
        <x:v>563.8860179349895</x:v>
      </x:c>
      <x:c r="M71" s="62" t="n">
        <x:f>Champions!AQ71</x:f>
        <x:v>409.56287931662416</x:v>
      </x:c>
      <x:c r="N71" s="47" t="n">
        <x:f>IF(Gulf!E71=1,Gulf!D71,0)</x:f>
        <x:v>0</x:v>
      </x:c>
      <x:c r="O71" s="47" t="n">
        <x:f>J71+K71+L71+M71+N71</x:f>
        <x:v>11148.212072968216</x:v>
      </x:c>
      <x:c r="P71" s="47" t="n">
        <x:f>O71*1000000/(B71+People!V71+Labour!L71)</x:f>
        <x:v>787.0199199325132</x:v>
      </x:c>
      <x:c r="Q71" s="45" t="n">
        <x:v>376</x:v>
      </x:c>
      <x:c r="R71" s="67" t="n">
        <x:f>P71/Q71</x:f>
        <x:v>2.093138084926897</x:v>
      </x:c>
      <x:c r="S71" s="47" t="n">
        <x:f>O71/H71</x:f>
        <x:v>11612.720909341891</x:v>
      </x:c>
    </x:row>
    <x:row r="72">
      <x:c r="A72" s="58" t="n">
        <x:v>1912</x:v>
      </x:c>
      <x:c r="B72" s="47" t="n">
        <x:f>(People!B72+People!L72)/2</x:f>
        <x:v>14238611.148510188</x:v>
      </x:c>
      <x:c r="C72" s="63" t="n">
        <x:f>Paths!L72*IF($A72&gt;=1896,prod_factor,1)</x:f>
        <x:v>0.015</x:v>
      </x:c>
      <x:c r="D72" s="64" t="n">
        <x:f>IF(O71&gt;0,MIN(dev_cap,dev_return*'Debt &amp; cash'!N71/O71),0)</x:f>
        <x:v>0.0065365777797879165</x:v>
      </x:c>
      <x:c r="E72" s="63" t="n">
        <x:f>C72+D72</x:f>
        <x:v>0.021536577779787916</x:v>
      </x:c>
      <x:c r="F72" s="47" t="n">
        <x:f>F71*(1+E72)</x:f>
        <x:v>727.879724248833</x:v>
      </x:c>
      <x:c r="G72" s="65" t="n">
        <x:f>1-(1-Paths!M72)*IF($A72&gt;=1930,dep_severity,1)</x:f>
        <x:v>1</x:v>
      </x:c>
      <x:c r="H72" s="65" t="n">
        <x:f>IF($A72&gt;=1930,Paths!B$89+(Paths!B72-Paths!B$89)*slump_price,Paths!B72)</x:f>
        <x:v>0.98</x:v>
      </x:c>
      <x:c r="I72" s="66" t="n">
        <x:f>Labour!AO72</x:f>
        <x:v>0.07364338278737999</x:v>
      </x:c>
      <x:c r="J72" s="47" t="n">
        <x:f>B72*F72*(1+I72)*G72*H72/1000000</x:f>
        <x:v>10904.69138520304</x:v>
      </x:c>
      <x:c r="K72" s="62" t="n">
        <x:f>Resources!O72</x:f>
        <x:v>174.76533666666668</x:v>
      </x:c>
      <x:c r="L72" s="47" t="n">
        <x:f>Labour!L72*gw_rel*J72/Labour!B72</x:f>
        <x:v>617.7441632579771</x:v>
      </x:c>
      <x:c r="M72" s="62" t="n">
        <x:f>Champions!AQ72</x:f>
        <x:v>462.0504696635825</x:v>
      </x:c>
      <x:c r="N72" s="47" t="n">
        <x:f>IF(Gulf!E72=1,Gulf!D72,0)</x:f>
        <x:v>0</x:v>
      </x:c>
      <x:c r="O72" s="47" t="n">
        <x:f>J72+K72+L72+M72+N72</x:f>
        <x:v>12159.251354791266</x:v>
      </x:c>
      <x:c r="P72" s="47" t="n">
        <x:f>O72*1000000/(B72+People!V72+Labour!L72)</x:f>
        <x:v>821.3913726792179</x:v>
      </x:c>
      <x:c r="Q72" s="45" t="n">
        <x:v>390</x:v>
      </x:c>
      <x:c r="R72" s="67" t="n">
        <x:f>P72/Q72</x:f>
        <x:v>2.1061317248185074</x:v>
      </x:c>
      <x:c r="S72" s="47" t="n">
        <x:f>O72/H72</x:f>
        <x:v>12407.39934162374</x:v>
      </x:c>
    </x:row>
    <x:row r="73">
      <x:c r="A73" s="58" t="n">
        <x:v>1913</x:v>
      </x:c>
      <x:c r="B73" s="47" t="n">
        <x:f>(People!B73+People!L73)/2</x:f>
        <x:v>14864479.814456772</x:v>
      </x:c>
      <x:c r="C73" s="63" t="n">
        <x:f>Paths!L73*IF($A73&gt;=1896,prod_factor,1)</x:f>
        <x:v>0.015</x:v>
      </x:c>
      <x:c r="D73" s="64" t="n">
        <x:f>IF(O72&gt;0,MIN(dev_cap,dev_return*'Debt &amp; cash'!N72/O72),0)</x:f>
        <x:v>0.006461742983931389</x:v>
      </x:c>
      <x:c r="E73" s="63" t="n">
        <x:f>C73+D73</x:f>
        <x:v>0.021461742983931387</x:v>
      </x:c>
      <x:c r="F73" s="47" t="n">
        <x:f>F72*(1+E73)</x:f>
        <x:v>743.5012918138764</x:v>
      </x:c>
      <x:c r="G73" s="65" t="n">
        <x:f>1-(1-Paths!M73)*IF($A73&gt;=1930,dep_severity,1)</x:f>
        <x:v>1</x:v>
      </x:c>
      <x:c r="H73" s="65" t="n">
        <x:f>IF($A73&gt;=1930,Paths!B$89+(Paths!B73-Paths!B$89)*slump_price,Paths!B73)</x:f>
        <x:v>1</x:v>
      </x:c>
      <x:c r="I73" s="66" t="n">
        <x:f>Labour!AO73</x:f>
        <x:v>0.07378034952094228</x:v>
      </x:c>
      <x:c r="J73" s="47" t="n">
        <x:f>B73*F73*(1+I73)*G73*H73/1000000</x:f>
        <x:v>11867.16265569378</x:v>
      </x:c>
      <x:c r="K73" s="62" t="n">
        <x:f>Resources!O73</x:f>
        <x:v>181.43999999999997</x:v>
      </x:c>
      <x:c r="L73" s="47" t="n">
        <x:f>Labour!L73*gw_rel*J73/Labour!B73</x:f>
        <x:v>677.8970931654934</x:v>
      </x:c>
      <x:c r="M73" s="62" t="n">
        <x:f>Champions!AQ73</x:f>
        <x:v>509.8676038111703</x:v>
      </x:c>
      <x:c r="N73" s="47" t="n">
        <x:f>IF(Gulf!E73=1,Gulf!D73,0)</x:f>
        <x:v>0</x:v>
      </x:c>
      <x:c r="O73" s="47" t="n">
        <x:f>J73+K73+L73+M73+N73</x:f>
        <x:v>13236.367352670444</x:v>
      </x:c>
      <x:c r="P73" s="47" t="n">
        <x:f>O73*1000000/(B73+People!V73+Labour!L73)</x:f>
        <x:v>856.2317655072635</x:v>
      </x:c>
      <x:c r="Q73" s="45" t="n">
        <x:v>403</x:v>
      </x:c>
      <x:c r="R73" s="67" t="n">
        <x:f>P73/Q73</x:f>
        <x:v>2.12464457942249</x:v>
      </x:c>
      <x:c r="S73" s="47" t="n">
        <x:f>O73/H73</x:f>
        <x:v>13236.367352670444</x:v>
      </x:c>
    </x:row>
    <x:row r="74">
      <x:c r="A74" s="61" t="n">
        <x:v>1914</x:v>
      </x:c>
      <x:c r="B74" s="47" t="n">
        <x:f>(People!B74+People!L74)/2</x:f>
        <x:v>15458850.31706031</x:v>
      </x:c>
      <x:c r="C74" s="63" t="n">
        <x:f>Paths!L74*IF($A74&gt;=1896,prod_factor,1)</x:f>
        <x:v>0.008</x:v>
      </x:c>
      <x:c r="D74" s="64" t="n">
        <x:f>IF(O73&gt;0,MIN(dev_cap,dev_return*'Debt &amp; cash'!N73/O73),0)</x:f>
        <x:v>0.006274892213866697</x:v>
      </x:c>
      <x:c r="E74" s="63" t="n">
        <x:f>C74+D74</x:f>
        <x:v>0.014274892213866696</x:v>
      </x:c>
      <x:c r="F74" s="47" t="n">
        <x:f>F73*(1+E74)</x:f>
        <x:v>754.1146926153901</x:v>
      </x:c>
      <x:c r="G74" s="65" t="n">
        <x:f>1-(1-Paths!M74)*IF($A74&gt;=1930,dep_severity,1)</x:f>
        <x:v>0.97</x:v>
      </x:c>
      <x:c r="H74" s="65" t="n">
        <x:f>IF($A74&gt;=1930,Paths!B$89+(Paths!B74-Paths!B$89)*slump_price,Paths!B74)</x:f>
        <x:v>1.01</x:v>
      </x:c>
      <x:c r="I74" s="66" t="n">
        <x:f>Labour!AO74</x:f>
        <x:v>0.07399208448231033</x:v>
      </x:c>
      <x:c r="J74" s="47" t="n">
        <x:f>B74*F74*(1+I74)*G74*H74/1000000</x:f>
        <x:v>12266.1644534178</x:v>
      </x:c>
      <x:c r="K74" s="62" t="n">
        <x:f>Resources!O74</x:f>
        <x:v>216.895</x:v>
      </x:c>
      <x:c r="L74" s="47" t="n">
        <x:f>Labour!L74*gw_rel*J74/Labour!B74</x:f>
        <x:v>673.9579482916905</x:v>
      </x:c>
      <x:c r="M74" s="62" t="n">
        <x:f>Champions!AQ74</x:f>
        <x:v>638.0857933543082</x:v>
      </x:c>
      <x:c r="N74" s="47" t="n">
        <x:f>IF(Gulf!E74=1,Gulf!D74,0)</x:f>
        <x:v>0</x:v>
      </x:c>
      <x:c r="O74" s="47" t="n">
        <x:f>J74+K74+L74+M74+N74</x:f>
        <x:v>13795.103195063799</x:v>
      </x:c>
      <x:c r="P74" s="47" t="n">
        <x:f>O74*1000000/(B74+People!V74+Labour!L74)</x:f>
        <x:v>859.3251361396352</x:v>
      </x:c>
      <x:c r="Q74" s="45" t="n">
        <x:v>380</x:v>
      </x:c>
      <x:c r="R74" s="67" t="n">
        <x:f>P74/Q74</x:f>
        <x:v>2.2613819372095665</x:v>
      </x:c>
      <x:c r="S74" s="47" t="n">
        <x:f>O74/H74</x:f>
        <x:v>13658.518014914653</x:v>
      </x:c>
    </x:row>
    <x:row r="75">
      <x:c r="A75" s="61" t="n">
        <x:v>1915</x:v>
      </x:c>
      <x:c r="B75" s="47" t="n">
        <x:f>(People!B75+People!L75)/2</x:f>
        <x:v>16007137.752549365</x:v>
      </x:c>
      <x:c r="C75" s="63" t="n">
        <x:f>Paths!L75*IF($A75&gt;=1896,prod_factor,1)</x:f>
        <x:v>0.008</x:v>
      </x:c>
      <x:c r="D75" s="64" t="n">
        <x:f>IF(O74&gt;0,MIN(dev_cap,dev_return*'Debt &amp; cash'!N74/O74),0)</x:f>
        <x:v>0.003384399715139717</x:v>
      </x:c>
      <x:c r="E75" s="63" t="n">
        <x:f>C75+D75</x:f>
        <x:v>0.011384399715139718</x:v>
      </x:c>
      <x:c r="F75" s="47" t="n">
        <x:f>F74*(1+E75)</x:f>
        <x:v>762.6998357071834</x:v>
      </x:c>
      <x:c r="G75" s="65" t="n">
        <x:f>1-(1-Paths!M75)*IF($A75&gt;=1930,dep_severity,1)</x:f>
        <x:v>1</x:v>
      </x:c>
      <x:c r="H75" s="65" t="n">
        <x:f>IF($A75&gt;=1930,Paths!B$89+(Paths!B75-Paths!B$89)*slump_price,Paths!B75)</x:f>
        <x:v>1.04</x:v>
      </x:c>
      <x:c r="I75" s="66" t="n">
        <x:f>Labour!AO75</x:f>
        <x:v>0.07209418565802264</x:v>
      </x:c>
      <x:c r="J75" s="47" t="n">
        <x:f>B75*F75*(1+I75)*G75*H75/1000000</x:f>
        <x:v>13612.365924537224</x:v>
      </x:c>
      <x:c r="K75" s="62" t="n">
        <x:f>Resources!O75</x:f>
        <x:v>252.7</x:v>
      </x:c>
      <x:c r="L75" s="47" t="n">
        <x:f>Labour!L75*gw_rel*J75/Labour!B75</x:f>
        <x:v>794.1083588052269</x:v>
      </x:c>
      <x:c r="M75" s="62" t="n">
        <x:f>Champions!AQ75</x:f>
        <x:v>780.8547080027284</x:v>
      </x:c>
      <x:c r="N75" s="47" t="n">
        <x:f>IF(Gulf!E75=1,Gulf!D75,0)</x:f>
        <x:v>0</x:v>
      </x:c>
      <x:c r="O75" s="47" t="n">
        <x:f>J75+K75+L75+M75+N75</x:f>
        <x:v>15440.02899134518</x:v>
      </x:c>
      <x:c r="P75" s="47" t="n">
        <x:f>O75*1000000/(B75+People!V75+Labour!L75)</x:f>
        <x:v>926.7275733399624</x:v>
      </x:c>
      <x:c r="Q75" s="45" t="n">
        <x:v>430</x:v>
      </x:c>
      <x:c r="R75" s="67" t="n">
        <x:f>P75/Q75</x:f>
        <x:v>2.1551804031161916</x:v>
      </x:c>
      <x:c r="S75" s="47" t="n">
        <x:f>O75/H75</x:f>
        <x:v>14846.181722447287</x:v>
      </x:c>
    </x:row>
    <x:row r="76">
      <x:c r="A76" s="61" t="n">
        <x:v>1916</x:v>
      </x:c>
      <x:c r="B76" s="47" t="n">
        <x:f>(People!B76+People!L76)/2</x:f>
        <x:v>16530023.853081899</x:v>
      </x:c>
      <x:c r="C76" s="63" t="n">
        <x:f>Paths!L76*IF($A76&gt;=1896,prod_factor,1)</x:f>
        <x:v>0.008</x:v>
      </x:c>
      <x:c r="D76" s="64" t="n">
        <x:f>IF(O75&gt;0,MIN(dev_cap,dev_return*'Debt &amp; cash'!N75/O75),0)</x:f>
        <x:v>0.004267213445182198</x:v>
      </x:c>
      <x:c r="E76" s="63" t="n">
        <x:f>C76+D76</x:f>
        <x:v>0.0122672134451822</x:v>
      </x:c>
      <x:c r="F76" s="47" t="n">
        <x:f>F75*(1+E76)</x:f>
        <x:v>772.0560373864089</x:v>
      </x:c>
      <x:c r="G76" s="65" t="n">
        <x:f>1-(1-Paths!M76)*IF($A76&gt;=1930,dep_severity,1)</x:f>
        <x:v>1</x:v>
      </x:c>
      <x:c r="H76" s="65" t="n">
        <x:f>IF($A76&gt;=1930,Paths!B$89+(Paths!B76-Paths!B$89)*slump_price,Paths!B76)</x:f>
        <x:v>1.17</x:v>
      </x:c>
      <x:c r="I76" s="66" t="n">
        <x:f>Labour!AO76</x:f>
        <x:v>0.07289650161151956</x:v>
      </x:c>
      <x:c r="J76" s="47" t="n">
        <x:f>B76*F76*(1+I76)*G76*H76/1000000</x:f>
        <x:v>16020.128475886138</x:v>
      </x:c>
      <x:c r="K76" s="62" t="n">
        <x:f>Resources!O76</x:f>
        <x:v>360.84999999999997</x:v>
      </x:c>
      <x:c r="L76" s="47" t="n">
        <x:f>Labour!L76*gw_rel*J76/Labour!B76</x:f>
        <x:v>982.2993129445007</x:v>
      </x:c>
      <x:c r="M76" s="62" t="n">
        <x:f>Champions!AQ76</x:f>
        <x:v>951.2153543141325</x:v>
      </x:c>
      <x:c r="N76" s="47" t="n">
        <x:f>IF(Gulf!E76=1,Gulf!D76,0)</x:f>
        <x:v>0</x:v>
      </x:c>
      <x:c r="O76" s="47" t="n">
        <x:f>J76+K76+L76+M76+N76</x:f>
        <x:v>18314.493143144773</x:v>
      </x:c>
      <x:c r="P76" s="47" t="n">
        <x:f>O76*1000000/(B76+People!V76+Labour!L76)</x:f>
        <x:v>1062.3552346728081</x:v>
      </x:c>
      <x:c r="Q76" s="45" t="n">
        <x:v>480</x:v>
      </x:c>
      <x:c r="R76" s="67" t="n">
        <x:f>P76/Q76</x:f>
        <x:v>2.213240072235017</x:v>
      </x:c>
      <x:c r="S76" s="47" t="n">
        <x:f>O76/H76</x:f>
        <x:v>15653.412942858782</x:v>
      </x:c>
    </x:row>
    <x:row r="77">
      <x:c r="A77" s="61" t="n">
        <x:v>1917</x:v>
      </x:c>
      <x:c r="B77" s="47" t="n">
        <x:f>(People!B77+People!L77)/2</x:f>
        <x:v>17019767.730737064</x:v>
      </x:c>
      <x:c r="C77" s="63" t="n">
        <x:f>Paths!L77*IF($A77&gt;=1896,prod_factor,1)</x:f>
        <x:v>0.008</x:v>
      </x:c>
      <x:c r="D77" s="64" t="n">
        <x:f>IF(O76&gt;0,MIN(dev_cap,dev_return*'Debt &amp; cash'!N76/O76),0)</x:f>
        <x:v>0.0039755580788317785</x:v>
      </x:c>
      <x:c r="E77" s="63" t="n">
        <x:f>C77+D77</x:f>
        <x:v>0.011975558078831779</x:v>
      </x:c>
      <x:c r="F77" s="47" t="n">
        <x:f>F76*(1+E77)</x:f>
        <x:v>781.3018393022427</x:v>
      </x:c>
      <x:c r="G77" s="65" t="n">
        <x:f>1-(1-Paths!M77)*IF($A77&gt;=1930,dep_severity,1)</x:f>
        <x:v>1</x:v>
      </x:c>
      <x:c r="H77" s="65" t="n">
        <x:f>IF($A77&gt;=1930,Paths!B$89+(Paths!B77-Paths!B$89)*slump_price,Paths!B77)</x:f>
        <x:v>1.42</x:v>
      </x:c>
      <x:c r="I77" s="66" t="n">
        <x:f>Labour!AO77</x:f>
        <x:v>0.07318945512502796</x:v>
      </x:c>
      <x:c r="J77" s="47" t="n">
        <x:f>B77*F77*(1+I77)*G77*H77/1000000</x:f>
        <x:v>20264.561790306732</x:v>
      </x:c>
      <x:c r="K77" s="62" t="n">
        <x:f>Resources!O77</x:f>
        <x:v>385</x:v>
      </x:c>
      <x:c r="L77" s="47" t="n">
        <x:f>Labour!L77*gw_rel*J77/Labour!B77</x:f>
        <x:v>1286.4074977380874</x:v>
      </x:c>
      <x:c r="M77" s="62" t="n">
        <x:f>Champions!AQ77</x:f>
        <x:v>1097.7641711315352</x:v>
      </x:c>
      <x:c r="N77" s="47" t="n">
        <x:f>IF(Gulf!E77=1,Gulf!D77,0)</x:f>
        <x:v>0</x:v>
      </x:c>
      <x:c r="O77" s="47" t="n">
        <x:f>J77+K77+L77+M77+N77</x:f>
        <x:v>23033.733459176354</x:v>
      </x:c>
      <x:c r="P77" s="47" t="n">
        <x:f>O77*1000000/(B77+People!V77+Labour!L77)</x:f>
        <x:v>1295.7722853931289</x:v>
      </x:c>
      <x:c r="Q77" s="45" t="n">
        <x:v>580</x:v>
      </x:c>
      <x:c r="R77" s="67" t="n">
        <x:f>P77/Q77</x:f>
        <x:v>2.2340901472295327</x:v>
      </x:c>
      <x:c r="S77" s="47" t="n">
        <x:f>O77/H77</x:f>
        <x:v>16220.939055757997</x:v>
      </x:c>
    </x:row>
    <x:row r="78">
      <x:c r="A78" s="61" t="n">
        <x:v>1918</x:v>
      </x:c>
      <x:c r="B78" s="47" t="n">
        <x:f>(People!B78+People!L78)/2</x:f>
        <x:v>17386698.659751892</x:v>
      </x:c>
      <x:c r="C78" s="63" t="n">
        <x:f>Paths!L78*IF($A78&gt;=1896,prod_factor,1)</x:f>
        <x:v>0.008</x:v>
      </x:c>
      <x:c r="D78" s="64" t="n">
        <x:f>IF(O77&gt;0,MIN(dev_cap,dev_return*'Debt &amp; cash'!N77/O77),0)</x:f>
        <x:v>0.004570758865469684</x:v>
      </x:c>
      <x:c r="E78" s="63" t="n">
        <x:f>C78+D78</x:f>
        <x:v>0.012570758865469683</x:v>
      </x:c>
      <x:c r="F78" s="47" t="n">
        <x:f>F77*(1+E78)</x:f>
        <x:v>791.1233963252591</x:v>
      </x:c>
      <x:c r="G78" s="65" t="n">
        <x:f>1-(1-Paths!M78)*IF($A78&gt;=1930,dep_severity,1)</x:f>
        <x:v>1</x:v>
      </x:c>
      <x:c r="H78" s="65" t="n">
        <x:f>IF($A78&gt;=1930,Paths!B$89+(Paths!B78-Paths!B$89)*slump_price,Paths!B78)</x:f>
        <x:v>1.66</x:v>
      </x:c>
      <x:c r="I78" s="66" t="n">
        <x:f>Labour!AO78</x:f>
        <x:v>0.07400061650437476</x:v>
      </x:c>
      <x:c r="J78" s="47" t="n">
        <x:f>B78*F78*(1+I78)*G78*H78/1000000</x:f>
        <x:v>24523.021233647032</x:v>
      </x:c>
      <x:c r="K78" s="62" t="n">
        <x:f>Resources!O78</x:f>
        <x:v>362.705</x:v>
      </x:c>
      <x:c r="L78" s="47" t="n">
        <x:f>Labour!L78*gw_rel*J78/Labour!B78</x:f>
        <x:v>1577.2803820184845</x:v>
      </x:c>
      <x:c r="M78" s="62" t="n">
        <x:f>Champions!AQ78</x:f>
        <x:v>1244.4981098188657</x:v>
      </x:c>
      <x:c r="N78" s="47" t="n">
        <x:f>IF(Gulf!E78=1,Gulf!D78,0)</x:f>
        <x:v>0</x:v>
      </x:c>
      <x:c r="O78" s="47" t="n">
        <x:f>J78+K78+L78+M78+N78</x:f>
        <x:v>27707.504725484385</x:v>
      </x:c>
      <x:c r="P78" s="47" t="n">
        <x:f>O78*1000000/(B78+People!V78+Labour!L78)</x:f>
        <x:v>1524.946132516673</x:v>
      </x:c>
      <x:c r="Q78" s="45" t="n">
        <x:v>738</x:v>
      </x:c>
      <x:c r="R78" s="67" t="n">
        <x:f>P78/Q78</x:f>
        <x:v>2.06632267278682</x:v>
      </x:c>
      <x:c r="S78" s="47" t="n">
        <x:f>O78/H78</x:f>
        <x:v>16691.267906918303</x:v>
      </x:c>
    </x:row>
    <x:row r="79">
      <x:c r="A79" s="61" t="n">
        <x:v>1919</x:v>
      </x:c>
      <x:c r="B79" s="47" t="n">
        <x:f>(People!B79+People!L79)/2</x:f>
        <x:v>17808814.26252176</x:v>
      </x:c>
      <x:c r="C79" s="63" t="n">
        <x:f>Paths!L79*IF($A79&gt;=1896,prod_factor,1)</x:f>
        <x:v>0.008</x:v>
      </x:c>
      <x:c r="D79" s="64" t="n">
        <x:f>IF(O78&gt;0,MIN(dev_cap,dev_return*'Debt &amp; cash'!N78/O78),0)</x:f>
        <x:v>0.003822489783498808</x:v>
      </x:c>
      <x:c r="E79" s="63" t="n">
        <x:f>C79+D79</x:f>
        <x:v>0.011822489783498808</x:v>
      </x:c>
      <x:c r="F79" s="47" t="n">
        <x:f>F78*(1+E79)</x:f>
        <x:v>800.4764445958015</x:v>
      </x:c>
      <x:c r="G79" s="65" t="n">
        <x:f>1-(1-Paths!M79)*IF($A79&gt;=1930,dep_severity,1)</x:f>
        <x:v>1</x:v>
      </x:c>
      <x:c r="H79" s="65" t="n">
        <x:f>IF($A79&gt;=1930,Paths!B$89+(Paths!B79-Paths!B$89)*slump_price,Paths!B79)</x:f>
        <x:v>1.83</x:v>
      </x:c>
      <x:c r="I79" s="66" t="n">
        <x:f>Labour!AO79</x:f>
        <x:v>0.07546443571801245</x:v>
      </x:c>
      <x:c r="J79" s="47" t="n">
        <x:f>B79*F79*(1+I79)*G79*H79/1000000</x:f>
        <x:v>28056.319859925567</x:v>
      </x:c>
      <x:c r="K79" s="62" t="n">
        <x:f>Resources!O79</x:f>
        <x:v>290.28999999999996</x:v>
      </x:c>
      <x:c r="L79" s="47" t="n">
        <x:f>Labour!L79*gw_rel*J79/Labour!B79</x:f>
        <x:v>1796.8881398809265</x:v>
      </x:c>
      <x:c r="M79" s="62" t="n">
        <x:f>Champions!AQ79</x:f>
        <x:v>1310.226289415427</x:v>
      </x:c>
      <x:c r="N79" s="47" t="n">
        <x:f>IF(Gulf!E79=1,Gulf!D79,0)</x:f>
        <x:v>0</x:v>
      </x:c>
      <x:c r="O79" s="47" t="n">
        <x:f>J79+K79+L79+M79+N79</x:f>
        <x:v>31453.724289221922</x:v>
      </x:c>
      <x:c r="P79" s="47" t="n">
        <x:f>O79*1000000/(B79+People!V79+Labour!L79)</x:f>
        <x:v>1690.4043225142414</x:v>
      </x:c>
      <x:c r="Q79" s="45" t="n">
        <x:v>800</x:v>
      </x:c>
      <x:c r="R79" s="67" t="n">
        <x:f>P79/Q79</x:f>
        <x:v>2.1130054031428016</x:v>
      </x:c>
      <x:c r="S79" s="47" t="n">
        <x:f>O79/H79</x:f>
        <x:v>17187.827480449138</x:v>
      </x:c>
    </x:row>
    <x:row r="80">
      <x:c r="A80" s="61" t="n">
        <x:v>1920</x:v>
      </x:c>
      <x:c r="B80" s="47" t="n">
        <x:f>(People!B80+People!L80)/2</x:f>
        <x:v>18404914.12110213</x:v>
      </x:c>
      <x:c r="C80" s="63" t="n">
        <x:f>Paths!L80*IF($A80&gt;=1896,prod_factor,1)</x:f>
        <x:v>0.008</x:v>
      </x:c>
      <x:c r="D80" s="64" t="n">
        <x:f>IF(O79&gt;0,MIN(dev_cap,dev_return*'Debt &amp; cash'!N79/O79),0)</x:f>
        <x:v>0.009493218660898224</x:v>
      </x:c>
      <x:c r="E80" s="63" t="n">
        <x:f>C80+D80</x:f>
        <x:v>0.017493218660898223</x:v>
      </x:c>
      <x:c r="F80" s="47" t="n">
        <x:f>F79*(1+E80)</x:f>
        <x:v>814.4793540740143</x:v>
      </x:c>
      <x:c r="G80" s="65" t="n">
        <x:f>1-(1-Paths!M80)*IF($A80&gt;=1930,dep_severity,1)</x:f>
        <x:v>1</x:v>
      </x:c>
      <x:c r="H80" s="65" t="n">
        <x:f>IF($A80&gt;=1930,Paths!B$89+(Paths!B80-Paths!B$89)*slump_price,Paths!B80)</x:f>
        <x:v>2.05</x:v>
      </x:c>
      <x:c r="I80" s="66" t="n">
        <x:f>Labour!AO80</x:f>
        <x:v>0.07842364617767583</x:v>
      </x:c>
      <x:c r="J80" s="47" t="n">
        <x:f>B80*F80*(1+I80)*G80*H80/1000000</x:f>
        <x:v>33140.35362891344</x:v>
      </x:c>
      <x:c r="K80" s="62" t="n">
        <x:f>Resources!O80</x:f>
        <x:v>302.75</x:v>
      </x:c>
      <x:c r="L80" s="47" t="n">
        <x:f>Labour!L80*gw_rel*J80/Labour!B80</x:f>
        <x:v>2075.8483546353746</x:v>
      </x:c>
      <x:c r="M80" s="62" t="n">
        <x:f>Champions!AQ80</x:f>
        <x:v>1381.975670952138</x:v>
      </x:c>
      <x:c r="N80" s="47" t="n">
        <x:f>IF(Gulf!E80=1,Gulf!D80,0)</x:f>
        <x:v>0</x:v>
      </x:c>
      <x:c r="O80" s="47" t="n">
        <x:f>J80+K80+L80+M80+N80</x:f>
        <x:v>36900.927654500956</x:v>
      </x:c>
      <x:c r="P80" s="47" t="n">
        <x:f>O80*1000000/(B80+People!V80+Labour!L80)</x:f>
        <x:v>1920.7320463335222</x:v>
      </x:c>
      <x:c r="Q80" s="45" t="n">
        <x:v>860</x:v>
      </x:c>
      <x:c r="R80" s="67" t="n">
        <x:f>P80/Q80</x:f>
        <x:v>2.23340935620177</x:v>
      </x:c>
      <x:c r="S80" s="47" t="n">
        <x:f>O80/H80</x:f>
        <x:v>18000.452514390712</x:v>
      </x:c>
    </x:row>
    <x:row r="81">
      <x:c r="A81" s="61" t="n">
        <x:v>1921</x:v>
      </x:c>
      <x:c r="B81" s="47" t="n">
        <x:f>(People!B81+People!L81)/2</x:f>
        <x:v>19057123.164220743</x:v>
      </x:c>
      <x:c r="C81" s="63" t="n">
        <x:f>Paths!L81*IF($A81&gt;=1896,prod_factor,1)</x:f>
        <x:v>0.017</x:v>
      </x:c>
      <x:c r="D81" s="64" t="n">
        <x:f>IF(O80&gt;0,MIN(dev_cap,dev_return*'Debt &amp; cash'!N80/O80),0)</x:f>
        <x:v>0.010330874455295583</x:v>
      </x:c>
      <x:c r="E81" s="63" t="n">
        <x:f>C81+D81</x:f>
        <x:v>0.027330874455295584</x:v>
      </x:c>
      <x:c r="F81" s="47" t="n">
        <x:f>F80*(1+E81)</x:f>
        <x:v>836.7397870466414</x:v>
      </x:c>
      <x:c r="G81" s="65" t="n">
        <x:f>1-(1-Paths!M81)*IF($A81&gt;=1930,dep_severity,1)</x:f>
        <x:v>0.93</x:v>
      </x:c>
      <x:c r="H81" s="65" t="n">
        <x:f>IF($A81&gt;=1930,Paths!B$89+(Paths!B81-Paths!B$89)*slump_price,Paths!B81)</x:f>
        <x:v>1.7</x:v>
      </x:c>
      <x:c r="I81" s="66" t="n">
        <x:f>Labour!AO81</x:f>
        <x:v>0.08051437801400177</x:v>
      </x:c>
      <x:c r="J81" s="47" t="n">
        <x:f>B81*F81*(1+I81)*G81*H81/1000000</x:f>
        <x:v>27240.193056963883</x:v>
      </x:c>
      <x:c r="K81" s="62" t="n">
        <x:f>Resources!O81</x:f>
        <x:v>224.66694444444443</x:v>
      </x:c>
      <x:c r="L81" s="47" t="n">
        <x:f>Labour!L81*gw_rel*J81/Labour!B81</x:f>
        <x:v>1471.8593770826637</x:v>
      </x:c>
      <x:c r="M81" s="62" t="n">
        <x:f>Champions!AQ81</x:f>
        <x:v>1252.045214934119</x:v>
      </x:c>
      <x:c r="N81" s="47" t="n">
        <x:f>IF(Gulf!E81=1,Gulf!D81,0)</x:f>
        <x:v>0</x:v>
      </x:c>
      <x:c r="O81" s="47" t="n">
        <x:f>J81+K81+L81+M81+N81</x:f>
        <x:v>30188.76459342511</x:v>
      </x:c>
      <x:c r="P81" s="47" t="n">
        <x:f>O81*1000000/(B81+People!V81+Labour!L81)</x:f>
        <x:v>1526.3874067917714</x:v>
      </x:c>
      <x:c r="Q81" s="45" t="n">
        <x:v>644</x:v>
      </x:c>
      <x:c r="R81" s="67" t="n">
        <x:f>P81/Q81</x:f>
        <x:v>2.370166780732564</x:v>
      </x:c>
      <x:c r="S81" s="47" t="n">
        <x:f>O81/H81</x:f>
        <x:v>17758.09681966183</x:v>
      </x:c>
    </x:row>
    <x:row r="82">
      <x:c r="A82" s="61" t="n">
        <x:v>1922</x:v>
      </x:c>
      <x:c r="B82" s="47" t="n">
        <x:f>(People!B82+People!L82)/2</x:f>
        <x:v>19759349.782141082</x:v>
      </x:c>
      <x:c r="C82" s="63" t="n">
        <x:f>Paths!L82*IF($A82&gt;=1896,prod_factor,1)</x:f>
        <x:v>0.017</x:v>
      </x:c>
      <x:c r="D82" s="64" t="n">
        <x:f>IF(O81&gt;0,MIN(dev_cap,dev_return*'Debt &amp; cash'!N81/O81),0)</x:f>
        <x:v>0.005599366692978605</x:v>
      </x:c>
      <x:c r="E82" s="63" t="n">
        <x:f>C82+D82</x:f>
        <x:v>0.022599366692978608</x:v>
      </x:c>
      <x:c r="F82" s="47" t="n">
        <x:f>F81*(1+E82)</x:f>
        <x:v>855.6495763207133</x:v>
      </x:c>
      <x:c r="G82" s="65" t="n">
        <x:f>1-(1-Paths!M82)*IF($A82&gt;=1930,dep_severity,1)</x:f>
        <x:v>0.97</x:v>
      </x:c>
      <x:c r="H82" s="65" t="n">
        <x:f>IF($A82&gt;=1930,Paths!B$89+(Paths!B82-Paths!B$89)*slump_price,Paths!B82)</x:f>
        <x:v>1.58</x:v>
      </x:c>
      <x:c r="I82" s="66" t="n">
        <x:f>Labour!AO82</x:f>
        <x:v>0.0825394585931775</x:v>
      </x:c>
      <x:c r="J82" s="47" t="n">
        <x:f>B82*F82*(1+I82)*G82*H82/1000000</x:f>
        <x:v>28050.534780436075</x:v>
      </x:c>
      <x:c r="K82" s="62" t="n">
        <x:f>Resources!O82</x:f>
        <x:v>261.9088888888889</x:v>
      </x:c>
      <x:c r="L82" s="47" t="n">
        <x:f>Labour!L82*gw_rel*J82/Labour!B82</x:f>
        <x:v>1515.7450217033288</x:v>
      </x:c>
      <x:c r="M82" s="62" t="n">
        <x:f>Champions!AQ82</x:f>
        <x:v>1491.2703665782853</x:v>
      </x:c>
      <x:c r="N82" s="47" t="n">
        <x:f>IF(Gulf!E82=1,Gulf!D82,0)</x:f>
        <x:v>0</x:v>
      </x:c>
      <x:c r="O82" s="47" t="n">
        <x:f>J82+K82+L82+M82+N82</x:f>
        <x:v>31319.45905760658</x:v>
      </x:c>
      <x:c r="P82" s="47" t="n">
        <x:f>O82*1000000/(B82+People!V82+Labour!L82)</x:f>
        <x:v>1527.275290061677</x:v>
      </x:c>
      <x:c r="Q82" s="45" t="n">
        <x:v>680</x:v>
      </x:c>
      <x:c r="R82" s="67" t="n">
        <x:f>P82/Q82</x:f>
        <x:v>2.245993073620113</x:v>
      </x:c>
      <x:c r="S82" s="47" t="n">
        <x:f>O82/H82</x:f>
        <x:v>19822.44244152315</x:v>
      </x:c>
    </x:row>
    <x:row r="83">
      <x:c r="A83" s="58" t="n">
        <x:v>1923</x:v>
      </x:c>
      <x:c r="B83" s="47" t="n">
        <x:f>(People!B83+People!L83)/2</x:f>
        <x:v>20492284.09826535</x:v>
      </x:c>
      <x:c r="C83" s="63" t="n">
        <x:f>Paths!L83*IF($A83&gt;=1896,prod_factor,1)</x:f>
        <x:v>0.017</x:v>
      </x:c>
      <x:c r="D83" s="64" t="n">
        <x:f>IF(O82&gt;0,MIN(dev_cap,dev_return*'Debt &amp; cash'!N82/O82),0)</x:f>
        <x:v>0.004732868937803323</x:v>
      </x:c>
      <x:c r="E83" s="63" t="n">
        <x:f>C83+D83</x:f>
        <x:v>0.021732868937803324</x:v>
      </x:c>
      <x:c r="F83" s="47" t="n">
        <x:f>F82*(1+E83)</x:f>
        <x:v>874.2452964195784</x:v>
      </x:c>
      <x:c r="G83" s="65" t="n">
        <x:f>1-(1-Paths!M83)*IF($A83&gt;=1930,dep_severity,1)</x:f>
        <x:v>1</x:v>
      </x:c>
      <x:c r="H83" s="65" t="n">
        <x:f>IF($A83&gt;=1930,Paths!B$89+(Paths!B83-Paths!B$89)*slump_price,Paths!B83)</x:f>
        <x:v>1.62</x:v>
      </x:c>
      <x:c r="I83" s="66" t="n">
        <x:f>Labour!AO83</x:f>
        <x:v>0.08616224424477234</x:v>
      </x:c>
      <x:c r="J83" s="47" t="n">
        <x:f>B83*F83*(1+I83)*G83*H83/1000000</x:f>
        <x:v>31523.424438105354</x:v>
      </x:c>
      <x:c r="K83" s="62" t="n">
        <x:f>Resources!O83</x:f>
        <x:v>314.79</x:v>
      </x:c>
      <x:c r="L83" s="47" t="n">
        <x:f>Labour!L83*gw_rel*J83/Labour!B83</x:f>
        <x:v>1828.7823718479576</x:v>
      </x:c>
      <x:c r="M83" s="62" t="n">
        <x:f>Champions!AQ83</x:f>
        <x:v>1746.3059881734566</x:v>
      </x:c>
      <x:c r="N83" s="47" t="n">
        <x:f>IF(Gulf!E83=1,Gulf!D83,0)</x:f>
        <x:v>0</x:v>
      </x:c>
      <x:c r="O83" s="47" t="n">
        <x:f>J83+K83+L83+M83+N83</x:f>
        <x:v>35413.30279812677</x:v>
      </x:c>
      <x:c r="P83" s="47" t="n">
        <x:f>O83*1000000/(B83+People!V83+Labour!L83)</x:f>
        <x:v>1660.6890265695317</x:v>
      </x:c>
      <x:c r="Q83" s="45" t="n">
        <x:v>770</x:v>
      </x:c>
      <x:c r="R83" s="67" t="n">
        <x:f>P83/Q83</x:f>
        <x:v>2.1567389955448464</x:v>
      </x:c>
      <x:c r="S83" s="47" t="n">
        <x:f>O83/H83</x:f>
        <x:v>21860.06345563381</x:v>
      </x:c>
    </x:row>
    <x:row r="84">
      <x:c r="A84" s="58" t="n">
        <x:v>1924</x:v>
      </x:c>
      <x:c r="B84" s="47" t="n">
        <x:f>(People!B84+People!L84)/2</x:f>
        <x:v>21240990.15098452</x:v>
      </x:c>
      <x:c r="C84" s="63" t="n">
        <x:f>Paths!L84*IF($A84&gt;=1896,prod_factor,1)</x:f>
        <x:v>0.017</x:v>
      </x:c>
      <x:c r="D84" s="64" t="n">
        <x:f>IF(O83&gt;0,MIN(dev_cap,dev_return*'Debt &amp; cash'!N83/O83),0)</x:f>
        <x:v>0.007525396733413998</x:v>
      </x:c>
      <x:c r="E84" s="63" t="n">
        <x:f>C84+D84</x:f>
        <x:v>0.024525396733414</x:v>
      </x:c>
      <x:c r="F84" s="47" t="n">
        <x:f>F83*(1+E84)</x:f>
        <x:v>895.6865091565896</x:v>
      </x:c>
      <x:c r="G84" s="65" t="n">
        <x:f>1-(1-Paths!M84)*IF($A84&gt;=1930,dep_severity,1)</x:f>
        <x:v>1</x:v>
      </x:c>
      <x:c r="H84" s="65" t="n">
        <x:f>IF($A84&gt;=1930,Paths!B$89+(Paths!B84-Paths!B$89)*slump_price,Paths!B84)</x:f>
        <x:v>1.62</x:v>
      </x:c>
      <x:c r="I84" s="66" t="n">
        <x:f>Labour!AO84</x:f>
        <x:v>0.08765961270693332</x:v>
      </x:c>
      <x:c r="J84" s="47" t="n">
        <x:f>B84*F84*(1+I84)*G84*H84/1000000</x:f>
        <x:v>33522.68587445505</x:v>
      </x:c>
      <x:c r="K84" s="62" t="n">
        <x:f>Resources!O84</x:f>
        <x:v>364.3811111111111</x:v>
      </x:c>
      <x:c r="L84" s="47" t="n">
        <x:f>Labour!L84*gw_rel*J84/Labour!B84</x:f>
        <x:v>2032.9180190735779</x:v>
      </x:c>
      <x:c r="M84" s="62" t="n">
        <x:f>Champions!AQ84</x:f>
        <x:v>1951.143060145566</x:v>
      </x:c>
      <x:c r="N84" s="47" t="n">
        <x:f>IF(Gulf!E84=1,Gulf!D84,0)</x:f>
        <x:v>0</x:v>
      </x:c>
      <x:c r="O84" s="47" t="n">
        <x:f>J84+K84+L84+M84+N84</x:f>
        <x:v>37871.128064785305</x:v>
      </x:c>
      <x:c r="P84" s="47" t="n">
        <x:f>O84*1000000/(B84+People!V84+Labour!L84)</x:f>
        <x:v>1710.3232252067035</x:v>
      </x:c>
      <x:c r="Q84" s="45" t="n">
        <x:v>760</x:v>
      </x:c>
      <x:c r="R84" s="67" t="n">
        <x:f>P84/Q84</x:f>
        <x:v>2.2504252963246096</x:v>
      </x:c>
      <x:c r="S84" s="47" t="n">
        <x:f>O84/H84</x:f>
        <x:v>23377.239546163768</x:v>
      </x:c>
    </x:row>
    <x:row r="85">
      <x:c r="A85" s="58" t="n">
        <x:v>1925</x:v>
      </x:c>
      <x:c r="B85" s="47" t="n">
        <x:f>(People!B85+People!L85)/2</x:f>
        <x:v>21981128.73156888</x:v>
      </x:c>
      <x:c r="C85" s="63" t="n">
        <x:f>Paths!L85*IF($A85&gt;=1896,prod_factor,1)</x:f>
        <x:v>0.017</x:v>
      </x:c>
      <x:c r="D85" s="64" t="n">
        <x:f>IF(O84&gt;0,MIN(dev_cap,dev_return*'Debt &amp; cash'!N84/O84),0)</x:f>
        <x:v>0.0074116747486371905</x:v>
      </x:c>
      <x:c r="E85" s="63" t="n">
        <x:f>C85+D85</x:f>
        <x:v>0.02441167474863719</x:v>
      </x:c>
      <x:c r="F85" s="47" t="n">
        <x:f>F84*(1+E85)</x:f>
        <x:v>917.5517168948625</x:v>
      </x:c>
      <x:c r="G85" s="65" t="n">
        <x:f>1-(1-Paths!M85)*IF($A85&gt;=1930,dep_severity,1)</x:f>
        <x:v>1</x:v>
      </x:c>
      <x:c r="H85" s="65" t="n">
        <x:f>IF($A85&gt;=1930,Paths!B$89+(Paths!B85-Paths!B$89)*slump_price,Paths!B85)</x:f>
        <x:v>1.65</x:v>
      </x:c>
      <x:c r="I85" s="66" t="n">
        <x:f>Labour!AO85</x:f>
        <x:v>0.08787263016088492</x:v>
      </x:c>
      <x:c r="J85" s="47" t="n">
        <x:f>B85*F85*(1+I85)*G85*H85/1000000</x:f>
        <x:v>36202.83130048769</x:v>
      </x:c>
      <x:c r="K85" s="62" t="n">
        <x:f>Resources!O85</x:f>
        <x:v>377.22222222222223</x:v>
      </x:c>
      <x:c r="L85" s="47" t="n">
        <x:f>Labour!L85*gw_rel*J85/Labour!B85</x:f>
        <x:v>2269.615130728837</x:v>
      </x:c>
      <x:c r="M85" s="62" t="n">
        <x:f>Champions!AQ85</x:f>
        <x:v>2123.492250052658</x:v>
      </x:c>
      <x:c r="N85" s="47" t="n">
        <x:f>IF(Gulf!E85=1,Gulf!D85,0)</x:f>
        <x:v>0</x:v>
      </x:c>
      <x:c r="O85" s="47" t="n">
        <x:f>J85+K85+L85+M85+N85</x:f>
        <x:v>40973.16090349141</x:v>
      </x:c>
      <x:c r="P85" s="47" t="n">
        <x:f>O85*1000000/(B85+People!V85+Labour!L85)</x:f>
        <x:v>1785.6534400118944</x:v>
      </x:c>
      <x:c r="Q85" s="45" t="n">
        <x:v>787</x:v>
      </x:c>
      <x:c r="R85" s="67" t="n">
        <x:f>P85/Q85</x:f>
        <x:v>2.268937026698722</x:v>
      </x:c>
      <x:c r="S85" s="47" t="n">
        <x:f>O85/H85</x:f>
        <x:v>24832.218729388733</x:v>
      </x:c>
    </x:row>
    <x:row r="86">
      <x:c r="A86" s="58" t="n">
        <x:v>1926</x:v>
      </x:c>
      <x:c r="B86" s="47" t="n">
        <x:f>(People!B86+People!L86)/2</x:f>
        <x:v>22719359.918133765</x:v>
      </x:c>
      <x:c r="C86" s="63" t="n">
        <x:f>Paths!L86*IF($A86&gt;=1896,prod_factor,1)</x:f>
        <x:v>0.017</x:v>
      </x:c>
      <x:c r="D86" s="64" t="n">
        <x:f>IF(O85&gt;0,MIN(dev_cap,dev_return*'Debt &amp; cash'!N85/O85),0)</x:f>
        <x:v>0.007458968761194814</x:v>
      </x:c>
      <x:c r="E86" s="63" t="n">
        <x:f>C86+D86</x:f>
        <x:v>0.024458968761194813</x:v>
      </x:c>
      <x:c r="F86" s="47" t="n">
        <x:f>F85*(1+E86)</x:f>
        <x:v>939.9940856751747</x:v>
      </x:c>
      <x:c r="G86" s="65" t="n">
        <x:f>1-(1-Paths!M86)*IF($A86&gt;=1930,dep_severity,1)</x:f>
        <x:v>1</x:v>
      </x:c>
      <x:c r="H86" s="65" t="n">
        <x:f>IF($A86&gt;=1930,Paths!B$89+(Paths!B86-Paths!B$89)*slump_price,Paths!B86)</x:f>
        <x:v>1.62</x:v>
      </x:c>
      <x:c r="I86" s="66" t="n">
        <x:f>Labour!AO86</x:f>
        <x:v>0.08932579894335005</x:v>
      </x:c>
      <x:c r="J86" s="47" t="n">
        <x:f>B86*F86*(1+I86)*G86*H86/1000000</x:f>
        <x:v>37687.21251383229</x:v>
      </x:c>
      <x:c r="K86" s="62" t="n">
        <x:f>Resources!O86</x:f>
        <x:v>385.53666666666663</x:v>
      </x:c>
      <x:c r="L86" s="47" t="n">
        <x:f>Labour!L86*gw_rel*J86/Labour!B86</x:f>
        <x:v>2411.799309380325</x:v>
      </x:c>
      <x:c r="M86" s="62" t="n">
        <x:f>Champions!AQ86</x:f>
        <x:v>2296.208916344498</x:v>
      </x:c>
      <x:c r="N86" s="47" t="n">
        <x:f>IF(Gulf!E86=1,Gulf!D86,0)</x:f>
        <x:v>0</x:v>
      </x:c>
      <x:c r="O86" s="47" t="n">
        <x:f>J86+K86+L86+M86+N86</x:f>
        <x:v>42780.757406223776</x:v>
      </x:c>
      <x:c r="P86" s="47" t="n">
        <x:f>O86*1000000/(B86+People!V86+Labour!L86)</x:f>
        <x:v>1802.2731846360714</x:v>
      </x:c>
      <x:c r="Q86" s="45" t="n">
        <x:v>820</x:v>
      </x:c>
      <x:c r="R86" s="67" t="n">
        <x:f>P86/Q86</x:f>
        <x:v>2.197894127604965</x:v>
      </x:c>
      <x:c r="S86" s="47" t="n">
        <x:f>O86/H86</x:f>
        <x:v>26407.87494211344</x:v>
      </x:c>
    </x:row>
    <x:row r="87">
      <x:c r="A87" s="58" t="n">
        <x:v>1927</x:v>
      </x:c>
      <x:c r="B87" s="47" t="n">
        <x:f>(People!B87+People!L87)/2</x:f>
        <x:v>23467357.449584223</x:v>
      </x:c>
      <x:c r="C87" s="63" t="n">
        <x:f>Paths!L87*IF($A87&gt;=1896,prod_factor,1)</x:f>
        <x:v>0.017</x:v>
      </x:c>
      <x:c r="D87" s="64" t="n">
        <x:f>IF(O86&gt;0,MIN(dev_cap,dev_return*'Debt &amp; cash'!N86/O86),0)</x:f>
        <x:v>0.007293557923259556</x:v>
      </x:c>
      <x:c r="E87" s="63" t="n">
        <x:f>C87+D87</x:f>
        <x:v>0.024293557923259556</x:v>
      </x:c>
      <x:c r="F87" s="47" t="n">
        <x:f>F86*(1+E87)</x:f>
        <x:v>962.8298864430459</x:v>
      </x:c>
      <x:c r="G87" s="65" t="n">
        <x:f>1-(1-Paths!M87)*IF($A87&gt;=1930,dep_severity,1)</x:f>
        <x:v>1</x:v>
      </x:c>
      <x:c r="H87" s="65" t="n">
        <x:f>IF($A87&gt;=1930,Paths!B$89+(Paths!B87-Paths!B$89)*slump_price,Paths!B87)</x:f>
        <x:v>1.58</x:v>
      </x:c>
      <x:c r="I87" s="66" t="n">
        <x:f>Labour!AO87</x:f>
        <x:v>0.09071349954055882</x:v>
      </x:c>
      <x:c r="J87" s="47" t="n">
        <x:f>B87*F87*(1+I87)*G87*H87/1000000</x:f>
        <x:v>38938.70699448196</x:v>
      </x:c>
      <x:c r="K87" s="62" t="n">
        <x:f>Resources!O87</x:f>
        <x:v>415.8748611111111</x:v>
      </x:c>
      <x:c r="L87" s="47" t="n">
        <x:f>Labour!L87*gw_rel*J87/Labour!B87</x:f>
        <x:v>2537.4191550380933</x:v>
      </x:c>
      <x:c r="M87" s="62" t="n">
        <x:f>Champions!AQ87</x:f>
        <x:v>2494.9846435761438</x:v>
      </x:c>
      <x:c r="N87" s="47" t="n">
        <x:f>IF(Gulf!E87=1,Gulf!D87,0)</x:f>
        <x:v>0</x:v>
      </x:c>
      <x:c r="O87" s="47" t="n">
        <x:f>J87+K87+L87+M87+N87</x:f>
        <x:v>44386.9856542073</x:v>
      </x:c>
      <x:c r="P87" s="47" t="n">
        <x:f>O87*1000000/(B87+People!V87+Labour!L87)</x:f>
        <x:v>1808.9210550279065</x:v>
      </x:c>
      <x:c r="Q87" s="45" t="n">
        <x:v>805</x:v>
      </x:c>
      <x:c r="R87" s="67" t="n">
        <x:f>P87/Q87</x:f>
        <x:v>2.2471069006557847</x:v>
      </x:c>
      <x:c r="S87" s="47" t="n">
        <x:f>O87/H87</x:f>
        <x:v>28093.028895067913</x:v>
      </x:c>
    </x:row>
    <x:row r="88">
      <x:c r="A88" s="58" t="n">
        <x:v>1928</x:v>
      </x:c>
      <x:c r="B88" s="47" t="n">
        <x:f>(People!B88+People!L88)/2</x:f>
        <x:v>24239613.450897202</x:v>
      </x:c>
      <x:c r="C88" s="63" t="n">
        <x:f>Paths!L88*IF($A88&gt;=1896,prod_factor,1)</x:f>
        <x:v>0.017</x:v>
      </x:c>
      <x:c r="D88" s="64" t="n">
        <x:f>IF(O87&gt;0,MIN(dev_cap,dev_return*'Debt &amp; cash'!N87/O87),0)</x:f>
        <x:v>0.006920094795640721</x:v>
      </x:c>
      <x:c r="E88" s="63" t="n">
        <x:f>C88+D88</x:f>
        <x:v>0.023920094795640723</x:v>
      </x:c>
      <x:c r="F88" s="47" t="n">
        <x:f>F87*(1+E88)</x:f>
        <x:v>985.8608685988395</x:v>
      </x:c>
      <x:c r="G88" s="65" t="n">
        <x:f>1-(1-Paths!M88)*IF($A88&gt;=1930,dep_severity,1)</x:f>
        <x:v>1</x:v>
      </x:c>
      <x:c r="H88" s="65" t="n">
        <x:f>IF($A88&gt;=1930,Paths!B$89+(Paths!B88-Paths!B$89)*slump_price,Paths!B88)</x:f>
        <x:v>1.6</x:v>
      </x:c>
      <x:c r="I88" s="66" t="n">
        <x:f>Labour!AO88</x:f>
        <x:v>0.09128892118903634</x:v>
      </x:c>
      <x:c r="J88" s="47" t="n">
        <x:f>B88*F88*(1+I88)*G88*H88/1000000</x:f>
        <x:v>41725.45175648898</x:v>
      </x:c>
      <x:c r="K88" s="62" t="n">
        <x:f>Resources!O88</x:f>
        <x:v>445.56842555555556</x:v>
      </x:c>
      <x:c r="L88" s="47" t="n">
        <x:f>Labour!L88*gw_rel*J88/Labour!B88</x:f>
        <x:v>2769.049484983688</x:v>
      </x:c>
      <x:c r="M88" s="62" t="n">
        <x:f>Champions!AQ88</x:f>
        <x:v>2696.009113058093</x:v>
      </x:c>
      <x:c r="N88" s="47" t="n">
        <x:f>IF(Gulf!E88=1,Gulf!D88,0)</x:f>
        <x:v>0</x:v>
      </x:c>
      <x:c r="O88" s="47" t="n">
        <x:f>J88+K88+L88+M88+N88</x:f>
        <x:v>47636.07878008632</x:v>
      </x:c>
      <x:c r="P88" s="47" t="n">
        <x:f>O88*1000000/(B88+People!V88+Labour!L88)</x:f>
        <x:v>1877.9757009212221</x:v>
      </x:c>
      <x:c r="Q88" s="45" t="n">
        <x:v>815</x:v>
      </x:c>
      <x:c r="R88" s="67" t="n">
        <x:f>P88/Q88</x:f>
        <x:v>2.304264663707021</x:v>
      </x:c>
      <x:c r="S88" s="47" t="n">
        <x:f>O88/H88</x:f>
        <x:v>29772.549237553947</x:v>
      </x:c>
    </x:row>
    <x:row r="89">
      <x:c r="A89" s="58" t="n">
        <x:v>1929</x:v>
      </x:c>
      <x:c r="B89" s="47" t="n">
        <x:f>(People!B89+People!L89)/2</x:f>
        <x:v>25032343.86957355</x:v>
      </x:c>
      <x:c r="C89" s="63" t="n">
        <x:f>Paths!L89*IF($A89&gt;=1896,prod_factor,1)</x:f>
        <x:v>0.017</x:v>
      </x:c>
      <x:c r="D89" s="64" t="n">
        <x:f>IF(O88&gt;0,MIN(dev_cap,dev_return*'Debt &amp; cash'!N88/O88),0)</x:f>
        <x:v>0.008472191908358687</x:v>
      </x:c>
      <x:c r="E89" s="63" t="n">
        <x:f>C89+D89</x:f>
        <x:v>0.02547219190835869</x:v>
      </x:c>
      <x:c r="F89" s="47" t="n">
        <x:f>F88*(1+E89)</x:f>
        <x:v>1010.9729058387303</x:v>
      </x:c>
      <x:c r="G89" s="65" t="n">
        <x:f>1-(1-Paths!M89)*IF($A89&gt;=1930,dep_severity,1)</x:f>
        <x:v>1</x:v>
      </x:c>
      <x:c r="H89" s="65" t="n">
        <x:f>IF($A89&gt;=1930,Paths!B$89+(Paths!B89-Paths!B$89)*slump_price,Paths!B89)</x:f>
        <x:v>1.6</x:v>
      </x:c>
      <x:c r="I89" s="66" t="n">
        <x:f>Labour!AO89</x:f>
        <x:v>0.09201963538573879</x:v>
      </x:c>
      <x:c r="J89" s="47" t="n">
        <x:f>B89*F89*(1+I89)*G89*H89/1000000</x:f>
        <x:v>44217.222889132965</x:v>
      </x:c>
      <x:c r="K89" s="62" t="n">
        <x:f>Resources!O89</x:f>
        <x:v>472.49999999999994</x:v>
      </x:c>
      <x:c r="L89" s="47" t="n">
        <x:f>Labour!L89*gw_rel*J89/Labour!B89</x:f>
        <x:v>2968.7943017166594</x:v>
      </x:c>
      <x:c r="M89" s="62" t="n">
        <x:f>Champions!AQ89</x:f>
        <x:v>2889.72376649071</x:v>
      </x:c>
      <x:c r="N89" s="47" t="n">
        <x:f>IF(Gulf!E89=1,Gulf!D89,0)</x:f>
        <x:v>0</x:v>
      </x:c>
      <x:c r="O89" s="47" t="n">
        <x:f>J89+K89+L89+M89+N89</x:f>
        <x:v>50548.240957340335</x:v>
      </x:c>
      <x:c r="P89" s="47" t="n">
        <x:f>O89*1000000/(B89+People!V89+Labour!L89)</x:f>
        <x:v>1928.6718902709933</x:v>
      </x:c>
      <x:c r="Q89" s="45" t="n">
        <x:v>859</x:v>
      </x:c>
      <x:c r="R89" s="67" t="n">
        <x:f>P89/Q89</x:f>
        <x:v>2.2452524915843926</x:v>
      </x:c>
      <x:c r="S89" s="47" t="n">
        <x:f>O89/H89</x:f>
        <x:v>31592.650598337706</x:v>
      </x:c>
    </x:row>
    <x:row r="90">
      <x:c r="A90" s="58" t="n">
        <x:v>1930</x:v>
      </x:c>
      <x:c r="B90" s="47" t="n">
        <x:f>(People!B90+People!L90)/2</x:f>
        <x:v>25742413.017329678</x:v>
      </x:c>
      <x:c r="C90" s="63" t="n">
        <x:f>Paths!L90*IF($A90&gt;=1896,prod_factor,1)</x:f>
        <x:v>0</x:v>
      </x:c>
      <x:c r="D90" s="64" t="n">
        <x:f>IF(O89&gt;0,MIN(dev_cap,dev_return*'Debt &amp; cash'!N89/O89),0)</x:f>
        <x:v>0.008630499604568008</x:v>
      </x:c>
      <x:c r="E90" s="63" t="n">
        <x:f>C90+D90</x:f>
        <x:v>0.008630499604568008</x:v>
      </x:c>
      <x:c r="F90" s="47" t="n">
        <x:f>F89*(1+E90)</x:f>
        <x:v>1019.6981071028005</x:v>
      </x:c>
      <x:c r="G90" s="65" t="n">
        <x:f>1-(1-Paths!M90)*IF($A90&gt;=1930,dep_severity,1)</x:f>
        <x:v>0.94</x:v>
      </x:c>
      <x:c r="H90" s="65" t="n">
        <x:f>IF($A90&gt;=1930,Paths!B$89+(Paths!B90-Paths!B$89)*slump_price,Paths!B90)</x:f>
        <x:v>1.558</x:v>
      </x:c>
      <x:c r="I90" s="66" t="n">
        <x:f>Labour!AO90</x:f>
        <x:v>0.09291746714689583</x:v>
      </x:c>
      <x:c r="J90" s="47" t="n">
        <x:f>B90*F90*(1+I90)*G90*H90/1000000</x:f>
        <x:v>42014.92000168538</x:v>
      </x:c>
      <x:c r="K90" s="62" t="n">
        <x:f>Resources!O90</x:f>
        <x:v>329</x:v>
      </x:c>
      <x:c r="L90" s="47" t="n">
        <x:f>Labour!L90*gw_rel*J90/Labour!B90</x:f>
        <x:v>2582.374914660108</x:v>
      </x:c>
      <x:c r="M90" s="62" t="n">
        <x:f>Champions!AQ90</x:f>
        <x:v>2468.002384926587</x:v>
      </x:c>
      <x:c r="N90" s="47" t="n">
        <x:f>IF(Gulf!E90=1,Gulf!D90,0)</x:f>
        <x:v>0</x:v>
      </x:c>
      <x:c r="O90" s="47" t="n">
        <x:f>J90+K90+L90+M90+N90</x:f>
        <x:v>47394.297301272076</x:v>
      </x:c>
      <x:c r="P90" s="47" t="n">
        <x:f>O90*1000000/(B90+People!V90+Labour!L90)</x:f>
        <x:v>1765.153218076912</x:v>
      </x:c>
      <x:c r="Q90" s="45" t="n">
        <x:v>748</x:v>
      </x:c>
      <x:c r="R90" s="67" t="n">
        <x:f>P90/Q90</x:f>
        <x:v>2.359830505450417</x:v>
      </x:c>
      <x:c r="S90" s="47" t="n">
        <x:f>O90/H90</x:f>
        <x:v>30419.95975691404</x:v>
      </x:c>
    </x:row>
    <x:row r="91">
      <x:c r="A91" s="58" t="n">
        <x:v>1931</x:v>
      </x:c>
      <x:c r="B91" s="47" t="n">
        <x:f>(People!B91+People!L91)/2</x:f>
        <x:v>26336987.01644781</x:v>
      </x:c>
      <x:c r="C91" s="63" t="n">
        <x:f>Paths!L91*IF($A91&gt;=1896,prod_factor,1)</x:f>
        <x:v>0</x:v>
      </x:c>
      <x:c r="D91" s="64" t="n">
        <x:f>IF(O90&gt;0,MIN(dev_cap,dev_return*'Debt &amp; cash'!N90/O90),0)</x:f>
        <x:v>0.005959138931651812</x:v>
      </x:c>
      <x:c r="E91" s="63" t="n">
        <x:f>C91+D91</x:f>
        <x:v>0.005959138931651812</x:v>
      </x:c>
      <x:c r="F91" s="47" t="n">
        <x:f>F90*(1+E91)</x:f>
        <x:v>1025.7746297913684</x:v>
      </x:c>
      <x:c r="G91" s="65" t="n">
        <x:f>1-(1-Paths!M91)*IF($A91&gt;=1930,dep_severity,1)</x:f>
        <x:v>0.89</x:v>
      </x:c>
      <x:c r="H91" s="65" t="n">
        <x:f>IF($A91&gt;=1930,Paths!B$89+(Paths!B91-Paths!B$89)*slump_price,Paths!B91)</x:f>
        <x:v>1.4620000000000002</x:v>
      </x:c>
      <x:c r="I91" s="66" t="n">
        <x:f>Labour!AO91</x:f>
        <x:v>0.09349759352660786</x:v>
      </x:c>
      <x:c r="J91" s="47" t="n">
        <x:f>B91*F91*(1+I91)*G91*H91/1000000</x:f>
        <x:v>38439.103842435834</x:v>
      </x:c>
      <x:c r="K91" s="62" t="n">
        <x:f>Resources!O91</x:f>
        <x:v>186.89999999999998</x:v>
      </x:c>
      <x:c r="L91" s="47" t="n">
        <x:f>Labour!L91*gw_rel*J91/Labour!B91</x:f>
        <x:v>2027.0837982591204</x:v>
      </x:c>
      <x:c r="M91" s="62" t="n">
        <x:f>Champions!AQ91</x:f>
        <x:v>2099.3526556576744</x:v>
      </x:c>
      <x:c r="N91" s="47" t="n">
        <x:f>IF(Gulf!E91=1,Gulf!D91,0)</x:f>
        <x:v>0</x:v>
      </x:c>
      <x:c r="O91" s="47" t="n">
        <x:f>J91+K91+L91+M91+N91</x:f>
        <x:v>42752.44029635263</x:v>
      </x:c>
      <x:c r="P91" s="47" t="n">
        <x:f>O91*1000000/(B91+People!V91+Labour!L91)</x:f>
        <x:v>1565.4957386548003</x:v>
      </x:c>
      <x:c r="Q91" s="45" t="n">
        <x:v>624</x:v>
      </x:c>
      <x:c r="R91" s="67" t="n">
        <x:f>P91/Q91</x:f>
        <x:v>2.508807273485257</x:v>
      </x:c>
      <x:c r="S91" s="47" t="n">
        <x:f>O91/H91</x:f>
        <x:v>29242.43522322341</x:v>
      </x:c>
    </x:row>
    <x:row r="92">
      <x:c r="A92" s="58" t="n">
        <x:v>1932</x:v>
      </x:c>
      <x:c r="B92" s="47" t="n">
        <x:f>(People!B92+People!L92)/2</x:f>
        <x:v>26922826.053018734</x:v>
      </x:c>
      <x:c r="C92" s="63" t="n">
        <x:f>Paths!L92*IF($A92&gt;=1896,prod_factor,1)</x:f>
        <x:v>0</x:v>
      </x:c>
      <x:c r="D92" s="64" t="n">
        <x:f>IF(O91&gt;0,MIN(dev_cap,dev_return*'Debt &amp; cash'!N91/O91),0)</x:f>
        <x:v>0.001622622691028373</x:v>
      </x:c>
      <x:c r="E92" s="63" t="n">
        <x:f>C92+D92</x:f>
        <x:v>0.001622622691028373</x:v>
      </x:c>
      <x:c r="F92" s="47" t="n">
        <x:f>F91*(1+E92)</x:f>
        <x:v>1027.439074981549</x:v>
      </x:c>
      <x:c r="G92" s="65" t="n">
        <x:f>1-(1-Paths!M92)*IF($A92&gt;=1930,dep_severity,1)</x:f>
        <x:v>0.86</x:v>
      </x:c>
      <x:c r="H92" s="65" t="n">
        <x:f>IF($A92&gt;=1930,Paths!B$89+(Paths!B92-Paths!B$89)*slump_price,Paths!B92)</x:f>
        <x:v>1.372</x:v>
      </x:c>
      <x:c r="I92" s="66" t="n">
        <x:f>Labour!AO92</x:f>
        <x:v>0.09526518921269686</x:v>
      </x:c>
      <x:c r="J92" s="47" t="n">
        <x:f>B92*F92*(1+I92)*G92*H92/1000000</x:f>
        <x:v>35747.73840005019</x:v>
      </x:c>
      <x:c r="K92" s="62" t="n">
        <x:f>Resources!O92</x:f>
        <x:v>152.14499999999998</x:v>
      </x:c>
      <x:c r="L92" s="47" t="n">
        <x:f>Labour!L92*gw_rel*J92/Labour!B92</x:f>
        <x:v>1620.621619876715</x:v>
      </x:c>
      <x:c r="M92" s="62" t="n">
        <x:f>Champions!AQ92</x:f>
        <x:v>1785.0575143013352</x:v>
      </x:c>
      <x:c r="N92" s="47" t="n">
        <x:f>IF(Gulf!E92=1,Gulf!D92,0)</x:f>
        <x:v>0</x:v>
      </x:c>
      <x:c r="O92" s="47" t="n">
        <x:f>J92+K92+L92+M92+N92</x:f>
        <x:v>39305.56253422824</x:v>
      </x:c>
      <x:c r="P92" s="47" t="n">
        <x:f>O92*1000000/(B92+People!V92+Labour!L92)</x:f>
        <x:v>1415.0293084554835</x:v>
      </x:c>
      <x:c r="Q92" s="45" t="n">
        <x:v>476</x:v>
      </x:c>
      <x:c r="R92" s="67" t="n">
        <x:f>P92/Q92</x:f>
        <x:v>2.9727506480157215</x:v>
      </x:c>
      <x:c r="S92" s="47" t="n">
        <x:f>O92/H92</x:f>
        <x:v>28648.369194043902</x:v>
      </x:c>
    </x:row>
  </x:sheetData>
  <x:mergeCells>
    <x:mergeCell ref="B4:H4"/>
    <x:mergeCell ref="I4:P4"/>
    <x:mergeCell ref="Q4:S4"/>
  </x:mergeCells>
  <x:pageMargins left="0.7" right="0.7" top="0.75" bottom="0.75" header="0.3" footer="0.3"/>
  <x:legacyDrawing xmlns:r="http://schemas.openxmlformats.org/officeDocument/2006/relationships" r:id="R9556f2db4cb64f8d"/>
</x:worksheet>
</file>

<file path=xl/worksheets/sheet8.xml><?xml version="1.0" encoding="utf-8"?>
<x:worksheet xmlns:x="http://schemas.openxmlformats.org/spreadsheetml/2006/main">
  <x:sheetPr>
    <x:tabColor rgb="FF548235"/>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s>
  <x:sheetData>
    <x:row r="1">
      <x:c r="A1" s="18" t="inlineStr">
        <x:is>
          <x:t xml:space="preserve">Gold, metals and oil</x:t>
        </x:is>
      </x:c>
    </x:row>
    <x:row r="2">
      <x:c r="A2" s="2" t="inlineStr">
        <x:is>
          <x:t xml:space="preserve">What comes out of the ground, and what the state takes from it.</x:t>
        </x:is>
      </x:c>
    </x:row>
    <x:row r="3">
      <x:c r="A3" s="19" t="inlineStr">
        <x:is>
          <x:t xml:space="preserve">Years run down the page. Blue = input you can change · black = formula · green = link to another sheet. Hover a column heading for its definition.</x:t>
        </x:is>
      </x:c>
    </x:row>
    <x:row r="4">
      <x:c r="B4" s="56" t="inlineStr">
        <x:is>
          <x:t xml:space="preserve">Gross output, $m</x:t>
        </x:is>
      </x:c>
      <x:c r="G4" s="56" t="inlineStr">
        <x:is>
          <x:t xml:space="preserve">Concessions abroad, $m</x:t>
        </x:is>
      </x:c>
      <x:c r="I4" s="56" t="inlineStr">
        <x:is>
          <x:t xml:space="preserve">Oil</x:t>
        </x:is>
      </x:c>
      <x:c r="N4" s="56" t="inlineStr">
        <x:is>
          <x:t xml:space="preserve">Totals</x:t>
        </x:is>
      </x:c>
      <x:c r="P4" s="56" t="inlineStr">
        <x:is>
          <x:t xml:space="preserve">To the Treasury</x:t>
        </x:is>
      </x:c>
    </x:row>
    <x:row r="5" ht="54" customHeight="1">
      <x:c r="A5" s="57" t="inlineStr">
        <x:is>
          <x:t xml:space="preserve">Year</x:t>
        </x:is>
      </x:c>
      <x:c r="B5" s="6" t="inlineStr">
        <x:is>
          <x:t xml:space="preserve">California gold ($m)</x:t>
        </x:is>
      </x:c>
      <x:c r="C5" s="6" t="inlineStr">
        <x:is>
          <x:t xml:space="preserve">Interior gold &amp; silver ($m)</x:t>
        </x:is>
      </x:c>
      <x:c r="D5" s="6" t="inlineStr">
        <x:is>
          <x:t xml:space="preserve">Nevada gold &amp; silver: Goldfield and Tonopah ($m)</x:t>
        </x:is>
      </x:c>
      <x:c r="E5" s="6" t="inlineStr">
        <x:is>
          <x:t xml:space="preserve">Alaska gold ($m)</x:t>
        </x:is>
      </x:c>
      <x:c r="F5" s="6" t="inlineStr">
        <x:is>
          <x:t xml:space="preserve">Copper &amp; other metals ($m)</x:t>
        </x:is>
      </x:c>
      <x:c r="G5" s="6" t="inlineStr">
        <x:is>
          <x:t xml:space="preserve">Korean concession gold ($m)</x:t>
        </x:is>
      </x:c>
      <x:c r="H5" s="6" t="inlineStr">
        <x:is>
          <x:t xml:space="preserve">Kolyma gold, Siberian Republic ($m)</x:t>
        </x:is>
      </x:c>
      <x:c r="I5" s="6" t="inlineStr">
        <x:is>
          <x:t xml:space="preserve">Oil output before any compact (m barrels)</x:t>
        </x:is>
      </x:c>
      <x:c r="J5" s="6" t="inlineStr">
        <x:is>
          <x:t xml:space="preserve">Oil price before any compact ($ per barrel)</x:t>
        </x:is>
      </x:c>
      <x:c r="K5" s="6" t="inlineStr">
        <x:is>
          <x:t xml:space="preserve">Oil output (m barrels)</x:t>
        </x:is>
      </x:c>
      <x:c r="L5" s="6" t="inlineStr">
        <x:is>
          <x:t xml:space="preserve">Oil price ($ per barrel)</x:t>
        </x:is>
      </x:c>
      <x:c r="M5" s="6" t="inlineStr">
        <x:is>
          <x:t xml:space="preserve">Oil value ($m)</x:t>
        </x:is>
      </x:c>
      <x:c r="N5" s="6" t="inlineStr">
        <x:is>
          <x:t xml:space="preserve">Gross mineral output ($m)</x:t>
        </x:is>
      </x:c>
      <x:c r="O5" s="6" t="inlineStr">
        <x:is>
          <x:t xml:space="preserve">Mining &amp; oil value added ($m)</x:t>
        </x:is>
      </x:c>
      <x:c r="P5" s="6" t="inlineStr">
        <x:is>
          <x:t xml:space="preserve">Metal royalties ($m)</x:t>
        </x:is>
      </x:c>
      <x:c r="Q5" s="6" t="inlineStr">
        <x:is>
          <x:t xml:space="preserve">Oil royalties ($m)</x:t>
        </x:is>
      </x:c>
      <x:c r="R5" s="6" t="inlineStr">
        <x:is>
          <x:t xml:space="preserve">New gold kept as money ($m)</x:t>
        </x:is>
      </x:c>
    </x:row>
    <x:row r="6">
      <x:c r="A6" s="58" t="n">
        <x:v>1846</x:v>
      </x:c>
      <x:c r="B6" s="52" t="n">
        <x:v>0</x:v>
      </x:c>
      <x:c r="C6" s="52" t="n">
        <x:v>0</x:v>
      </x:c>
      <x:c r="D6" s="52" t="n">
        <x:v>0</x:v>
      </x:c>
      <x:c r="E6" s="52" t="n">
        <x:v>0</x:v>
      </x:c>
      <x:c r="F6" s="52" t="n">
        <x:v>0</x:v>
      </x:c>
      <x:c r="G6" s="52" t="n">
        <x:v>0</x:v>
      </x:c>
      <x:c r="H6" s="52" t="n">
        <x:v>0</x:v>
      </x:c>
      <x:c r="I6" s="52" t="n">
        <x:v>0</x:v>
      </x:c>
      <x:c r="J6" s="68" t="n">
        <x:v>0</x:v>
      </x:c>
      <x:c r="K6" s="53" t="n">
        <x:f>I6*IF(AND(oil_compact=1,$A6&gt;=compact_year),1-compact_cut,1)</x:f>
        <x:v>0</x:v>
      </x:c>
      <x:c r="L6" s="67" t="n">
        <x:f>IF(AND(oil_compact=1,$A6&gt;=compact_year),MAX(J6,compact_price),J6)</x:f>
        <x:v>0</x:v>
      </x:c>
      <x:c r="M6" s="53" t="n">
        <x:f>K6*L6</x:f>
        <x:v>0</x:v>
      </x:c>
      <x:c r="N6" s="53" t="n">
        <x:f>SUM(B6:F6)+M6</x:f>
        <x:v>0</x:v>
      </x:c>
      <x:c r="O6" s="53" t="n">
        <x:f>N6*mining_va</x:f>
        <x:v>0</x:v>
      </x:c>
      <x:c r="P6" s="53" t="n">
        <x:f>SUM(B6:F6)*roy_metal*0.9</x:f>
        <x:v>0</x:v>
      </x:c>
      <x:c r="Q6" s="53" t="n">
        <x:f>M6*roy_oil</x:f>
        <x:v>0</x:v>
      </x:c>
      <x:c r="R6" s="53" t="n">
        <x:f>SUM(B6:E6)*gold_retained+(G6+H6)*conc_gold</x:f>
        <x:v>0</x:v>
      </x:c>
    </x:row>
    <x:row r="7">
      <x:c r="A7" s="58" t="n">
        <x:v>1847</x:v>
      </x:c>
      <x:c r="B7" s="52" t="n">
        <x:v>0</x:v>
      </x:c>
      <x:c r="C7" s="52" t="n">
        <x:v>0</x:v>
      </x:c>
      <x:c r="D7" s="52" t="n">
        <x:v>0</x:v>
      </x:c>
      <x:c r="E7" s="52" t="n">
        <x:v>0</x:v>
      </x:c>
      <x:c r="F7" s="52" t="n">
        <x:v>0</x:v>
      </x:c>
      <x:c r="G7" s="52" t="n">
        <x:v>0</x:v>
      </x:c>
      <x:c r="H7" s="52" t="n">
        <x:v>0</x:v>
      </x:c>
      <x:c r="I7" s="52" t="n">
        <x:v>0</x:v>
      </x:c>
      <x:c r="J7" s="68" t="n">
        <x:v>0</x:v>
      </x:c>
      <x:c r="K7" s="53" t="n">
        <x:f>I7*IF(AND(oil_compact=1,$A7&gt;=compact_year),1-compact_cut,1)</x:f>
        <x:v>0</x:v>
      </x:c>
      <x:c r="L7" s="67" t="n">
        <x:f>IF(AND(oil_compact=1,$A7&gt;=compact_year),MAX(J7,compact_price),J7)</x:f>
        <x:v>0</x:v>
      </x:c>
      <x:c r="M7" s="53" t="n">
        <x:f>K7*L7</x:f>
        <x:v>0</x:v>
      </x:c>
      <x:c r="N7" s="53" t="n">
        <x:f>SUM(B7:F7)+M7</x:f>
        <x:v>0</x:v>
      </x:c>
      <x:c r="O7" s="53" t="n">
        <x:f>N7*mining_va</x:f>
        <x:v>0</x:v>
      </x:c>
      <x:c r="P7" s="53" t="n">
        <x:f>SUM(B7:F7)*roy_metal*0.9</x:f>
        <x:v>0</x:v>
      </x:c>
      <x:c r="Q7" s="53" t="n">
        <x:f>M7*roy_oil</x:f>
        <x:v>0</x:v>
      </x:c>
      <x:c r="R7" s="53" t="n">
        <x:f>SUM(B7:E7)*gold_retained+(G7+H7)*conc_gold</x:f>
        <x:v>0</x:v>
      </x:c>
    </x:row>
    <x:row r="8">
      <x:c r="A8" s="58" t="n">
        <x:v>1848</x:v>
      </x:c>
      <x:c r="B8" s="52" t="n">
        <x:v>10</x:v>
      </x:c>
      <x:c r="C8" s="52" t="n">
        <x:v>0</x:v>
      </x:c>
      <x:c r="D8" s="52" t="n">
        <x:v>0</x:v>
      </x:c>
      <x:c r="E8" s="52" t="n">
        <x:v>0</x:v>
      </x:c>
      <x:c r="F8" s="52" t="n">
        <x:v>0</x:v>
      </x:c>
      <x:c r="G8" s="52" t="n">
        <x:v>0</x:v>
      </x:c>
      <x:c r="H8" s="52" t="n">
        <x:v>0</x:v>
      </x:c>
      <x:c r="I8" s="52" t="n">
        <x:v>0</x:v>
      </x:c>
      <x:c r="J8" s="68" t="n">
        <x:v>0</x:v>
      </x:c>
      <x:c r="K8" s="53" t="n">
        <x:f>I8*IF(AND(oil_compact=1,$A8&gt;=compact_year),1-compact_cut,1)</x:f>
        <x:v>0</x:v>
      </x:c>
      <x:c r="L8" s="67" t="n">
        <x:f>IF(AND(oil_compact=1,$A8&gt;=compact_year),MAX(J8,compact_price),J8)</x:f>
        <x:v>0</x:v>
      </x:c>
      <x:c r="M8" s="53" t="n">
        <x:f>K8*L8</x:f>
        <x:v>0</x:v>
      </x:c>
      <x:c r="N8" s="53" t="n">
        <x:f>SUM(B8:F8)+M8</x:f>
        <x:v>10</x:v>
      </x:c>
      <x:c r="O8" s="53" t="n">
        <x:f>N8*mining_va</x:f>
        <x:v>7</x:v>
      </x:c>
      <x:c r="P8" s="53" t="n">
        <x:f>SUM(B8:F8)*roy_metal*0.9</x:f>
        <x:v>0.45</x:v>
      </x:c>
      <x:c r="Q8" s="53" t="n">
        <x:f>M8*roy_oil</x:f>
        <x:v>0</x:v>
      </x:c>
      <x:c r="R8" s="53" t="n">
        <x:f>SUM(B8:E8)*gold_retained+(G8+H8)*conc_gold</x:f>
        <x:v>2</x:v>
      </x:c>
    </x:row>
    <x:row r="9">
      <x:c r="A9" s="58" t="n">
        <x:v>1849</x:v>
      </x:c>
      <x:c r="B9" s="52" t="n">
        <x:v>40</x:v>
      </x:c>
      <x:c r="C9" s="52" t="n">
        <x:v>0</x:v>
      </x:c>
      <x:c r="D9" s="52" t="n">
        <x:v>0</x:v>
      </x:c>
      <x:c r="E9" s="52" t="n">
        <x:v>0</x:v>
      </x:c>
      <x:c r="F9" s="52" t="n">
        <x:v>0</x:v>
      </x:c>
      <x:c r="G9" s="52" t="n">
        <x:v>0</x:v>
      </x:c>
      <x:c r="H9" s="52" t="n">
        <x:v>0</x:v>
      </x:c>
      <x:c r="I9" s="52" t="n">
        <x:v>0</x:v>
      </x:c>
      <x:c r="J9" s="68" t="n">
        <x:v>0</x:v>
      </x:c>
      <x:c r="K9" s="53" t="n">
        <x:f>I9*IF(AND(oil_compact=1,$A9&gt;=compact_year),1-compact_cut,1)</x:f>
        <x:v>0</x:v>
      </x:c>
      <x:c r="L9" s="67" t="n">
        <x:f>IF(AND(oil_compact=1,$A9&gt;=compact_year),MAX(J9,compact_price),J9)</x:f>
        <x:v>0</x:v>
      </x:c>
      <x:c r="M9" s="53" t="n">
        <x:f>K9*L9</x:f>
        <x:v>0</x:v>
      </x:c>
      <x:c r="N9" s="53" t="n">
        <x:f>SUM(B9:F9)+M9</x:f>
        <x:v>40</x:v>
      </x:c>
      <x:c r="O9" s="53" t="n">
        <x:f>N9*mining_va</x:f>
        <x:v>28</x:v>
      </x:c>
      <x:c r="P9" s="53" t="n">
        <x:f>SUM(B9:F9)*roy_metal*0.9</x:f>
        <x:v>1.8</x:v>
      </x:c>
      <x:c r="Q9" s="53" t="n">
        <x:f>M9*roy_oil</x:f>
        <x:v>0</x:v>
      </x:c>
      <x:c r="R9" s="53" t="n">
        <x:f>SUM(B9:E9)*gold_retained+(G9+H9)*conc_gold</x:f>
        <x:v>8</x:v>
      </x:c>
    </x:row>
    <x:row r="10">
      <x:c r="A10" s="58" t="n">
        <x:v>1850</x:v>
      </x:c>
      <x:c r="B10" s="52" t="n">
        <x:v>41</x:v>
      </x:c>
      <x:c r="C10" s="52" t="n">
        <x:v>0</x:v>
      </x:c>
      <x:c r="D10" s="52" t="n">
        <x:v>0</x:v>
      </x:c>
      <x:c r="E10" s="52" t="n">
        <x:v>0</x:v>
      </x:c>
      <x:c r="F10" s="52" t="n">
        <x:v>0</x:v>
      </x:c>
      <x:c r="G10" s="52" t="n">
        <x:v>0</x:v>
      </x:c>
      <x:c r="H10" s="52" t="n">
        <x:v>0</x:v>
      </x:c>
      <x:c r="I10" s="52" t="n">
        <x:v>0</x:v>
      </x:c>
      <x:c r="J10" s="68" t="n">
        <x:v>0</x:v>
      </x:c>
      <x:c r="K10" s="53" t="n">
        <x:f>I10*IF(AND(oil_compact=1,$A10&gt;=compact_year),1-compact_cut,1)</x:f>
        <x:v>0</x:v>
      </x:c>
      <x:c r="L10" s="67" t="n">
        <x:f>IF(AND(oil_compact=1,$A10&gt;=compact_year),MAX(J10,compact_price),J10)</x:f>
        <x:v>0</x:v>
      </x:c>
      <x:c r="M10" s="53" t="n">
        <x:f>K10*L10</x:f>
        <x:v>0</x:v>
      </x:c>
      <x:c r="N10" s="53" t="n">
        <x:f>SUM(B10:F10)+M10</x:f>
        <x:v>41</x:v>
      </x:c>
      <x:c r="O10" s="53" t="n">
        <x:f>N10*mining_va</x:f>
        <x:v>28.7</x:v>
      </x:c>
      <x:c r="P10" s="53" t="n">
        <x:f>SUM(B10:F10)*roy_metal*0.9</x:f>
        <x:v>1.8450000000000002</x:v>
      </x:c>
      <x:c r="Q10" s="53" t="n">
        <x:f>M10*roy_oil</x:f>
        <x:v>0</x:v>
      </x:c>
      <x:c r="R10" s="53" t="n">
        <x:f>SUM(B10:E10)*gold_retained+(G10+H10)*conc_gold</x:f>
        <x:v>8.200000000000001</x:v>
      </x:c>
    </x:row>
    <x:row r="11">
      <x:c r="A11" s="58" t="n">
        <x:v>1851</x:v>
      </x:c>
      <x:c r="B11" s="52" t="n">
        <x:v>75</x:v>
      </x:c>
      <x:c r="C11" s="52" t="n">
        <x:v>0</x:v>
      </x:c>
      <x:c r="D11" s="52" t="n">
        <x:v>0</x:v>
      </x:c>
      <x:c r="E11" s="52" t="n">
        <x:v>0</x:v>
      </x:c>
      <x:c r="F11" s="52" t="n">
        <x:v>0</x:v>
      </x:c>
      <x:c r="G11" s="52" t="n">
        <x:v>0</x:v>
      </x:c>
      <x:c r="H11" s="52" t="n">
        <x:v>0</x:v>
      </x:c>
      <x:c r="I11" s="52" t="n">
        <x:v>0</x:v>
      </x:c>
      <x:c r="J11" s="68" t="n">
        <x:v>0</x:v>
      </x:c>
      <x:c r="K11" s="53" t="n">
        <x:f>I11*IF(AND(oil_compact=1,$A11&gt;=compact_year),1-compact_cut,1)</x:f>
        <x:v>0</x:v>
      </x:c>
      <x:c r="L11" s="67" t="n">
        <x:f>IF(AND(oil_compact=1,$A11&gt;=compact_year),MAX(J11,compact_price),J11)</x:f>
        <x:v>0</x:v>
      </x:c>
      <x:c r="M11" s="53" t="n">
        <x:f>K11*L11</x:f>
        <x:v>0</x:v>
      </x:c>
      <x:c r="N11" s="53" t="n">
        <x:f>SUM(B11:F11)+M11</x:f>
        <x:v>75</x:v>
      </x:c>
      <x:c r="O11" s="53" t="n">
        <x:f>N11*mining_va</x:f>
        <x:v>52.5</x:v>
      </x:c>
      <x:c r="P11" s="53" t="n">
        <x:f>SUM(B11:F11)*roy_metal*0.9</x:f>
        <x:v>3.375</x:v>
      </x:c>
      <x:c r="Q11" s="53" t="n">
        <x:f>M11*roy_oil</x:f>
        <x:v>0</x:v>
      </x:c>
      <x:c r="R11" s="53" t="n">
        <x:f>SUM(B11:E11)*gold_retained+(G11+H11)*conc_gold</x:f>
        <x:v>15</x:v>
      </x:c>
    </x:row>
    <x:row r="12">
      <x:c r="A12" s="58" t="n">
        <x:v>1852</x:v>
      </x:c>
      <x:c r="B12" s="52" t="n">
        <x:v>81</x:v>
      </x:c>
      <x:c r="C12" s="52" t="n">
        <x:v>0</x:v>
      </x:c>
      <x:c r="D12" s="52" t="n">
        <x:v>0</x:v>
      </x:c>
      <x:c r="E12" s="52" t="n">
        <x:v>0</x:v>
      </x:c>
      <x:c r="F12" s="52" t="n">
        <x:v>0</x:v>
      </x:c>
      <x:c r="G12" s="52" t="n">
        <x:v>0</x:v>
      </x:c>
      <x:c r="H12" s="52" t="n">
        <x:v>0</x:v>
      </x:c>
      <x:c r="I12" s="52" t="n">
        <x:v>0</x:v>
      </x:c>
      <x:c r="J12" s="68" t="n">
        <x:v>0</x:v>
      </x:c>
      <x:c r="K12" s="53" t="n">
        <x:f>I12*IF(AND(oil_compact=1,$A12&gt;=compact_year),1-compact_cut,1)</x:f>
        <x:v>0</x:v>
      </x:c>
      <x:c r="L12" s="67" t="n">
        <x:f>IF(AND(oil_compact=1,$A12&gt;=compact_year),MAX(J12,compact_price),J12)</x:f>
        <x:v>0</x:v>
      </x:c>
      <x:c r="M12" s="53" t="n">
        <x:f>K12*L12</x:f>
        <x:v>0</x:v>
      </x:c>
      <x:c r="N12" s="53" t="n">
        <x:f>SUM(B12:F12)+M12</x:f>
        <x:v>81</x:v>
      </x:c>
      <x:c r="O12" s="53" t="n">
        <x:f>N12*mining_va</x:f>
        <x:v>56.699999999999996</x:v>
      </x:c>
      <x:c r="P12" s="53" t="n">
        <x:f>SUM(B12:F12)*roy_metal*0.9</x:f>
        <x:v>3.645</x:v>
      </x:c>
      <x:c r="Q12" s="53" t="n">
        <x:f>M12*roy_oil</x:f>
        <x:v>0</x:v>
      </x:c>
      <x:c r="R12" s="53" t="n">
        <x:f>SUM(B12:E12)*gold_retained+(G12+H12)*conc_gold</x:f>
        <x:v>16.2</x:v>
      </x:c>
    </x:row>
    <x:row r="13">
      <x:c r="A13" s="58" t="n">
        <x:v>1853</x:v>
      </x:c>
      <x:c r="B13" s="52" t="n">
        <x:v>67</x:v>
      </x:c>
      <x:c r="C13" s="52" t="n">
        <x:v>0</x:v>
      </x:c>
      <x:c r="D13" s="52" t="n">
        <x:v>0</x:v>
      </x:c>
      <x:c r="E13" s="52" t="n">
        <x:v>0</x:v>
      </x:c>
      <x:c r="F13" s="52" t="n">
        <x:v>0</x:v>
      </x:c>
      <x:c r="G13" s="52" t="n">
        <x:v>0</x:v>
      </x:c>
      <x:c r="H13" s="52" t="n">
        <x:v>0</x:v>
      </x:c>
      <x:c r="I13" s="52" t="n">
        <x:v>0</x:v>
      </x:c>
      <x:c r="J13" s="68" t="n">
        <x:v>0</x:v>
      </x:c>
      <x:c r="K13" s="53" t="n">
        <x:f>I13*IF(AND(oil_compact=1,$A13&gt;=compact_year),1-compact_cut,1)</x:f>
        <x:v>0</x:v>
      </x:c>
      <x:c r="L13" s="67" t="n">
        <x:f>IF(AND(oil_compact=1,$A13&gt;=compact_year),MAX(J13,compact_price),J13)</x:f>
        <x:v>0</x:v>
      </x:c>
      <x:c r="M13" s="53" t="n">
        <x:f>K13*L13</x:f>
        <x:v>0</x:v>
      </x:c>
      <x:c r="N13" s="53" t="n">
        <x:f>SUM(B13:F13)+M13</x:f>
        <x:v>67</x:v>
      </x:c>
      <x:c r="O13" s="53" t="n">
        <x:f>N13*mining_va</x:f>
        <x:v>46.9</x:v>
      </x:c>
      <x:c r="P13" s="53" t="n">
        <x:f>SUM(B13:F13)*roy_metal*0.9</x:f>
        <x:v>3.015</x:v>
      </x:c>
      <x:c r="Q13" s="53" t="n">
        <x:f>M13*roy_oil</x:f>
        <x:v>0</x:v>
      </x:c>
      <x:c r="R13" s="53" t="n">
        <x:f>SUM(B13:E13)*gold_retained+(G13+H13)*conc_gold</x:f>
        <x:v>13.4</x:v>
      </x:c>
    </x:row>
    <x:row r="14">
      <x:c r="A14" s="58" t="n">
        <x:v>1854</x:v>
      </x:c>
      <x:c r="B14" s="52" t="n">
        <x:v>69</x:v>
      </x:c>
      <x:c r="C14" s="52" t="n">
        <x:v>0</x:v>
      </x:c>
      <x:c r="D14" s="52" t="n">
        <x:v>0</x:v>
      </x:c>
      <x:c r="E14" s="52" t="n">
        <x:v>0</x:v>
      </x:c>
      <x:c r="F14" s="52" t="n">
        <x:v>0</x:v>
      </x:c>
      <x:c r="G14" s="52" t="n">
        <x:v>0</x:v>
      </x:c>
      <x:c r="H14" s="52" t="n">
        <x:v>0</x:v>
      </x:c>
      <x:c r="I14" s="52" t="n">
        <x:v>0</x:v>
      </x:c>
      <x:c r="J14" s="68" t="n">
        <x:v>0</x:v>
      </x:c>
      <x:c r="K14" s="53" t="n">
        <x:f>I14*IF(AND(oil_compact=1,$A14&gt;=compact_year),1-compact_cut,1)</x:f>
        <x:v>0</x:v>
      </x:c>
      <x:c r="L14" s="67" t="n">
        <x:f>IF(AND(oil_compact=1,$A14&gt;=compact_year),MAX(J14,compact_price),J14)</x:f>
        <x:v>0</x:v>
      </x:c>
      <x:c r="M14" s="53" t="n">
        <x:f>K14*L14</x:f>
        <x:v>0</x:v>
      </x:c>
      <x:c r="N14" s="53" t="n">
        <x:f>SUM(B14:F14)+M14</x:f>
        <x:v>69</x:v>
      </x:c>
      <x:c r="O14" s="53" t="n">
        <x:f>N14*mining_va</x:f>
        <x:v>48.3</x:v>
      </x:c>
      <x:c r="P14" s="53" t="n">
        <x:f>SUM(B14:F14)*roy_metal*0.9</x:f>
        <x:v>3.1050000000000004</x:v>
      </x:c>
      <x:c r="Q14" s="53" t="n">
        <x:f>M14*roy_oil</x:f>
        <x:v>0</x:v>
      </x:c>
      <x:c r="R14" s="53" t="n">
        <x:f>SUM(B14:E14)*gold_retained+(G14+H14)*conc_gold</x:f>
        <x:v>13.8</x:v>
      </x:c>
    </x:row>
    <x:row r="15">
      <x:c r="A15" s="58" t="n">
        <x:v>1855</x:v>
      </x:c>
      <x:c r="B15" s="52" t="n">
        <x:v>55</x:v>
      </x:c>
      <x:c r="C15" s="52" t="n">
        <x:v>0</x:v>
      </x:c>
      <x:c r="D15" s="52" t="n">
        <x:v>0</x:v>
      </x:c>
      <x:c r="E15" s="52" t="n">
        <x:v>0</x:v>
      </x:c>
      <x:c r="F15" s="52" t="n">
        <x:v>0</x:v>
      </x:c>
      <x:c r="G15" s="52" t="n">
        <x:v>0</x:v>
      </x:c>
      <x:c r="H15" s="52" t="n">
        <x:v>0</x:v>
      </x:c>
      <x:c r="I15" s="52" t="n">
        <x:v>0</x:v>
      </x:c>
      <x:c r="J15" s="68" t="n">
        <x:v>0</x:v>
      </x:c>
      <x:c r="K15" s="53" t="n">
        <x:f>I15*IF(AND(oil_compact=1,$A15&gt;=compact_year),1-compact_cut,1)</x:f>
        <x:v>0</x:v>
      </x:c>
      <x:c r="L15" s="67" t="n">
        <x:f>IF(AND(oil_compact=1,$A15&gt;=compact_year),MAX(J15,compact_price),J15)</x:f>
        <x:v>0</x:v>
      </x:c>
      <x:c r="M15" s="53" t="n">
        <x:f>K15*L15</x:f>
        <x:v>0</x:v>
      </x:c>
      <x:c r="N15" s="53" t="n">
        <x:f>SUM(B15:F15)+M15</x:f>
        <x:v>55</x:v>
      </x:c>
      <x:c r="O15" s="53" t="n">
        <x:f>N15*mining_va</x:f>
        <x:v>38.5</x:v>
      </x:c>
      <x:c r="P15" s="53" t="n">
        <x:f>SUM(B15:F15)*roy_metal*0.9</x:f>
        <x:v>2.475</x:v>
      </x:c>
      <x:c r="Q15" s="53" t="n">
        <x:f>M15*roy_oil</x:f>
        <x:v>0</x:v>
      </x:c>
      <x:c r="R15" s="53" t="n">
        <x:f>SUM(B15:E15)*gold_retained+(G15+H15)*conc_gold</x:f>
        <x:v>11</x:v>
      </x:c>
    </x:row>
    <x:row r="16">
      <x:c r="A16" s="58" t="n">
        <x:v>1856</x:v>
      </x:c>
      <x:c r="B16" s="52" t="n">
        <x:v>57</x:v>
      </x:c>
      <x:c r="C16" s="52" t="n">
        <x:v>0</x:v>
      </x:c>
      <x:c r="D16" s="52" t="n">
        <x:v>0</x:v>
      </x:c>
      <x:c r="E16" s="52" t="n">
        <x:v>0</x:v>
      </x:c>
      <x:c r="F16" s="52" t="n">
        <x:v>0</x:v>
      </x:c>
      <x:c r="G16" s="52" t="n">
        <x:v>0</x:v>
      </x:c>
      <x:c r="H16" s="52" t="n">
        <x:v>0</x:v>
      </x:c>
      <x:c r="I16" s="52" t="n">
        <x:v>0</x:v>
      </x:c>
      <x:c r="J16" s="68" t="n">
        <x:v>0</x:v>
      </x:c>
      <x:c r="K16" s="53" t="n">
        <x:f>I16*IF(AND(oil_compact=1,$A16&gt;=compact_year),1-compact_cut,1)</x:f>
        <x:v>0</x:v>
      </x:c>
      <x:c r="L16" s="67" t="n">
        <x:f>IF(AND(oil_compact=1,$A16&gt;=compact_year),MAX(J16,compact_price),J16)</x:f>
        <x:v>0</x:v>
      </x:c>
      <x:c r="M16" s="53" t="n">
        <x:f>K16*L16</x:f>
        <x:v>0</x:v>
      </x:c>
      <x:c r="N16" s="53" t="n">
        <x:f>SUM(B16:F16)+M16</x:f>
        <x:v>57</x:v>
      </x:c>
      <x:c r="O16" s="53" t="n">
        <x:f>N16*mining_va</x:f>
        <x:v>39.9</x:v>
      </x:c>
      <x:c r="P16" s="53" t="n">
        <x:f>SUM(B16:F16)*roy_metal*0.9</x:f>
        <x:v>2.565</x:v>
      </x:c>
      <x:c r="Q16" s="53" t="n">
        <x:f>M16*roy_oil</x:f>
        <x:v>0</x:v>
      </x:c>
      <x:c r="R16" s="53" t="n">
        <x:f>SUM(B16:E16)*gold_retained+(G16+H16)*conc_gold</x:f>
        <x:v>11.4</x:v>
      </x:c>
    </x:row>
    <x:row r="17">
      <x:c r="A17" s="58" t="n">
        <x:v>1857</x:v>
      </x:c>
      <x:c r="B17" s="52" t="n">
        <x:v>43</x:v>
      </x:c>
      <x:c r="C17" s="52" t="n">
        <x:v>0</x:v>
      </x:c>
      <x:c r="D17" s="52" t="n">
        <x:v>0</x:v>
      </x:c>
      <x:c r="E17" s="52" t="n">
        <x:v>0</x:v>
      </x:c>
      <x:c r="F17" s="52" t="n">
        <x:v>0</x:v>
      </x:c>
      <x:c r="G17" s="52" t="n">
        <x:v>0</x:v>
      </x:c>
      <x:c r="H17" s="52" t="n">
        <x:v>0</x:v>
      </x:c>
      <x:c r="I17" s="52" t="n">
        <x:v>0</x:v>
      </x:c>
      <x:c r="J17" s="68" t="n">
        <x:v>0</x:v>
      </x:c>
      <x:c r="K17" s="53" t="n">
        <x:f>I17*IF(AND(oil_compact=1,$A17&gt;=compact_year),1-compact_cut,1)</x:f>
        <x:v>0</x:v>
      </x:c>
      <x:c r="L17" s="67" t="n">
        <x:f>IF(AND(oil_compact=1,$A17&gt;=compact_year),MAX(J17,compact_price),J17)</x:f>
        <x:v>0</x:v>
      </x:c>
      <x:c r="M17" s="53" t="n">
        <x:f>K17*L17</x:f>
        <x:v>0</x:v>
      </x:c>
      <x:c r="N17" s="53" t="n">
        <x:f>SUM(B17:F17)+M17</x:f>
        <x:v>43</x:v>
      </x:c>
      <x:c r="O17" s="53" t="n">
        <x:f>N17*mining_va</x:f>
        <x:v>30.099999999999998</x:v>
      </x:c>
      <x:c r="P17" s="53" t="n">
        <x:f>SUM(B17:F17)*roy_metal*0.9</x:f>
        <x:v>1.935</x:v>
      </x:c>
      <x:c r="Q17" s="53" t="n">
        <x:f>M17*roy_oil</x:f>
        <x:v>0</x:v>
      </x:c>
      <x:c r="R17" s="53" t="n">
        <x:f>SUM(B17:E17)*gold_retained+(G17+H17)*conc_gold</x:f>
        <x:v>8.6</x:v>
      </x:c>
    </x:row>
    <x:row r="18">
      <x:c r="A18" s="58" t="n">
        <x:v>1858</x:v>
      </x:c>
      <x:c r="B18" s="52" t="n">
        <x:v>47</x:v>
      </x:c>
      <x:c r="C18" s="52" t="n">
        <x:v>0</x:v>
      </x:c>
      <x:c r="D18" s="52" t="n">
        <x:v>0</x:v>
      </x:c>
      <x:c r="E18" s="52" t="n">
        <x:v>0</x:v>
      </x:c>
      <x:c r="F18" s="52" t="n">
        <x:v>0</x:v>
      </x:c>
      <x:c r="G18" s="52" t="n">
        <x:v>0</x:v>
      </x:c>
      <x:c r="H18" s="52" t="n">
        <x:v>0</x:v>
      </x:c>
      <x:c r="I18" s="52" t="n">
        <x:v>0</x:v>
      </x:c>
      <x:c r="J18" s="68" t="n">
        <x:v>0</x:v>
      </x:c>
      <x:c r="K18" s="53" t="n">
        <x:f>I18*IF(AND(oil_compact=1,$A18&gt;=compact_year),1-compact_cut,1)</x:f>
        <x:v>0</x:v>
      </x:c>
      <x:c r="L18" s="67" t="n">
        <x:f>IF(AND(oil_compact=1,$A18&gt;=compact_year),MAX(J18,compact_price),J18)</x:f>
        <x:v>0</x:v>
      </x:c>
      <x:c r="M18" s="53" t="n">
        <x:f>K18*L18</x:f>
        <x:v>0</x:v>
      </x:c>
      <x:c r="N18" s="53" t="n">
        <x:f>SUM(B18:F18)+M18</x:f>
        <x:v>47</x:v>
      </x:c>
      <x:c r="O18" s="53" t="n">
        <x:f>N18*mining_va</x:f>
        <x:v>32.9</x:v>
      </x:c>
      <x:c r="P18" s="53" t="n">
        <x:f>SUM(B18:F18)*roy_metal*0.9</x:f>
        <x:v>2.115</x:v>
      </x:c>
      <x:c r="Q18" s="53" t="n">
        <x:f>M18*roy_oil</x:f>
        <x:v>0</x:v>
      </x:c>
      <x:c r="R18" s="53" t="n">
        <x:f>SUM(B18:E18)*gold_retained+(G18+H18)*conc_gold</x:f>
        <x:v>9.4</x:v>
      </x:c>
    </x:row>
    <x:row r="19">
      <x:c r="A19" s="58" t="n">
        <x:v>1859</x:v>
      </x:c>
      <x:c r="B19" s="52" t="n">
        <x:v>46</x:v>
      </x:c>
      <x:c r="C19" s="52" t="n">
        <x:v>0</x:v>
      </x:c>
      <x:c r="D19" s="52" t="n">
        <x:v>0</x:v>
      </x:c>
      <x:c r="E19" s="52" t="n">
        <x:v>0</x:v>
      </x:c>
      <x:c r="F19" s="52" t="n">
        <x:v>0</x:v>
      </x:c>
      <x:c r="G19" s="52" t="n">
        <x:v>0</x:v>
      </x:c>
      <x:c r="H19" s="52" t="n">
        <x:v>0</x:v>
      </x:c>
      <x:c r="I19" s="52" t="n">
        <x:v>0</x:v>
      </x:c>
      <x:c r="J19" s="68" t="n">
        <x:v>0</x:v>
      </x:c>
      <x:c r="K19" s="53" t="n">
        <x:f>I19*IF(AND(oil_compact=1,$A19&gt;=compact_year),1-compact_cut,1)</x:f>
        <x:v>0</x:v>
      </x:c>
      <x:c r="L19" s="67" t="n">
        <x:f>IF(AND(oil_compact=1,$A19&gt;=compact_year),MAX(J19,compact_price),J19)</x:f>
        <x:v>0</x:v>
      </x:c>
      <x:c r="M19" s="53" t="n">
        <x:f>K19*L19</x:f>
        <x:v>0</x:v>
      </x:c>
      <x:c r="N19" s="53" t="n">
        <x:f>SUM(B19:F19)+M19</x:f>
        <x:v>46</x:v>
      </x:c>
      <x:c r="O19" s="53" t="n">
        <x:f>N19*mining_va</x:f>
        <x:v>32.199999999999996</x:v>
      </x:c>
      <x:c r="P19" s="53" t="n">
        <x:f>SUM(B19:F19)*roy_metal*0.9</x:f>
        <x:v>2.0700000000000003</x:v>
      </x:c>
      <x:c r="Q19" s="53" t="n">
        <x:f>M19*roy_oil</x:f>
        <x:v>0</x:v>
      </x:c>
      <x:c r="R19" s="53" t="n">
        <x:f>SUM(B19:E19)*gold_retained+(G19+H19)*conc_gold</x:f>
        <x:v>9.200000000000001</x:v>
      </x:c>
    </x:row>
    <x:row r="20">
      <x:c r="A20" s="58" t="n">
        <x:v>1860</x:v>
      </x:c>
      <x:c r="B20" s="52" t="n">
        <x:v>45</x:v>
      </x:c>
      <x:c r="C20" s="52" t="n">
        <x:v>0</x:v>
      </x:c>
      <x:c r="D20" s="52" t="n">
        <x:v>0</x:v>
      </x:c>
      <x:c r="E20" s="52" t="n">
        <x:v>0</x:v>
      </x:c>
      <x:c r="F20" s="52" t="n">
        <x:v>0</x:v>
      </x:c>
      <x:c r="G20" s="52" t="n">
        <x:v>0</x:v>
      </x:c>
      <x:c r="H20" s="52" t="n">
        <x:v>0</x:v>
      </x:c>
      <x:c r="I20" s="52" t="n">
        <x:v>0</x:v>
      </x:c>
      <x:c r="J20" s="68" t="n">
        <x:v>0</x:v>
      </x:c>
      <x:c r="K20" s="53" t="n">
        <x:f>I20*IF(AND(oil_compact=1,$A20&gt;=compact_year),1-compact_cut,1)</x:f>
        <x:v>0</x:v>
      </x:c>
      <x:c r="L20" s="67" t="n">
        <x:f>IF(AND(oil_compact=1,$A20&gt;=compact_year),MAX(J20,compact_price),J20)</x:f>
        <x:v>0</x:v>
      </x:c>
      <x:c r="M20" s="53" t="n">
        <x:f>K20*L20</x:f>
        <x:v>0</x:v>
      </x:c>
      <x:c r="N20" s="53" t="n">
        <x:f>SUM(B20:F20)+M20</x:f>
        <x:v>45</x:v>
      </x:c>
      <x:c r="O20" s="53" t="n">
        <x:f>N20*mining_va</x:f>
        <x:v>31.499999999999996</x:v>
      </x:c>
      <x:c r="P20" s="53" t="n">
        <x:f>SUM(B20:F20)*roy_metal*0.9</x:f>
        <x:v>2.025</x:v>
      </x:c>
      <x:c r="Q20" s="53" t="n">
        <x:f>M20*roy_oil</x:f>
        <x:v>0</x:v>
      </x:c>
      <x:c r="R20" s="53" t="n">
        <x:f>SUM(B20:E20)*gold_retained+(G20+H20)*conc_gold</x:f>
        <x:v>9</x:v>
      </x:c>
    </x:row>
    <x:row r="21">
      <x:c r="A21" s="61" t="n">
        <x:v>1861</x:v>
      </x:c>
      <x:c r="B21" s="52" t="n">
        <x:v>41</x:v>
      </x:c>
      <x:c r="C21" s="52" t="n">
        <x:v>0</x:v>
      </x:c>
      <x:c r="D21" s="52" t="n">
        <x:v>0</x:v>
      </x:c>
      <x:c r="E21" s="52" t="n">
        <x:v>0</x:v>
      </x:c>
      <x:c r="F21" s="52" t="n">
        <x:v>0</x:v>
      </x:c>
      <x:c r="G21" s="52" t="n">
        <x:v>0</x:v>
      </x:c>
      <x:c r="H21" s="52" t="n">
        <x:v>0</x:v>
      </x:c>
      <x:c r="I21" s="52" t="n">
        <x:v>0</x:v>
      </x:c>
      <x:c r="J21" s="68" t="n">
        <x:v>0</x:v>
      </x:c>
      <x:c r="K21" s="53" t="n">
        <x:f>I21*IF(AND(oil_compact=1,$A21&gt;=compact_year),1-compact_cut,1)</x:f>
        <x:v>0</x:v>
      </x:c>
      <x:c r="L21" s="67" t="n">
        <x:f>IF(AND(oil_compact=1,$A21&gt;=compact_year),MAX(J21,compact_price),J21)</x:f>
        <x:v>0</x:v>
      </x:c>
      <x:c r="M21" s="53" t="n">
        <x:f>K21*L21</x:f>
        <x:v>0</x:v>
      </x:c>
      <x:c r="N21" s="53" t="n">
        <x:f>SUM(B21:F21)+M21</x:f>
        <x:v>41</x:v>
      </x:c>
      <x:c r="O21" s="53" t="n">
        <x:f>N21*mining_va</x:f>
        <x:v>28.7</x:v>
      </x:c>
      <x:c r="P21" s="53" t="n">
        <x:f>SUM(B21:F21)*roy_metal*0.9</x:f>
        <x:v>1.8450000000000002</x:v>
      </x:c>
      <x:c r="Q21" s="53" t="n">
        <x:f>M21*roy_oil</x:f>
        <x:v>0</x:v>
      </x:c>
      <x:c r="R21" s="53" t="n">
        <x:f>SUM(B21:E21)*gold_retained+(G21+H21)*conc_gold</x:f>
        <x:v>8.200000000000001</x:v>
      </x:c>
    </x:row>
    <x:row r="22">
      <x:c r="A22" s="61" t="n">
        <x:v>1862</x:v>
      </x:c>
      <x:c r="B22" s="52" t="n">
        <x:v>38</x:v>
      </x:c>
      <x:c r="C22" s="52" t="n">
        <x:v>0</x:v>
      </x:c>
      <x:c r="D22" s="52" t="n">
        <x:v>0</x:v>
      </x:c>
      <x:c r="E22" s="52" t="n">
        <x:v>0</x:v>
      </x:c>
      <x:c r="F22" s="52" t="n">
        <x:v>0</x:v>
      </x:c>
      <x:c r="G22" s="52" t="n">
        <x:v>0</x:v>
      </x:c>
      <x:c r="H22" s="52" t="n">
        <x:v>0</x:v>
      </x:c>
      <x:c r="I22" s="52" t="n">
        <x:v>0</x:v>
      </x:c>
      <x:c r="J22" s="68" t="n">
        <x:v>0</x:v>
      </x:c>
      <x:c r="K22" s="53" t="n">
        <x:f>I22*IF(AND(oil_compact=1,$A22&gt;=compact_year),1-compact_cut,1)</x:f>
        <x:v>0</x:v>
      </x:c>
      <x:c r="L22" s="67" t="n">
        <x:f>IF(AND(oil_compact=1,$A22&gt;=compact_year),MAX(J22,compact_price),J22)</x:f>
        <x:v>0</x:v>
      </x:c>
      <x:c r="M22" s="53" t="n">
        <x:f>K22*L22</x:f>
        <x:v>0</x:v>
      </x:c>
      <x:c r="N22" s="53" t="n">
        <x:f>SUM(B22:F22)+M22</x:f>
        <x:v>38</x:v>
      </x:c>
      <x:c r="O22" s="53" t="n">
        <x:f>N22*mining_va</x:f>
        <x:v>26.599999999999998</x:v>
      </x:c>
      <x:c r="P22" s="53" t="n">
        <x:f>SUM(B22:F22)*roy_metal*0.9</x:f>
        <x:v>1.7100000000000002</x:v>
      </x:c>
      <x:c r="Q22" s="53" t="n">
        <x:f>M22*roy_oil</x:f>
        <x:v>0</x:v>
      </x:c>
      <x:c r="R22" s="53" t="n">
        <x:f>SUM(B22:E22)*gold_retained+(G22+H22)*conc_gold</x:f>
        <x:v>7.6000000000000005</x:v>
      </x:c>
    </x:row>
    <x:row r="23">
      <x:c r="A23" s="61" t="n">
        <x:v>1863</x:v>
      </x:c>
      <x:c r="B23" s="52" t="n">
        <x:v>23</x:v>
      </x:c>
      <x:c r="C23" s="52" t="n">
        <x:v>15</x:v>
      </x:c>
      <x:c r="D23" s="52" t="n">
        <x:v>0</x:v>
      </x:c>
      <x:c r="E23" s="52" t="n">
        <x:v>0</x:v>
      </x:c>
      <x:c r="F23" s="52" t="n">
        <x:v>0</x:v>
      </x:c>
      <x:c r="G23" s="52" t="n">
        <x:v>0</x:v>
      </x:c>
      <x:c r="H23" s="52" t="n">
        <x:v>0</x:v>
      </x:c>
      <x:c r="I23" s="52" t="n">
        <x:v>0</x:v>
      </x:c>
      <x:c r="J23" s="68" t="n">
        <x:v>0</x:v>
      </x:c>
      <x:c r="K23" s="53" t="n">
        <x:f>I23*IF(AND(oil_compact=1,$A23&gt;=compact_year),1-compact_cut,1)</x:f>
        <x:v>0</x:v>
      </x:c>
      <x:c r="L23" s="67" t="n">
        <x:f>IF(AND(oil_compact=1,$A23&gt;=compact_year),MAX(J23,compact_price),J23)</x:f>
        <x:v>0</x:v>
      </x:c>
      <x:c r="M23" s="53" t="n">
        <x:f>K23*L23</x:f>
        <x:v>0</x:v>
      </x:c>
      <x:c r="N23" s="53" t="n">
        <x:f>SUM(B23:F23)+M23</x:f>
        <x:v>38</x:v>
      </x:c>
      <x:c r="O23" s="53" t="n">
        <x:f>N23*mining_va</x:f>
        <x:v>26.599999999999998</x:v>
      </x:c>
      <x:c r="P23" s="53" t="n">
        <x:f>SUM(B23:F23)*roy_metal*0.9</x:f>
        <x:v>1.7100000000000002</x:v>
      </x:c>
      <x:c r="Q23" s="53" t="n">
        <x:f>M23*roy_oil</x:f>
        <x:v>0</x:v>
      </x:c>
      <x:c r="R23" s="53" t="n">
        <x:f>SUM(B23:E23)*gold_retained+(G23+H23)*conc_gold</x:f>
        <x:v>7.6000000000000005</x:v>
      </x:c>
    </x:row>
    <x:row r="24">
      <x:c r="A24" s="61" t="n">
        <x:v>1864</x:v>
      </x:c>
      <x:c r="B24" s="52" t="n">
        <x:v>24</x:v>
      </x:c>
      <x:c r="C24" s="52" t="n">
        <x:v>35</x:v>
      </x:c>
      <x:c r="D24" s="52" t="n">
        <x:v>0</x:v>
      </x:c>
      <x:c r="E24" s="52" t="n">
        <x:v>0</x:v>
      </x:c>
      <x:c r="F24" s="52" t="n">
        <x:v>0</x:v>
      </x:c>
      <x:c r="G24" s="52" t="n">
        <x:v>0</x:v>
      </x:c>
      <x:c r="H24" s="52" t="n">
        <x:v>0</x:v>
      </x:c>
      <x:c r="I24" s="52" t="n">
        <x:v>0</x:v>
      </x:c>
      <x:c r="J24" s="68" t="n">
        <x:v>0</x:v>
      </x:c>
      <x:c r="K24" s="53" t="n">
        <x:f>I24*IF(AND(oil_compact=1,$A24&gt;=compact_year),1-compact_cut,1)</x:f>
        <x:v>0</x:v>
      </x:c>
      <x:c r="L24" s="67" t="n">
        <x:f>IF(AND(oil_compact=1,$A24&gt;=compact_year),MAX(J24,compact_price),J24)</x:f>
        <x:v>0</x:v>
      </x:c>
      <x:c r="M24" s="53" t="n">
        <x:f>K24*L24</x:f>
        <x:v>0</x:v>
      </x:c>
      <x:c r="N24" s="53" t="n">
        <x:f>SUM(B24:F24)+M24</x:f>
        <x:v>59</x:v>
      </x:c>
      <x:c r="O24" s="53" t="n">
        <x:f>N24*mining_va</x:f>
        <x:v>41.3</x:v>
      </x:c>
      <x:c r="P24" s="53" t="n">
        <x:f>SUM(B24:F24)*roy_metal*0.9</x:f>
        <x:v>2.6550000000000002</x:v>
      </x:c>
      <x:c r="Q24" s="53" t="n">
        <x:f>M24*roy_oil</x:f>
        <x:v>0</x:v>
      </x:c>
      <x:c r="R24" s="53" t="n">
        <x:f>SUM(B24:E24)*gold_retained+(G24+H24)*conc_gold</x:f>
        <x:v>11.8</x:v>
      </x:c>
    </x:row>
    <x:row r="25">
      <x:c r="A25" s="61" t="n">
        <x:v>1865</x:v>
      </x:c>
      <x:c r="B25" s="52" t="n">
        <x:v>18</x:v>
      </x:c>
      <x:c r="C25" s="52" t="n">
        <x:v>40</x:v>
      </x:c>
      <x:c r="D25" s="52" t="n">
        <x:v>0</x:v>
      </x:c>
      <x:c r="E25" s="52" t="n">
        <x:v>0</x:v>
      </x:c>
      <x:c r="F25" s="52" t="n">
        <x:v>0</x:v>
      </x:c>
      <x:c r="G25" s="52" t="n">
        <x:v>0</x:v>
      </x:c>
      <x:c r="H25" s="52" t="n">
        <x:v>0</x:v>
      </x:c>
      <x:c r="I25" s="52" t="n">
        <x:v>0</x:v>
      </x:c>
      <x:c r="J25" s="68" t="n">
        <x:v>0</x:v>
      </x:c>
      <x:c r="K25" s="53" t="n">
        <x:f>I25*IF(AND(oil_compact=1,$A25&gt;=compact_year),1-compact_cut,1)</x:f>
        <x:v>0</x:v>
      </x:c>
      <x:c r="L25" s="67" t="n">
        <x:f>IF(AND(oil_compact=1,$A25&gt;=compact_year),MAX(J25,compact_price),J25)</x:f>
        <x:v>0</x:v>
      </x:c>
      <x:c r="M25" s="53" t="n">
        <x:f>K25*L25</x:f>
        <x:v>0</x:v>
      </x:c>
      <x:c r="N25" s="53" t="n">
        <x:f>SUM(B25:F25)+M25</x:f>
        <x:v>58</x:v>
      </x:c>
      <x:c r="O25" s="53" t="n">
        <x:f>N25*mining_va</x:f>
        <x:v>40.599999999999994</x:v>
      </x:c>
      <x:c r="P25" s="53" t="n">
        <x:f>SUM(B25:F25)*roy_metal*0.9</x:f>
        <x:v>2.6100000000000003</x:v>
      </x:c>
      <x:c r="Q25" s="53" t="n">
        <x:f>M25*roy_oil</x:f>
        <x:v>0</x:v>
      </x:c>
      <x:c r="R25" s="53" t="n">
        <x:f>SUM(B25:E25)*gold_retained+(G25+H25)*conc_gold</x:f>
        <x:v>11.600000000000001</x:v>
      </x:c>
    </x:row>
    <x:row r="26">
      <x:c r="A26" s="58" t="n">
        <x:v>1866</x:v>
      </x:c>
      <x:c r="B26" s="52" t="n">
        <x:v>18</x:v>
      </x:c>
      <x:c r="C26" s="52" t="n">
        <x:v>38</x:v>
      </x:c>
      <x:c r="D26" s="52" t="n">
        <x:v>0</x:v>
      </x:c>
      <x:c r="E26" s="52" t="n">
        <x:v>0</x:v>
      </x:c>
      <x:c r="F26" s="52" t="n">
        <x:v>0</x:v>
      </x:c>
      <x:c r="G26" s="52" t="n">
        <x:v>0</x:v>
      </x:c>
      <x:c r="H26" s="52" t="n">
        <x:v>0</x:v>
      </x:c>
      <x:c r="I26" s="52" t="n">
        <x:v>0</x:v>
      </x:c>
      <x:c r="J26" s="68" t="n">
        <x:v>0</x:v>
      </x:c>
      <x:c r="K26" s="53" t="n">
        <x:f>I26*IF(AND(oil_compact=1,$A26&gt;=compact_year),1-compact_cut,1)</x:f>
        <x:v>0</x:v>
      </x:c>
      <x:c r="L26" s="67" t="n">
        <x:f>IF(AND(oil_compact=1,$A26&gt;=compact_year),MAX(J26,compact_price),J26)</x:f>
        <x:v>0</x:v>
      </x:c>
      <x:c r="M26" s="53" t="n">
        <x:f>K26*L26</x:f>
        <x:v>0</x:v>
      </x:c>
      <x:c r="N26" s="53" t="n">
        <x:f>SUM(B26:F26)+M26</x:f>
        <x:v>56</x:v>
      </x:c>
      <x:c r="O26" s="53" t="n">
        <x:f>N26*mining_va</x:f>
        <x:v>39.199999999999996</x:v>
      </x:c>
      <x:c r="P26" s="53" t="n">
        <x:f>SUM(B26:F26)*roy_metal*0.9</x:f>
        <x:v>2.5200000000000005</x:v>
      </x:c>
      <x:c r="Q26" s="53" t="n">
        <x:f>M26*roy_oil</x:f>
        <x:v>0</x:v>
      </x:c>
      <x:c r="R26" s="53" t="n">
        <x:f>SUM(B26:E26)*gold_retained+(G26+H26)*conc_gold</x:f>
        <x:v>11.200000000000001</x:v>
      </x:c>
    </x:row>
    <x:row r="27">
      <x:c r="A27" s="58" t="n">
        <x:v>1867</x:v>
      </x:c>
      <x:c r="B27" s="52" t="n">
        <x:v>18</x:v>
      </x:c>
      <x:c r="C27" s="52" t="n">
        <x:v>32</x:v>
      </x:c>
      <x:c r="D27" s="52" t="n">
        <x:v>0</x:v>
      </x:c>
      <x:c r="E27" s="52" t="n">
        <x:v>0</x:v>
      </x:c>
      <x:c r="F27" s="52" t="n">
        <x:v>0</x:v>
      </x:c>
      <x:c r="G27" s="52" t="n">
        <x:v>0</x:v>
      </x:c>
      <x:c r="H27" s="52" t="n">
        <x:v>0</x:v>
      </x:c>
      <x:c r="I27" s="52" t="n">
        <x:v>0</x:v>
      </x:c>
      <x:c r="J27" s="68" t="n">
        <x:v>0</x:v>
      </x:c>
      <x:c r="K27" s="53" t="n">
        <x:f>I27*IF(AND(oil_compact=1,$A27&gt;=compact_year),1-compact_cut,1)</x:f>
        <x:v>0</x:v>
      </x:c>
      <x:c r="L27" s="67" t="n">
        <x:f>IF(AND(oil_compact=1,$A27&gt;=compact_year),MAX(J27,compact_price),J27)</x:f>
        <x:v>0</x:v>
      </x:c>
      <x:c r="M27" s="53" t="n">
        <x:f>K27*L27</x:f>
        <x:v>0</x:v>
      </x:c>
      <x:c r="N27" s="53" t="n">
        <x:f>SUM(B27:F27)+M27</x:f>
        <x:v>50</x:v>
      </x:c>
      <x:c r="O27" s="53" t="n">
        <x:f>N27*mining_va</x:f>
        <x:v>35</x:v>
      </x:c>
      <x:c r="P27" s="53" t="n">
        <x:f>SUM(B27:F27)*roy_metal*0.9</x:f>
        <x:v>2.25</x:v>
      </x:c>
      <x:c r="Q27" s="53" t="n">
        <x:f>M27*roy_oil</x:f>
        <x:v>0</x:v>
      </x:c>
      <x:c r="R27" s="53" t="n">
        <x:f>SUM(B27:E27)*gold_retained+(G27+H27)*conc_gold</x:f>
        <x:v>10</x:v>
      </x:c>
    </x:row>
    <x:row r="28">
      <x:c r="A28" s="58" t="n">
        <x:v>1868</x:v>
      </x:c>
      <x:c r="B28" s="52" t="n">
        <x:v>17.66666666666667</x:v>
      </x:c>
      <x:c r="C28" s="52" t="n">
        <x:v>25</x:v>
      </x:c>
      <x:c r="D28" s="52" t="n">
        <x:v>0</x:v>
      </x:c>
      <x:c r="E28" s="52" t="n">
        <x:v>0</x:v>
      </x:c>
      <x:c r="F28" s="52" t="n">
        <x:v>0</x:v>
      </x:c>
      <x:c r="G28" s="52" t="n">
        <x:v>0</x:v>
      </x:c>
      <x:c r="H28" s="52" t="n">
        <x:v>0</x:v>
      </x:c>
      <x:c r="I28" s="52" t="n">
        <x:v>0</x:v>
      </x:c>
      <x:c r="J28" s="68" t="n">
        <x:v>0</x:v>
      </x:c>
      <x:c r="K28" s="53" t="n">
        <x:f>I28*IF(AND(oil_compact=1,$A28&gt;=compact_year),1-compact_cut,1)</x:f>
        <x:v>0</x:v>
      </x:c>
      <x:c r="L28" s="67" t="n">
        <x:f>IF(AND(oil_compact=1,$A28&gt;=compact_year),MAX(J28,compact_price),J28)</x:f>
        <x:v>0</x:v>
      </x:c>
      <x:c r="M28" s="53" t="n">
        <x:f>K28*L28</x:f>
        <x:v>0</x:v>
      </x:c>
      <x:c r="N28" s="53" t="n">
        <x:f>SUM(B28:F28)+M28</x:f>
        <x:v>42.66666666666667</x:v>
      </x:c>
      <x:c r="O28" s="53" t="n">
        <x:f>N28*mining_va</x:f>
        <x:v>29.866666666666667</x:v>
      </x:c>
      <x:c r="P28" s="53" t="n">
        <x:f>SUM(B28:F28)*roy_metal*0.9</x:f>
        <x:v>1.9200000000000004</x:v>
      </x:c>
      <x:c r="Q28" s="53" t="n">
        <x:f>M28*roy_oil</x:f>
        <x:v>0</x:v>
      </x:c>
      <x:c r="R28" s="53" t="n">
        <x:f>SUM(B28:E28)*gold_retained+(G28+H28)*conc_gold</x:f>
        <x:v>8.533333333333335</x:v>
      </x:c>
    </x:row>
    <x:row r="29">
      <x:c r="A29" s="58" t="n">
        <x:v>1869</x:v>
      </x:c>
      <x:c r="B29" s="52" t="n">
        <x:v>17.33333333333333</x:v>
      </x:c>
      <x:c r="C29" s="52" t="n">
        <x:v>25</x:v>
      </x:c>
      <x:c r="D29" s="52" t="n">
        <x:v>0</x:v>
      </x:c>
      <x:c r="E29" s="52" t="n">
        <x:v>0</x:v>
      </x:c>
      <x:c r="F29" s="52" t="n">
        <x:v>0</x:v>
      </x:c>
      <x:c r="G29" s="52" t="n">
        <x:v>0</x:v>
      </x:c>
      <x:c r="H29" s="52" t="n">
        <x:v>0</x:v>
      </x:c>
      <x:c r="I29" s="52" t="n">
        <x:v>0</x:v>
      </x:c>
      <x:c r="J29" s="68" t="n">
        <x:v>0</x:v>
      </x:c>
      <x:c r="K29" s="53" t="n">
        <x:f>I29*IF(AND(oil_compact=1,$A29&gt;=compact_year),1-compact_cut,1)</x:f>
        <x:v>0</x:v>
      </x:c>
      <x:c r="L29" s="67" t="n">
        <x:f>IF(AND(oil_compact=1,$A29&gt;=compact_year),MAX(J29,compact_price),J29)</x:f>
        <x:v>0</x:v>
      </x:c>
      <x:c r="M29" s="53" t="n">
        <x:f>K29*L29</x:f>
        <x:v>0</x:v>
      </x:c>
      <x:c r="N29" s="53" t="n">
        <x:f>SUM(B29:F29)+M29</x:f>
        <x:v>42.33333333333333</x:v>
      </x:c>
      <x:c r="O29" s="53" t="n">
        <x:f>N29*mining_va</x:f>
        <x:v>29.63333333333333</x:v>
      </x:c>
      <x:c r="P29" s="53" t="n">
        <x:f>SUM(B29:F29)*roy_metal*0.9</x:f>
        <x:v>1.905</x:v>
      </x:c>
      <x:c r="Q29" s="53" t="n">
        <x:f>M29*roy_oil</x:f>
        <x:v>0</x:v>
      </x:c>
      <x:c r="R29" s="53" t="n">
        <x:f>SUM(B29:E29)*gold_retained+(G29+H29)*conc_gold</x:f>
        <x:v>8.466666666666667</x:v>
      </x:c>
    </x:row>
    <x:row r="30">
      <x:c r="A30" s="61" t="n">
        <x:v>1870</x:v>
      </x:c>
      <x:c r="B30" s="52" t="n">
        <x:v>17</x:v>
      </x:c>
      <x:c r="C30" s="52" t="n">
        <x:v>25</x:v>
      </x:c>
      <x:c r="D30" s="52" t="n">
        <x:v>0</x:v>
      </x:c>
      <x:c r="E30" s="52" t="n">
        <x:v>0</x:v>
      </x:c>
      <x:c r="F30" s="52" t="n">
        <x:v>0.5</x:v>
      </x:c>
      <x:c r="G30" s="52" t="n">
        <x:v>0</x:v>
      </x:c>
      <x:c r="H30" s="52" t="n">
        <x:v>0</x:v>
      </x:c>
      <x:c r="I30" s="52" t="n">
        <x:v>0</x:v>
      </x:c>
      <x:c r="J30" s="68" t="n">
        <x:v>0</x:v>
      </x:c>
      <x:c r="K30" s="53" t="n">
        <x:f>I30*IF(AND(oil_compact=1,$A30&gt;=compact_year),1-compact_cut,1)</x:f>
        <x:v>0</x:v>
      </x:c>
      <x:c r="L30" s="67" t="n">
        <x:f>IF(AND(oil_compact=1,$A30&gt;=compact_year),MAX(J30,compact_price),J30)</x:f>
        <x:v>0</x:v>
      </x:c>
      <x:c r="M30" s="53" t="n">
        <x:f>K30*L30</x:f>
        <x:v>0</x:v>
      </x:c>
      <x:c r="N30" s="53" t="n">
        <x:f>SUM(B30:F30)+M30</x:f>
        <x:v>42.5</x:v>
      </x:c>
      <x:c r="O30" s="53" t="n">
        <x:f>N30*mining_va</x:f>
        <x:v>29.749999999999996</x:v>
      </x:c>
      <x:c r="P30" s="53" t="n">
        <x:f>SUM(B30:F30)*roy_metal*0.9</x:f>
        <x:v>1.9125</x:v>
      </x:c>
      <x:c r="Q30" s="53" t="n">
        <x:f>M30*roy_oil</x:f>
        <x:v>0</x:v>
      </x:c>
      <x:c r="R30" s="53" t="n">
        <x:f>SUM(B30:E30)*gold_retained+(G30+H30)*conc_gold</x:f>
        <x:v>8.4</x:v>
      </x:c>
    </x:row>
    <x:row r="31">
      <x:c r="A31" s="61" t="n">
        <x:v>1871</x:v>
      </x:c>
      <x:c r="B31" s="52" t="n">
        <x:v>17</x:v>
      </x:c>
      <x:c r="C31" s="52" t="n">
        <x:v>27.5</x:v>
      </x:c>
      <x:c r="D31" s="52" t="n">
        <x:v>0</x:v>
      </x:c>
      <x:c r="E31" s="52" t="n">
        <x:v>0</x:v>
      </x:c>
      <x:c r="F31" s="52" t="n">
        <x:v>0.6</x:v>
      </x:c>
      <x:c r="G31" s="52" t="n">
        <x:v>0</x:v>
      </x:c>
      <x:c r="H31" s="52" t="n">
        <x:v>0</x:v>
      </x:c>
      <x:c r="I31" s="52" t="n">
        <x:v>0</x:v>
      </x:c>
      <x:c r="J31" s="68" t="n">
        <x:v>0</x:v>
      </x:c>
      <x:c r="K31" s="53" t="n">
        <x:f>I31*IF(AND(oil_compact=1,$A31&gt;=compact_year),1-compact_cut,1)</x:f>
        <x:v>0</x:v>
      </x:c>
      <x:c r="L31" s="67" t="n">
        <x:f>IF(AND(oil_compact=1,$A31&gt;=compact_year),MAX(J31,compact_price),J31)</x:f>
        <x:v>0</x:v>
      </x:c>
      <x:c r="M31" s="53" t="n">
        <x:f>K31*L31</x:f>
        <x:v>0</x:v>
      </x:c>
      <x:c r="N31" s="53" t="n">
        <x:f>SUM(B31:F31)+M31</x:f>
        <x:v>45.1</x:v>
      </x:c>
      <x:c r="O31" s="53" t="n">
        <x:f>N31*mining_va</x:f>
        <x:v>31.57</x:v>
      </x:c>
      <x:c r="P31" s="53" t="n">
        <x:f>SUM(B31:F31)*roy_metal*0.9</x:f>
        <x:v>2.0295000000000005</x:v>
      </x:c>
      <x:c r="Q31" s="53" t="n">
        <x:f>M31*roy_oil</x:f>
        <x:v>0</x:v>
      </x:c>
      <x:c r="R31" s="53" t="n">
        <x:f>SUM(B31:E31)*gold_retained+(G31+H31)*conc_gold</x:f>
        <x:v>8.9</x:v>
      </x:c>
    </x:row>
    <x:row r="32">
      <x:c r="A32" s="58" t="n">
        <x:v>1872</x:v>
      </x:c>
      <x:c r="B32" s="52" t="n">
        <x:v>17</x:v>
      </x:c>
      <x:c r="C32" s="52" t="n">
        <x:v>30</x:v>
      </x:c>
      <x:c r="D32" s="52" t="n">
        <x:v>0</x:v>
      </x:c>
      <x:c r="E32" s="52" t="n">
        <x:v>0</x:v>
      </x:c>
      <x:c r="F32" s="52" t="n">
        <x:v>0.7</x:v>
      </x:c>
      <x:c r="G32" s="52" t="n">
        <x:v>0</x:v>
      </x:c>
      <x:c r="H32" s="52" t="n">
        <x:v>0</x:v>
      </x:c>
      <x:c r="I32" s="52" t="n">
        <x:v>0</x:v>
      </x:c>
      <x:c r="J32" s="68" t="n">
        <x:v>0</x:v>
      </x:c>
      <x:c r="K32" s="53" t="n">
        <x:f>I32*IF(AND(oil_compact=1,$A32&gt;=compact_year),1-compact_cut,1)</x:f>
        <x:v>0</x:v>
      </x:c>
      <x:c r="L32" s="67" t="n">
        <x:f>IF(AND(oil_compact=1,$A32&gt;=compact_year),MAX(J32,compact_price),J32)</x:f>
        <x:v>0</x:v>
      </x:c>
      <x:c r="M32" s="53" t="n">
        <x:f>K32*L32</x:f>
        <x:v>0</x:v>
      </x:c>
      <x:c r="N32" s="53" t="n">
        <x:f>SUM(B32:F32)+M32</x:f>
        <x:v>47.7</x:v>
      </x:c>
      <x:c r="O32" s="53" t="n">
        <x:f>N32*mining_va</x:f>
        <x:v>33.39</x:v>
      </x:c>
      <x:c r="P32" s="53" t="n">
        <x:f>SUM(B32:F32)*roy_metal*0.9</x:f>
        <x:v>2.1465</x:v>
      </x:c>
      <x:c r="Q32" s="53" t="n">
        <x:f>M32*roy_oil</x:f>
        <x:v>0</x:v>
      </x:c>
      <x:c r="R32" s="53" t="n">
        <x:f>SUM(B32:E32)*gold_retained+(G32+H32)*conc_gold</x:f>
        <x:v>9.4</x:v>
      </x:c>
    </x:row>
    <x:row r="33">
      <x:c r="A33" s="58" t="n">
        <x:v>1873</x:v>
      </x:c>
      <x:c r="B33" s="52" t="n">
        <x:v>17</x:v>
      </x:c>
      <x:c r="C33" s="52" t="n">
        <x:v>38</x:v>
      </x:c>
      <x:c r="D33" s="52" t="n">
        <x:v>0</x:v>
      </x:c>
      <x:c r="E33" s="52" t="n">
        <x:v>0</x:v>
      </x:c>
      <x:c r="F33" s="52" t="n">
        <x:v>0.8</x:v>
      </x:c>
      <x:c r="G33" s="52" t="n">
        <x:v>0</x:v>
      </x:c>
      <x:c r="H33" s="52" t="n">
        <x:v>0</x:v>
      </x:c>
      <x:c r="I33" s="52" t="n">
        <x:v>0</x:v>
      </x:c>
      <x:c r="J33" s="68" t="n">
        <x:v>0</x:v>
      </x:c>
      <x:c r="K33" s="53" t="n">
        <x:f>I33*IF(AND(oil_compact=1,$A33&gt;=compact_year),1-compact_cut,1)</x:f>
        <x:v>0</x:v>
      </x:c>
      <x:c r="L33" s="67" t="n">
        <x:f>IF(AND(oil_compact=1,$A33&gt;=compact_year),MAX(J33,compact_price),J33)</x:f>
        <x:v>0</x:v>
      </x:c>
      <x:c r="M33" s="53" t="n">
        <x:f>K33*L33</x:f>
        <x:v>0</x:v>
      </x:c>
      <x:c r="N33" s="53" t="n">
        <x:f>SUM(B33:F33)+M33</x:f>
        <x:v>55.8</x:v>
      </x:c>
      <x:c r="O33" s="53" t="n">
        <x:f>N33*mining_va</x:f>
        <x:v>39.059999999999995</x:v>
      </x:c>
      <x:c r="P33" s="53" t="n">
        <x:f>SUM(B33:F33)*roy_metal*0.9</x:f>
        <x:v>2.511</x:v>
      </x:c>
      <x:c r="Q33" s="53" t="n">
        <x:f>M33*roy_oil</x:f>
        <x:v>0</x:v>
      </x:c>
      <x:c r="R33" s="53" t="n">
        <x:f>SUM(B33:E33)*gold_retained+(G33+H33)*conc_gold</x:f>
        <x:v>11</x:v>
      </x:c>
    </x:row>
    <x:row r="34">
      <x:c r="A34" s="58" t="n">
        <x:v>1874</x:v>
      </x:c>
      <x:c r="B34" s="52" t="n">
        <x:v>17</x:v>
      </x:c>
      <x:c r="C34" s="52" t="n">
        <x:v>41.5</x:v>
      </x:c>
      <x:c r="D34" s="52" t="n">
        <x:v>0</x:v>
      </x:c>
      <x:c r="E34" s="52" t="n">
        <x:v>0</x:v>
      </x:c>
      <x:c r="F34" s="52" t="n">
        <x:v>0.9</x:v>
      </x:c>
      <x:c r="G34" s="52" t="n">
        <x:v>0</x:v>
      </x:c>
      <x:c r="H34" s="52" t="n">
        <x:v>0</x:v>
      </x:c>
      <x:c r="I34" s="52" t="n">
        <x:v>0</x:v>
      </x:c>
      <x:c r="J34" s="68" t="n">
        <x:v>0</x:v>
      </x:c>
      <x:c r="K34" s="53" t="n">
        <x:f>I34*IF(AND(oil_compact=1,$A34&gt;=compact_year),1-compact_cut,1)</x:f>
        <x:v>0</x:v>
      </x:c>
      <x:c r="L34" s="67" t="n">
        <x:f>IF(AND(oil_compact=1,$A34&gt;=compact_year),MAX(J34,compact_price),J34)</x:f>
        <x:v>0</x:v>
      </x:c>
      <x:c r="M34" s="53" t="n">
        <x:f>K34*L34</x:f>
        <x:v>0</x:v>
      </x:c>
      <x:c r="N34" s="53" t="n">
        <x:f>SUM(B34:F34)+M34</x:f>
        <x:v>59.4</x:v>
      </x:c>
      <x:c r="O34" s="53" t="n">
        <x:f>N34*mining_va</x:f>
        <x:v>41.58</x:v>
      </x:c>
      <x:c r="P34" s="53" t="n">
        <x:f>SUM(B34:F34)*roy_metal*0.9</x:f>
        <x:v>2.673</x:v>
      </x:c>
      <x:c r="Q34" s="53" t="n">
        <x:f>M34*roy_oil</x:f>
        <x:v>0</x:v>
      </x:c>
      <x:c r="R34" s="53" t="n">
        <x:f>SUM(B34:E34)*gold_retained+(G34+H34)*conc_gold</x:f>
        <x:v>11.700000000000001</x:v>
      </x:c>
    </x:row>
    <x:row r="35">
      <x:c r="A35" s="58" t="n">
        <x:v>1875</x:v>
      </x:c>
      <x:c r="B35" s="52" t="n">
        <x:v>17</x:v>
      </x:c>
      <x:c r="C35" s="52" t="n">
        <x:v>45</x:v>
      </x:c>
      <x:c r="D35" s="52" t="n">
        <x:v>0</x:v>
      </x:c>
      <x:c r="E35" s="52" t="n">
        <x:v>0</x:v>
      </x:c>
      <x:c r="F35" s="52" t="n">
        <x:v>1</x:v>
      </x:c>
      <x:c r="G35" s="52" t="n">
        <x:v>0</x:v>
      </x:c>
      <x:c r="H35" s="52" t="n">
        <x:v>0</x:v>
      </x:c>
      <x:c r="I35" s="52" t="n">
        <x:v>0</x:v>
      </x:c>
      <x:c r="J35" s="68" t="n">
        <x:v>0</x:v>
      </x:c>
      <x:c r="K35" s="53" t="n">
        <x:f>I35*IF(AND(oil_compact=1,$A35&gt;=compact_year),1-compact_cut,1)</x:f>
        <x:v>0</x:v>
      </x:c>
      <x:c r="L35" s="67" t="n">
        <x:f>IF(AND(oil_compact=1,$A35&gt;=compact_year),MAX(J35,compact_price),J35)</x:f>
        <x:v>0</x:v>
      </x:c>
      <x:c r="M35" s="53" t="n">
        <x:f>K35*L35</x:f>
        <x:v>0</x:v>
      </x:c>
      <x:c r="N35" s="53" t="n">
        <x:f>SUM(B35:F35)+M35</x:f>
        <x:v>63</x:v>
      </x:c>
      <x:c r="O35" s="53" t="n">
        <x:f>N35*mining_va</x:f>
        <x:v>44.099999999999994</x:v>
      </x:c>
      <x:c r="P35" s="53" t="n">
        <x:f>SUM(B35:F35)*roy_metal*0.9</x:f>
        <x:v>2.8350000000000004</x:v>
      </x:c>
      <x:c r="Q35" s="53" t="n">
        <x:f>M35*roy_oil</x:f>
        <x:v>0</x:v>
      </x:c>
      <x:c r="R35" s="53" t="n">
        <x:f>SUM(B35:E35)*gold_retained+(G35+H35)*conc_gold</x:f>
        <x:v>12.4</x:v>
      </x:c>
    </x:row>
    <x:row r="36">
      <x:c r="A36" s="58" t="n">
        <x:v>1876</x:v>
      </x:c>
      <x:c r="B36" s="52" t="n">
        <x:v>17.6</x:v>
      </x:c>
      <x:c r="C36" s="52" t="n">
        <x:v>50</x:v>
      </x:c>
      <x:c r="D36" s="52" t="n">
        <x:v>0</x:v>
      </x:c>
      <x:c r="E36" s="52" t="n">
        <x:v>0</x:v>
      </x:c>
      <x:c r="F36" s="52" t="n">
        <x:v>1.2</x:v>
      </x:c>
      <x:c r="G36" s="52" t="n">
        <x:v>0</x:v>
      </x:c>
      <x:c r="H36" s="52" t="n">
        <x:v>0</x:v>
      </x:c>
      <x:c r="I36" s="52" t="n">
        <x:v>0.01</x:v>
      </x:c>
      <x:c r="J36" s="68" t="n">
        <x:v>2</x:v>
      </x:c>
      <x:c r="K36" s="53" t="n">
        <x:f>I36*IF(AND(oil_compact=1,$A36&gt;=compact_year),1-compact_cut,1)</x:f>
        <x:v>0.01</x:v>
      </x:c>
      <x:c r="L36" s="67" t="n">
        <x:f>IF(AND(oil_compact=1,$A36&gt;=compact_year),MAX(J36,compact_price),J36)</x:f>
        <x:v>2</x:v>
      </x:c>
      <x:c r="M36" s="53" t="n">
        <x:f>K36*L36</x:f>
        <x:v>0.02</x:v>
      </x:c>
      <x:c r="N36" s="53" t="n">
        <x:f>SUM(B36:F36)+M36</x:f>
        <x:v>68.82</x:v>
      </x:c>
      <x:c r="O36" s="53" t="n">
        <x:f>N36*mining_va</x:f>
        <x:v>48.17399999999999</x:v>
      </x:c>
      <x:c r="P36" s="53" t="n">
        <x:f>SUM(B36:F36)*roy_metal*0.9</x:f>
        <x:v>3.096</x:v>
      </x:c>
      <x:c r="Q36" s="53" t="n">
        <x:f>M36*roy_oil</x:f>
        <x:v>0.0025</x:v>
      </x:c>
      <x:c r="R36" s="53" t="n">
        <x:f>SUM(B36:E36)*gold_retained+(G36+H36)*conc_gold</x:f>
        <x:v>13.52</x:v>
      </x:c>
    </x:row>
    <x:row r="37">
      <x:c r="A37" s="58" t="n">
        <x:v>1877</x:v>
      </x:c>
      <x:c r="B37" s="52" t="n">
        <x:v>18.2</x:v>
      </x:c>
      <x:c r="C37" s="52" t="n">
        <x:v>55</x:v>
      </x:c>
      <x:c r="D37" s="52" t="n">
        <x:v>0</x:v>
      </x:c>
      <x:c r="E37" s="52" t="n">
        <x:v>0</x:v>
      </x:c>
      <x:c r="F37" s="52" t="n">
        <x:v>1.4</x:v>
      </x:c>
      <x:c r="G37" s="52" t="n">
        <x:v>0</x:v>
      </x:c>
      <x:c r="H37" s="52" t="n">
        <x:v>0</x:v>
      </x:c>
      <x:c r="I37" s="52" t="n">
        <x:v>0.02</x:v>
      </x:c>
      <x:c r="J37" s="68" t="n">
        <x:v>1.95</x:v>
      </x:c>
      <x:c r="K37" s="53" t="n">
        <x:f>I37*IF(AND(oil_compact=1,$A37&gt;=compact_year),1-compact_cut,1)</x:f>
        <x:v>0.02</x:v>
      </x:c>
      <x:c r="L37" s="67" t="n">
        <x:f>IF(AND(oil_compact=1,$A37&gt;=compact_year),MAX(J37,compact_price),J37)</x:f>
        <x:v>1.95</x:v>
      </x:c>
      <x:c r="M37" s="53" t="n">
        <x:f>K37*L37</x:f>
        <x:v>0.039</x:v>
      </x:c>
      <x:c r="N37" s="53" t="n">
        <x:f>SUM(B37:F37)+M37</x:f>
        <x:v>74.63900000000001</x:v>
      </x:c>
      <x:c r="O37" s="53" t="n">
        <x:f>N37*mining_va</x:f>
        <x:v>52.2473</x:v>
      </x:c>
      <x:c r="P37" s="53" t="n">
        <x:f>SUM(B37:F37)*roy_metal*0.9</x:f>
        <x:v>3.3570000000000007</x:v>
      </x:c>
      <x:c r="Q37" s="53" t="n">
        <x:f>M37*roy_oil</x:f>
        <x:v>0.004875</x:v>
      </x:c>
      <x:c r="R37" s="53" t="n">
        <x:f>SUM(B37:E37)*gold_retained+(G37+H37)*conc_gold</x:f>
        <x:v>14.64</x:v>
      </x:c>
    </x:row>
    <x:row r="38">
      <x:c r="A38" s="58" t="n">
        <x:v>1878</x:v>
      </x:c>
      <x:c r="B38" s="52" t="n">
        <x:v>18.8</x:v>
      </x:c>
      <x:c r="C38" s="52" t="n">
        <x:v>38</x:v>
      </x:c>
      <x:c r="D38" s="52" t="n">
        <x:v>0</x:v>
      </x:c>
      <x:c r="E38" s="52" t="n">
        <x:v>0</x:v>
      </x:c>
      <x:c r="F38" s="52" t="n">
        <x:v>1.6</x:v>
      </x:c>
      <x:c r="G38" s="52" t="n">
        <x:v>0</x:v>
      </x:c>
      <x:c r="H38" s="52" t="n">
        <x:v>0</x:v>
      </x:c>
      <x:c r="I38" s="52" t="n">
        <x:v>0.03</x:v>
      </x:c>
      <x:c r="J38" s="68" t="n">
        <x:v>1.9</x:v>
      </x:c>
      <x:c r="K38" s="53" t="n">
        <x:f>I38*IF(AND(oil_compact=1,$A38&gt;=compact_year),1-compact_cut,1)</x:f>
        <x:v>0.03</x:v>
      </x:c>
      <x:c r="L38" s="67" t="n">
        <x:f>IF(AND(oil_compact=1,$A38&gt;=compact_year),MAX(J38,compact_price),J38)</x:f>
        <x:v>1.9</x:v>
      </x:c>
      <x:c r="M38" s="53" t="n">
        <x:f>K38*L38</x:f>
        <x:v>0.056999999999999995</x:v>
      </x:c>
      <x:c r="N38" s="53" t="n">
        <x:f>SUM(B38:F38)+M38</x:f>
        <x:v>58.457</x:v>
      </x:c>
      <x:c r="O38" s="53" t="n">
        <x:f>N38*mining_va</x:f>
        <x:v>40.9199</x:v>
      </x:c>
      <x:c r="P38" s="53" t="n">
        <x:f>SUM(B38:F38)*roy_metal*0.9</x:f>
        <x:v>2.628</x:v>
      </x:c>
      <x:c r="Q38" s="53" t="n">
        <x:f>M38*roy_oil</x:f>
        <x:v>0.007124999999999999</x:v>
      </x:c>
      <x:c r="R38" s="53" t="n">
        <x:f>SUM(B38:E38)*gold_retained+(G38+H38)*conc_gold</x:f>
        <x:v>11.36</x:v>
      </x:c>
    </x:row>
    <x:row r="39">
      <x:c r="A39" s="58" t="n">
        <x:v>1879</x:v>
      </x:c>
      <x:c r="B39" s="52" t="n">
        <x:v>19.4</x:v>
      </x:c>
      <x:c r="C39" s="52" t="n">
        <x:v>25</x:v>
      </x:c>
      <x:c r="D39" s="52" t="n">
        <x:v>0</x:v>
      </x:c>
      <x:c r="E39" s="52" t="n">
        <x:v>0</x:v>
      </x:c>
      <x:c r="F39" s="52" t="n">
        <x:v>1.8</x:v>
      </x:c>
      <x:c r="G39" s="52" t="n">
        <x:v>0</x:v>
      </x:c>
      <x:c r="H39" s="52" t="n">
        <x:v>0</x:v>
      </x:c>
      <x:c r="I39" s="52" t="n">
        <x:v>0.04</x:v>
      </x:c>
      <x:c r="J39" s="68" t="n">
        <x:v>1.85</x:v>
      </x:c>
      <x:c r="K39" s="53" t="n">
        <x:f>I39*IF(AND(oil_compact=1,$A39&gt;=compact_year),1-compact_cut,1)</x:f>
        <x:v>0.04</x:v>
      </x:c>
      <x:c r="L39" s="67" t="n">
        <x:f>IF(AND(oil_compact=1,$A39&gt;=compact_year),MAX(J39,compact_price),J39)</x:f>
        <x:v>1.85</x:v>
      </x:c>
      <x:c r="M39" s="53" t="n">
        <x:f>K39*L39</x:f>
        <x:v>0.07400000000000001</x:v>
      </x:c>
      <x:c r="N39" s="53" t="n">
        <x:f>SUM(B39:F39)+M39</x:f>
        <x:v>46.273999999999994</x:v>
      </x:c>
      <x:c r="O39" s="53" t="n">
        <x:f>N39*mining_va</x:f>
        <x:v>32.391799999999996</x:v>
      </x:c>
      <x:c r="P39" s="53" t="n">
        <x:f>SUM(B39:F39)*roy_metal*0.9</x:f>
        <x:v>2.079</x:v>
      </x:c>
      <x:c r="Q39" s="53" t="n">
        <x:f>M39*roy_oil</x:f>
        <x:v>0.009250000000000001</x:v>
      </x:c>
      <x:c r="R39" s="53" t="n">
        <x:f>SUM(B39:E39)*gold_retained+(G39+H39)*conc_gold</x:f>
        <x:v>8.88</x:v>
      </x:c>
    </x:row>
    <x:row r="40">
      <x:c r="A40" s="58" t="n">
        <x:v>1880</x:v>
      </x:c>
      <x:c r="B40" s="52" t="n">
        <x:v>20</x:v>
      </x:c>
      <x:c r="C40" s="52" t="n">
        <x:v>22</x:v>
      </x:c>
      <x:c r="D40" s="52" t="n">
        <x:v>0</x:v>
      </x:c>
      <x:c r="E40" s="52" t="n">
        <x:v>0.1</x:v>
      </x:c>
      <x:c r="F40" s="52" t="n">
        <x:v>2</x:v>
      </x:c>
      <x:c r="G40" s="52" t="n">
        <x:v>0</x:v>
      </x:c>
      <x:c r="H40" s="52" t="n">
        <x:v>0</x:v>
      </x:c>
      <x:c r="I40" s="52" t="n">
        <x:v>0.05</x:v>
      </x:c>
      <x:c r="J40" s="68" t="n">
        <x:v>1.8</x:v>
      </x:c>
      <x:c r="K40" s="53" t="n">
        <x:f>I40*IF(AND(oil_compact=1,$A40&gt;=compact_year),1-compact_cut,1)</x:f>
        <x:v>0.05</x:v>
      </x:c>
      <x:c r="L40" s="67" t="n">
        <x:f>IF(AND(oil_compact=1,$A40&gt;=compact_year),MAX(J40,compact_price),J40)</x:f>
        <x:v>1.8</x:v>
      </x:c>
      <x:c r="M40" s="53" t="n">
        <x:f>K40*L40</x:f>
        <x:v>0.09000000000000001</x:v>
      </x:c>
      <x:c r="N40" s="53" t="n">
        <x:f>SUM(B40:F40)+M40</x:f>
        <x:v>44.190000000000005</x:v>
      </x:c>
      <x:c r="O40" s="53" t="n">
        <x:f>N40*mining_va</x:f>
        <x:v>30.933</x:v>
      </x:c>
      <x:c r="P40" s="53" t="n">
        <x:f>SUM(B40:F40)*roy_metal*0.9</x:f>
        <x:v>1.9845000000000002</x:v>
      </x:c>
      <x:c r="Q40" s="53" t="n">
        <x:f>M40*roy_oil</x:f>
        <x:v>0.011250000000000001</x:v>
      </x:c>
      <x:c r="R40" s="53" t="n">
        <x:f>SUM(B40:E40)*gold_retained+(G40+H40)*conc_gold</x:f>
        <x:v>8.42</x:v>
      </x:c>
    </x:row>
    <x:row r="41">
      <x:c r="A41" s="58" t="n">
        <x:v>1881</x:v>
      </x:c>
      <x:c r="B41" s="52" t="n">
        <x:v>18.6</x:v>
      </x:c>
      <x:c r="C41" s="52" t="n">
        <x:v>22</x:v>
      </x:c>
      <x:c r="D41" s="52" t="n">
        <x:v>0</x:v>
      </x:c>
      <x:c r="E41" s="52" t="n">
        <x:v>0.18</x:v>
      </x:c>
      <x:c r="F41" s="52" t="n">
        <x:v>3.6</x:v>
      </x:c>
      <x:c r="G41" s="52" t="n">
        <x:v>0</x:v>
      </x:c>
      <x:c r="H41" s="52" t="n">
        <x:v>0</x:v>
      </x:c>
      <x:c r="I41" s="52" t="n">
        <x:v>0.09</x:v>
      </x:c>
      <x:c r="J41" s="68" t="n">
        <x:v>1.74</x:v>
      </x:c>
      <x:c r="K41" s="53" t="n">
        <x:f>I41*IF(AND(oil_compact=1,$A41&gt;=compact_year),1-compact_cut,1)</x:f>
        <x:v>0.09</x:v>
      </x:c>
      <x:c r="L41" s="67" t="n">
        <x:f>IF(AND(oil_compact=1,$A41&gt;=compact_year),MAX(J41,compact_price),J41)</x:f>
        <x:v>1.74</x:v>
      </x:c>
      <x:c r="M41" s="53" t="n">
        <x:f>K41*L41</x:f>
        <x:v>0.1566</x:v>
      </x:c>
      <x:c r="N41" s="53" t="n">
        <x:f>SUM(B41:F41)+M41</x:f>
        <x:v>44.5366</x:v>
      </x:c>
      <x:c r="O41" s="53" t="n">
        <x:f>N41*mining_va</x:f>
        <x:v>31.17562</x:v>
      </x:c>
      <x:c r="P41" s="53" t="n">
        <x:f>SUM(B41:F41)*roy_metal*0.9</x:f>
        <x:v>1.9971000000000003</x:v>
      </x:c>
      <x:c r="Q41" s="53" t="n">
        <x:f>M41*roy_oil</x:f>
        <x:v>0.019575</x:v>
      </x:c>
      <x:c r="R41" s="53" t="n">
        <x:f>SUM(B41:E41)*gold_retained+(G41+H41)*conc_gold</x:f>
        <x:v>8.156</x:v>
      </x:c>
    </x:row>
    <x:row r="42">
      <x:c r="A42" s="58" t="n">
        <x:v>1882</x:v>
      </x:c>
      <x:c r="B42" s="52" t="n">
        <x:v>17.2</x:v>
      </x:c>
      <x:c r="C42" s="52" t="n">
        <x:v>22</x:v>
      </x:c>
      <x:c r="D42" s="52" t="n">
        <x:v>0</x:v>
      </x:c>
      <x:c r="E42" s="52" t="n">
        <x:v>0.26</x:v>
      </x:c>
      <x:c r="F42" s="52" t="n">
        <x:v>5.2</x:v>
      </x:c>
      <x:c r="G42" s="52" t="n">
        <x:v>0</x:v>
      </x:c>
      <x:c r="H42" s="52" t="n">
        <x:v>0</x:v>
      </x:c>
      <x:c r="I42" s="52" t="n">
        <x:v>0.12</x:v>
      </x:c>
      <x:c r="J42" s="68" t="n">
        <x:v>1.68</x:v>
      </x:c>
      <x:c r="K42" s="53" t="n">
        <x:f>I42*IF(AND(oil_compact=1,$A42&gt;=compact_year),1-compact_cut,1)</x:f>
        <x:v>0.12</x:v>
      </x:c>
      <x:c r="L42" s="67" t="n">
        <x:f>IF(AND(oil_compact=1,$A42&gt;=compact_year),MAX(J42,compact_price),J42)</x:f>
        <x:v>1.68</x:v>
      </x:c>
      <x:c r="M42" s="53" t="n">
        <x:f>K42*L42</x:f>
        <x:v>0.20159999999999997</x:v>
      </x:c>
      <x:c r="N42" s="53" t="n">
        <x:f>SUM(B42:F42)+M42</x:f>
        <x:v>44.8616</x:v>
      </x:c>
      <x:c r="O42" s="53" t="n">
        <x:f>N42*mining_va</x:f>
        <x:v>31.40312</x:v>
      </x:c>
      <x:c r="P42" s="53" t="n">
        <x:f>SUM(B42:F42)*roy_metal*0.9</x:f>
        <x:v>2.0097</x:v>
      </x:c>
      <x:c r="Q42" s="53" t="n">
        <x:f>M42*roy_oil</x:f>
        <x:v>0.025199999999999997</x:v>
      </x:c>
      <x:c r="R42" s="53" t="n">
        <x:f>SUM(B42:E42)*gold_retained+(G42+H42)*conc_gold</x:f>
        <x:v>7.892</x:v>
      </x:c>
    </x:row>
    <x:row r="43">
      <x:c r="A43" s="58" t="n">
        <x:v>1883</x:v>
      </x:c>
      <x:c r="B43" s="52" t="n">
        <x:v>15.8</x:v>
      </x:c>
      <x:c r="C43" s="52" t="n">
        <x:v>22</x:v>
      </x:c>
      <x:c r="D43" s="52" t="n">
        <x:v>0</x:v>
      </x:c>
      <x:c r="E43" s="52" t="n">
        <x:v>0.3400000000000001</x:v>
      </x:c>
      <x:c r="F43" s="52" t="n">
        <x:v>6.8</x:v>
      </x:c>
      <x:c r="G43" s="52" t="n">
        <x:v>0</x:v>
      </x:c>
      <x:c r="H43" s="52" t="n">
        <x:v>0</x:v>
      </x:c>
      <x:c r="I43" s="52" t="n">
        <x:v>0.16</x:v>
      </x:c>
      <x:c r="J43" s="68" t="n">
        <x:v>1.62</x:v>
      </x:c>
      <x:c r="K43" s="53" t="n">
        <x:f>I43*IF(AND(oil_compact=1,$A43&gt;=compact_year),1-compact_cut,1)</x:f>
        <x:v>0.16</x:v>
      </x:c>
      <x:c r="L43" s="67" t="n">
        <x:f>IF(AND(oil_compact=1,$A43&gt;=compact_year),MAX(J43,compact_price),J43)</x:f>
        <x:v>1.62</x:v>
      </x:c>
      <x:c r="M43" s="53" t="n">
        <x:f>K43*L43</x:f>
        <x:v>0.25920000000000004</x:v>
      </x:c>
      <x:c r="N43" s="53" t="n">
        <x:f>SUM(B43:F43)+M43</x:f>
        <x:v>45.1992</x:v>
      </x:c>
      <x:c r="O43" s="53" t="n">
        <x:f>N43*mining_va</x:f>
        <x:v>31.639439999999997</x:v>
      </x:c>
      <x:c r="P43" s="53" t="n">
        <x:f>SUM(B43:F43)*roy_metal*0.9</x:f>
        <x:v>2.0223</x:v>
      </x:c>
      <x:c r="Q43" s="53" t="n">
        <x:f>M43*roy_oil</x:f>
        <x:v>0.032400000000000005</x:v>
      </x:c>
      <x:c r="R43" s="53" t="n">
        <x:f>SUM(B43:E43)*gold_retained+(G43+H43)*conc_gold</x:f>
        <x:v>7.628</x:v>
      </x:c>
    </x:row>
    <x:row r="44">
      <x:c r="A44" s="58" t="n">
        <x:v>1884</x:v>
      </x:c>
      <x:c r="B44" s="52" t="n">
        <x:v>14.4</x:v>
      </x:c>
      <x:c r="C44" s="52" t="n">
        <x:v>22</x:v>
      </x:c>
      <x:c r="D44" s="52" t="n">
        <x:v>0</x:v>
      </x:c>
      <x:c r="E44" s="52" t="n">
        <x:v>0.42</x:v>
      </x:c>
      <x:c r="F44" s="52" t="n">
        <x:v>8.4</x:v>
      </x:c>
      <x:c r="G44" s="52" t="n">
        <x:v>0</x:v>
      </x:c>
      <x:c r="H44" s="52" t="n">
        <x:v>0</x:v>
      </x:c>
      <x:c r="I44" s="52" t="n">
        <x:v>0.2</x:v>
      </x:c>
      <x:c r="J44" s="68" t="n">
        <x:v>1.56</x:v>
      </x:c>
      <x:c r="K44" s="53" t="n">
        <x:f>I44*IF(AND(oil_compact=1,$A44&gt;=compact_year),1-compact_cut,1)</x:f>
        <x:v>0.2</x:v>
      </x:c>
      <x:c r="L44" s="67" t="n">
        <x:f>IF(AND(oil_compact=1,$A44&gt;=compact_year),MAX(J44,compact_price),J44)</x:f>
        <x:v>1.56</x:v>
      </x:c>
      <x:c r="M44" s="53" t="n">
        <x:f>K44*L44</x:f>
        <x:v>0.31200000000000006</x:v>
      </x:c>
      <x:c r="N44" s="53" t="n">
        <x:f>SUM(B44:F44)+M44</x:f>
        <x:v>45.532</x:v>
      </x:c>
      <x:c r="O44" s="53" t="n">
        <x:f>N44*mining_va</x:f>
        <x:v>31.872399999999995</x:v>
      </x:c>
      <x:c r="P44" s="53" t="n">
        <x:f>SUM(B44:F44)*roy_metal*0.9</x:f>
        <x:v>2.0349000000000004</x:v>
      </x:c>
      <x:c r="Q44" s="53" t="n">
        <x:f>M44*roy_oil</x:f>
        <x:v>0.03900000000000001</x:v>
      </x:c>
      <x:c r="R44" s="53" t="n">
        <x:f>SUM(B44:E44)*gold_retained+(G44+H44)*conc_gold</x:f>
        <x:v>7.364000000000001</x:v>
      </x:c>
    </x:row>
    <x:row r="45">
      <x:c r="A45" s="58" t="n">
        <x:v>1885</x:v>
      </x:c>
      <x:c r="B45" s="52" t="n">
        <x:v>13</x:v>
      </x:c>
      <x:c r="C45" s="52" t="n">
        <x:v>22</x:v>
      </x:c>
      <x:c r="D45" s="52" t="n">
        <x:v>0</x:v>
      </x:c>
      <x:c r="E45" s="52" t="n">
        <x:v>0.5</x:v>
      </x:c>
      <x:c r="F45" s="52" t="n">
        <x:v>10</x:v>
      </x:c>
      <x:c r="G45" s="52" t="n">
        <x:v>0</x:v>
      </x:c>
      <x:c r="H45" s="52" t="n">
        <x:v>0</x:v>
      </x:c>
      <x:c r="I45" s="52" t="n">
        <x:v>0.4</x:v>
      </x:c>
      <x:c r="J45" s="68" t="n">
        <x:v>1.5</x:v>
      </x:c>
      <x:c r="K45" s="53" t="n">
        <x:f>I45*IF(AND(oil_compact=1,$A45&gt;=compact_year),1-compact_cut,1)</x:f>
        <x:v>0.4</x:v>
      </x:c>
      <x:c r="L45" s="67" t="n">
        <x:f>IF(AND(oil_compact=1,$A45&gt;=compact_year),MAX(J45,compact_price),J45)</x:f>
        <x:v>1.5</x:v>
      </x:c>
      <x:c r="M45" s="53" t="n">
        <x:f>K45*L45</x:f>
        <x:v>0.6000000000000001</x:v>
      </x:c>
      <x:c r="N45" s="53" t="n">
        <x:f>SUM(B45:F45)+M45</x:f>
        <x:v>46.1</x:v>
      </x:c>
      <x:c r="O45" s="53" t="n">
        <x:f>N45*mining_va</x:f>
        <x:v>32.269999999999996</x:v>
      </x:c>
      <x:c r="P45" s="53" t="n">
        <x:f>SUM(B45:F45)*roy_metal*0.9</x:f>
        <x:v>2.0475</x:v>
      </x:c>
      <x:c r="Q45" s="53" t="n">
        <x:f>M45*roy_oil</x:f>
        <x:v>0.07500000000000001</x:v>
      </x:c>
      <x:c r="R45" s="53" t="n">
        <x:f>SUM(B45:E45)*gold_retained+(G45+H45)*conc_gold</x:f>
        <x:v>7.1000000000000005</x:v>
      </x:c>
    </x:row>
    <x:row r="46">
      <x:c r="A46" s="58" t="n">
        <x:v>1886</x:v>
      </x:c>
      <x:c r="B46" s="52" t="n">
        <x:v>12.8</x:v>
      </x:c>
      <x:c r="C46" s="52" t="n">
        <x:v>22.6</x:v>
      </x:c>
      <x:c r="D46" s="52" t="n">
        <x:v>0</x:v>
      </x:c>
      <x:c r="E46" s="52" t="n">
        <x:v>0.6</x:v>
      </x:c>
      <x:c r="F46" s="52" t="n">
        <x:v>13</x:v>
      </x:c>
      <x:c r="G46" s="52" t="n">
        <x:v>0</x:v>
      </x:c>
      <x:c r="H46" s="52" t="n">
        <x:v>0</x:v>
      </x:c>
      <x:c r="I46" s="52" t="n">
        <x:v>0.6</x:v>
      </x:c>
      <x:c r="J46" s="68" t="n">
        <x:v>1.4</x:v>
      </x:c>
      <x:c r="K46" s="53" t="n">
        <x:f>I46*IF(AND(oil_compact=1,$A46&gt;=compact_year),1-compact_cut,1)</x:f>
        <x:v>0.6</x:v>
      </x:c>
      <x:c r="L46" s="67" t="n">
        <x:f>IF(AND(oil_compact=1,$A46&gt;=compact_year),MAX(J46,compact_price),J46)</x:f>
        <x:v>1.4</x:v>
      </x:c>
      <x:c r="M46" s="53" t="n">
        <x:f>K46*L46</x:f>
        <x:v>0.84</x:v>
      </x:c>
      <x:c r="N46" s="53" t="n">
        <x:f>SUM(B46:F46)+M46</x:f>
        <x:v>49.84000000000001</x:v>
      </x:c>
      <x:c r="O46" s="53" t="n">
        <x:f>N46*mining_va</x:f>
        <x:v>34.888000000000005</x:v>
      </x:c>
      <x:c r="P46" s="53" t="n">
        <x:f>SUM(B46:F46)*roy_metal*0.9</x:f>
        <x:v>2.2050000000000005</x:v>
      </x:c>
      <x:c r="Q46" s="53" t="n">
        <x:f>M46*roy_oil</x:f>
        <x:v>0.105</x:v>
      </x:c>
      <x:c r="R46" s="53" t="n">
        <x:f>SUM(B46:E46)*gold_retained+(G46+H46)*conc_gold</x:f>
        <x:v>7.200000000000002</x:v>
      </x:c>
    </x:row>
    <x:row r="47">
      <x:c r="A47" s="58" t="n">
        <x:v>1887</x:v>
      </x:c>
      <x:c r="B47" s="52" t="n">
        <x:v>12.6</x:v>
      </x:c>
      <x:c r="C47" s="52" t="n">
        <x:v>23.2</x:v>
      </x:c>
      <x:c r="D47" s="52" t="n">
        <x:v>0</x:v>
      </x:c>
      <x:c r="E47" s="52" t="n">
        <x:v>0.7</x:v>
      </x:c>
      <x:c r="F47" s="52" t="n">
        <x:v>16</x:v>
      </x:c>
      <x:c r="G47" s="52" t="n">
        <x:v>0</x:v>
      </x:c>
      <x:c r="H47" s="52" t="n">
        <x:v>0</x:v>
      </x:c>
      <x:c r="I47" s="52" t="n">
        <x:v>1.3</x:v>
      </x:c>
      <x:c r="J47" s="68" t="n">
        <x:v>1.3</x:v>
      </x:c>
      <x:c r="K47" s="53" t="n">
        <x:f>I47*IF(AND(oil_compact=1,$A47&gt;=compact_year),1-compact_cut,1)</x:f>
        <x:v>1.3</x:v>
      </x:c>
      <x:c r="L47" s="67" t="n">
        <x:f>IF(AND(oil_compact=1,$A47&gt;=compact_year),MAX(J47,compact_price),J47)</x:f>
        <x:v>1.3</x:v>
      </x:c>
      <x:c r="M47" s="53" t="n">
        <x:f>K47*L47</x:f>
        <x:v>1.6900000000000002</x:v>
      </x:c>
      <x:c r="N47" s="53" t="n">
        <x:f>SUM(B47:F47)+M47</x:f>
        <x:v>54.19</x:v>
      </x:c>
      <x:c r="O47" s="53" t="n">
        <x:f>N47*mining_va</x:f>
        <x:v>37.93299999999999</x:v>
      </x:c>
      <x:c r="P47" s="53" t="n">
        <x:f>SUM(B47:F47)*roy_metal*0.9</x:f>
        <x:v>2.3625000000000003</x:v>
      </x:c>
      <x:c r="Q47" s="53" t="n">
        <x:f>M47*roy_oil</x:f>
        <x:v>0.21125000000000002</x:v>
      </x:c>
      <x:c r="R47" s="53" t="n">
        <x:f>SUM(B47:E47)*gold_retained+(G47+H47)*conc_gold</x:f>
        <x:v>7.300000000000001</x:v>
      </x:c>
    </x:row>
    <x:row r="48">
      <x:c r="A48" s="58" t="n">
        <x:v>1888</x:v>
      </x:c>
      <x:c r="B48" s="52" t="n">
        <x:v>12.4</x:v>
      </x:c>
      <x:c r="C48" s="52" t="n">
        <x:v>23.8</x:v>
      </x:c>
      <x:c r="D48" s="52" t="n">
        <x:v>0</x:v>
      </x:c>
      <x:c r="E48" s="52" t="n">
        <x:v>0.8</x:v>
      </x:c>
      <x:c r="F48" s="52" t="n">
        <x:v>19</x:v>
      </x:c>
      <x:c r="G48" s="52" t="n">
        <x:v>0</x:v>
      </x:c>
      <x:c r="H48" s="52" t="n">
        <x:v>0</x:v>
      </x:c>
      <x:c r="I48" s="52" t="n">
        <x:v>2</x:v>
      </x:c>
      <x:c r="J48" s="68" t="n">
        <x:v>1.2</x:v>
      </x:c>
      <x:c r="K48" s="53" t="n">
        <x:f>I48*IF(AND(oil_compact=1,$A48&gt;=compact_year),1-compact_cut,1)</x:f>
        <x:v>2</x:v>
      </x:c>
      <x:c r="L48" s="67" t="n">
        <x:f>IF(AND(oil_compact=1,$A48&gt;=compact_year),MAX(J48,compact_price),J48)</x:f>
        <x:v>1.2</x:v>
      </x:c>
      <x:c r="M48" s="53" t="n">
        <x:f>K48*L48</x:f>
        <x:v>2.4</x:v>
      </x:c>
      <x:c r="N48" s="53" t="n">
        <x:f>SUM(B48:F48)+M48</x:f>
        <x:v>58.4</x:v>
      </x:c>
      <x:c r="O48" s="53" t="n">
        <x:f>N48*mining_va</x:f>
        <x:v>40.879999999999995</x:v>
      </x:c>
      <x:c r="P48" s="53" t="n">
        <x:f>SUM(B48:F48)*roy_metal*0.9</x:f>
        <x:v>2.5200000000000005</x:v>
      </x:c>
      <x:c r="Q48" s="53" t="n">
        <x:f>M48*roy_oil</x:f>
        <x:v>0.3</x:v>
      </x:c>
      <x:c r="R48" s="53" t="n">
        <x:f>SUM(B48:E48)*gold_retained+(G48+H48)*conc_gold</x:f>
        <x:v>7.4</x:v>
      </x:c>
    </x:row>
    <x:row r="49">
      <x:c r="A49" s="58" t="n">
        <x:v>1889</x:v>
      </x:c>
      <x:c r="B49" s="52" t="n">
        <x:v>12.2</x:v>
      </x:c>
      <x:c r="C49" s="52" t="n">
        <x:v>24.4</x:v>
      </x:c>
      <x:c r="D49" s="52" t="n">
        <x:v>0</x:v>
      </x:c>
      <x:c r="E49" s="52" t="n">
        <x:v>0.9</x:v>
      </x:c>
      <x:c r="F49" s="52" t="n">
        <x:v>22</x:v>
      </x:c>
      <x:c r="G49" s="52" t="n">
        <x:v>0</x:v>
      </x:c>
      <x:c r="H49" s="52" t="n">
        <x:v>0</x:v>
      </x:c>
      <x:c r="I49" s="52" t="n">
        <x:v>3</x:v>
      </x:c>
      <x:c r="J49" s="68" t="n">
        <x:v>1.1</x:v>
      </x:c>
      <x:c r="K49" s="53" t="n">
        <x:f>I49*IF(AND(oil_compact=1,$A49&gt;=compact_year),1-compact_cut,1)</x:f>
        <x:v>3</x:v>
      </x:c>
      <x:c r="L49" s="67" t="n">
        <x:f>IF(AND(oil_compact=1,$A49&gt;=compact_year),MAX(J49,compact_price),J49)</x:f>
        <x:v>1.1</x:v>
      </x:c>
      <x:c r="M49" s="53" t="n">
        <x:f>K49*L49</x:f>
        <x:v>3.3000000000000003</x:v>
      </x:c>
      <x:c r="N49" s="53" t="n">
        <x:f>SUM(B49:F49)+M49</x:f>
        <x:v>62.79999999999999</x:v>
      </x:c>
      <x:c r="O49" s="53" t="n">
        <x:f>N49*mining_va</x:f>
        <x:v>43.959999999999994</x:v>
      </x:c>
      <x:c r="P49" s="53" t="n">
        <x:f>SUM(B49:F49)*roy_metal*0.9</x:f>
        <x:v>2.6774999999999998</x:v>
      </x:c>
      <x:c r="Q49" s="53" t="n">
        <x:f>M49*roy_oil</x:f>
        <x:v>0.41250000000000003</x:v>
      </x:c>
      <x:c r="R49" s="53" t="n">
        <x:f>SUM(B49:E49)*gold_retained+(G49+H49)*conc_gold</x:f>
        <x:v>7.499999999999999</x:v>
      </x:c>
    </x:row>
    <x:row r="50">
      <x:c r="A50" s="58" t="n">
        <x:v>1890</x:v>
      </x:c>
      <x:c r="B50" s="52" t="n">
        <x:v>12</x:v>
      </x:c>
      <x:c r="C50" s="52" t="n">
        <x:v>25</x:v>
      </x:c>
      <x:c r="D50" s="52" t="n">
        <x:v>0</x:v>
      </x:c>
      <x:c r="E50" s="52" t="n">
        <x:v>1</x:v>
      </x:c>
      <x:c r="F50" s="52" t="n">
        <x:v>25</x:v>
      </x:c>
      <x:c r="G50" s="52" t="n">
        <x:v>0</x:v>
      </x:c>
      <x:c r="H50" s="52" t="n">
        <x:v>0</x:v>
      </x:c>
      <x:c r="I50" s="52" t="n">
        <x:v>4</x:v>
      </x:c>
      <x:c r="J50" s="68" t="n">
        <x:v>1</x:v>
      </x:c>
      <x:c r="K50" s="53" t="n">
        <x:f>I50*IF(AND(oil_compact=1,$A50&gt;=compact_year),1-compact_cut,1)</x:f>
        <x:v>4</x:v>
      </x:c>
      <x:c r="L50" s="67" t="n">
        <x:f>IF(AND(oil_compact=1,$A50&gt;=compact_year),MAX(J50,compact_price),J50)</x:f>
        <x:v>1</x:v>
      </x:c>
      <x:c r="M50" s="53" t="n">
        <x:f>K50*L50</x:f>
        <x:v>4</x:v>
      </x:c>
      <x:c r="N50" s="53" t="n">
        <x:f>SUM(B50:F50)+M50</x:f>
        <x:v>67</x:v>
      </x:c>
      <x:c r="O50" s="53" t="n">
        <x:f>N50*mining_va</x:f>
        <x:v>46.9</x:v>
      </x:c>
      <x:c r="P50" s="53" t="n">
        <x:f>SUM(B50:F50)*roy_metal*0.9</x:f>
        <x:v>2.8350000000000004</x:v>
      </x:c>
      <x:c r="Q50" s="53" t="n">
        <x:f>M50*roy_oil</x:f>
        <x:v>0.5</x:v>
      </x:c>
      <x:c r="R50" s="53" t="n">
        <x:f>SUM(B50:E50)*gold_retained+(G50+H50)*conc_gold</x:f>
        <x:v>7.6000000000000005</x:v>
      </x:c>
    </x:row>
    <x:row r="51">
      <x:c r="A51" s="58" t="n">
        <x:v>1891</x:v>
      </x:c>
      <x:c r="B51" s="52" t="n">
        <x:v>12.6</x:v>
      </x:c>
      <x:c r="C51" s="52" t="n">
        <x:v>24.4</x:v>
      </x:c>
      <x:c r="D51" s="52" t="n">
        <x:v>0</x:v>
      </x:c>
      <x:c r="E51" s="52" t="n">
        <x:v>1.2</x:v>
      </x:c>
      <x:c r="F51" s="52" t="n">
        <x:v>26</x:v>
      </x:c>
      <x:c r="G51" s="52" t="n">
        <x:v>0</x:v>
      </x:c>
      <x:c r="H51" s="52" t="n">
        <x:v>0</x:v>
      </x:c>
      <x:c r="I51" s="52" t="n">
        <x:v>5</x:v>
      </x:c>
      <x:c r="J51" s="68" t="n">
        <x:v>0.96</x:v>
      </x:c>
      <x:c r="K51" s="53" t="n">
        <x:f>I51*IF(AND(oil_compact=1,$A51&gt;=compact_year),1-compact_cut,1)</x:f>
        <x:v>5</x:v>
      </x:c>
      <x:c r="L51" s="67" t="n">
        <x:f>IF(AND(oil_compact=1,$A51&gt;=compact_year),MAX(J51,compact_price),J51)</x:f>
        <x:v>0.96</x:v>
      </x:c>
      <x:c r="M51" s="53" t="n">
        <x:f>K51*L51</x:f>
        <x:v>4.8</x:v>
      </x:c>
      <x:c r="N51" s="53" t="n">
        <x:f>SUM(B51:F51)+M51</x:f>
        <x:v>69</x:v>
      </x:c>
      <x:c r="O51" s="53" t="n">
        <x:f>N51*mining_va</x:f>
        <x:v>48.3</x:v>
      </x:c>
      <x:c r="P51" s="53" t="n">
        <x:f>SUM(B51:F51)*roy_metal*0.9</x:f>
        <x:v>2.8890000000000002</x:v>
      </x:c>
      <x:c r="Q51" s="53" t="n">
        <x:f>M51*roy_oil</x:f>
        <x:v>0.6</x:v>
      </x:c>
      <x:c r="R51" s="53" t="n">
        <x:f>SUM(B51:E51)*gold_retained+(G51+H51)*conc_gold</x:f>
        <x:v>7.640000000000001</x:v>
      </x:c>
    </x:row>
    <x:row r="52">
      <x:c r="A52" s="58" t="n">
        <x:v>1892</x:v>
      </x:c>
      <x:c r="B52" s="52" t="n">
        <x:v>13.2</x:v>
      </x:c>
      <x:c r="C52" s="52" t="n">
        <x:v>23.8</x:v>
      </x:c>
      <x:c r="D52" s="52" t="n">
        <x:v>0</x:v>
      </x:c>
      <x:c r="E52" s="52" t="n">
        <x:v>1.4</x:v>
      </x:c>
      <x:c r="F52" s="52" t="n">
        <x:v>27</x:v>
      </x:c>
      <x:c r="G52" s="52" t="n">
        <x:v>0</x:v>
      </x:c>
      <x:c r="H52" s="52" t="n">
        <x:v>0</x:v>
      </x:c>
      <x:c r="I52" s="52" t="n">
        <x:v>6</x:v>
      </x:c>
      <x:c r="J52" s="68" t="n">
        <x:v>0.92</x:v>
      </x:c>
      <x:c r="K52" s="53" t="n">
        <x:f>I52*IF(AND(oil_compact=1,$A52&gt;=compact_year),1-compact_cut,1)</x:f>
        <x:v>6</x:v>
      </x:c>
      <x:c r="L52" s="67" t="n">
        <x:f>IF(AND(oil_compact=1,$A52&gt;=compact_year),MAX(J52,compact_price),J52)</x:f>
        <x:v>0.92</x:v>
      </x:c>
      <x:c r="M52" s="53" t="n">
        <x:f>K52*L52</x:f>
        <x:v>5.5200000000000005</x:v>
      </x:c>
      <x:c r="N52" s="53" t="n">
        <x:f>SUM(B52:F52)+M52</x:f>
        <x:v>70.92</x:v>
      </x:c>
      <x:c r="O52" s="53" t="n">
        <x:f>N52*mining_va</x:f>
        <x:v>49.644</x:v>
      </x:c>
      <x:c r="P52" s="53" t="n">
        <x:f>SUM(B52:F52)*roy_metal*0.9</x:f>
        <x:v>2.9430000000000005</x:v>
      </x:c>
      <x:c r="Q52" s="53" t="n">
        <x:f>M52*roy_oil</x:f>
        <x:v>0.6900000000000001</x:v>
      </x:c>
      <x:c r="R52" s="53" t="n">
        <x:f>SUM(B52:E52)*gold_retained+(G52+H52)*conc_gold</x:f>
        <x:v>7.68</x:v>
      </x:c>
    </x:row>
    <x:row r="53">
      <x:c r="A53" s="58" t="n">
        <x:v>1893</x:v>
      </x:c>
      <x:c r="B53" s="52" t="n">
        <x:v>13.8</x:v>
      </x:c>
      <x:c r="C53" s="52" t="n">
        <x:v>23.2</x:v>
      </x:c>
      <x:c r="D53" s="52" t="n">
        <x:v>0</x:v>
      </x:c>
      <x:c r="E53" s="52" t="n">
        <x:v>1.6</x:v>
      </x:c>
      <x:c r="F53" s="52" t="n">
        <x:v>28</x:v>
      </x:c>
      <x:c r="G53" s="52" t="n">
        <x:v>0</x:v>
      </x:c>
      <x:c r="H53" s="52" t="n">
        <x:v>0</x:v>
      </x:c>
      <x:c r="I53" s="52" t="n">
        <x:v>7.33</x:v>
      </x:c>
      <x:c r="J53" s="68" t="n">
        <x:v>0.88</x:v>
      </x:c>
      <x:c r="K53" s="53" t="n">
        <x:f>I53*IF(AND(oil_compact=1,$A53&gt;=compact_year),1-compact_cut,1)</x:f>
        <x:v>7.33</x:v>
      </x:c>
      <x:c r="L53" s="67" t="n">
        <x:f>IF(AND(oil_compact=1,$A53&gt;=compact_year),MAX(J53,compact_price),J53)</x:f>
        <x:v>0.88</x:v>
      </x:c>
      <x:c r="M53" s="53" t="n">
        <x:f>K53*L53</x:f>
        <x:v>6.4504</x:v>
      </x:c>
      <x:c r="N53" s="53" t="n">
        <x:f>SUM(B53:F53)+M53</x:f>
        <x:v>73.0504</x:v>
      </x:c>
      <x:c r="O53" s="53" t="n">
        <x:f>N53*mining_va</x:f>
        <x:v>51.135279999999995</x:v>
      </x:c>
      <x:c r="P53" s="53" t="n">
        <x:f>SUM(B53:F53)*roy_metal*0.9</x:f>
        <x:v>2.9970000000000003</x:v>
      </x:c>
      <x:c r="Q53" s="53" t="n">
        <x:f>M53*roy_oil</x:f>
        <x:v>0.8063</x:v>
      </x:c>
      <x:c r="R53" s="53" t="n">
        <x:f>SUM(B53:E53)*gold_retained+(G53+H53)*conc_gold</x:f>
        <x:v>7.720000000000001</x:v>
      </x:c>
    </x:row>
    <x:row r="54">
      <x:c r="A54" s="58" t="n">
        <x:v>1894</x:v>
      </x:c>
      <x:c r="B54" s="52" t="n">
        <x:v>14.4</x:v>
      </x:c>
      <x:c r="C54" s="52" t="n">
        <x:v>22.6</x:v>
      </x:c>
      <x:c r="D54" s="52" t="n">
        <x:v>0</x:v>
      </x:c>
      <x:c r="E54" s="52" t="n">
        <x:v>1.8</x:v>
      </x:c>
      <x:c r="F54" s="52" t="n">
        <x:v>29</x:v>
      </x:c>
      <x:c r="G54" s="52" t="n">
        <x:v>0</x:v>
      </x:c>
      <x:c r="H54" s="52" t="n">
        <x:v>0</x:v>
      </x:c>
      <x:c r="I54" s="52" t="n">
        <x:v>8.67</x:v>
      </x:c>
      <x:c r="J54" s="68" t="n">
        <x:v>0.84</x:v>
      </x:c>
      <x:c r="K54" s="53" t="n">
        <x:f>I54*IF(AND(oil_compact=1,$A54&gt;=compact_year),1-compact_cut,1)</x:f>
        <x:v>8.67</x:v>
      </x:c>
      <x:c r="L54" s="67" t="n">
        <x:f>IF(AND(oil_compact=1,$A54&gt;=compact_year),MAX(J54,compact_price),J54)</x:f>
        <x:v>0.84</x:v>
      </x:c>
      <x:c r="M54" s="53" t="n">
        <x:f>K54*L54</x:f>
        <x:v>7.2828</x:v>
      </x:c>
      <x:c r="N54" s="53" t="n">
        <x:f>SUM(B54:F54)+M54</x:f>
        <x:v>75.08279999999999</x:v>
      </x:c>
      <x:c r="O54" s="53" t="n">
        <x:f>N54*mining_va</x:f>
        <x:v>52.557959999999994</x:v>
      </x:c>
      <x:c r="P54" s="53" t="n">
        <x:f>SUM(B54:F54)*roy_metal*0.9</x:f>
        <x:v>3.051</x:v>
      </x:c>
      <x:c r="Q54" s="53" t="n">
        <x:f>M54*roy_oil</x:f>
        <x:v>0.91035</x:v>
      </x:c>
      <x:c r="R54" s="53" t="n">
        <x:f>SUM(B54:E54)*gold_retained+(G54+H54)*conc_gold</x:f>
        <x:v>7.76</x:v>
      </x:c>
    </x:row>
    <x:row r="55">
      <x:c r="A55" s="58" t="n">
        <x:v>1895</x:v>
      </x:c>
      <x:c r="B55" s="52" t="n">
        <x:v>15</x:v>
      </x:c>
      <x:c r="C55" s="52" t="n">
        <x:v>22</x:v>
      </x:c>
      <x:c r="D55" s="52" t="n">
        <x:v>0</x:v>
      </x:c>
      <x:c r="E55" s="52" t="n">
        <x:v>2</x:v>
      </x:c>
      <x:c r="F55" s="52" t="n">
        <x:v>30</x:v>
      </x:c>
      <x:c r="G55" s="52" t="n">
        <x:v>0</x:v>
      </x:c>
      <x:c r="H55" s="52" t="n">
        <x:v>0</x:v>
      </x:c>
      <x:c r="I55" s="52" t="n">
        <x:v>10</x:v>
      </x:c>
      <x:c r="J55" s="68" t="n">
        <x:v>0.8</x:v>
      </x:c>
      <x:c r="K55" s="53" t="n">
        <x:f>I55*IF(AND(oil_compact=1,$A55&gt;=compact_year),1-compact_cut,1)</x:f>
        <x:v>10</x:v>
      </x:c>
      <x:c r="L55" s="67" t="n">
        <x:f>IF(AND(oil_compact=1,$A55&gt;=compact_year),MAX(J55,compact_price),J55)</x:f>
        <x:v>0.8</x:v>
      </x:c>
      <x:c r="M55" s="53" t="n">
        <x:f>K55*L55</x:f>
        <x:v>8</x:v>
      </x:c>
      <x:c r="N55" s="53" t="n">
        <x:f>SUM(B55:F55)+M55</x:f>
        <x:v>77</x:v>
      </x:c>
      <x:c r="O55" s="53" t="n">
        <x:f>N55*mining_va</x:f>
        <x:v>53.9</x:v>
      </x:c>
      <x:c r="P55" s="53" t="n">
        <x:f>SUM(B55:F55)*roy_metal*0.9</x:f>
        <x:v>3.1050000000000004</x:v>
      </x:c>
      <x:c r="Q55" s="53" t="n">
        <x:f>M55*roy_oil</x:f>
        <x:v>1</x:v>
      </x:c>
      <x:c r="R55" s="53" t="n">
        <x:f>SUM(B55:E55)*gold_retained+(G55+H55)*conc_gold</x:f>
        <x:v>7.800000000000001</x:v>
      </x:c>
    </x:row>
    <x:row r="56">
      <x:c r="A56" s="58" t="n">
        <x:v>1896</x:v>
      </x:c>
      <x:c r="B56" s="52" t="n">
        <x:v>15.2</x:v>
      </x:c>
      <x:c r="C56" s="52" t="n">
        <x:v>22.6</x:v>
      </x:c>
      <x:c r="D56" s="52" t="n">
        <x:v>0</x:v>
      </x:c>
      <x:c r="E56" s="52" t="n">
        <x:v>2</x:v>
      </x:c>
      <x:c r="F56" s="52" t="n">
        <x:v>36</x:v>
      </x:c>
      <x:c r="G56" s="52" t="n">
        <x:v>0</x:v>
      </x:c>
      <x:c r="H56" s="52" t="n">
        <x:v>0</x:v>
      </x:c>
      <x:c r="I56" s="52" t="n">
        <x:v>12.67</x:v>
      </x:c>
      <x:c r="J56" s="68" t="n">
        <x:v>0.79</x:v>
      </x:c>
      <x:c r="K56" s="53" t="n">
        <x:f>I56*IF(AND(oil_compact=1,$A56&gt;=compact_year),1-compact_cut,1)</x:f>
        <x:v>12.67</x:v>
      </x:c>
      <x:c r="L56" s="67" t="n">
        <x:f>IF(AND(oil_compact=1,$A56&gt;=compact_year),MAX(J56,compact_price),J56)</x:f>
        <x:v>0.79</x:v>
      </x:c>
      <x:c r="M56" s="53" t="n">
        <x:f>K56*L56</x:f>
        <x:v>10.0093</x:v>
      </x:c>
      <x:c r="N56" s="53" t="n">
        <x:f>SUM(B56:F56)+M56</x:f>
        <x:v>85.8093</x:v>
      </x:c>
      <x:c r="O56" s="53" t="n">
        <x:f>N56*mining_va</x:f>
        <x:v>60.066509999999994</x:v>
      </x:c>
      <x:c r="P56" s="53" t="n">
        <x:f>SUM(B56:F56)*roy_metal*0.9</x:f>
        <x:v>3.411</x:v>
      </x:c>
      <x:c r="Q56" s="53" t="n">
        <x:f>M56*roy_oil</x:f>
        <x:v>1.2511625</x:v>
      </x:c>
      <x:c r="R56" s="53" t="n">
        <x:f>SUM(B56:E56)*gold_retained+(G56+H56)*conc_gold</x:f>
        <x:v>7.96</x:v>
      </x:c>
    </x:row>
    <x:row r="57">
      <x:c r="A57" s="58" t="n">
        <x:v>1897</x:v>
      </x:c>
      <x:c r="B57" s="52" t="n">
        <x:v>15.4</x:v>
      </x:c>
      <x:c r="C57" s="52" t="n">
        <x:v>23.2</x:v>
      </x:c>
      <x:c r="D57" s="52" t="n">
        <x:v>0</x:v>
      </x:c>
      <x:c r="E57" s="52" t="n">
        <x:v>2</x:v>
      </x:c>
      <x:c r="F57" s="52" t="n">
        <x:v>42</x:v>
      </x:c>
      <x:c r="G57" s="52" t="n">
        <x:v>0.3</x:v>
      </x:c>
      <x:c r="H57" s="52" t="n">
        <x:v>0</x:v>
      </x:c>
      <x:c r="I57" s="52" t="n">
        <x:v>15.33</x:v>
      </x:c>
      <x:c r="J57" s="68" t="n">
        <x:v>0.78</x:v>
      </x:c>
      <x:c r="K57" s="53" t="n">
        <x:f>I57*IF(AND(oil_compact=1,$A57&gt;=compact_year),1-compact_cut,1)</x:f>
        <x:v>15.33</x:v>
      </x:c>
      <x:c r="L57" s="67" t="n">
        <x:f>IF(AND(oil_compact=1,$A57&gt;=compact_year),MAX(J57,compact_price),J57)</x:f>
        <x:v>0.78</x:v>
      </x:c>
      <x:c r="M57" s="53" t="n">
        <x:f>K57*L57</x:f>
        <x:v>11.9574</x:v>
      </x:c>
      <x:c r="N57" s="53" t="n">
        <x:f>SUM(B57:F57)+M57</x:f>
        <x:v>94.5574</x:v>
      </x:c>
      <x:c r="O57" s="53" t="n">
        <x:f>N57*mining_va</x:f>
        <x:v>66.19018</x:v>
      </x:c>
      <x:c r="P57" s="53" t="n">
        <x:f>SUM(B57:F57)*roy_metal*0.9</x:f>
        <x:v>3.717</x:v>
      </x:c>
      <x:c r="Q57" s="53" t="n">
        <x:f>M57*roy_oil</x:f>
        <x:v>1.494675</x:v>
      </x:c>
      <x:c r="R57" s="53" t="n">
        <x:f>SUM(B57:E57)*gold_retained+(G57+H57)*conc_gold</x:f>
        <x:v>8.3</x:v>
      </x:c>
    </x:row>
    <x:row r="58">
      <x:c r="A58" s="58" t="n">
        <x:v>1898</x:v>
      </x:c>
      <x:c r="B58" s="52" t="n">
        <x:v>15.6</x:v>
      </x:c>
      <x:c r="C58" s="52" t="n">
        <x:v>23.8</x:v>
      </x:c>
      <x:c r="D58" s="52" t="n">
        <x:v>0</x:v>
      </x:c>
      <x:c r="E58" s="52" t="n">
        <x:v>2</x:v>
      </x:c>
      <x:c r="F58" s="52" t="n">
        <x:v>48</x:v>
      </x:c>
      <x:c r="G58" s="52" t="n">
        <x:v>0.5333333333333333</x:v>
      </x:c>
      <x:c r="H58" s="52" t="n">
        <x:v>0</x:v>
      </x:c>
      <x:c r="I58" s="52" t="n">
        <x:v>18</x:v>
      </x:c>
      <x:c r="J58" s="68" t="n">
        <x:v>0.77</x:v>
      </x:c>
      <x:c r="K58" s="53" t="n">
        <x:f>I58*IF(AND(oil_compact=1,$A58&gt;=compact_year),1-compact_cut,1)</x:f>
        <x:v>18</x:v>
      </x:c>
      <x:c r="L58" s="67" t="n">
        <x:f>IF(AND(oil_compact=1,$A58&gt;=compact_year),MAX(J58,compact_price),J58)</x:f>
        <x:v>0.77</x:v>
      </x:c>
      <x:c r="M58" s="53" t="n">
        <x:f>K58*L58</x:f>
        <x:v>13.86</x:v>
      </x:c>
      <x:c r="N58" s="53" t="n">
        <x:f>SUM(B58:F58)+M58</x:f>
        <x:v>103.26</x:v>
      </x:c>
      <x:c r="O58" s="53" t="n">
        <x:f>N58*mining_va</x:f>
        <x:v>72.282</x:v>
      </x:c>
      <x:c r="P58" s="53" t="n">
        <x:f>SUM(B58:F58)*roy_metal*0.9</x:f>
        <x:v>4.023000000000001</x:v>
      </x:c>
      <x:c r="Q58" s="53" t="n">
        <x:f>M58*roy_oil</x:f>
        <x:v>1.7325</x:v>
      </x:c>
      <x:c r="R58" s="53" t="n">
        <x:f>SUM(B58:E58)*gold_retained+(G58+H58)*conc_gold</x:f>
        <x:v>8.6</x:v>
      </x:c>
    </x:row>
    <x:row r="59">
      <x:c r="A59" s="58" t="n">
        <x:v>1899</x:v>
      </x:c>
      <x:c r="B59" s="52" t="n">
        <x:v>15.8</x:v>
      </x:c>
      <x:c r="C59" s="52" t="n">
        <x:v>24.4</x:v>
      </x:c>
      <x:c r="D59" s="52" t="n">
        <x:v>0</x:v>
      </x:c>
      <x:c r="E59" s="52" t="n">
        <x:v>5</x:v>
      </x:c>
      <x:c r="F59" s="52" t="n">
        <x:v>54</x:v>
      </x:c>
      <x:c r="G59" s="52" t="n">
        <x:v>0.7666666666666666</x:v>
      </x:c>
      <x:c r="H59" s="52" t="n">
        <x:v>0</x:v>
      </x:c>
      <x:c r="I59" s="52" t="n">
        <x:v>21.5</x:v>
      </x:c>
      <x:c r="J59" s="68" t="n">
        <x:v>0.76</x:v>
      </x:c>
      <x:c r="K59" s="53" t="n">
        <x:f>I59*IF(AND(oil_compact=1,$A59&gt;=compact_year),1-compact_cut,1)</x:f>
        <x:v>21.5</x:v>
      </x:c>
      <x:c r="L59" s="67" t="n">
        <x:f>IF(AND(oil_compact=1,$A59&gt;=compact_year),MAX(J59,compact_price),J59)</x:f>
        <x:v>0.76</x:v>
      </x:c>
      <x:c r="M59" s="53" t="n">
        <x:f>K59*L59</x:f>
        <x:v>16.34</x:v>
      </x:c>
      <x:c r="N59" s="53" t="n">
        <x:f>SUM(B59:F59)+M59</x:f>
        <x:v>115.54</x:v>
      </x:c>
      <x:c r="O59" s="53" t="n">
        <x:f>N59*mining_va</x:f>
        <x:v>80.878</x:v>
      </x:c>
      <x:c r="P59" s="53" t="n">
        <x:f>SUM(B59:F59)*roy_metal*0.9</x:f>
        <x:v>4.464000000000001</x:v>
      </x:c>
      <x:c r="Q59" s="53" t="n">
        <x:f>M59*roy_oil</x:f>
        <x:v>2.0425</x:v>
      </x:c>
      <x:c r="R59" s="53" t="n">
        <x:f>SUM(B59:E59)*gold_retained+(G59+H59)*conc_gold</x:f>
        <x:v>9.5</x:v>
      </x:c>
    </x:row>
    <x:row r="60">
      <x:c r="A60" s="58" t="n">
        <x:v>1900</x:v>
      </x:c>
      <x:c r="B60" s="52" t="n">
        <x:v>16</x:v>
      </x:c>
      <x:c r="C60" s="52" t="n">
        <x:v>25</x:v>
      </x:c>
      <x:c r="D60" s="52" t="n">
        <x:v>0</x:v>
      </x:c>
      <x:c r="E60" s="52" t="n">
        <x:v>8</x:v>
      </x:c>
      <x:c r="F60" s="52" t="n">
        <x:v>60</x:v>
      </x:c>
      <x:c r="G60" s="52" t="n">
        <x:v>0.9999999999999998</x:v>
      </x:c>
      <x:c r="H60" s="52" t="n">
        <x:v>0</x:v>
      </x:c>
      <x:c r="I60" s="52" t="n">
        <x:v>25</x:v>
      </x:c>
      <x:c r="J60" s="68" t="n">
        <x:v>0.75</x:v>
      </x:c>
      <x:c r="K60" s="53" t="n">
        <x:f>I60*IF(AND(oil_compact=1,$A60&gt;=compact_year),1-compact_cut,1)</x:f>
        <x:v>25</x:v>
      </x:c>
      <x:c r="L60" s="67" t="n">
        <x:f>IF(AND(oil_compact=1,$A60&gt;=compact_year),MAX(J60,compact_price),J60)</x:f>
        <x:v>0.75</x:v>
      </x:c>
      <x:c r="M60" s="53" t="n">
        <x:f>K60*L60</x:f>
        <x:v>18.75</x:v>
      </x:c>
      <x:c r="N60" s="53" t="n">
        <x:f>SUM(B60:F60)+M60</x:f>
        <x:v>127.75</x:v>
      </x:c>
      <x:c r="O60" s="53" t="n">
        <x:f>N60*mining_va</x:f>
        <x:v>89.425</x:v>
      </x:c>
      <x:c r="P60" s="53" t="n">
        <x:f>SUM(B60:F60)*roy_metal*0.9</x:f>
        <x:v>4.905</x:v>
      </x:c>
      <x:c r="Q60" s="53" t="n">
        <x:f>M60*roy_oil</x:f>
        <x:v>2.34375</x:v>
      </x:c>
      <x:c r="R60" s="53" t="n">
        <x:f>SUM(B60:E60)*gold_retained+(G60+H60)*conc_gold</x:f>
        <x:v>10.4</x:v>
      </x:c>
    </x:row>
    <x:row r="61">
      <x:c r="A61" s="58" t="n">
        <x:v>1901</x:v>
      </x:c>
      <x:c r="B61" s="52" t="n">
        <x:v>16.6</x:v>
      </x:c>
      <x:c r="C61" s="52" t="n">
        <x:v>25.6</x:v>
      </x:c>
      <x:c r="D61" s="52" t="n">
        <x:v>1</x:v>
      </x:c>
      <x:c r="E61" s="52" t="n">
        <x:v>9.4</x:v>
      </x:c>
      <x:c r="F61" s="52" t="n">
        <x:v>66</x:v>
      </x:c>
      <x:c r="G61" s="52" t="n">
        <x:v>1.2</x:v>
      </x:c>
      <x:c r="H61" s="52" t="n">
        <x:v>0</x:v>
      </x:c>
      <x:c r="I61" s="52" t="n">
        <x:v>30</x:v>
      </x:c>
      <x:c r="J61" s="68" t="n">
        <x:v>0.67</x:v>
      </x:c>
      <x:c r="K61" s="53" t="n">
        <x:f>I61*IF(AND(oil_compact=1,$A61&gt;=compact_year),1-compact_cut,1)</x:f>
        <x:v>30</x:v>
      </x:c>
      <x:c r="L61" s="67" t="n">
        <x:f>IF(AND(oil_compact=1,$A61&gt;=compact_year),MAX(J61,compact_price),J61)</x:f>
        <x:v>0.67</x:v>
      </x:c>
      <x:c r="M61" s="53" t="n">
        <x:f>K61*L61</x:f>
        <x:v>20.1</x:v>
      </x:c>
      <x:c r="N61" s="53" t="n">
        <x:f>SUM(B61:F61)+M61</x:f>
        <x:v>138.7</x:v>
      </x:c>
      <x:c r="O61" s="53" t="n">
        <x:f>N61*mining_va</x:f>
        <x:v>97.08999999999999</x:v>
      </x:c>
      <x:c r="P61" s="53" t="n">
        <x:f>SUM(B61:F61)*roy_metal*0.9</x:f>
        <x:v>5.337</x:v>
      </x:c>
      <x:c r="Q61" s="53" t="n">
        <x:f>M61*roy_oil</x:f>
        <x:v>2.5125</x:v>
      </x:c>
      <x:c r="R61" s="53" t="n">
        <x:f>SUM(B61:E61)*gold_retained+(G61+H61)*conc_gold</x:f>
        <x:v>11.240000000000002</x:v>
      </x:c>
    </x:row>
    <x:row r="62">
      <x:c r="A62" s="58" t="n">
        <x:v>1902</x:v>
      </x:c>
      <x:c r="B62" s="52" t="n">
        <x:v>17.2</x:v>
      </x:c>
      <x:c r="C62" s="52" t="n">
        <x:v>26.2</x:v>
      </x:c>
      <x:c r="D62" s="52" t="n">
        <x:v>2.5</x:v>
      </x:c>
      <x:c r="E62" s="52" t="n">
        <x:v>10.8</x:v>
      </x:c>
      <x:c r="F62" s="52" t="n">
        <x:v>72</x:v>
      </x:c>
      <x:c r="G62" s="52" t="n">
        <x:v>1.4</x:v>
      </x:c>
      <x:c r="H62" s="52" t="n">
        <x:v>0</x:v>
      </x:c>
      <x:c r="I62" s="52" t="n">
        <x:v>35</x:v>
      </x:c>
      <x:c r="J62" s="68" t="n">
        <x:v>0.59</x:v>
      </x:c>
      <x:c r="K62" s="53" t="n">
        <x:f>I62*IF(AND(oil_compact=1,$A62&gt;=compact_year),1-compact_cut,1)</x:f>
        <x:v>35</x:v>
      </x:c>
      <x:c r="L62" s="67" t="n">
        <x:f>IF(AND(oil_compact=1,$A62&gt;=compact_year),MAX(J62,compact_price),J62)</x:f>
        <x:v>0.59</x:v>
      </x:c>
      <x:c r="M62" s="53" t="n">
        <x:f>K62*L62</x:f>
        <x:v>20.65</x:v>
      </x:c>
      <x:c r="N62" s="53" t="n">
        <x:f>SUM(B62:F62)+M62</x:f>
        <x:v>149.35</x:v>
      </x:c>
      <x:c r="O62" s="53" t="n">
        <x:f>N62*mining_va</x:f>
        <x:v>104.54499999999999</x:v>
      </x:c>
      <x:c r="P62" s="53" t="n">
        <x:f>SUM(B62:F62)*roy_metal*0.9</x:f>
        <x:v>5.7915</x:v>
      </x:c>
      <x:c r="Q62" s="53" t="n">
        <x:f>M62*roy_oil</x:f>
        <x:v>2.58125</x:v>
      </x:c>
      <x:c r="R62" s="53" t="n">
        <x:f>SUM(B62:E62)*gold_retained+(G62+H62)*conc_gold</x:f>
        <x:v>12.180000000000001</x:v>
      </x:c>
    </x:row>
    <x:row r="63">
      <x:c r="A63" s="58" t="n">
        <x:v>1903</x:v>
      </x:c>
      <x:c r="B63" s="52" t="n">
        <x:v>17.8</x:v>
      </x:c>
      <x:c r="C63" s="52" t="n">
        <x:v>26.8</x:v>
      </x:c>
      <x:c r="D63" s="52" t="n">
        <x:v>4</x:v>
      </x:c>
      <x:c r="E63" s="52" t="n">
        <x:v>12.2</x:v>
      </x:c>
      <x:c r="F63" s="52" t="n">
        <x:v>78</x:v>
      </x:c>
      <x:c r="G63" s="52" t="n">
        <x:v>1.6</x:v>
      </x:c>
      <x:c r="H63" s="52" t="n">
        <x:v>0</x:v>
      </x:c>
      <x:c r="I63" s="52" t="n">
        <x:v>40</x:v>
      </x:c>
      <x:c r="J63" s="68" t="n">
        <x:v>0.51</x:v>
      </x:c>
      <x:c r="K63" s="53" t="n">
        <x:f>I63*IF(AND(oil_compact=1,$A63&gt;=compact_year),1-compact_cut,1)</x:f>
        <x:v>40</x:v>
      </x:c>
      <x:c r="L63" s="67" t="n">
        <x:f>IF(AND(oil_compact=1,$A63&gt;=compact_year),MAX(J63,compact_price),J63)</x:f>
        <x:v>0.51</x:v>
      </x:c>
      <x:c r="M63" s="53" t="n">
        <x:f>K63*L63</x:f>
        <x:v>20.4</x:v>
      </x:c>
      <x:c r="N63" s="53" t="n">
        <x:f>SUM(B63:F63)+M63</x:f>
        <x:v>159.20000000000002</x:v>
      </x:c>
      <x:c r="O63" s="53" t="n">
        <x:f>N63*mining_va</x:f>
        <x:v>111.44000000000001</x:v>
      </x:c>
      <x:c r="P63" s="53" t="n">
        <x:f>SUM(B63:F63)*roy_metal*0.9</x:f>
        <x:v>6.246000000000001</x:v>
      </x:c>
      <x:c r="Q63" s="53" t="n">
        <x:f>M63*roy_oil</x:f>
        <x:v>2.55</x:v>
      </x:c>
      <x:c r="R63" s="53" t="n">
        <x:f>SUM(B63:E63)*gold_retained+(G63+H63)*conc_gold</x:f>
        <x:v>13.120000000000001</x:v>
      </x:c>
    </x:row>
    <x:row r="64">
      <x:c r="A64" s="58" t="n">
        <x:v>1904</x:v>
      </x:c>
      <x:c r="B64" s="52" t="n">
        <x:v>18.4</x:v>
      </x:c>
      <x:c r="C64" s="52" t="n">
        <x:v>27.4</x:v>
      </x:c>
      <x:c r="D64" s="52" t="n">
        <x:v>6</x:v>
      </x:c>
      <x:c r="E64" s="52" t="n">
        <x:v>13.6</x:v>
      </x:c>
      <x:c r="F64" s="52" t="n">
        <x:v>84</x:v>
      </x:c>
      <x:c r="G64" s="52" t="n">
        <x:v>1.8</x:v>
      </x:c>
      <x:c r="H64" s="52" t="n">
        <x:v>0</x:v>
      </x:c>
      <x:c r="I64" s="52" t="n">
        <x:v>45</x:v>
      </x:c>
      <x:c r="J64" s="68" t="n">
        <x:v>0.43</x:v>
      </x:c>
      <x:c r="K64" s="53" t="n">
        <x:f>I64*IF(AND(oil_compact=1,$A64&gt;=compact_year),1-compact_cut,1)</x:f>
        <x:v>45</x:v>
      </x:c>
      <x:c r="L64" s="67" t="n">
        <x:f>IF(AND(oil_compact=1,$A64&gt;=compact_year),MAX(J64,compact_price),J64)</x:f>
        <x:v>0.43</x:v>
      </x:c>
      <x:c r="M64" s="53" t="n">
        <x:f>K64*L64</x:f>
        <x:v>19.35</x:v>
      </x:c>
      <x:c r="N64" s="53" t="n">
        <x:f>SUM(B64:F64)+M64</x:f>
        <x:v>168.74999999999997</x:v>
      </x:c>
      <x:c r="O64" s="53" t="n">
        <x:f>N64*mining_va</x:f>
        <x:v>118.12499999999997</x:v>
      </x:c>
      <x:c r="P64" s="53" t="n">
        <x:f>SUM(B64:F64)*roy_metal*0.9</x:f>
        <x:v>6.722999999999999</x:v>
      </x:c>
      <x:c r="Q64" s="53" t="n">
        <x:f>M64*roy_oil</x:f>
        <x:v>2.41875</x:v>
      </x:c>
      <x:c r="R64" s="53" t="n">
        <x:f>SUM(B64:E64)*gold_retained+(G64+H64)*conc_gold</x:f>
        <x:v>14.159999999999998</x:v>
      </x:c>
    </x:row>
    <x:row r="65">
      <x:c r="A65" s="58" t="n">
        <x:v>1905</x:v>
      </x:c>
      <x:c r="B65" s="52" t="n">
        <x:v>19</x:v>
      </x:c>
      <x:c r="C65" s="52" t="n">
        <x:v>28</x:v>
      </x:c>
      <x:c r="D65" s="52" t="n">
        <x:v>8</x:v>
      </x:c>
      <x:c r="E65" s="52" t="n">
        <x:v>15</x:v>
      </x:c>
      <x:c r="F65" s="52" t="n">
        <x:v>90</x:v>
      </x:c>
      <x:c r="G65" s="52" t="n">
        <x:v>2</x:v>
      </x:c>
      <x:c r="H65" s="52" t="n">
        <x:v>0</x:v>
      </x:c>
      <x:c r="I65" s="52" t="n">
        <x:v>50</x:v>
      </x:c>
      <x:c r="J65" s="68" t="n">
        <x:v>0.35</x:v>
      </x:c>
      <x:c r="K65" s="53" t="n">
        <x:f>I65*IF(AND(oil_compact=1,$A65&gt;=compact_year),1-compact_cut,1)</x:f>
        <x:v>50</x:v>
      </x:c>
      <x:c r="L65" s="67" t="n">
        <x:f>IF(AND(oil_compact=1,$A65&gt;=compact_year),MAX(J65,compact_price),J65)</x:f>
        <x:v>0.35</x:v>
      </x:c>
      <x:c r="M65" s="53" t="n">
        <x:f>K65*L65</x:f>
        <x:v>17.5</x:v>
      </x:c>
      <x:c r="N65" s="53" t="n">
        <x:f>SUM(B65:F65)+M65</x:f>
        <x:v>177.5</x:v>
      </x:c>
      <x:c r="O65" s="53" t="n">
        <x:f>N65*mining_va</x:f>
        <x:v>124.24999999999999</x:v>
      </x:c>
      <x:c r="P65" s="53" t="n">
        <x:f>SUM(B65:F65)*roy_metal*0.9</x:f>
        <x:v>7.2</x:v>
      </x:c>
      <x:c r="Q65" s="53" t="n">
        <x:f>M65*roy_oil</x:f>
        <x:v>2.1875</x:v>
      </x:c>
      <x:c r="R65" s="53" t="n">
        <x:f>SUM(B65:E65)*gold_retained+(G65+H65)*conc_gold</x:f>
        <x:v>15.2</x:v>
      </x:c>
    </x:row>
    <x:row r="66">
      <x:c r="A66" s="58" t="n">
        <x:v>1906</x:v>
      </x:c>
      <x:c r="B66" s="52" t="n">
        <x:v>19.2</x:v>
      </x:c>
      <x:c r="C66" s="52" t="n">
        <x:v>27.4</x:v>
      </x:c>
      <x:c r="D66" s="52" t="n">
        <x:v>11.5</x:v>
      </x:c>
      <x:c r="E66" s="52" t="n">
        <x:v>22</x:v>
      </x:c>
      <x:c r="F66" s="52" t="n">
        <x:v>94</x:v>
      </x:c>
      <x:c r="G66" s="52" t="n">
        <x:v>2.2</x:v>
      </x:c>
      <x:c r="H66" s="52" t="n">
        <x:v>0</x:v>
      </x:c>
      <x:c r="I66" s="52" t="n">
        <x:v>55</x:v>
      </x:c>
      <x:c r="J66" s="68" t="n">
        <x:v>0.38</x:v>
      </x:c>
      <x:c r="K66" s="53" t="n">
        <x:f>I66*IF(AND(oil_compact=1,$A66&gt;=compact_year),1-compact_cut,1)</x:f>
        <x:v>55</x:v>
      </x:c>
      <x:c r="L66" s="67" t="n">
        <x:f>IF(AND(oil_compact=1,$A66&gt;=compact_year),MAX(J66,compact_price),J66)</x:f>
        <x:v>0.38</x:v>
      </x:c>
      <x:c r="M66" s="53" t="n">
        <x:f>K66*L66</x:f>
        <x:v>20.9</x:v>
      </x:c>
      <x:c r="N66" s="53" t="n">
        <x:f>SUM(B66:F66)+M66</x:f>
        <x:v>195</x:v>
      </x:c>
      <x:c r="O66" s="53" t="n">
        <x:f>N66*mining_va</x:f>
        <x:v>136.5</x:v>
      </x:c>
      <x:c r="P66" s="53" t="n">
        <x:f>SUM(B66:F66)*roy_metal*0.9</x:f>
        <x:v>7.8345</x:v>
      </x:c>
      <x:c r="Q66" s="53" t="n">
        <x:f>M66*roy_oil</x:f>
        <x:v>2.6125</x:v>
      </x:c>
      <x:c r="R66" s="53" t="n">
        <x:f>SUM(B66:E66)*gold_retained+(G66+H66)*conc_gold</x:f>
        <x:v>17.34</x:v>
      </x:c>
    </x:row>
    <x:row r="67">
      <x:c r="A67" s="58" t="n">
        <x:v>1907</x:v>
      </x:c>
      <x:c r="B67" s="52" t="n">
        <x:v>19.4</x:v>
      </x:c>
      <x:c r="C67" s="52" t="n">
        <x:v>26.8</x:v>
      </x:c>
      <x:c r="D67" s="52" t="n">
        <x:v>15</x:v>
      </x:c>
      <x:c r="E67" s="52" t="n">
        <x:v>20.5</x:v>
      </x:c>
      <x:c r="F67" s="52" t="n">
        <x:v>98</x:v>
      </x:c>
      <x:c r="G67" s="52" t="n">
        <x:v>2.4</x:v>
      </x:c>
      <x:c r="H67" s="52" t="n">
        <x:v>0</x:v>
      </x:c>
      <x:c r="I67" s="52" t="n">
        <x:v>60</x:v>
      </x:c>
      <x:c r="J67" s="68" t="n">
        <x:v>0.41</x:v>
      </x:c>
      <x:c r="K67" s="53" t="n">
        <x:f>I67*IF(AND(oil_compact=1,$A67&gt;=compact_year),1-compact_cut,1)</x:f>
        <x:v>60</x:v>
      </x:c>
      <x:c r="L67" s="67" t="n">
        <x:f>IF(AND(oil_compact=1,$A67&gt;=compact_year),MAX(J67,compact_price),J67)</x:f>
        <x:v>0.41</x:v>
      </x:c>
      <x:c r="M67" s="53" t="n">
        <x:f>K67*L67</x:f>
        <x:v>24.599999999999998</x:v>
      </x:c>
      <x:c r="N67" s="53" t="n">
        <x:f>SUM(B67:F67)+M67</x:f>
        <x:v>204.29999999999998</x:v>
      </x:c>
      <x:c r="O67" s="53" t="n">
        <x:f>N67*mining_va</x:f>
        <x:v>143.01</x:v>
      </x:c>
      <x:c r="P67" s="53" t="n">
        <x:f>SUM(B67:F67)*roy_metal*0.9</x:f>
        <x:v>8.0865</x:v>
      </x:c>
      <x:c r="Q67" s="53" t="n">
        <x:f>M67*roy_oil</x:f>
        <x:v>3.0749999999999997</x:v>
      </x:c>
      <x:c r="R67" s="53" t="n">
        <x:f>SUM(B67:E67)*gold_retained+(G67+H67)*conc_gold</x:f>
        <x:v>17.78</x:v>
      </x:c>
    </x:row>
    <x:row r="68">
      <x:c r="A68" s="58" t="n">
        <x:v>1908</x:v>
      </x:c>
      <x:c r="B68" s="52" t="n">
        <x:v>19.6</x:v>
      </x:c>
      <x:c r="C68" s="52" t="n">
        <x:v>26.2</x:v>
      </x:c>
      <x:c r="D68" s="52" t="n">
        <x:v>16.66666666666667</x:v>
      </x:c>
      <x:c r="E68" s="52" t="n">
        <x:v>19</x:v>
      </x:c>
      <x:c r="F68" s="52" t="n">
        <x:v>102</x:v>
      </x:c>
      <x:c r="G68" s="52" t="n">
        <x:v>2.6</x:v>
      </x:c>
      <x:c r="H68" s="52" t="n">
        <x:v>0</x:v>
      </x:c>
      <x:c r="I68" s="52" t="n">
        <x:v>65</x:v>
      </x:c>
      <x:c r="J68" s="68" t="n">
        <x:v>0.44</x:v>
      </x:c>
      <x:c r="K68" s="53" t="n">
        <x:f>I68*IF(AND(oil_compact=1,$A68&gt;=compact_year),1-compact_cut,1)</x:f>
        <x:v>65</x:v>
      </x:c>
      <x:c r="L68" s="67" t="n">
        <x:f>IF(AND(oil_compact=1,$A68&gt;=compact_year),MAX(J68,compact_price),J68)</x:f>
        <x:v>0.44</x:v>
      </x:c>
      <x:c r="M68" s="53" t="n">
        <x:f>K68*L68</x:f>
        <x:v>28.6</x:v>
      </x:c>
      <x:c r="N68" s="53" t="n">
        <x:f>SUM(B68:F68)+M68</x:f>
        <x:v>212.06666666666666</x:v>
      </x:c>
      <x:c r="O68" s="53" t="n">
        <x:f>N68*mining_va</x:f>
        <x:v>148.44666666666666</x:v>
      </x:c>
      <x:c r="P68" s="53" t="n">
        <x:f>SUM(B68:F68)*roy_metal*0.9</x:f>
        <x:v>8.256</x:v>
      </x:c>
      <x:c r="Q68" s="53" t="n">
        <x:f>M68*roy_oil</x:f>
        <x:v>3.575</x:v>
      </x:c>
      <x:c r="R68" s="53" t="n">
        <x:f>SUM(B68:E68)*gold_retained+(G68+H68)*conc_gold</x:f>
        <x:v>17.85333333333333</x:v>
      </x:c>
    </x:row>
    <x:row r="69">
      <x:c r="A69" s="58" t="n">
        <x:v>1909</x:v>
      </x:c>
      <x:c r="B69" s="52" t="n">
        <x:v>19.8</x:v>
      </x:c>
      <x:c r="C69" s="52" t="n">
        <x:v>25.6</x:v>
      </x:c>
      <x:c r="D69" s="52" t="n">
        <x:v>18.33333333333333</x:v>
      </x:c>
      <x:c r="E69" s="52" t="n">
        <x:v>17.5</x:v>
      </x:c>
      <x:c r="F69" s="52" t="n">
        <x:v>106</x:v>
      </x:c>
      <x:c r="G69" s="52" t="n">
        <x:v>2.8</x:v>
      </x:c>
      <x:c r="H69" s="52" t="n">
        <x:v>0</x:v>
      </x:c>
      <x:c r="I69" s="52" t="n">
        <x:v>72.5</x:v>
      </x:c>
      <x:c r="J69" s="68" t="n">
        <x:v>0.47</x:v>
      </x:c>
      <x:c r="K69" s="53" t="n">
        <x:f>I69*IF(AND(oil_compact=1,$A69&gt;=compact_year),1-compact_cut,1)</x:f>
        <x:v>72.5</x:v>
      </x:c>
      <x:c r="L69" s="67" t="n">
        <x:f>IF(AND(oil_compact=1,$A69&gt;=compact_year),MAX(J69,compact_price),J69)</x:f>
        <x:v>0.47</x:v>
      </x:c>
      <x:c r="M69" s="53" t="n">
        <x:f>K69*L69</x:f>
        <x:v>34.074999999999996</x:v>
      </x:c>
      <x:c r="N69" s="53" t="n">
        <x:f>SUM(B69:F69)+M69</x:f>
        <x:v>221.30833333333334</x:v>
      </x:c>
      <x:c r="O69" s="53" t="n">
        <x:f>N69*mining_va</x:f>
        <x:v>154.91583333333332</x:v>
      </x:c>
      <x:c r="P69" s="53" t="n">
        <x:f>SUM(B69:F69)*roy_metal*0.9</x:f>
        <x:v>8.425500000000001</x:v>
      </x:c>
      <x:c r="Q69" s="53" t="n">
        <x:f>M69*roy_oil</x:f>
        <x:v>4.2593749999999995</x:v>
      </x:c>
      <x:c r="R69" s="53" t="n">
        <x:f>SUM(B69:E69)*gold_retained+(G69+H69)*conc_gold</x:f>
        <x:v>17.926666666666666</x:v>
      </x:c>
    </x:row>
    <x:row r="70">
      <x:c r="A70" s="58" t="n">
        <x:v>1910</x:v>
      </x:c>
      <x:c r="B70" s="52" t="n">
        <x:v>20</x:v>
      </x:c>
      <x:c r="C70" s="52" t="n">
        <x:v>25</x:v>
      </x:c>
      <x:c r="D70" s="52" t="n">
        <x:v>20</x:v>
      </x:c>
      <x:c r="E70" s="52" t="n">
        <x:v>16</x:v>
      </x:c>
      <x:c r="F70" s="52" t="n">
        <x:v>110</x:v>
      </x:c>
      <x:c r="G70" s="52" t="n">
        <x:v>3</x:v>
      </x:c>
      <x:c r="H70" s="52" t="n">
        <x:v>0</x:v>
      </x:c>
      <x:c r="I70" s="52" t="n">
        <x:v>80</x:v>
      </x:c>
      <x:c r="J70" s="68" t="n">
        <x:v>0.5</x:v>
      </x:c>
      <x:c r="K70" s="53" t="n">
        <x:f>I70*IF(AND(oil_compact=1,$A70&gt;=compact_year),1-compact_cut,1)</x:f>
        <x:v>80</x:v>
      </x:c>
      <x:c r="L70" s="67" t="n">
        <x:f>IF(AND(oil_compact=1,$A70&gt;=compact_year),MAX(J70,compact_price),J70)</x:f>
        <x:v>0.5</x:v>
      </x:c>
      <x:c r="M70" s="53" t="n">
        <x:f>K70*L70</x:f>
        <x:v>40</x:v>
      </x:c>
      <x:c r="N70" s="53" t="n">
        <x:f>SUM(B70:F70)+M70</x:f>
        <x:v>231</x:v>
      </x:c>
      <x:c r="O70" s="53" t="n">
        <x:f>N70*mining_va</x:f>
        <x:v>161.7</x:v>
      </x:c>
      <x:c r="P70" s="53" t="n">
        <x:f>SUM(B70:F70)*roy_metal*0.9</x:f>
        <x:v>8.595</x:v>
      </x:c>
      <x:c r="Q70" s="53" t="n">
        <x:f>M70*roy_oil</x:f>
        <x:v>5</x:v>
      </x:c>
      <x:c r="R70" s="53" t="n">
        <x:f>SUM(B70:E70)*gold_retained+(G70+H70)*conc_gold</x:f>
        <x:v>18</x:v>
      </x:c>
    </x:row>
    <x:row r="71">
      <x:c r="A71" s="58" t="n">
        <x:v>1911</x:v>
      </x:c>
      <x:c r="B71" s="52" t="n">
        <x:v>20.4</x:v>
      </x:c>
      <x:c r="C71" s="52" t="n">
        <x:v>25</x:v>
      </x:c>
      <x:c r="D71" s="52" t="n">
        <x:v>19</x:v>
      </x:c>
      <x:c r="E71" s="52" t="n">
        <x:v>16</x:v>
      </x:c>
      <x:c r="F71" s="52" t="n">
        <x:v>113.3333333333333</x:v>
      </x:c>
      <x:c r="G71" s="52" t="n">
        <x:v>3.1</x:v>
      </x:c>
      <x:c r="H71" s="52" t="n">
        <x:v>0</x:v>
      </x:c>
      <x:c r="I71" s="52" t="n">
        <x:v>86.67</x:v>
      </x:c>
      <x:c r="J71" s="68" t="n">
        <x:v>0.53</x:v>
      </x:c>
      <x:c r="K71" s="53" t="n">
        <x:f>I71*IF(AND(oil_compact=1,$A71&gt;=compact_year),1-compact_cut,1)</x:f>
        <x:v>86.67</x:v>
      </x:c>
      <x:c r="L71" s="67" t="n">
        <x:f>IF(AND(oil_compact=1,$A71&gt;=compact_year),MAX(J71,compact_price),J71)</x:f>
        <x:v>0.53</x:v>
      </x:c>
      <x:c r="M71" s="53" t="n">
        <x:f>K71*L71</x:f>
        <x:v>45.935100000000006</x:v>
      </x:c>
      <x:c r="N71" s="53" t="n">
        <x:f>SUM(B71:F71)+M71</x:f>
        <x:v>239.6684333333333</x:v>
      </x:c>
      <x:c r="O71" s="53" t="n">
        <x:f>N71*mining_va</x:f>
        <x:v>167.7679033333333</x:v>
      </x:c>
      <x:c r="P71" s="53" t="n">
        <x:f>SUM(B71:F71)*roy_metal*0.9</x:f>
        <x:v>8.718</x:v>
      </x:c>
      <x:c r="Q71" s="53" t="n">
        <x:f>M71*roy_oil</x:f>
        <x:v>5.741887500000001</x:v>
      </x:c>
      <x:c r="R71" s="53" t="n">
        <x:f>SUM(B71:E71)*gold_retained+(G71+H71)*conc_gold</x:f>
        <x:v>17.94</x:v>
      </x:c>
    </x:row>
    <x:row r="72">
      <x:c r="A72" s="58" t="n">
        <x:v>1912</x:v>
      </x:c>
      <x:c r="B72" s="52" t="n">
        <x:v>20.8</x:v>
      </x:c>
      <x:c r="C72" s="52" t="n">
        <x:v>25</x:v>
      </x:c>
      <x:c r="D72" s="52" t="n">
        <x:v>18</x:v>
      </x:c>
      <x:c r="E72" s="52" t="n">
        <x:v>16</x:v>
      </x:c>
      <x:c r="F72" s="52" t="n">
        <x:v>116.6666666666667</x:v>
      </x:c>
      <x:c r="G72" s="52" t="n">
        <x:v>3.2</x:v>
      </x:c>
      <x:c r="H72" s="52" t="n">
        <x:v>0</x:v>
      </x:c>
      <x:c r="I72" s="52" t="n">
        <x:v>93.33</x:v>
      </x:c>
      <x:c r="J72" s="68" t="n">
        <x:v>0.57</x:v>
      </x:c>
      <x:c r="K72" s="53" t="n">
        <x:f>I72*IF(AND(oil_compact=1,$A72&gt;=compact_year),1-compact_cut,1)</x:f>
        <x:v>93.33</x:v>
      </x:c>
      <x:c r="L72" s="67" t="n">
        <x:f>IF(AND(oil_compact=1,$A72&gt;=compact_year),MAX(J72,compact_price),J72)</x:f>
        <x:v>0.57</x:v>
      </x:c>
      <x:c r="M72" s="53" t="n">
        <x:f>K72*L72</x:f>
        <x:v>53.1981</x:v>
      </x:c>
      <x:c r="N72" s="53" t="n">
        <x:f>SUM(B72:F72)+M72</x:f>
        <x:v>249.6647666666667</x:v>
      </x:c>
      <x:c r="O72" s="53" t="n">
        <x:f>N72*mining_va</x:f>
        <x:v>174.76533666666668</x:v>
      </x:c>
      <x:c r="P72" s="53" t="n">
        <x:f>SUM(B72:F72)*roy_metal*0.9</x:f>
        <x:v>8.841000000000003</x:v>
      </x:c>
      <x:c r="Q72" s="53" t="n">
        <x:f>M72*roy_oil</x:f>
        <x:v>6.6497625</x:v>
      </x:c>
      <x:c r="R72" s="53" t="n">
        <x:f>SUM(B72:E72)*gold_retained+(G72+H72)*conc_gold</x:f>
        <x:v>17.880000000000003</x:v>
      </x:c>
    </x:row>
    <x:row r="73">
      <x:c r="A73" s="58" t="n">
        <x:v>1913</x:v>
      </x:c>
      <x:c r="B73" s="52" t="n">
        <x:v>21.2</x:v>
      </x:c>
      <x:c r="C73" s="52" t="n">
        <x:v>25</x:v>
      </x:c>
      <x:c r="D73" s="52" t="n">
        <x:v>17</x:v>
      </x:c>
      <x:c r="E73" s="52" t="n">
        <x:v>16</x:v>
      </x:c>
      <x:c r="F73" s="52" t="n">
        <x:v>120</x:v>
      </x:c>
      <x:c r="G73" s="52" t="n">
        <x:v>3.3</x:v>
      </x:c>
      <x:c r="H73" s="52" t="n">
        <x:v>0</x:v>
      </x:c>
      <x:c r="I73" s="52" t="n">
        <x:v>100</x:v>
      </x:c>
      <x:c r="J73" s="68" t="n">
        <x:v>0.6</x:v>
      </x:c>
      <x:c r="K73" s="53" t="n">
        <x:f>I73*IF(AND(oil_compact=1,$A73&gt;=compact_year),1-compact_cut,1)</x:f>
        <x:v>100</x:v>
      </x:c>
      <x:c r="L73" s="67" t="n">
        <x:f>IF(AND(oil_compact=1,$A73&gt;=compact_year),MAX(J73,compact_price),J73)</x:f>
        <x:v>0.6</x:v>
      </x:c>
      <x:c r="M73" s="53" t="n">
        <x:f>K73*L73</x:f>
        <x:v>60</x:v>
      </x:c>
      <x:c r="N73" s="53" t="n">
        <x:f>SUM(B73:F73)+M73</x:f>
        <x:v>259.2</x:v>
      </x:c>
      <x:c r="O73" s="53" t="n">
        <x:f>N73*mining_va</x:f>
        <x:v>181.43999999999997</x:v>
      </x:c>
      <x:c r="P73" s="53" t="n">
        <x:f>SUM(B73:F73)*roy_metal*0.9</x:f>
        <x:v>8.964</x:v>
      </x:c>
      <x:c r="Q73" s="53" t="n">
        <x:f>M73*roy_oil</x:f>
        <x:v>7.5</x:v>
      </x:c>
      <x:c r="R73" s="53" t="n">
        <x:f>SUM(B73:E73)*gold_retained+(G73+H73)*conc_gold</x:f>
        <x:v>17.82</x:v>
      </x:c>
    </x:row>
    <x:row r="74">
      <x:c r="A74" s="61" t="n">
        <x:v>1914</x:v>
      </x:c>
      <x:c r="B74" s="52" t="n">
        <x:v>21.6</x:v>
      </x:c>
      <x:c r="C74" s="52" t="n">
        <x:v>25</x:v>
      </x:c>
      <x:c r="D74" s="52" t="n">
        <x:v>15.5</x:v>
      </x:c>
      <x:c r="E74" s="52" t="n">
        <x:v>16</x:v>
      </x:c>
      <x:c r="F74" s="52" t="n">
        <x:v>160</x:v>
      </x:c>
      <x:c r="G74" s="52" t="n">
        <x:v>3.4</x:v>
      </x:c>
      <x:c r="H74" s="52" t="n">
        <x:v>0</x:v>
      </x:c>
      <x:c r="I74" s="52" t="n">
        <x:v>102.5</x:v>
      </x:c>
      <x:c r="J74" s="68" t="n">
        <x:v>0.7</x:v>
      </x:c>
      <x:c r="K74" s="53" t="n">
        <x:f>I74*IF(AND(oil_compact=1,$A74&gt;=compact_year),1-compact_cut,1)</x:f>
        <x:v>102.5</x:v>
      </x:c>
      <x:c r="L74" s="67" t="n">
        <x:f>IF(AND(oil_compact=1,$A74&gt;=compact_year),MAX(J74,compact_price),J74)</x:f>
        <x:v>0.7</x:v>
      </x:c>
      <x:c r="M74" s="53" t="n">
        <x:f>K74*L74</x:f>
        <x:v>71.75</x:v>
      </x:c>
      <x:c r="N74" s="53" t="n">
        <x:f>SUM(B74:F74)+M74</x:f>
        <x:v>309.85</x:v>
      </x:c>
      <x:c r="O74" s="53" t="n">
        <x:f>N74*mining_va</x:f>
        <x:v>216.895</x:v>
      </x:c>
      <x:c r="P74" s="53" t="n">
        <x:f>SUM(B74:F74)*roy_metal*0.9</x:f>
        <x:v>10.714500000000001</x:v>
      </x:c>
      <x:c r="Q74" s="53" t="n">
        <x:f>M74*roy_oil</x:f>
        <x:v>8.96875</x:v>
      </x:c>
      <x:c r="R74" s="53" t="n">
        <x:f>SUM(B74:E74)*gold_retained+(G74+H74)*conc_gold</x:f>
        <x:v>17.66</x:v>
      </x:c>
    </x:row>
    <x:row r="75">
      <x:c r="A75" s="61" t="n">
        <x:v>1915</x:v>
      </x:c>
      <x:c r="B75" s="52" t="n">
        <x:v>22</x:v>
      </x:c>
      <x:c r="C75" s="52" t="n">
        <x:v>25</x:v>
      </x:c>
      <x:c r="D75" s="52" t="n">
        <x:v>14</x:v>
      </x:c>
      <x:c r="E75" s="52" t="n">
        <x:v>16</x:v>
      </x:c>
      <x:c r="F75" s="52" t="n">
        <x:v>200</x:v>
      </x:c>
      <x:c r="G75" s="52" t="n">
        <x:v>3.5</x:v>
      </x:c>
      <x:c r="H75" s="52" t="n">
        <x:v>0</x:v>
      </x:c>
      <x:c r="I75" s="52" t="n">
        <x:v>105</x:v>
      </x:c>
      <x:c r="J75" s="68" t="n">
        <x:v>0.8</x:v>
      </x:c>
      <x:c r="K75" s="53" t="n">
        <x:f>I75*IF(AND(oil_compact=1,$A75&gt;=compact_year),1-compact_cut,1)</x:f>
        <x:v>105</x:v>
      </x:c>
      <x:c r="L75" s="67" t="n">
        <x:f>IF(AND(oil_compact=1,$A75&gt;=compact_year),MAX(J75,compact_price),J75)</x:f>
        <x:v>0.8</x:v>
      </x:c>
      <x:c r="M75" s="53" t="n">
        <x:f>K75*L75</x:f>
        <x:v>84</x:v>
      </x:c>
      <x:c r="N75" s="53" t="n">
        <x:f>SUM(B75:F75)+M75</x:f>
        <x:v>361</x:v>
      </x:c>
      <x:c r="O75" s="53" t="n">
        <x:f>N75*mining_va</x:f>
        <x:v>252.7</x:v>
      </x:c>
      <x:c r="P75" s="53" t="n">
        <x:f>SUM(B75:F75)*roy_metal*0.9</x:f>
        <x:v>12.465000000000002</x:v>
      </x:c>
      <x:c r="Q75" s="53" t="n">
        <x:f>M75*roy_oil</x:f>
        <x:v>10.5</x:v>
      </x:c>
      <x:c r="R75" s="53" t="n">
        <x:f>SUM(B75:E75)*gold_retained+(G75+H75)*conc_gold</x:f>
        <x:v>17.5</x:v>
      </x:c>
    </x:row>
    <x:row r="76">
      <x:c r="A76" s="61" t="n">
        <x:v>1916</x:v>
      </x:c>
      <x:c r="B76" s="52" t="n">
        <x:v>20.4</x:v>
      </x:c>
      <x:c r="C76" s="52" t="n">
        <x:v>23.6</x:v>
      </x:c>
      <x:c r="D76" s="52" t="n">
        <x:v>12.4</x:v>
      </x:c>
      <x:c r="E76" s="52" t="n">
        <x:v>14.6</x:v>
      </x:c>
      <x:c r="F76" s="52" t="n">
        <x:v>350</x:v>
      </x:c>
      <x:c r="G76" s="52" t="n">
        <x:v>3.6</x:v>
      </x:c>
      <x:c r="H76" s="52" t="n">
        <x:v>0</x:v>
      </x:c>
      <x:c r="I76" s="52" t="n">
        <x:v>105</x:v>
      </x:c>
      <x:c r="J76" s="68" t="n">
        <x:v>0.9</x:v>
      </x:c>
      <x:c r="K76" s="53" t="n">
        <x:f>I76*IF(AND(oil_compact=1,$A76&gt;=compact_year),1-compact_cut,1)</x:f>
        <x:v>105</x:v>
      </x:c>
      <x:c r="L76" s="67" t="n">
        <x:f>IF(AND(oil_compact=1,$A76&gt;=compact_year),MAX(J76,compact_price),J76)</x:f>
        <x:v>0.9</x:v>
      </x:c>
      <x:c r="M76" s="53" t="n">
        <x:f>K76*L76</x:f>
        <x:v>94.5</x:v>
      </x:c>
      <x:c r="N76" s="53" t="n">
        <x:f>SUM(B76:F76)+M76</x:f>
        <x:v>515.5</x:v>
      </x:c>
      <x:c r="O76" s="53" t="n">
        <x:f>N76*mining_va</x:f>
        <x:v>360.84999999999997</x:v>
      </x:c>
      <x:c r="P76" s="53" t="n">
        <x:f>SUM(B76:F76)*roy_metal*0.9</x:f>
        <x:v>18.945</x:v>
      </x:c>
      <x:c r="Q76" s="53" t="n">
        <x:f>M76*roy_oil</x:f>
        <x:v>11.8125</x:v>
      </x:c>
      <x:c r="R76" s="53" t="n">
        <x:f>SUM(B76:E76)*gold_retained+(G76+H76)*conc_gold</x:f>
        <x:v>16.36</x:v>
      </x:c>
    </x:row>
    <x:row r="77">
      <x:c r="A77" s="61" t="n">
        <x:v>1917</x:v>
      </x:c>
      <x:c r="B77" s="52" t="n">
        <x:v>18.8</x:v>
      </x:c>
      <x:c r="C77" s="52" t="n">
        <x:v>22.2</x:v>
      </x:c>
      <x:c r="D77" s="52" t="n">
        <x:v>10.8</x:v>
      </x:c>
      <x:c r="E77" s="52" t="n">
        <x:v>13.2</x:v>
      </x:c>
      <x:c r="F77" s="52" t="n">
        <x:v>380</x:v>
      </x:c>
      <x:c r="G77" s="52" t="n">
        <x:v>3.7</x:v>
      </x:c>
      <x:c r="H77" s="52" t="n">
        <x:v>0</x:v>
      </x:c>
      <x:c r="I77" s="52" t="n">
        <x:v>105</x:v>
      </x:c>
      <x:c r="J77" s="68" t="n">
        <x:v>1</x:v>
      </x:c>
      <x:c r="K77" s="53" t="n">
        <x:f>I77*IF(AND(oil_compact=1,$A77&gt;=compact_year),1-compact_cut,1)</x:f>
        <x:v>105</x:v>
      </x:c>
      <x:c r="L77" s="67" t="n">
        <x:f>IF(AND(oil_compact=1,$A77&gt;=compact_year),MAX(J77,compact_price),J77)</x:f>
        <x:v>1</x:v>
      </x:c>
      <x:c r="M77" s="53" t="n">
        <x:f>K77*L77</x:f>
        <x:v>105</x:v>
      </x:c>
      <x:c r="N77" s="53" t="n">
        <x:f>SUM(B77:F77)+M77</x:f>
        <x:v>550</x:v>
      </x:c>
      <x:c r="O77" s="53" t="n">
        <x:f>N77*mining_va</x:f>
        <x:v>385</x:v>
      </x:c>
      <x:c r="P77" s="53" t="n">
        <x:f>SUM(B77:F77)*roy_metal*0.9</x:f>
        <x:v>20.025000000000002</x:v>
      </x:c>
      <x:c r="Q77" s="53" t="n">
        <x:f>M77*roy_oil</x:f>
        <x:v>13.125</x:v>
      </x:c>
      <x:c r="R77" s="53" t="n">
        <x:f>SUM(B77:E77)*gold_retained+(G77+H77)*conc_gold</x:f>
        <x:v>15.22</x:v>
      </x:c>
    </x:row>
    <x:row r="78">
      <x:c r="A78" s="61" t="n">
        <x:v>1918</x:v>
      </x:c>
      <x:c r="B78" s="52" t="n">
        <x:v>17.2</x:v>
      </x:c>
      <x:c r="C78" s="52" t="n">
        <x:v>20.8</x:v>
      </x:c>
      <x:c r="D78" s="52" t="n">
        <x:v>9.199999999999999</x:v>
      </x:c>
      <x:c r="E78" s="52" t="n">
        <x:v>11.8</x:v>
      </x:c>
      <x:c r="F78" s="52" t="n">
        <x:v>330</x:v>
      </x:c>
      <x:c r="G78" s="52" t="n">
        <x:v>3.8</x:v>
      </x:c>
      <x:c r="H78" s="52" t="n">
        <x:v>0</x:v>
      </x:c>
      <x:c r="I78" s="52" t="n">
        <x:v>105</x:v>
      </x:c>
      <x:c r="J78" s="68" t="n">
        <x:v>1.23</x:v>
      </x:c>
      <x:c r="K78" s="53" t="n">
        <x:f>I78*IF(AND(oil_compact=1,$A78&gt;=compact_year),1-compact_cut,1)</x:f>
        <x:v>105</x:v>
      </x:c>
      <x:c r="L78" s="67" t="n">
        <x:f>IF(AND(oil_compact=1,$A78&gt;=compact_year),MAX(J78,compact_price),J78)</x:f>
        <x:v>1.23</x:v>
      </x:c>
      <x:c r="M78" s="53" t="n">
        <x:f>K78*L78</x:f>
        <x:v>129.15</x:v>
      </x:c>
      <x:c r="N78" s="53" t="n">
        <x:f>SUM(B78:F78)+M78</x:f>
        <x:v>518.15</x:v>
      </x:c>
      <x:c r="O78" s="53" t="n">
        <x:f>N78*mining_va</x:f>
        <x:v>362.705</x:v>
      </x:c>
      <x:c r="P78" s="53" t="n">
        <x:f>SUM(B78:F78)*roy_metal*0.9</x:f>
        <x:v>17.505000000000003</x:v>
      </x:c>
      <x:c r="Q78" s="53" t="n">
        <x:f>M78*roy_oil</x:f>
        <x:v>16.14375</x:v>
      </x:c>
      <x:c r="R78" s="53" t="n">
        <x:f>SUM(B78:E78)*gold_retained+(G78+H78)*conc_gold</x:f>
        <x:v>14.08</x:v>
      </x:c>
    </x:row>
    <x:row r="79">
      <x:c r="A79" s="61" t="n">
        <x:v>1919</x:v>
      </x:c>
      <x:c r="B79" s="52" t="n">
        <x:v>15.6</x:v>
      </x:c>
      <x:c r="C79" s="52" t="n">
        <x:v>19.4</x:v>
      </x:c>
      <x:c r="D79" s="52" t="n">
        <x:v>7.6</x:v>
      </x:c>
      <x:c r="E79" s="52" t="n">
        <x:v>10.4</x:v>
      </x:c>
      <x:c r="F79" s="52" t="n">
        <x:v>200</x:v>
      </x:c>
      <x:c r="G79" s="52" t="n">
        <x:v>3.9</x:v>
      </x:c>
      <x:c r="H79" s="52" t="n">
        <x:v>0</x:v>
      </x:c>
      <x:c r="I79" s="52" t="n">
        <x:v>110</x:v>
      </x:c>
      <x:c r="J79" s="68" t="n">
        <x:v>1.47</x:v>
      </x:c>
      <x:c r="K79" s="53" t="n">
        <x:f>I79*IF(AND(oil_compact=1,$A79&gt;=compact_year),1-compact_cut,1)</x:f>
        <x:v>110</x:v>
      </x:c>
      <x:c r="L79" s="67" t="n">
        <x:f>IF(AND(oil_compact=1,$A79&gt;=compact_year),MAX(J79,compact_price),J79)</x:f>
        <x:v>1.47</x:v>
      </x:c>
      <x:c r="M79" s="53" t="n">
        <x:f>K79*L79</x:f>
        <x:v>161.7</x:v>
      </x:c>
      <x:c r="N79" s="53" t="n">
        <x:f>SUM(B79:F79)+M79</x:f>
        <x:v>414.7</x:v>
      </x:c>
      <x:c r="O79" s="53" t="n">
        <x:f>N79*mining_va</x:f>
        <x:v>290.28999999999996</x:v>
      </x:c>
      <x:c r="P79" s="53" t="n">
        <x:f>SUM(B79:F79)*roy_metal*0.9</x:f>
        <x:v>11.385</x:v>
      </x:c>
      <x:c r="Q79" s="53" t="n">
        <x:f>M79*roy_oil</x:f>
        <x:v>20.2125</x:v>
      </x:c>
      <x:c r="R79" s="53" t="n">
        <x:f>SUM(B79:E79)*gold_retained+(G79+H79)*conc_gold</x:f>
        <x:v>12.940000000000001</x:v>
      </x:c>
    </x:row>
    <x:row r="80">
      <x:c r="A80" s="61" t="n">
        <x:v>1920</x:v>
      </x:c>
      <x:c r="B80" s="52" t="n">
        <x:v>14</x:v>
      </x:c>
      <x:c r="C80" s="52" t="n">
        <x:v>18</x:v>
      </x:c>
      <x:c r="D80" s="52" t="n">
        <x:v>6</x:v>
      </x:c>
      <x:c r="E80" s="52" t="n">
        <x:v>9</x:v>
      </x:c>
      <x:c r="F80" s="52" t="n">
        <x:v>190</x:v>
      </x:c>
      <x:c r="G80" s="52" t="n">
        <x:v>4</x:v>
      </x:c>
      <x:c r="H80" s="52" t="n">
        <x:v>0</x:v>
      </x:c>
      <x:c r="I80" s="52" t="n">
        <x:v>115</x:v>
      </x:c>
      <x:c r="J80" s="68" t="n">
        <x:v>1.7</x:v>
      </x:c>
      <x:c r="K80" s="53" t="n">
        <x:f>I80*IF(AND(oil_compact=1,$A80&gt;=compact_year),1-compact_cut,1)</x:f>
        <x:v>115</x:v>
      </x:c>
      <x:c r="L80" s="67" t="n">
        <x:f>IF(AND(oil_compact=1,$A80&gt;=compact_year),MAX(J80,compact_price),J80)</x:f>
        <x:v>1.7</x:v>
      </x:c>
      <x:c r="M80" s="53" t="n">
        <x:f>K80*L80</x:f>
        <x:v>195.5</x:v>
      </x:c>
      <x:c r="N80" s="53" t="n">
        <x:f>SUM(B80:F80)+M80</x:f>
        <x:v>432.5</x:v>
      </x:c>
      <x:c r="O80" s="53" t="n">
        <x:f>N80*mining_va</x:f>
        <x:v>302.75</x:v>
      </x:c>
      <x:c r="P80" s="53" t="n">
        <x:f>SUM(B80:F80)*roy_metal*0.9</x:f>
        <x:v>10.665000000000001</x:v>
      </x:c>
      <x:c r="Q80" s="53" t="n">
        <x:f>M80*roy_oil</x:f>
        <x:v>24.4375</x:v>
      </x:c>
      <x:c r="R80" s="53" t="n">
        <x:f>SUM(B80:E80)*gold_retained+(G80+H80)*conc_gold</x:f>
        <x:v>11.8</x:v>
      </x:c>
    </x:row>
    <x:row r="81">
      <x:c r="A81" s="61" t="n">
        <x:v>1921</x:v>
      </x:c>
      <x:c r="B81" s="52" t="n">
        <x:v>13.8</x:v>
      </x:c>
      <x:c r="C81" s="52" t="n">
        <x:v>17.77777777777778</x:v>
      </x:c>
      <x:c r="D81" s="52" t="n">
        <x:v>5.4</x:v>
      </x:c>
      <x:c r="E81" s="52" t="n">
        <x:v>8.6</x:v>
      </x:c>
      <x:c r="F81" s="52" t="n">
        <x:v>70</x:v>
      </x:c>
      <x:c r="G81" s="52" t="n">
        <x:v>4.111111111111111</x:v>
      </x:c>
      <x:c r="H81" s="52" t="n">
        <x:v>0</x:v>
      </x:c>
      <x:c r="I81" s="52" t="n">
        <x:v>132.5</x:v>
      </x:c>
      <x:c r="J81" s="68" t="n">
        <x:v>1.55</x:v>
      </x:c>
      <x:c r="K81" s="53" t="n">
        <x:f>I81*IF(AND(oil_compact=1,$A81&gt;=compact_year),1-compact_cut,1)</x:f>
        <x:v>132.5</x:v>
      </x:c>
      <x:c r="L81" s="67" t="n">
        <x:f>IF(AND(oil_compact=1,$A81&gt;=compact_year),MAX(J81,compact_price),J81)</x:f>
        <x:v>1.55</x:v>
      </x:c>
      <x:c r="M81" s="53" t="n">
        <x:f>K81*L81</x:f>
        <x:v>205.375</x:v>
      </x:c>
      <x:c r="N81" s="53" t="n">
        <x:f>SUM(B81:F81)+M81</x:f>
        <x:v>320.9527777777778</x:v>
      </x:c>
      <x:c r="O81" s="53" t="n">
        <x:f>N81*mining_va</x:f>
        <x:v>224.66694444444443</x:v>
      </x:c>
      <x:c r="P81" s="53" t="n">
        <x:f>SUM(B81:F81)*roy_metal*0.9</x:f>
        <x:v>5.201000000000001</x:v>
      </x:c>
      <x:c r="Q81" s="53" t="n">
        <x:f>M81*roy_oil</x:f>
        <x:v>25.671875</x:v>
      </x:c>
      <x:c r="R81" s="53" t="n">
        <x:f>SUM(B81:E81)*gold_retained+(G81+H81)*conc_gold</x:f>
        <x:v>11.582222222222224</x:v>
      </x:c>
    </x:row>
    <x:row r="82">
      <x:c r="A82" s="61" t="n">
        <x:v>1922</x:v>
      </x:c>
      <x:c r="B82" s="52" t="n">
        <x:v>13.6</x:v>
      </x:c>
      <x:c r="C82" s="52" t="n">
        <x:v>17.55555555555556</x:v>
      </x:c>
      <x:c r="D82" s="52" t="n">
        <x:v>4.8</x:v>
      </x:c>
      <x:c r="E82" s="52" t="n">
        <x:v>8.199999999999999</x:v>
      </x:c>
      <x:c r="F82" s="52" t="n">
        <x:v>120</x:v>
      </x:c>
      <x:c r="G82" s="52" t="n">
        <x:v>4.222222222222222</x:v>
      </x:c>
      <x:c r="H82" s="52" t="n">
        <x:v>0</x:v>
      </x:c>
      <x:c r="I82" s="52" t="n">
        <x:v>150</x:v>
      </x:c>
      <x:c r="J82" s="68" t="n">
        <x:v>1.4</x:v>
      </x:c>
      <x:c r="K82" s="53" t="n">
        <x:f>I82*IF(AND(oil_compact=1,$A82&gt;=compact_year),1-compact_cut,1)</x:f>
        <x:v>150</x:v>
      </x:c>
      <x:c r="L82" s="67" t="n">
        <x:f>IF(AND(oil_compact=1,$A82&gt;=compact_year),MAX(J82,compact_price),J82)</x:f>
        <x:v>1.4</x:v>
      </x:c>
      <x:c r="M82" s="53" t="n">
        <x:f>K82*L82</x:f>
        <x:v>210</x:v>
      </x:c>
      <x:c r="N82" s="53" t="n">
        <x:f>SUM(B82:F82)+M82</x:f>
        <x:v>374.15555555555557</x:v>
      </x:c>
      <x:c r="O82" s="53" t="n">
        <x:f>N82*mining_va</x:f>
        <x:v>261.9088888888889</x:v>
      </x:c>
      <x:c r="P82" s="53" t="n">
        <x:f>SUM(B82:F82)*roy_metal*0.9</x:f>
        <x:v>7.3870000000000005</x:v>
      </x:c>
      <x:c r="Q82" s="53" t="n">
        <x:f>M82*roy_oil</x:f>
        <x:v>26.25</x:v>
      </x:c>
      <x:c r="R82" s="53" t="n">
        <x:f>SUM(B82:E82)*gold_retained+(G82+H82)*conc_gold</x:f>
        <x:v>11.364444444444445</x:v>
      </x:c>
    </x:row>
    <x:row r="83">
      <x:c r="A83" s="58" t="n">
        <x:v>1923</x:v>
      </x:c>
      <x:c r="B83" s="52" t="n">
        <x:v>13.4</x:v>
      </x:c>
      <x:c r="C83" s="52" t="n">
        <x:v>17.33333333333333</x:v>
      </x:c>
      <x:c r="D83" s="52" t="n">
        <x:v>4.2</x:v>
      </x:c>
      <x:c r="E83" s="52" t="n">
        <x:v>7.8</x:v>
      </x:c>
      <x:c r="F83" s="52" t="n">
        <x:v>146.6666666666667</x:v>
      </x:c>
      <x:c r="G83" s="52" t="n">
        <x:v>4.333333333333333</x:v>
      </x:c>
      <x:c r="H83" s="52" t="n">
        <x:v>0</x:v>
      </x:c>
      <x:c r="I83" s="52" t="n">
        <x:v>190</x:v>
      </x:c>
      <x:c r="J83" s="68" t="n">
        <x:v>1.37</x:v>
      </x:c>
      <x:c r="K83" s="53" t="n">
        <x:f>I83*IF(AND(oil_compact=1,$A83&gt;=compact_year),1-compact_cut,1)</x:f>
        <x:v>190</x:v>
      </x:c>
      <x:c r="L83" s="67" t="n">
        <x:f>IF(AND(oil_compact=1,$A83&gt;=compact_year),MAX(J83,compact_price),J83)</x:f>
        <x:v>1.37</x:v>
      </x:c>
      <x:c r="M83" s="53" t="n">
        <x:f>K83*L83</x:f>
        <x:v>260.3</x:v>
      </x:c>
      <x:c r="N83" s="53" t="n">
        <x:f>SUM(B83:F83)+M83</x:f>
        <x:v>449.70000000000005</x:v>
      </x:c>
      <x:c r="O83" s="53" t="n">
        <x:f>N83*mining_va</x:f>
        <x:v>314.79</x:v>
      </x:c>
      <x:c r="P83" s="53" t="n">
        <x:f>SUM(B83:F83)*roy_metal*0.9</x:f>
        <x:v>8.523000000000003</x:v>
      </x:c>
      <x:c r="Q83" s="53" t="n">
        <x:f>M83*roy_oil</x:f>
        <x:v>32.5375</x:v>
      </x:c>
      <x:c r="R83" s="53" t="n">
        <x:f>SUM(B83:E83)*gold_retained+(G83+H83)*conc_gold</x:f>
        <x:v>11.146666666666665</x:v>
      </x:c>
    </x:row>
    <x:row r="84">
      <x:c r="A84" s="58" t="n">
        <x:v>1924</x:v>
      </x:c>
      <x:c r="B84" s="52" t="n">
        <x:v>13.2</x:v>
      </x:c>
      <x:c r="C84" s="52" t="n">
        <x:v>17.11111111111111</x:v>
      </x:c>
      <x:c r="D84" s="52" t="n">
        <x:v>3.6</x:v>
      </x:c>
      <x:c r="E84" s="52" t="n">
        <x:v>7.4</x:v>
      </x:c>
      <x:c r="F84" s="52" t="n">
        <x:v>173.3333333333333</x:v>
      </x:c>
      <x:c r="G84" s="52" t="n">
        <x:v>4.444444444444445</x:v>
      </x:c>
      <x:c r="H84" s="52" t="n">
        <x:v>0</x:v>
      </x:c>
      <x:c r="I84" s="52" t="n">
        <x:v>230</x:v>
      </x:c>
      <x:c r="J84" s="68" t="n">
        <x:v>1.33</x:v>
      </x:c>
      <x:c r="K84" s="53" t="n">
        <x:f>I84*IF(AND(oil_compact=1,$A84&gt;=compact_year),1-compact_cut,1)</x:f>
        <x:v>230</x:v>
      </x:c>
      <x:c r="L84" s="67" t="n">
        <x:f>IF(AND(oil_compact=1,$A84&gt;=compact_year),MAX(J84,compact_price),J84)</x:f>
        <x:v>1.33</x:v>
      </x:c>
      <x:c r="M84" s="53" t="n">
        <x:f>K84*L84</x:f>
        <x:v>305.90000000000003</x:v>
      </x:c>
      <x:c r="N84" s="53" t="n">
        <x:f>SUM(B84:F84)+M84</x:f>
        <x:v>520.5444444444445</x:v>
      </x:c>
      <x:c r="O84" s="53" t="n">
        <x:f>N84*mining_va</x:f>
        <x:v>364.3811111111111</x:v>
      </x:c>
      <x:c r="P84" s="53" t="n">
        <x:f>SUM(B84:F84)*roy_metal*0.9</x:f>
        <x:v>9.658999999999997</x:v>
      </x:c>
      <x:c r="Q84" s="53" t="n">
        <x:f>M84*roy_oil</x:f>
        <x:v>38.237500000000004</x:v>
      </x:c>
      <x:c r="R84" s="53" t="n">
        <x:f>SUM(B84:E84)*gold_retained+(G84+H84)*conc_gold</x:f>
        <x:v>10.928888888888888</x:v>
      </x:c>
    </x:row>
    <x:row r="85">
      <x:c r="A85" s="58" t="n">
        <x:v>1925</x:v>
      </x:c>
      <x:c r="B85" s="52" t="n">
        <x:v>13</x:v>
      </x:c>
      <x:c r="C85" s="52" t="n">
        <x:v>16.88888888888889</x:v>
      </x:c>
      <x:c r="D85" s="52" t="n">
        <x:v>3</x:v>
      </x:c>
      <x:c r="E85" s="52" t="n">
        <x:v>7</x:v>
      </x:c>
      <x:c r="F85" s="52" t="n">
        <x:v>200</x:v>
      </x:c>
      <x:c r="G85" s="52" t="n">
        <x:v>4.555555555555555</x:v>
      </x:c>
      <x:c r="H85" s="52" t="n">
        <x:v>0</x:v>
      </x:c>
      <x:c r="I85" s="52" t="n">
        <x:v>230</x:v>
      </x:c>
      <x:c r="J85" s="68" t="n">
        <x:v>1.3</x:v>
      </x:c>
      <x:c r="K85" s="53" t="n">
        <x:f>I85*IF(AND(oil_compact=1,$A85&gt;=compact_year),1-compact_cut,1)</x:f>
        <x:v>230</x:v>
      </x:c>
      <x:c r="L85" s="67" t="n">
        <x:f>IF(AND(oil_compact=1,$A85&gt;=compact_year),MAX(J85,compact_price),J85)</x:f>
        <x:v>1.3</x:v>
      </x:c>
      <x:c r="M85" s="53" t="n">
        <x:f>K85*L85</x:f>
        <x:v>299</x:v>
      </x:c>
      <x:c r="N85" s="53" t="n">
        <x:f>SUM(B85:F85)+M85</x:f>
        <x:v>538.8888888888889</x:v>
      </x:c>
      <x:c r="O85" s="53" t="n">
        <x:f>N85*mining_va</x:f>
        <x:v>377.22222222222223</x:v>
      </x:c>
      <x:c r="P85" s="53" t="n">
        <x:f>SUM(B85:F85)*roy_metal*0.9</x:f>
        <x:v>10.795000000000002</x:v>
      </x:c>
      <x:c r="Q85" s="53" t="n">
        <x:f>M85*roy_oil</x:f>
        <x:v>37.375</x:v>
      </x:c>
      <x:c r="R85" s="53" t="n">
        <x:f>SUM(B85:E85)*gold_retained+(G85+H85)*conc_gold</x:f>
        <x:v>10.71111111111111</x:v>
      </x:c>
    </x:row>
    <x:row r="86">
      <x:c r="A86" s="58" t="n">
        <x:v>1926</x:v>
      </x:c>
      <x:c r="B86" s="52" t="n">
        <x:v>12</x:v>
      </x:c>
      <x:c r="C86" s="52" t="n">
        <x:v>16.66666666666667</x:v>
      </x:c>
      <x:c r="D86" s="52" t="n">
        <x:v>2.75</x:v>
      </x:c>
      <x:c r="E86" s="52" t="n">
        <x:v>7.25</x:v>
      </x:c>
      <x:c r="F86" s="52" t="n">
        <x:v>220</x:v>
      </x:c>
      <x:c r="G86" s="52" t="n">
        <x:v>4.666666666666667</x:v>
      </x:c>
      <x:c r="H86" s="52" t="n">
        <x:v>0</x:v>
      </x:c>
      <x:c r="I86" s="52" t="n">
        <x:v>230</x:v>
      </x:c>
      <x:c r="J86" s="68" t="n">
        <x:v>1.27</x:v>
      </x:c>
      <x:c r="K86" s="53" t="n">
        <x:f>I86*IF(AND(oil_compact=1,$A86&gt;=compact_year),1-compact_cut,1)</x:f>
        <x:v>230</x:v>
      </x:c>
      <x:c r="L86" s="67" t="n">
        <x:f>IF(AND(oil_compact=1,$A86&gt;=compact_year),MAX(J86,compact_price),J86)</x:f>
        <x:v>1.27</x:v>
      </x:c>
      <x:c r="M86" s="53" t="n">
        <x:f>K86*L86</x:f>
        <x:v>292.1</x:v>
      </x:c>
      <x:c r="N86" s="53" t="n">
        <x:f>SUM(B86:F86)+M86</x:f>
        <x:v>550.7666666666667</x:v>
      </x:c>
      <x:c r="O86" s="53" t="n">
        <x:f>N86*mining_va</x:f>
        <x:v>385.53666666666663</x:v>
      </x:c>
      <x:c r="P86" s="53" t="n">
        <x:f>SUM(B86:F86)*roy_metal*0.9</x:f>
        <x:v>11.640000000000002</x:v>
      </x:c>
      <x:c r="Q86" s="53" t="n">
        <x:f>M86*roy_oil</x:f>
        <x:v>36.5125</x:v>
      </x:c>
      <x:c r="R86" s="53" t="n">
        <x:f>SUM(B86:E86)*gold_retained+(G86+H86)*conc_gold</x:f>
        <x:v>10.533333333333335</x:v>
      </x:c>
    </x:row>
    <x:row r="87">
      <x:c r="A87" s="58" t="n">
        <x:v>1927</x:v>
      </x:c>
      <x:c r="B87" s="52" t="n">
        <x:v>11</x:v>
      </x:c>
      <x:c r="C87" s="52" t="n">
        <x:v>16.44444444444444</x:v>
      </x:c>
      <x:c r="D87" s="52" t="n">
        <x:v>2.5</x:v>
      </x:c>
      <x:c r="E87" s="52" t="n">
        <x:v>7.5</x:v>
      </x:c>
      <x:c r="F87" s="52" t="n">
        <x:v>240</x:v>
      </x:c>
      <x:c r="G87" s="52" t="n">
        <x:v>4.777777777777778</x:v>
      </x:c>
      <x:c r="H87" s="52" t="n">
        <x:v>0</x:v>
      </x:c>
      <x:c r="I87" s="52" t="n">
        <x:v>253.33</x:v>
      </x:c>
      <x:c r="J87" s="68" t="n">
        <x:v>1.25</x:v>
      </x:c>
      <x:c r="K87" s="53" t="n">
        <x:f>I87*IF(AND(oil_compact=1,$A87&gt;=compact_year),1-compact_cut,1)</x:f>
        <x:v>253.33</x:v>
      </x:c>
      <x:c r="L87" s="67" t="n">
        <x:f>IF(AND(oil_compact=1,$A87&gt;=compact_year),MAX(J87,compact_price),J87)</x:f>
        <x:v>1.25</x:v>
      </x:c>
      <x:c r="M87" s="53" t="n">
        <x:f>K87*L87</x:f>
        <x:v>316.6625</x:v>
      </x:c>
      <x:c r="N87" s="53" t="n">
        <x:f>SUM(B87:F87)+M87</x:f>
        <x:v>594.1069444444445</x:v>
      </x:c>
      <x:c r="O87" s="53" t="n">
        <x:f>N87*mining_va</x:f>
        <x:v>415.8748611111111</x:v>
      </x:c>
      <x:c r="P87" s="53" t="n">
        <x:f>SUM(B87:F87)*roy_metal*0.9</x:f>
        <x:v>12.485000000000001</x:v>
      </x:c>
      <x:c r="Q87" s="53" t="n">
        <x:f>M87*roy_oil</x:f>
        <x:v>39.5828125</x:v>
      </x:c>
      <x:c r="R87" s="53" t="n">
        <x:f>SUM(B87:E87)*gold_retained+(G87+H87)*conc_gold</x:f>
        <x:v>10.355555555555556</x:v>
      </x:c>
    </x:row>
    <x:row r="88">
      <x:c r="A88" s="58" t="n">
        <x:v>1928</x:v>
      </x:c>
      <x:c r="B88" s="52" t="n">
        <x:v>10</x:v>
      </x:c>
      <x:c r="C88" s="52" t="n">
        <x:v>16.22222222222222</x:v>
      </x:c>
      <x:c r="D88" s="52" t="n">
        <x:v>2.25</x:v>
      </x:c>
      <x:c r="E88" s="52" t="n">
        <x:v>7.75</x:v>
      </x:c>
      <x:c r="F88" s="52" t="n">
        <x:v>260</x:v>
      </x:c>
      <x:c r="G88" s="52" t="n">
        <x:v>4.888888888888889</x:v>
      </x:c>
      <x:c r="H88" s="52" t="n">
        <x:v>0</x:v>
      </x:c>
      <x:c r="I88" s="52" t="n">
        <x:v>276.67</x:v>
      </x:c>
      <x:c r="J88" s="68" t="n">
        <x:v>1.23</x:v>
      </x:c>
      <x:c r="K88" s="53" t="n">
        <x:f>I88*IF(AND(oil_compact=1,$A88&gt;=compact_year),1-compact_cut,1)</x:f>
        <x:v>276.67</x:v>
      </x:c>
      <x:c r="L88" s="67" t="n">
        <x:f>IF(AND(oil_compact=1,$A88&gt;=compact_year),MAX(J88,compact_price),J88)</x:f>
        <x:v>1.23</x:v>
      </x:c>
      <x:c r="M88" s="53" t="n">
        <x:f>K88*L88</x:f>
        <x:v>340.3041</x:v>
      </x:c>
      <x:c r="N88" s="53" t="n">
        <x:f>SUM(B88:F88)+M88</x:f>
        <x:v>636.5263222222222</x:v>
      </x:c>
      <x:c r="O88" s="53" t="n">
        <x:f>N88*mining_va</x:f>
        <x:v>445.56842555555556</x:v>
      </x:c>
      <x:c r="P88" s="53" t="n">
        <x:f>SUM(B88:F88)*roy_metal*0.9</x:f>
        <x:v>13.33</x:v>
      </x:c>
      <x:c r="Q88" s="53" t="n">
        <x:f>M88*roy_oil</x:f>
        <x:v>42.5380125</x:v>
      </x:c>
      <x:c r="R88" s="53" t="n">
        <x:f>SUM(B88:E88)*gold_retained+(G88+H88)*conc_gold</x:f>
        <x:v>10.177777777777777</x:v>
      </x:c>
    </x:row>
    <x:row r="89">
      <x:c r="A89" s="58" t="n">
        <x:v>1929</x:v>
      </x:c>
      <x:c r="B89" s="52" t="n">
        <x:v>9</x:v>
      </x:c>
      <x:c r="C89" s="52" t="n">
        <x:v>16</x:v>
      </x:c>
      <x:c r="D89" s="52" t="n">
        <x:v>2</x:v>
      </x:c>
      <x:c r="E89" s="52" t="n">
        <x:v>8</x:v>
      </x:c>
      <x:c r="F89" s="52" t="n">
        <x:v>280</x:v>
      </x:c>
      <x:c r="G89" s="52" t="n">
        <x:v>5</x:v>
      </x:c>
      <x:c r="H89" s="52" t="n">
        <x:v>0.5</x:v>
      </x:c>
      <x:c r="I89" s="52" t="n">
        <x:v>300</x:v>
      </x:c>
      <x:c r="J89" s="68" t="n">
        <x:v>1.2</x:v>
      </x:c>
      <x:c r="K89" s="53" t="n">
        <x:f>I89*IF(AND(oil_compact=1,$A89&gt;=compact_year),1-compact_cut,1)</x:f>
        <x:v>300</x:v>
      </x:c>
      <x:c r="L89" s="67" t="n">
        <x:f>IF(AND(oil_compact=1,$A89&gt;=compact_year),MAX(J89,compact_price),J89)</x:f>
        <x:v>1.2</x:v>
      </x:c>
      <x:c r="M89" s="53" t="n">
        <x:f>K89*L89</x:f>
        <x:v>360</x:v>
      </x:c>
      <x:c r="N89" s="53" t="n">
        <x:f>SUM(B89:F89)+M89</x:f>
        <x:v>675</x:v>
      </x:c>
      <x:c r="O89" s="53" t="n">
        <x:f>N89*mining_va</x:f>
        <x:v>472.49999999999994</x:v>
      </x:c>
      <x:c r="P89" s="53" t="n">
        <x:f>SUM(B89:F89)*roy_metal*0.9</x:f>
        <x:v>14.175</x:v>
      </x:c>
      <x:c r="Q89" s="53" t="n">
        <x:f>M89*roy_oil</x:f>
        <x:v>45</x:v>
      </x:c>
      <x:c r="R89" s="53" t="n">
        <x:f>SUM(B89:E89)*gold_retained+(G89+H89)*conc_gold</x:f>
        <x:v>10.3</x:v>
      </x:c>
    </x:row>
    <x:row r="90">
      <x:c r="A90" s="58" t="n">
        <x:v>1930</x:v>
      </x:c>
      <x:c r="B90" s="52" t="n">
        <x:v>9.666666666666666</x:v>
      </x:c>
      <x:c r="C90" s="52" t="n">
        <x:v>14</x:v>
      </x:c>
      <x:c r="D90" s="52" t="n">
        <x:v>1.666666666666667</x:v>
      </x:c>
      <x:c r="E90" s="52" t="n">
        <x:v>8.666666666666666</x:v>
      </x:c>
      <x:c r="F90" s="52" t="n">
        <x:v>150</x:v>
      </x:c>
      <x:c r="G90" s="52" t="n">
        <x:v>5.666666666666667</x:v>
      </x:c>
      <x:c r="H90" s="52" t="n">
        <x:v>2.5</x:v>
      </x:c>
      <x:c r="I90" s="52" t="n">
        <x:v>260</x:v>
      </x:c>
      <x:c r="J90" s="68" t="n">
        <x:v>1.1</x:v>
      </x:c>
      <x:c r="K90" s="53" t="n">
        <x:f>I90*IF(AND(oil_compact=1,$A90&gt;=compact_year),1-compact_cut,1)</x:f>
        <x:v>260</x:v>
      </x:c>
      <x:c r="L90" s="67" t="n">
        <x:f>IF(AND(oil_compact=1,$A90&gt;=compact_year),MAX(J90,compact_price),J90)</x:f>
        <x:v>1.1</x:v>
      </x:c>
      <x:c r="M90" s="53" t="n">
        <x:f>K90*L90</x:f>
        <x:v>286</x:v>
      </x:c>
      <x:c r="N90" s="53" t="n">
        <x:f>SUM(B90:F90)+M90</x:f>
        <x:v>470</x:v>
      </x:c>
      <x:c r="O90" s="53" t="n">
        <x:f>N90*mining_va</x:f>
        <x:v>329</x:v>
      </x:c>
      <x:c r="P90" s="53" t="n">
        <x:f>SUM(B90:F90)*roy_metal*0.9</x:f>
        <x:v>8.280000000000001</x:v>
      </x:c>
      <x:c r="Q90" s="53" t="n">
        <x:f>M90*roy_oil</x:f>
        <x:v>35.75</x:v>
      </x:c>
      <x:c r="R90" s="53" t="n">
        <x:f>SUM(B90:E90)*gold_retained+(G90+H90)*conc_gold</x:f>
        <x:v>11.700000000000001</x:v>
      </x:c>
    </x:row>
    <x:row r="91">
      <x:c r="A91" s="58" t="n">
        <x:v>1931</x:v>
      </x:c>
      <x:c r="B91" s="52" t="n">
        <x:v>10.33333333333333</x:v>
      </x:c>
      <x:c r="C91" s="52" t="n">
        <x:v>12</x:v>
      </x:c>
      <x:c r="D91" s="52" t="n">
        <x:v>1.333333333333333</x:v>
      </x:c>
      <x:c r="E91" s="52" t="n">
        <x:v>9.333333333333334</x:v>
      </x:c>
      <x:c r="F91" s="52" t="n">
        <x:v>80</x:v>
      </x:c>
      <x:c r="G91" s="52" t="n">
        <x:v>6.333333333333333</x:v>
      </x:c>
      <x:c r="H91" s="52" t="n">
        <x:v>7</x:v>
      </x:c>
      <x:c r="I91" s="52" t="n">
        <x:v>220</x:v>
      </x:c>
      <x:c r="J91" s="68" t="n">
        <x:v>0.7</x:v>
      </x:c>
      <x:c r="K91" s="53" t="n">
        <x:f>I91*IF(AND(oil_compact=1,$A91&gt;=compact_year),1-compact_cut,1)</x:f>
        <x:v>220</x:v>
      </x:c>
      <x:c r="L91" s="67" t="n">
        <x:f>IF(AND(oil_compact=1,$A91&gt;=compact_year),MAX(J91,compact_price),J91)</x:f>
        <x:v>0.7</x:v>
      </x:c>
      <x:c r="M91" s="53" t="n">
        <x:f>K91*L91</x:f>
        <x:v>154</x:v>
      </x:c>
      <x:c r="N91" s="53" t="n">
        <x:f>SUM(B91:F91)+M91</x:f>
        <x:v>267</x:v>
      </x:c>
      <x:c r="O91" s="53" t="n">
        <x:f>N91*mining_va</x:f>
        <x:v>186.89999999999998</x:v>
      </x:c>
      <x:c r="P91" s="53" t="n">
        <x:f>SUM(B91:F91)*roy_metal*0.9</x:f>
        <x:v>5.085000000000001</x:v>
      </x:c>
      <x:c r="Q91" s="53" t="n">
        <x:f>M91*roy_oil</x:f>
        <x:v>19.25</x:v>
      </x:c>
      <x:c r="R91" s="53" t="n">
        <x:f>SUM(B91:E91)*gold_retained+(G91+H91)*conc_gold</x:f>
        <x:v>14.599999999999998</x:v>
      </x:c>
    </x:row>
    <x:row r="92">
      <x:c r="A92" s="58" t="n">
        <x:v>1932</x:v>
      </x:c>
      <x:c r="B92" s="52" t="n">
        <x:v>11</x:v>
      </x:c>
      <x:c r="C92" s="52" t="n">
        <x:v>10</x:v>
      </x:c>
      <x:c r="D92" s="52" t="n">
        <x:v>1</x:v>
      </x:c>
      <x:c r="E92" s="52" t="n">
        <x:v>10</x:v>
      </x:c>
      <x:c r="F92" s="52" t="n">
        <x:v>40</x:v>
      </x:c>
      <x:c r="G92" s="52" t="n">
        <x:v>7</x:v>
      </x:c>
      <x:c r="H92" s="52" t="n">
        <x:v>14</x:v>
      </x:c>
      <x:c r="I92" s="52" t="n">
        <x:v>180</x:v>
      </x:c>
      <x:c r="J92" s="68" t="n">
        <x:v>0.7</x:v>
      </x:c>
      <x:c r="K92" s="53" t="n">
        <x:f>I92*IF(AND(oil_compact=1,$A92&gt;=compact_year),1-compact_cut,1)</x:f>
        <x:v>153</x:v>
      </x:c>
      <x:c r="L92" s="67" t="n">
        <x:f>IF(AND(oil_compact=1,$A92&gt;=compact_year),MAX(J92,compact_price),J92)</x:f>
        <x:v>0.95</x:v>
      </x:c>
      <x:c r="M92" s="53" t="n">
        <x:f>K92*L92</x:f>
        <x:v>145.35</x:v>
      </x:c>
      <x:c r="N92" s="53" t="n">
        <x:f>SUM(B92:F92)+M92</x:f>
        <x:v>217.35</x:v>
      </x:c>
      <x:c r="O92" s="53" t="n">
        <x:f>N92*mining_va</x:f>
        <x:v>152.14499999999998</x:v>
      </x:c>
      <x:c r="P92" s="53" t="n">
        <x:f>SUM(B92:F92)*roy_metal*0.9</x:f>
        <x:v>3.24</x:v>
      </x:c>
      <x:c r="Q92" s="53" t="n">
        <x:f>M92*roy_oil</x:f>
        <x:v>18.16875</x:v>
      </x:c>
      <x:c r="R92" s="53" t="n">
        <x:f>SUM(B92:E92)*gold_retained+(G92+H92)*conc_gold</x:f>
        <x:v>19</x:v>
      </x:c>
    </x:row>
  </x:sheetData>
  <x:mergeCells>
    <x:mergeCell ref="B4:F4"/>
    <x:mergeCell ref="G4:H4"/>
    <x:mergeCell ref="I4:M4"/>
    <x:mergeCell ref="P4:R4"/>
    <x:mergeCell ref="N4:O4"/>
  </x:mergeCells>
  <x:pageMargins left="0.7" right="0.7" top="0.75" bottom="0.75" header="0.3" footer="0.3"/>
  <x:legacyDrawing xmlns:r="http://schemas.openxmlformats.org/officeDocument/2006/relationships" r:id="R70aba36413a041c7"/>
</x:worksheet>
</file>

<file path=xl/worksheets/sheet9.xml><?xml version="1.0" encoding="utf-8"?>
<x:worksheet xmlns:x="http://schemas.openxmlformats.org/spreadsheetml/2006/main">
  <x:sheetPr>
    <x:tabColor rgb="FFBF8F00"/>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2.5" customWidth="1"/>
    <x:col min="20" max="20" width="12.5" customWidth="1"/>
    <x:col min="21" max="21" width="12.5" customWidth="1"/>
    <x:col min="22" max="22" width="12.5" customWidth="1"/>
    <x:col min="23" max="23" width="12.5" customWidth="1"/>
    <x:col min="24" max="24" width="12.5" customWidth="1"/>
    <x:col min="25" max="25" width="12.5" customWidth="1"/>
    <x:col min="26" max="26" width="12.5" customWidth="1"/>
    <x:col min="27" max="27" width="12.5" customWidth="1"/>
    <x:col min="28" max="28" width="12.5" customWidth="1"/>
    <x:col min="29" max="29" width="12.5" customWidth="1"/>
  </x:cols>
  <x:sheetData>
    <x:row r="1">
      <x:c r="A1" s="18" t="inlineStr">
        <x:is>
          <x:t xml:space="preserve">Budget</x:t>
        </x:is>
      </x:c>
    </x:row>
    <x:row r="2">
      <x:c r="A2" s="2" t="inlineStr">
        <x:is>
          <x:t xml:space="preserve">Receipts and spending of the Pacifican Treasury (the confederal/imperial budget), $m.</x:t>
        </x:is>
      </x:c>
    </x:row>
    <x:row r="3">
      <x:c r="A3" s="19" t="inlineStr">
        <x:is>
          <x:t xml:space="preserve">Years run down the page. Blue = input you can change · black = formula · green = link to another sheet. Hover a column heading for its definition.</x:t>
        </x:is>
      </x:c>
    </x:row>
    <x:row r="4">
      <x:c r="B4" s="56" t="inlineStr">
        <x:is>
          <x:t xml:space="preserve">Receipts, $m</x:t>
        </x:is>
      </x:c>
      <x:c r="N4" s="56" t="inlineStr">
        <x:is>
          <x:t xml:space="preserve">Spending, $m</x:t>
        </x:is>
      </x:c>
      <x:c r="Z4" s="56" t="inlineStr">
        <x:is>
          <x:t xml:space="preserve">Result</x:t>
        </x:is>
      </x:c>
    </x:row>
    <x:row r="5" ht="54" customHeight="1">
      <x:c r="A5" s="57" t="inlineStr">
        <x:is>
          <x:t xml:space="preserve">Year</x:t>
        </x:is>
      </x:c>
      <x:c r="B5" s="6" t="inlineStr">
        <x:is>
          <x:t xml:space="preserve">Customs</x:t>
        </x:is>
      </x:c>
      <x:c r="C5" s="6" t="inlineStr">
        <x:is>
          <x:t xml:space="preserve">Domestic taxes</x:t>
        </x:is>
      </x:c>
      <x:c r="D5" s="6" t="inlineStr">
        <x:is>
          <x:t xml:space="preserve">Mineral &amp; oil royalties</x:t>
        </x:is>
      </x:c>
      <x:c r="E5" s="6" t="inlineStr">
        <x:is>
          <x:t xml:space="preserve">Canal net income</x:t>
        </x:is>
      </x:c>
      <x:c r="F5" s="6" t="inlineStr">
        <x:is>
          <x:t xml:space="preserve">State enterprises</x:t>
        </x:is>
      </x:c>
      <x:c r="G5" s="6" t="inlineStr">
        <x:is>
          <x:t xml:space="preserve">Other receipts (Events)</x:t>
        </x:is>
      </x:c>
      <x:c r="H5" s="6" t="inlineStr">
        <x:is>
          <x:t xml:space="preserve">Interest on loans abroad</x:t>
        </x:is>
      </x:c>
      <x:c r="I5" s="6" t="inlineStr">
        <x:is>
          <x:t xml:space="preserve">Reserve Fund income</x:t>
        </x:is>
      </x:c>
      <x:c r="J5" s="6" t="inlineStr">
        <x:is>
          <x:t xml:space="preserve">Guest-worker levy</x:t>
        </x:is>
      </x:c>
      <x:c r="K5" s="6" t="inlineStr">
        <x:is>
          <x:t xml:space="preserve">Crown share in the national champions</x:t>
        </x:is>
      </x:c>
      <x:c r="L5" s="6" t="inlineStr">
        <x:is>
          <x:t xml:space="preserve">Tax on income from abroad</x:t>
        </x:is>
      </x:c>
      <x:c r="M5" s="6" t="inlineStr">
        <x:is>
          <x:t xml:space="preserve">Total receipts</x:t>
        </x:is>
      </x:c>
      <x:c r="N5" s="6" t="inlineStr">
        <x:is>
          <x:t xml:space="preserve">Army</x:t>
        </x:is>
      </x:c>
      <x:c r="O5" s="6" t="inlineStr">
        <x:is>
          <x:t xml:space="preserve">Navy</x:t>
        </x:is>
      </x:c>
      <x:c r="P5" s="6" t="inlineStr">
        <x:is>
          <x:t xml:space="preserve">War &amp; operations (Events)</x:t>
        </x:is>
      </x:c>
      <x:c r="Q5" s="6" t="inlineStr">
        <x:is>
          <x:t xml:space="preserve">Civil services</x:t>
        </x:is>
      </x:c>
      <x:c r="R5" s="6" t="inlineStr">
        <x:is>
          <x:t xml:space="preserve">Public works</x:t>
        </x:is>
      </x:c>
      <x:c r="S5" s="6" t="inlineStr">
        <x:is>
          <x:t xml:space="preserve">Technical programmes</x:t>
        </x:is>
      </x:c>
      <x:c r="T5" s="6" t="inlineStr">
        <x:is>
          <x:t xml:space="preserve">Settlement &amp; immigration</x:t>
        </x:is>
      </x:c>
      <x:c r="U5" s="6" t="inlineStr">
        <x:is>
          <x:t xml:space="preserve">Purchases &amp; canal (Events)</x:t>
        </x:is>
      </x:c>
      <x:c r="V5" s="6" t="inlineStr">
        <x:is>
          <x:t xml:space="preserve">Subsidies, guarantees &amp; relief (Events)</x:t>
        </x:is>
      </x:c>
      <x:c r="W5" s="6" t="inlineStr">
        <x:is>
          <x:t xml:space="preserve">Bank rescues &amp; capital (Events)</x:t>
        </x:is>
      </x:c>
      <x:c r="X5" s="6" t="inlineStr">
        <x:is>
          <x:t xml:space="preserve">Debt interest</x:t>
        </x:is>
      </x:c>
      <x:c r="Y5" s="6" t="inlineStr">
        <x:is>
          <x:t xml:space="preserve">Total spending</x:t>
        </x:is>
      </x:c>
      <x:c r="Z5" s="6" t="inlineStr">
        <x:is>
          <x:t xml:space="preserve">Budget balance</x:t>
        </x:is>
      </x:c>
      <x:c r="AA5" s="6" t="inlineStr">
        <x:is>
          <x:t xml:space="preserve">Receipts / GDP</x:t>
        </x:is>
      </x:c>
      <x:c r="AB5" s="6" t="inlineStr">
        <x:is>
          <x:t xml:space="preserve">Spending / GDP</x:t>
        </x:is>
      </x:c>
      <x:c r="AC5" s="6" t="inlineStr">
        <x:is>
          <x:t xml:space="preserve">Defence &amp; overseas / GDP</x:t>
        </x:is>
      </x:c>
    </x:row>
    <x:row r="6">
      <x:c r="A6" s="58" t="n">
        <x:v>1846</x:v>
      </x:c>
      <x:c r="B6" s="53" t="n">
        <x:f>Economy!O6*Paths!N6*Paths!O6*cust_coll</x:f>
        <x:v>0.41256702000000006</x:v>
      </x:c>
      <x:c r="C6" s="53" t="n">
        <x:f>(Economy!J6+Economy!L6+Economy!M6+Economy!N6)*Paths!P6*Paths!Q6</x:f>
        <x:v>0.48705828749999996</x:v>
      </x:c>
      <x:c r="D6" s="53" t="n">
        <x:f>Resources!P6+Resources!Q6</x:f>
        <x:v>0</x:v>
      </x:c>
      <x:c r="E6" s="53" t="n">
        <x:f>Paths!S6*(1-canal_opcost)*canal_share</x:f>
        <x:v>0</x:v>
      </x:c>
      <x:c r="F6" s="53" t="n">
        <x:f>Economy!O6*Paths!R6</x:f>
        <x:v>0</x:v>
      </x:c>
      <x:c r="G6" s="53" t="n">
        <x:f>SUMPRODUCT((Events!$B$6:$B$158&lt;=$A6)*(Events!$C$6:$C$158&gt;=$A6)*(Events!$E$6:$E$158="Receipt")*Events!$H$6:$H$158)</x:f>
        <x:v>0</x:v>
      </x:c>
      <x:c r="H6" s="69" t="n">
        <x:f>Loans!Y6</x:f>
        <x:v>0</x:v>
      </x:c>
      <x:c r="I6" s="53" t="n">
        <x:f>0</x:f>
        <x:v>0</x:v>
      </x:c>
      <x:c r="J6" s="69" t="n">
        <x:f>Labour!Q6</x:f>
        <x:v>0</x:v>
      </x:c>
      <x:c r="K6" s="69" t="n">
        <x:f>Champions!BD6</x:f>
        <x:v>0</x:v>
      </x:c>
      <x:c r="L6" s="69" t="n">
        <x:f>Abroad!N6</x:f>
        <x:v>0</x:v>
      </x:c>
      <x:c r="M6" s="53" t="n">
        <x:f>SUM(B6:L6)</x:f>
        <x:v>0.8996253075</x:v>
      </x:c>
      <x:c r="N6" s="53" t="n">
        <x:f>(Paths!W6*army_cost+Paths!X6*res_cost)*Economy!H6/1000000</x:f>
        <x:v>0.259</x:v>
      </x:c>
      <x:c r="O6" s="69" t="n">
        <x:f>Navy!Y6</x:f>
        <x:v>0</x:v>
      </x:c>
      <x:c r="P6" s="53" t="n">
        <x:f>SUMPRODUCT((Events!$B$6:$B$158&lt;=$A6)*(Events!$C$6:$C$158&gt;=$A6)*(Events!$E$6:$E$158="War &amp; operations")*Events!$H$6:$H$158)</x:f>
        <x:v>0</x:v>
      </x:c>
      <x:c r="Q6" s="53" t="n">
        <x:f>Economy!O6*Paths!T6</x:f>
        <x:v>0.34380585</x:v>
      </x:c>
      <x:c r="R6" s="53" t="n">
        <x:f>Economy!O6*Paths!U6</x:f>
        <x:v>0.19100325</x:v>
      </x:c>
      <x:c r="S6" s="53" t="n">
        <x:f>Economy!O6*Paths!V6+SUMPRODUCT((Events!$B$6:$B$158&lt;=$A6)*(Events!$C$6:$C$158&gt;=$A6)*(Events!$E$6:$E$158="Programme")*Events!$H$6:$H$158)+SUMPRODUCT((Events!$B$6:$B$158&lt;=$A6)*(Events!$C$6:$C$158&gt;=$A6)*(Events!$E$6:$E$158="Investment")*Events!$H$6:$H$158)</x:f>
        <x:v>0</x:v>
      </x:c>
      <x:c r="T6" s="53" t="n">
        <x:f>(People!T6*assist_cost+Labour!AD6*talent_cost+Labour!L6*gw_admin)*Economy!H6/1000000</x:f>
        <x:v>0.01776</x:v>
      </x:c>
      <x:c r="U6" s="53" t="n">
        <x:f>SUMPRODUCT((Events!$B$6:$B$158&lt;=$A6)*(Events!$C$6:$C$158&gt;=$A6)*(Events!$E$6:$E$158="Purchase")*Events!$H$6:$H$158)</x:f>
        <x:v>0</x:v>
      </x:c>
      <x:c r="V6" s="53" t="n">
        <x:f>SUMPRODUCT((Events!$B$6:$B$158&lt;=$A6)*(Events!$C$6:$C$158&gt;=$A6)*(Events!$E$6:$E$158="Subsidy &amp; guarantee")*Events!$H$6:$H$158)+SUMPRODUCT((Events!$B$6:$B$158&lt;=$A6)*(Events!$C$6:$C$158&gt;=$A6)*(Events!$E$6:$E$158="Relief")*Events!$H$6:$H$158)</x:f>
        <x:v>0</x:v>
      </x:c>
      <x:c r="W6" s="53" t="n">
        <x:f>SUMPRODUCT((Events!$B$6:$B$158&lt;=$A6)*(Events!$C$6:$C$158&gt;=$A6)*(Events!$E$6:$E$158="Bank rescue &amp; capital")*Events!$H$6:$H$158)</x:f>
        <x:v>0</x:v>
      </x:c>
      <x:c r="X6" s="53" t="n">
        <x:f>0</x:f>
        <x:v>0</x:v>
      </x:c>
      <x:c r="Y6" s="53" t="n">
        <x:f>SUM(N6:X6)</x:f>
        <x:v>0.8115691</x:v>
      </x:c>
      <x:c r="Z6" s="53" t="n">
        <x:f>M6-Y6</x:f>
        <x:v>0.08805620749999998</x:v>
      </x:c>
      <x:c r="AA6" s="63" t="n">
        <x:f>M6/Economy!O6</x:f>
        <x:v>0.047099999999999996</x:v>
      </x:c>
      <x:c r="AB6" s="63" t="n">
        <x:f>Y6/Economy!O6</x:f>
        <x:v>0.04248980580173374</x:v>
      </x:c>
      <x:c r="AC6" s="63" t="n">
        <x:f>(N6+O6+P6)/Economy!O6</x:f>
        <x:v>0.013559978691462056</x:v>
      </x:c>
    </x:row>
    <x:row r="7">
      <x:c r="A7" s="58" t="n">
        <x:v>1847</x:v>
      </x:c>
      <x:c r="B7" s="53" t="n">
        <x:f>Economy!O7*Paths!N7*Paths!O7*cust_coll</x:f>
        <x:v>0.435647334014568</x:v>
      </x:c>
      <x:c r="C7" s="53" t="n">
        <x:f>(Economy!J7+Economy!L7+Economy!M7+Economy!N7)*Paths!P7*Paths!Q7</x:f>
        <x:v>0.5200261682849999</x:v>
      </x:c>
      <x:c r="D7" s="53" t="n">
        <x:f>Resources!P7+Resources!Q7</x:f>
        <x:v>0</x:v>
      </x:c>
      <x:c r="E7" s="53" t="n">
        <x:f>Paths!S7*(1-canal_opcost)*canal_share</x:f>
        <x:v>0</x:v>
      </x:c>
      <x:c r="F7" s="53" t="n">
        <x:f>Economy!O7*Paths!R7</x:f>
        <x:v>0.00040786366140000004</x:v>
      </x:c>
      <x:c r="G7" s="53" t="n">
        <x:f>SUMPRODUCT((Events!$B$6:$B$158&lt;=$A7)*(Events!$C$6:$C$158&gt;=$A7)*(Events!$E$6:$E$158="Receipt")*Events!$H$6:$H$158)</x:f>
        <x:v>0</x:v>
      </x:c>
      <x:c r="H7" s="69" t="n">
        <x:f>Loans!Y7</x:f>
        <x:v>0</x:v>
      </x:c>
      <x:c r="I7" s="53" t="n">
        <x:f>'Debt &amp; cash'!S6*fund_yield</x:f>
        <x:v>0</x:v>
      </x:c>
      <x:c r="J7" s="69" t="n">
        <x:f>Labour!Q7</x:f>
        <x:v>0</x:v>
      </x:c>
      <x:c r="K7" s="69" t="n">
        <x:f>Champions!BD7</x:f>
        <x:v>0</x:v>
      </x:c>
      <x:c r="L7" s="69" t="n">
        <x:f>Abroad!N7</x:f>
        <x:v>0.00022920390000000002</x:v>
      </x:c>
      <x:c r="M7" s="53" t="n">
        <x:f>SUM(B7:L7)</x:f>
        <x:v>0.956310569860968</x:v>
      </x:c>
      <x:c r="N7" s="53" t="n">
        <x:f>(Paths!W7*army_cost+Paths!X7*res_cost)*Economy!H7/1000000</x:f>
        <x:v>0.7881</x:v>
      </x:c>
      <x:c r="O7" s="69" t="n">
        <x:f>Navy!Y7</x:f>
        <x:v>0</x:v>
      </x:c>
      <x:c r="P7" s="53" t="n">
        <x:f>SUMPRODUCT((Events!$B$6:$B$158&lt;=$A7)*(Events!$C$6:$C$158&gt;=$A7)*(Events!$E$6:$E$158="War &amp; operations")*Events!$H$6:$H$158)</x:f>
        <x:v>0</x:v>
      </x:c>
      <x:c r="Q7" s="53" t="n">
        <x:f>Economy!O7*Paths!T7</x:f>
        <x:v>0.37319525018099997</x:v>
      </x:c>
      <x:c r="R7" s="53" t="n">
        <x:f>Economy!O7*Paths!U7</x:f>
        <x:v>0.220246377156</x:v>
      </x:c>
      <x:c r="S7" s="53" t="n">
        <x:f>Economy!O7*Paths!V7+SUMPRODUCT((Events!$B$6:$B$158&lt;=$A7)*(Events!$C$6:$C$158&gt;=$A7)*(Events!$E$6:$E$158="Programme")*Events!$H$6:$H$158)+SUMPRODUCT((Events!$B$6:$B$158&lt;=$A7)*(Events!$C$6:$C$158&gt;=$A7)*(Events!$E$6:$E$158="Investment")*Events!$H$6:$H$158)</x:f>
        <x:v>0.014275228148999999</x:v>
      </x:c>
      <x:c r="T7" s="53" t="n">
        <x:f>(People!T7*assist_cost+Labour!AD7*talent_cost+Labour!L7*gw_admin)*Economy!H7/1000000</x:f>
        <x:v>0.02664</x:v>
      </x:c>
      <x:c r="U7" s="53" t="n">
        <x:f>SUMPRODUCT((Events!$B$6:$B$158&lt;=$A7)*(Events!$C$6:$C$158&gt;=$A7)*(Events!$E$6:$E$158="Purchase")*Events!$H$6:$H$158)</x:f>
        <x:v>0</x:v>
      </x:c>
      <x:c r="V7" s="53" t="n">
        <x:f>SUMPRODUCT((Events!$B$6:$B$158&lt;=$A7)*(Events!$C$6:$C$158&gt;=$A7)*(Events!$E$6:$E$158="Subsidy &amp; guarantee")*Events!$H$6:$H$158)+SUMPRODUCT((Events!$B$6:$B$158&lt;=$A7)*(Events!$C$6:$C$158&gt;=$A7)*(Events!$E$6:$E$158="Relief")*Events!$H$6:$H$158)</x:f>
        <x:v>0</x:v>
      </x:c>
      <x:c r="W7" s="53" t="n">
        <x:f>SUMPRODUCT((Events!$B$6:$B$158&lt;=$A7)*(Events!$C$6:$C$158&gt;=$A7)*(Events!$E$6:$E$158="Bank rescue &amp; capital")*Events!$H$6:$H$158)</x:f>
        <x:v>0</x:v>
      </x:c>
      <x:c r="X7" s="53" t="n">
        <x:f>'Debt &amp; cash'!R6*Paths!Y7</x:f>
        <x:v>0.0053990331941366</x:v>
      </x:c>
      <x:c r="Y7" s="53" t="n">
        <x:f>SUM(N7:X7)</x:f>
        <x:v>1.4278558886801365</x:v>
      </x:c>
      <x:c r="Z7" s="53" t="n">
        <x:f>M7-Y7</x:f>
        <x:v>-0.4715453188191685</x:v>
      </x:c>
      <x:c r="AA7" s="63" t="n">
        <x:f>M7/Economy!O7</x:f>
        <x:v>0.04689363924103526</x:v>
      </x:c>
      <x:c r="AB7" s="63" t="n">
        <x:f>Y7/Economy!O7</x:f>
        <x:v>0.07001633260384087</x:v>
      </x:c>
      <x:c r="AC7" s="63" t="n">
        <x:f>(N7+O7+P7)/Economy!O7</x:f>
        <x:v>0.03864526676854865</x:v>
      </x:c>
    </x:row>
    <x:row r="8">
      <x:c r="A8" s="58" t="n">
        <x:v>1848</x:v>
      </x:c>
      <x:c r="B8" s="53" t="n">
        <x:f>Economy!O8*Paths!N8*Paths!O8*cust_coll</x:f>
        <x:v>0.6190872467179693</x:v>
      </x:c>
      <x:c r="C8" s="53" t="n">
        <x:f>(Economy!J8+Economy!L8+Economy!M8+Economy!N8)*Paths!P8*Paths!Q8</x:f>
        <x:v>0.5690624498668512</x:v>
      </x:c>
      <x:c r="D8" s="53" t="n">
        <x:f>Resources!P8+Resources!Q8</x:f>
        <x:v>0.45</x:v>
      </x:c>
      <x:c r="E8" s="53" t="n">
        <x:f>Paths!S8*(1-canal_opcost)*canal_share</x:f>
        <x:v>0</x:v>
      </x:c>
      <x:c r="F8" s="53" t="n">
        <x:f>Economy!O8*Paths!R8</x:f>
        <x:v>0.0011726469801832961</x:v>
      </x:c>
      <x:c r="G8" s="53" t="n">
        <x:f>SUMPRODUCT((Events!$B$6:$B$158&lt;=$A8)*(Events!$C$6:$C$158&gt;=$A8)*(Events!$E$6:$E$158="Receipt")*Events!$H$6:$H$158)</x:f>
        <x:v>0</x:v>
      </x:c>
      <x:c r="H8" s="69" t="n">
        <x:f>Loans!Y8</x:f>
        <x:v>0</x:v>
      </x:c>
      <x:c r="I8" s="53" t="n">
        <x:f>'Debt &amp; cash'!S7*fund_yield</x:f>
        <x:v>0</x:v>
      </x:c>
      <x:c r="J8" s="69" t="n">
        <x:f>Labour!Q8</x:f>
        <x:v>0</x:v>
      </x:c>
      <x:c r="K8" s="69" t="n">
        <x:f>Champions!BD8</x:f>
        <x:v>0</x:v>
      </x:c>
      <x:c r="L8" s="69" t="n">
        <x:f>Abroad!N8</x:f>
        <x:v>0.00046704597984</x:v>
      </x:c>
      <x:c r="M8" s="53" t="n">
        <x:f>SUM(B8:L8)</x:f>
        <x:v>1.6397893895448439</x:v>
      </x:c>
      <x:c r="N8" s="53" t="n">
        <x:f>(Paths!W8*army_cost+Paths!X8*res_cost)*Economy!H8/1000000</x:f>
        <x:v>0.5402</x:v>
      </x:c>
      <x:c r="O8" s="69" t="n">
        <x:f>Navy!Y8</x:f>
        <x:v>0</x:v>
      </x:c>
      <x:c r="P8" s="53" t="n">
        <x:f>SUMPRODUCT((Events!$B$6:$B$158&lt;=$A8)*(Events!$C$6:$C$158&gt;=$A8)*(Events!$E$6:$E$158="War &amp; operations")*Events!$H$6:$H$158)</x:f>
        <x:v>0</x:v>
      </x:c>
      <x:c r="Q8" s="53" t="n">
        <x:f>Economy!O8*Paths!T8</x:f>
        <x:v>0.548212463235691</x:v>
      </x:c>
      <x:c r="R8" s="53" t="n">
        <x:f>Economy!O8*Paths!U8</x:f>
        <x:v>0.3429992417036141</x:v>
      </x:c>
      <x:c r="S8" s="53" t="n">
        <x:f>Economy!O8*Paths!V8+SUMPRODUCT((Events!$B$6:$B$158&lt;=$A8)*(Events!$C$6:$C$158&gt;=$A8)*(Events!$E$6:$E$158="Programme")*Events!$H$6:$H$158)+SUMPRODUCT((Events!$B$6:$B$158&lt;=$A8)*(Events!$C$6:$C$158&gt;=$A8)*(Events!$E$6:$E$158="Investment")*Events!$H$6:$H$158)</x:f>
        <x:v>0.038111026855957124</x:v>
      </x:c>
      <x:c r="T8" s="53" t="n">
        <x:f>(People!T8*assist_cost+Labour!AD8*talent_cost+Labour!L8*gw_admin)*Economy!H8/1000000</x:f>
        <x:v>0.1332</x:v>
      </x:c>
      <x:c r="U8" s="53" t="n">
        <x:f>SUMPRODUCT((Events!$B$6:$B$158&lt;=$A8)*(Events!$C$6:$C$158&gt;=$A8)*(Events!$E$6:$E$158="Purchase")*Events!$H$6:$H$158)</x:f>
        <x:v>0</x:v>
      </x:c>
      <x:c r="V8" s="53" t="n">
        <x:f>SUMPRODUCT((Events!$B$6:$B$158&lt;=$A8)*(Events!$C$6:$C$158&gt;=$A8)*(Events!$E$6:$E$158="Subsidy &amp; guarantee")*Events!$H$6:$H$158)+SUMPRODUCT((Events!$B$6:$B$158&lt;=$A8)*(Events!$C$6:$C$158&gt;=$A8)*(Events!$E$6:$E$158="Relief")*Events!$H$6:$H$158)</x:f>
        <x:v>0</x:v>
      </x:c>
      <x:c r="W8" s="53" t="n">
        <x:f>SUMPRODUCT((Events!$B$6:$B$158&lt;=$A8)*(Events!$C$6:$C$158&gt;=$A8)*(Events!$E$6:$E$158="Bank rescue &amp; capital")*Events!$H$6:$H$158)</x:f>
        <x:v>0</x:v>
      </x:c>
      <x:c r="X8" s="53" t="n">
        <x:f>'Debt &amp; cash'!R7*Paths!Y8</x:f>
        <x:v>0.03571498842084329</x:v>
      </x:c>
      <x:c r="Y8" s="53" t="n">
        <x:f>SUM(N8:X8)</x:f>
        <x:v>1.6384377202161053</x:v>
      </x:c>
      <x:c r="Z8" s="53" t="n">
        <x:f>M8-Y8</x:f>
        <x:v>0.0013516693287385362</x:v>
      </x:c>
      <x:c r="AA8" s="63" t="n">
        <x:f>M8/Economy!O8</x:f>
        <x:v>0.05593463053266138</x:v>
      </x:c>
      <x:c r="AB8" s="63" t="n">
        <x:f>Y8/Economy!O8</x:f>
        <x:v>0.05588852392593043</x:v>
      </x:c>
      <x:c r="AC8" s="63" t="n">
        <x:f>(N8+O8+P8)/Economy!O8</x:f>
        <x:v>0.018426687967611925</x:v>
      </x:c>
    </x:row>
    <x:row r="9">
      <x:c r="A9" s="58" t="n">
        <x:v>1849</x:v>
      </x:c>
      <x:c r="B9" s="53" t="n">
        <x:f>Economy!O9*Paths!N9*Paths!O9*cust_coll</x:f>
        <x:v>1.4700210531047988</x:v>
      </x:c>
      <x:c r="C9" s="53" t="n">
        <x:f>(Economy!J9+Economy!L9+Economy!M9+Economy!N9)*Paths!P9*Paths!Q9</x:f>
        <x:v>2.1625686641927553</x:v>
      </x:c>
      <x:c r="D9" s="53" t="n">
        <x:f>Resources!P9+Resources!Q9</x:f>
        <x:v>1.8</x:v>
      </x:c>
      <x:c r="E9" s="53" t="n">
        <x:f>Paths!S9*(1-canal_opcost)*canal_share</x:f>
        <x:v>0</x:v>
      </x:c>
      <x:c r="F9" s="53" t="n">
        <x:f>Economy!O9*Paths!R9</x:f>
        <x:v>0.0042241984284620655</x:v>
      </x:c>
      <x:c r="G9" s="53" t="n">
        <x:f>SUMPRODUCT((Events!$B$6:$B$158&lt;=$A9)*(Events!$C$6:$C$158&gt;=$A9)*(Events!$E$6:$E$158="Receipt")*Events!$H$6:$H$158)</x:f>
        <x:v>1</x:v>
      </x:c>
      <x:c r="H9" s="69" t="n">
        <x:f>Loans!Y9</x:f>
        <x:v>0</x:v>
      </x:c>
      <x:c r="I9" s="53" t="n">
        <x:f>'Debt &amp; cash'!S8*fund_yield</x:f>
        <x:v>0</x:v>
      </x:c>
      <x:c r="J9" s="69" t="n">
        <x:f>Labour!Q9</x:f>
        <x:v>0</x:v>
      </x:c>
      <x:c r="K9" s="69" t="n">
        <x:f>Champions!BD9</x:f>
        <x:v>0</x:v>
      </x:c>
      <x:c r="L9" s="69" t="n">
        <x:f>Abroad!N9</x:f>
        <x:v>0.0008048286944997889</x:v>
      </x:c>
      <x:c r="M9" s="53" t="n">
        <x:f>SUM(B9:L9)</x:f>
        <x:v>6.437618744420516</x:v>
      </x:c>
      <x:c r="N9" s="53" t="n">
        <x:f>(Paths!W9*army_cost+Paths!X9*res_cost)*Economy!H9/1000000</x:f>
        <x:v>1.0443</x:v>
      </x:c>
      <x:c r="O9" s="69" t="n">
        <x:f>Navy!Y9</x:f>
        <x:v>0</x:v>
      </x:c>
      <x:c r="P9" s="53" t="n">
        <x:f>SUMPRODUCT((Events!$B$6:$B$158&lt;=$A9)*(Events!$C$6:$C$158&gt;=$A9)*(Events!$E$6:$E$158="War &amp; operations")*Events!$H$6:$H$158)</x:f>
        <x:v>0</x:v>
      </x:c>
      <x:c r="Q9" s="53" t="n">
        <x:f>Economy!O9*Paths!T9</x:f>
        <x:v>1.3376628356796538</x:v>
      </x:c>
      <x:c r="R9" s="53" t="n">
        <x:f>Economy!O9*Paths!U9</x:f>
        <x:v>0.8800413392629303</x:v>
      </x:c>
      <x:c r="S9" s="53" t="n">
        <x:f>Economy!O9*Paths!V9+SUMPRODUCT((Events!$B$6:$B$158&lt;=$A9)*(Events!$C$6:$C$158&gt;=$A9)*(Events!$E$6:$E$158="Programme")*Events!$H$6:$H$158)+SUMPRODUCT((Events!$B$6:$B$158&lt;=$A9)*(Events!$C$6:$C$158&gt;=$A9)*(Events!$E$6:$E$158="Investment")*Events!$H$6:$H$158)</x:f>
        <x:v>0.14080661428206884</x:v>
      </x:c>
      <x:c r="T9" s="53" t="n">
        <x:f>(People!T9*assist_cost+Labour!AD9*talent_cost+Labour!L9*gw_admin)*Economy!H9/1000000</x:f>
        <x:v>0.853848</x:v>
      </x:c>
      <x:c r="U9" s="53" t="n">
        <x:f>SUMPRODUCT((Events!$B$6:$B$158&lt;=$A9)*(Events!$C$6:$C$158&gt;=$A9)*(Events!$E$6:$E$158="Purchase")*Events!$H$6:$H$158)</x:f>
        <x:v>0</x:v>
      </x:c>
      <x:c r="V9" s="53" t="n">
        <x:f>SUMPRODUCT((Events!$B$6:$B$158&lt;=$A9)*(Events!$C$6:$C$158&gt;=$A9)*(Events!$E$6:$E$158="Subsidy &amp; guarantee")*Events!$H$6:$H$158)+SUMPRODUCT((Events!$B$6:$B$158&lt;=$A9)*(Events!$C$6:$C$158&gt;=$A9)*(Events!$E$6:$E$158="Relief")*Events!$H$6:$H$158)</x:f>
        <x:v>0</x:v>
      </x:c>
      <x:c r="W9" s="53" t="n">
        <x:f>SUMPRODUCT((Events!$B$6:$B$158&lt;=$A9)*(Events!$C$6:$C$158&gt;=$A9)*(Events!$E$6:$E$158="Bank rescue &amp; capital")*Events!$H$6:$H$158)</x:f>
        <x:v>0</x:v>
      </x:c>
      <x:c r="X9" s="53" t="n">
        <x:f>'Debt &amp; cash'!R8*Paths!Y9</x:f>
        <x:v>0.9342197492035053</x:v>
      </x:c>
      <x:c r="Y9" s="53" t="n">
        <x:f>SUM(N9:X9)</x:f>
        <x:v>5.190878538428158</x:v>
      </x:c>
      <x:c r="Z9" s="53" t="n">
        <x:f>M9-Y9</x:f>
        <x:v>1.2467402059923582</x:v>
      </x:c>
      <x:c r="AA9" s="63" t="n">
        <x:f>M9/Economy!O9</x:f>
        <x:v>0.09143915258873349</x:v>
      </x:c>
      <x:c r="AB9" s="63" t="n">
        <x:f>Y9/Economy!O9</x:f>
        <x:v>0.07373060654707037</x:v>
      </x:c>
      <x:c r="AC9" s="63" t="n">
        <x:f>(N9+O9+P9)/Economy!O9</x:f>
        <x:v>0.014833110011551317</x:v>
      </x:c>
    </x:row>
    <x:row r="10">
      <x:c r="A10" s="58" t="n">
        <x:v>1850</x:v>
      </x:c>
      <x:c r="B10" s="53" t="n">
        <x:f>Economy!O10*Paths!N10*Paths!O10*cust_coll</x:f>
        <x:v>1.5964426031669474</x:v>
      </x:c>
      <x:c r="C10" s="53" t="n">
        <x:f>(Economy!J10+Economy!L10+Economy!M10+Economy!N10)*Paths!P10*Paths!Q10</x:f>
        <x:v>2.4805396601904</x:v>
      </x:c>
      <x:c r="D10" s="53" t="n">
        <x:f>Resources!P10+Resources!Q10</x:f>
        <x:v>1.8450000000000002</x:v>
      </x:c>
      <x:c r="E10" s="53" t="n">
        <x:f>Paths!S10*(1-canal_opcost)*canal_share</x:f>
        <x:v>0</x:v>
      </x:c>
      <x:c r="F10" s="53" t="n">
        <x:f>Economy!O10*Paths!R10</x:f>
        <x:v>0.006187042604220237</x:v>
      </x:c>
      <x:c r="G10" s="53" t="n">
        <x:f>SUMPRODUCT((Events!$B$6:$B$158&lt;=$A10)*(Events!$C$6:$C$158&gt;=$A10)*(Events!$E$6:$E$158="Receipt")*Events!$H$6:$H$158)</x:f>
        <x:v>1</x:v>
      </x:c>
      <x:c r="H10" s="69" t="n">
        <x:f>Loans!Y10</x:f>
        <x:v>0</x:v>
      </x:c>
      <x:c r="I10" s="53" t="n">
        <x:f>'Debt &amp; cash'!S9*fund_yield</x:f>
        <x:v>0</x:v>
      </x:c>
      <x:c r="J10" s="69" t="n">
        <x:f>Labour!Q10</x:f>
        <x:v>0</x:v>
      </x:c>
      <x:c r="K10" s="69" t="n">
        <x:f>Champions!BD10</x:f>
        <x:v>0</x:v>
      </x:c>
      <x:c r="L10" s="69" t="n">
        <x:f>Abroad!N10</x:f>
        <x:v>0.0016255235193572083</x:v>
      </x:c>
      <x:c r="M10" s="53" t="n">
        <x:f>SUM(B10:L10)</x:f>
        <x:v>6.929794829480926</x:v>
      </x:c>
      <x:c r="N10" s="53" t="n">
        <x:f>(Paths!W10*army_cost+Paths!X10*res_cost)*Economy!H10/1000000</x:f>
        <x:v>1.221</x:v>
      </x:c>
      <x:c r="O10" s="69" t="n">
        <x:f>Navy!Y10</x:f>
        <x:v>0</x:v>
      </x:c>
      <x:c r="P10" s="53" t="n">
        <x:f>SUMPRODUCT((Events!$B$6:$B$158&lt;=$A10)*(Events!$C$6:$C$158&gt;=$A10)*(Events!$E$6:$E$158="War &amp; operations")*Events!$H$6:$H$158)</x:f>
        <x:v>0</x:v>
      </x:c>
      <x:c r="Q10" s="53" t="n">
        <x:f>Economy!O10*Paths!T10</x:f>
        <x:v>1.492624028268132</x:v>
      </x:c>
      <x:c r="R10" s="53" t="n">
        <x:f>Economy!O10*Paths!U10</x:f>
        <x:v>1.0285958329516143</x:v>
      </x:c>
      <x:c r="S10" s="53" t="n">
        <x:f>Economy!O10*Paths!V10+SUMPRODUCT((Events!$B$6:$B$158&lt;=$A10)*(Events!$C$6:$C$158&gt;=$A10)*(Events!$E$6:$E$158="Programme")*Events!$H$6:$H$158)+SUMPRODUCT((Events!$B$6:$B$158&lt;=$A10)*(Events!$C$6:$C$158&gt;=$A10)*(Events!$E$6:$E$158="Investment")*Events!$H$6:$H$158)</x:f>
        <x:v>0.708812687892433</x:v>
      </x:c>
      <x:c r="T10" s="53" t="n">
        <x:f>(People!T10*assist_cost+Labour!AD10*talent_cost+Labour!L10*gw_admin)*Economy!H10/1000000</x:f>
        <x:v>0.7128</x:v>
      </x:c>
      <x:c r="U10" s="53" t="n">
        <x:f>SUMPRODUCT((Events!$B$6:$B$158&lt;=$A10)*(Events!$C$6:$C$158&gt;=$A10)*(Events!$E$6:$E$158="Purchase")*Events!$H$6:$H$158)</x:f>
        <x:v>0</x:v>
      </x:c>
      <x:c r="V10" s="53" t="n">
        <x:f>SUMPRODUCT((Events!$B$6:$B$158&lt;=$A10)*(Events!$C$6:$C$158&gt;=$A10)*(Events!$E$6:$E$158="Subsidy &amp; guarantee")*Events!$H$6:$H$158)+SUMPRODUCT((Events!$B$6:$B$158&lt;=$A10)*(Events!$C$6:$C$158&gt;=$A10)*(Events!$E$6:$E$158="Relief")*Events!$H$6:$H$158)</x:f>
        <x:v>0</x:v>
      </x:c>
      <x:c r="W10" s="53" t="n">
        <x:f>SUMPRODUCT((Events!$B$6:$B$158&lt;=$A10)*(Events!$C$6:$C$158&gt;=$A10)*(Events!$E$6:$E$158="Bank rescue &amp; capital")*Events!$H$6:$H$158)</x:f>
        <x:v>0</x:v>
      </x:c>
      <x:c r="X10" s="53" t="n">
        <x:f>'Debt &amp; cash'!R9*Paths!Y10</x:f>
        <x:v>0.9364317721458422</x:v>
      </x:c>
      <x:c r="Y10" s="53" t="n">
        <x:f>SUM(N10:X10)</x:f>
        <x:v>6.100264321258021</x:v>
      </x:c>
      <x:c r="Z10" s="53" t="n">
        <x:f>M10-Y10</x:f>
        <x:v>0.8295305082229047</x:v>
      </x:c>
      <x:c r="AA10" s="63" t="n">
        <x:f>M10/Economy!O10</x:f>
        <x:v>0.08960397104431189</x:v>
      </x:c>
      <x:c r="AB10" s="63" t="n">
        <x:f>Y10/Economy!O10</x:f>
        <x:v>0.0788779352137899</x:v>
      </x:c>
      <x:c r="AC10" s="63" t="n">
        <x:f>(N10+O10+P10)/Economy!O10</x:f>
        <x:v>0.01578783374360015</x:v>
      </x:c>
    </x:row>
    <x:row r="11">
      <x:c r="A11" s="58" t="n">
        <x:v>1851</x:v>
      </x:c>
      <x:c r="B11" s="53" t="n">
        <x:f>Economy!O11*Paths!N11*Paths!O11*cust_coll</x:f>
        <x:v>2.155902027880506</x:v>
      </x:c>
      <x:c r="C11" s="53" t="n">
        <x:f>(Economy!J11+Economy!L11+Economy!M11+Economy!N11)*Paths!P11*Paths!Q11</x:f>
        <x:v>2.7128892331404586</x:v>
      </x:c>
      <x:c r="D11" s="53" t="n">
        <x:f>Resources!P11+Resources!Q11</x:f>
        <x:v>3.375</x:v>
      </x:c>
      <x:c r="E11" s="53" t="n">
        <x:f>Paths!S11*(1-canal_opcost)*canal_share</x:f>
        <x:v>0</x:v>
      </x:c>
      <x:c r="F11" s="53" t="n">
        <x:f>Economy!O11*Paths!R11</x:f>
        <x:v>0.010569390653216586</x:v>
      </x:c>
      <x:c r="G11" s="53" t="n">
        <x:f>SUMPRODUCT((Events!$B$6:$B$158&lt;=$A11)*(Events!$C$6:$C$158&gt;=$A11)*(Events!$E$6:$E$158="Receipt")*Events!$H$6:$H$158)</x:f>
        <x:v>1</x:v>
      </x:c>
      <x:c r="H11" s="69" t="n">
        <x:f>Loans!Y11</x:f>
        <x:v>0</x:v>
      </x:c>
      <x:c r="I11" s="53" t="n">
        <x:f>'Debt &amp; cash'!S10*fund_yield</x:f>
        <x:v>0.0031996974023181467</x:v>
      </x:c>
      <x:c r="J11" s="69" t="n">
        <x:f>Labour!Q11</x:f>
        <x:v>0</x:v>
      </x:c>
      <x:c r="K11" s="69" t="n">
        <x:f>Champions!BD11</x:f>
        <x:v>0</x:v>
      </x:c>
      <x:c r="L11" s="69" t="n">
        <x:f>Abroad!N11</x:f>
        <x:v>0.0025048142044095277</x:v>
      </x:c>
      <x:c r="M11" s="53" t="n">
        <x:f>SUM(B11:L11)</x:f>
        <x:v>9.260065163280908</x:v>
      </x:c>
      <x:c r="N11" s="53" t="n">
        <x:f>(Paths!W11*army_cost+Paths!X11*res_cost)*Economy!H11/1000000</x:f>
        <x:v>1.6626</x:v>
      </x:c>
      <x:c r="O11" s="69" t="n">
        <x:f>Navy!Y11</x:f>
        <x:v>0.21</x:v>
      </x:c>
      <x:c r="P11" s="53" t="n">
        <x:f>SUMPRODUCT((Events!$B$6:$B$158&lt;=$A11)*(Events!$C$6:$C$158&gt;=$A11)*(Events!$E$6:$E$158="War &amp; operations")*Events!$H$6:$H$158)</x:f>
        <x:v>0</x:v>
      </x:c>
      <x:c r="Q11" s="53" t="n">
        <x:f>Economy!O11*Paths!T11</x:f>
        <x:v>2.082169958683667</x:v>
      </x:c>
      <x:c r="R11" s="53" t="n">
        <x:f>Economy!O11*Paths!U11</x:f>
        <x:v>1.5008534727567553</x:v>
      </x:c>
      <x:c r="S11" s="53" t="n">
        <x:f>Economy!O11*Paths!V11+SUMPRODUCT((Events!$B$6:$B$158&lt;=$A11)*(Events!$C$6:$C$158&gt;=$A11)*(Events!$E$6:$E$158="Programme")*Events!$H$6:$H$158)+SUMPRODUCT((Events!$B$6:$B$158&lt;=$A11)*(Events!$C$6:$C$158&gt;=$A11)*(Events!$E$6:$E$158="Investment")*Events!$H$6:$H$158)</x:f>
        <x:v>0.8487898915561474</x:v>
      </x:c>
      <x:c r="T11" s="53" t="n">
        <x:f>(People!T11*assist_cost+Labour!AD11*talent_cost+Labour!L11*gw_admin)*Economy!H11/1000000</x:f>
        <x:v>0.52632</x:v>
      </x:c>
      <x:c r="U11" s="53" t="n">
        <x:f>SUMPRODUCT((Events!$B$6:$B$158&lt;=$A11)*(Events!$C$6:$C$158&gt;=$A11)*(Events!$E$6:$E$158="Purchase")*Events!$H$6:$H$158)</x:f>
        <x:v>0</x:v>
      </x:c>
      <x:c r="V11" s="53" t="n">
        <x:f>SUMPRODUCT((Events!$B$6:$B$158&lt;=$A11)*(Events!$C$6:$C$158&gt;=$A11)*(Events!$E$6:$E$158="Subsidy &amp; guarantee")*Events!$H$6:$H$158)+SUMPRODUCT((Events!$B$6:$B$158&lt;=$A11)*(Events!$C$6:$C$158&gt;=$A11)*(Events!$E$6:$E$158="Relief")*Events!$H$6:$H$158)</x:f>
        <x:v>0</x:v>
      </x:c>
      <x:c r="W11" s="53" t="n">
        <x:f>SUMPRODUCT((Events!$B$6:$B$158&lt;=$A11)*(Events!$C$6:$C$158&gt;=$A11)*(Events!$E$6:$E$158="Bank rescue &amp; capital")*Events!$H$6:$H$158)</x:f>
        <x:v>0</x:v>
      </x:c>
      <x:c r="X11" s="53" t="n">
        <x:f>'Debt &amp; cash'!R10*Paths!Y11</x:f>
        <x:v>0.9010929298810618</x:v>
      </x:c>
      <x:c r="Y11" s="53" t="n">
        <x:f>SUM(N11:X11)</x:f>
        <x:v>7.731826252877632</x:v>
      </x:c>
      <x:c r="Z11" s="53" t="n">
        <x:f>M11-Y11</x:f>
        <x:v>1.5282389104032763</x:v>
      </x:c>
      <x:c r="AA11" s="63" t="n">
        <x:f>M11/Economy!O11</x:f>
        <x:v>0.08761210051842289</x:v>
      </x:c>
      <x:c r="AB11" s="63" t="n">
        <x:f>Y11/Economy!O11</x:f>
        <x:v>0.07315299913268512</x:v>
      </x:c>
      <x:c r="AC11" s="63" t="n">
        <x:f>(N11+O11+P11)/Economy!O11</x:f>
        <x:v>0.017717199235417713</x:v>
      </x:c>
    </x:row>
    <x:row r="12">
      <x:c r="A12" s="58" t="n">
        <x:v>1852</x:v>
      </x:c>
      <x:c r="B12" s="53" t="n">
        <x:f>Economy!O12*Paths!N12*Paths!O12*cust_coll</x:f>
        <x:v>3.592583203924909</x:v>
      </x:c>
      <x:c r="C12" s="53" t="n">
        <x:f>(Economy!J12+Economy!L12+Economy!M12+Economy!N12)*Paths!P12*Paths!Q12</x:f>
        <x:v>3.9590251074805862</x:v>
      </x:c>
      <x:c r="D12" s="53" t="n">
        <x:f>Resources!P12+Resources!Q12</x:f>
        <x:v>3.645</x:v>
      </x:c>
      <x:c r="E12" s="53" t="n">
        <x:f>Paths!S12*(1-canal_opcost)*canal_share</x:f>
        <x:v>0</x:v>
      </x:c>
      <x:c r="F12" s="53" t="n">
        <x:f>Economy!O12*Paths!R12</x:f>
        <x:v>0.015444306101529037</x:v>
      </x:c>
      <x:c r="G12" s="53" t="n">
        <x:f>SUMPRODUCT((Events!$B$6:$B$158&lt;=$A12)*(Events!$C$6:$C$158&gt;=$A12)*(Events!$E$6:$E$158="Receipt")*Events!$H$6:$H$158)</x:f>
        <x:v>1</x:v>
      </x:c>
      <x:c r="H12" s="69" t="n">
        <x:f>Loans!Y12</x:f>
        <x:v>0</x:v>
      </x:c>
      <x:c r="I12" s="53" t="n">
        <x:f>'Debt &amp; cash'!S11*fund_yield</x:f>
        <x:v>0.008413112572904098</x:v>
      </x:c>
      <x:c r="J12" s="69" t="n">
        <x:f>Labour!Q12</x:f>
        <x:v>0</x:v>
      </x:c>
      <x:c r="K12" s="69" t="n">
        <x:f>Champions!BD12</x:f>
        <x:v>0</x:v>
      </x:c>
      <x:c r="L12" s="69" t="n">
        <x:f>Abroad!N12</x:f>
        <x:v>0.0036979966566632314</x:v>
      </x:c>
      <x:c r="M12" s="53" t="n">
        <x:f>SUM(B12:L12)</x:f>
        <x:v>12.224163726736592</x:v>
      </x:c>
      <x:c r="N12" s="53" t="n">
        <x:f>(Paths!W12*army_cost+Paths!X12*res_cost)*Economy!H12/1000000</x:f>
        <x:v>2.205</x:v>
      </x:c>
      <x:c r="O12" s="69" t="n">
        <x:f>Navy!Y12</x:f>
        <x:v>0.5504</x:v>
      </x:c>
      <x:c r="P12" s="53" t="n">
        <x:f>SUMPRODUCT((Events!$B$6:$B$158&lt;=$A12)*(Events!$C$6:$C$158&gt;=$A12)*(Events!$E$6:$E$158="War &amp; operations")*Events!$H$6:$H$158)</x:f>
        <x:v>0</x:v>
      </x:c>
      <x:c r="Q12" s="53" t="n">
        <x:f>Economy!O12*Paths!T12</x:f>
        <x:v>2.376047092542929</x:v>
      </x:c>
      <x:c r="R12" s="53" t="n">
        <x:f>Economy!O12*Paths!U12</x:f>
        <x:v>1.7820353194071965</x:v>
      </x:c>
      <x:c r="S12" s="53" t="n">
        <x:f>Economy!O12*Paths!V12+SUMPRODUCT((Events!$B$6:$B$158&lt;=$A12)*(Events!$C$6:$C$158&gt;=$A12)*(Events!$E$6:$E$158="Programme")*Events!$H$6:$H$158)+SUMPRODUCT((Events!$B$6:$B$158&lt;=$A12)*(Events!$C$6:$C$158&gt;=$A12)*(Events!$E$6:$E$158="Investment")*Events!$H$6:$H$158)</x:f>
        <x:v>0.4752094185085858</x:v>
      </x:c>
      <x:c r="T12" s="53" t="n">
        <x:f>(People!T12*assist_cost+Labour!AD12*talent_cost+Labour!L12*gw_admin)*Economy!H12/1000000</x:f>
        <x:v>1.8</x:v>
      </x:c>
      <x:c r="U12" s="53" t="n">
        <x:f>SUMPRODUCT((Events!$B$6:$B$158&lt;=$A12)*(Events!$C$6:$C$158&gt;=$A12)*(Events!$E$6:$E$158="Purchase")*Events!$H$6:$H$158)</x:f>
        <x:v>0</x:v>
      </x:c>
      <x:c r="V12" s="53" t="n">
        <x:f>SUMPRODUCT((Events!$B$6:$B$158&lt;=$A12)*(Events!$C$6:$C$158&gt;=$A12)*(Events!$E$6:$E$158="Subsidy &amp; guarantee")*Events!$H$6:$H$158)+SUMPRODUCT((Events!$B$6:$B$158&lt;=$A12)*(Events!$C$6:$C$158&gt;=$A12)*(Events!$E$6:$E$158="Relief")*Events!$H$6:$H$158)</x:f>
        <x:v>0</x:v>
      </x:c>
      <x:c r="W12" s="53" t="n">
        <x:f>SUMPRODUCT((Events!$B$6:$B$158&lt;=$A12)*(Events!$C$6:$C$158&gt;=$A12)*(Events!$E$6:$E$158="Bank rescue &amp; capital")*Events!$H$6:$H$158)</x:f>
        <x:v>0</x:v>
      </x:c>
      <x:c r="X12" s="53" t="n">
        <x:f>'Debt &amp; cash'!R11*Paths!Y12</x:f>
        <x:v>0.8552781519628927</x:v>
      </x:c>
      <x:c r="Y12" s="53" t="n">
        <x:f>SUM(N12:X12)</x:f>
        <x:v>10.043969982421604</x:v>
      </x:c>
      <x:c r="Z12" s="53" t="n">
        <x:f>M12-Y12</x:f>
        <x:v>2.1801937443149875</x:v>
      </x:c>
      <x:c r="AA12" s="63" t="n">
        <x:f>M12/Economy!O12</x:f>
        <x:v>0.1028949616790117</x:v>
      </x:c>
      <x:c r="AB12" s="63" t="n">
        <x:f>Y12/Economy!O12</x:f>
        <x:v>0.08454352621161389</x:v>
      </x:c>
      <x:c r="AC12" s="63" t="n">
        <x:f>(N12+O12+P12)/Economy!O12</x:f>
        <x:v>0.023193143003332264</x:v>
      </x:c>
    </x:row>
    <x:row r="13">
      <x:c r="A13" s="58" t="n">
        <x:v>1853</x:v>
      </x:c>
      <x:c r="B13" s="53" t="n">
        <x:f>Economy!O13*Paths!N13*Paths!O13*cust_coll</x:f>
        <x:v>3.5831637020892986</x:v>
      </x:c>
      <x:c r="C13" s="53" t="n">
        <x:f>(Economy!J13+Economy!L13+Economy!M13+Economy!N13)*Paths!P13*Paths!Q13</x:f>
        <x:v>4.610059989160139</x:v>
      </x:c>
      <x:c r="D13" s="53" t="n">
        <x:f>Resources!P13+Resources!Q13</x:f>
        <x:v>3.015</x:v>
      </x:c>
      <x:c r="E13" s="53" t="n">
        <x:f>Paths!S13*(1-canal_opcost)*canal_share</x:f>
        <x:v>0</x:v>
      </x:c>
      <x:c r="F13" s="53" t="n">
        <x:f>Economy!O13*Paths!R13</x:f>
        <x:v>0.017882199974494445</x:v>
      </x:c>
      <x:c r="G13" s="53" t="n">
        <x:f>SUMPRODUCT((Events!$B$6:$B$158&lt;=$A13)*(Events!$C$6:$C$158&gt;=$A13)*(Events!$E$6:$E$158="Receipt")*Events!$H$6:$H$158)</x:f>
        <x:v>1</x:v>
      </x:c>
      <x:c r="H13" s="69" t="n">
        <x:f>Loans!Y13</x:f>
        <x:v>0</x:v>
      </x:c>
      <x:c r="I13" s="53" t="n">
        <x:f>'Debt &amp; cash'!S12*fund_yield</x:f>
        <x:v>0.017704963707102513</x:v>
      </x:c>
      <x:c r="J13" s="69" t="n">
        <x:f>Labour!Q13</x:f>
        <x:v>0</x:v>
      </x:c>
      <x:c r="K13" s="69" t="n">
        <x:f>Champions!BD13</x:f>
        <x:v>0</x:v>
      </x:c>
      <x:c r="L13" s="69" t="n">
        <x:f>Abroad!N13</x:f>
        <x:v>0.0050126850124890925</x:v>
      </x:c>
      <x:c r="M13" s="53" t="n">
        <x:f>SUM(B13:L13)</x:f>
        <x:v>12.248823539943523</x:v>
      </x:c>
      <x:c r="N13" s="53" t="n">
        <x:f>(Paths!W13*army_cost+Paths!X13*res_cost)*Economy!H13/1000000</x:f>
        <x:v>2.6829</x:v>
      </x:c>
      <x:c r="O13" s="69" t="n">
        <x:f>Navy!Y13</x:f>
        <x:v>0.3378125</x:v>
      </x:c>
      <x:c r="P13" s="53" t="n">
        <x:f>SUMPRODUCT((Events!$B$6:$B$158&lt;=$A13)*(Events!$C$6:$C$158&gt;=$A13)*(Events!$E$6:$E$158="War &amp; operations")*Events!$H$6:$H$158)</x:f>
        <x:v>0.3</x:v>
      </x:c>
      <x:c r="Q13" s="53" t="n">
        <x:f>Economy!O13*Paths!T13</x:f>
        <x:v>2.4081362632319183</x:v>
      </x:c>
      <x:c r="R13" s="53" t="n">
        <x:f>Economy!O13*Paths!U13</x:f>
        <x:v>1.8835917306467485</x:v>
      </x:c>
      <x:c r="S13" s="53" t="n">
        <x:f>Economy!O13*Paths!V13+SUMPRODUCT((Events!$B$6:$B$158&lt;=$A13)*(Events!$C$6:$C$158&gt;=$A13)*(Events!$E$6:$E$158="Programme")*Events!$H$6:$H$158)+SUMPRODUCT((Events!$B$6:$B$158&lt;=$A13)*(Events!$C$6:$C$158&gt;=$A13)*(Events!$E$6:$E$158="Investment")*Events!$H$6:$H$158)</x:f>
        <x:v>0.5364659992348333</x:v>
      </x:c>
      <x:c r="T13" s="53" t="n">
        <x:f>(People!T13*assist_cost+Labour!AD13*talent_cost+Labour!L13*gw_admin)*Economy!H13/1000000</x:f>
        <x:v>1.09296</x:v>
      </x:c>
      <x:c r="U13" s="53" t="n">
        <x:f>SUMPRODUCT((Events!$B$6:$B$158&lt;=$A13)*(Events!$C$6:$C$158&gt;=$A13)*(Events!$E$6:$E$158="Purchase")*Events!$H$6:$H$158)</x:f>
        <x:v>0</x:v>
      </x:c>
      <x:c r="V13" s="53" t="n">
        <x:f>SUMPRODUCT((Events!$B$6:$B$158&lt;=$A13)*(Events!$C$6:$C$158&gt;=$A13)*(Events!$E$6:$E$158="Subsidy &amp; guarantee")*Events!$H$6:$H$158)+SUMPRODUCT((Events!$B$6:$B$158&lt;=$A13)*(Events!$C$6:$C$158&gt;=$A13)*(Events!$E$6:$E$158="Relief")*Events!$H$6:$H$158)</x:f>
        <x:v>0</x:v>
      </x:c>
      <x:c r="W13" s="53" t="n">
        <x:f>SUMPRODUCT((Events!$B$6:$B$158&lt;=$A13)*(Events!$C$6:$C$158&gt;=$A13)*(Events!$E$6:$E$158="Bank rescue &amp; capital")*Events!$H$6:$H$158)</x:f>
        <x:v>0</x:v>
      </x:c>
      <x:c r="X13" s="53" t="n">
        <x:f>'Debt &amp; cash'!R12*Paths!Y13</x:f>
        <x:v>0.7834702884887161</x:v>
      </x:c>
      <x:c r="Y13" s="53" t="n">
        <x:f>SUM(N13:X13)</x:f>
        <x:v>10.025336781602217</x:v>
      </x:c>
      <x:c r="Z13" s="53" t="n">
        <x:f>M13-Y13</x:f>
        <x:v>2.2234867583413056</x:v>
      </x:c>
      <x:c r="AA13" s="63" t="n">
        <x:f>M13/Economy!O13</x:f>
        <x:v>0.10274594477257389</x:v>
      </x:c>
      <x:c r="AB13" s="63" t="n">
        <x:f>Y13/Economy!O13</x:f>
        <x:v>0.08409482722401146</x:v>
      </x:c>
      <x:c r="AC13" s="63" t="n">
        <x:f>(N13+O13+P13)/Economy!O13</x:f>
        <x:v>0.027854899045444893</x:v>
      </x:c>
    </x:row>
    <x:row r="14">
      <x:c r="A14" s="58" t="n">
        <x:v>1854</x:v>
      </x:c>
      <x:c r="B14" s="53" t="n">
        <x:f>Economy!O14*Paths!N14*Paths!O14*cust_coll</x:f>
        <x:v>3.833807729377177</x:v>
      </x:c>
      <x:c r="C14" s="53" t="n">
        <x:f>(Economy!J14+Economy!L14+Economy!M14+Economy!N14)*Paths!P14*Paths!Q14</x:f>
        <x:v>5.099449293184055</x:v>
      </x:c>
      <x:c r="D14" s="53" t="n">
        <x:f>Resources!P14+Resources!Q14</x:f>
        <x:v>3.1050000000000004</x:v>
      </x:c>
      <x:c r="E14" s="53" t="n">
        <x:f>Paths!S14*(1-canal_opcost)*canal_share</x:f>
        <x:v>0</x:v>
      </x:c>
      <x:c r="F14" s="53" t="n">
        <x:f>Economy!O14*Paths!R14</x:f>
        <x:v>0.021809531448490814</x:v>
      </x:c>
      <x:c r="G14" s="53" t="n">
        <x:f>SUMPRODUCT((Events!$B$6:$B$158&lt;=$A14)*(Events!$C$6:$C$158&gt;=$A14)*(Events!$E$6:$E$158="Receipt")*Events!$H$6:$H$158)</x:f>
        <x:v>1</x:v>
      </x:c>
      <x:c r="H14" s="69" t="n">
        <x:f>Loans!Y14</x:f>
        <x:v>0</x:v>
      </x:c>
      <x:c r="I14" s="53" t="n">
        <x:f>'Debt &amp; cash'!S13*fund_yield</x:f>
        <x:v>0.03341513610602436</x:v>
      </x:c>
      <x:c r="J14" s="69" t="n">
        <x:f>Labour!Q14</x:f>
        <x:v>0</x:v>
      </x:c>
      <x:c r="K14" s="69" t="n">
        <x:f>Champions!BD14</x:f>
        <x:v>0</x:v>
      </x:c>
      <x:c r="L14" s="69" t="n">
        <x:f>Abroad!N14</x:f>
        <x:v>0.006292880460073974</x:v>
      </x:c>
      <x:c r="M14" s="53" t="n">
        <x:f>SUM(B14:L14)</x:f>
        <x:v>13.099774570575823</x:v>
      </x:c>
      <x:c r="N14" s="53" t="n">
        <x:f>(Paths!W14*army_cost+Paths!X14*res_cost)*Economy!H14/1000000</x:f>
        <x:v>3.05065</x:v>
      </x:c>
      <x:c r="O14" s="69" t="n">
        <x:f>Navy!Y14</x:f>
        <x:v>0.5570625</x:v>
      </x:c>
      <x:c r="P14" s="53" t="n">
        <x:f>SUMPRODUCT((Events!$B$6:$B$158&lt;=$A14)*(Events!$C$6:$C$158&gt;=$A14)*(Events!$E$6:$E$158="War &amp; operations")*Events!$H$6:$H$158)</x:f>
        <x:v>0.3</x:v>
      </x:c>
      <x:c r="Q14" s="53" t="n">
        <x:f>Economy!O14*Paths!T14</x:f>
        <x:v>2.604314637672726</x:v>
      </x:c>
      <x:c r="R14" s="53" t="n">
        <x:f>Economy!O14*Paths!U14</x:f>
        <x:v>2.116807464118226</x:v>
      </x:c>
      <x:c r="S14" s="53" t="n">
        <x:f>Economy!O14*Paths!V14+SUMPRODUCT((Events!$B$6:$B$158&lt;=$A14)*(Events!$C$6:$C$158&gt;=$A14)*(Events!$E$6:$E$158="Programme")*Events!$H$6:$H$158)+SUMPRODUCT((Events!$B$6:$B$158&lt;=$A14)*(Events!$C$6:$C$158&gt;=$A14)*(Events!$E$6:$E$158="Investment")*Events!$H$6:$H$158)</x:f>
        <x:v>0.6414568073085534</x:v>
      </x:c>
      <x:c r="T14" s="53" t="n">
        <x:f>(People!T14*assist_cost+Labour!AD14*talent_cost+Labour!L14*gw_admin)*Economy!H14/1000000</x:f>
        <x:v>0.95448</x:v>
      </x:c>
      <x:c r="U14" s="53" t="n">
        <x:f>SUMPRODUCT((Events!$B$6:$B$158&lt;=$A14)*(Events!$C$6:$C$158&gt;=$A14)*(Events!$E$6:$E$158="Purchase")*Events!$H$6:$H$158)</x:f>
        <x:v>0</x:v>
      </x:c>
      <x:c r="V14" s="53" t="n">
        <x:f>SUMPRODUCT((Events!$B$6:$B$158&lt;=$A14)*(Events!$C$6:$C$158&gt;=$A14)*(Events!$E$6:$E$158="Subsidy &amp; guarantee")*Events!$H$6:$H$158)+SUMPRODUCT((Events!$B$6:$B$158&lt;=$A14)*(Events!$C$6:$C$158&gt;=$A14)*(Events!$E$6:$E$158="Relief")*Events!$H$6:$H$158)</x:f>
        <x:v>0</x:v>
      </x:c>
      <x:c r="W14" s="53" t="n">
        <x:f>SUMPRODUCT((Events!$B$6:$B$158&lt;=$A14)*(Events!$C$6:$C$158&gt;=$A14)*(Events!$E$6:$E$158="Bank rescue &amp; capital")*Events!$H$6:$H$158)</x:f>
        <x:v>0</x:v>
      </x:c>
      <x:c r="X14" s="53" t="n">
        <x:f>'Debt &amp; cash'!R13*Paths!Y14</x:f>
        <x:v>0.6739679008727</x:v>
      </x:c>
      <x:c r="Y14" s="53" t="n">
        <x:f>SUM(N14:X14)</x:f>
        <x:v>10.898739309972207</x:v>
      </x:c>
      <x:c r="Z14" s="53" t="n">
        <x:f>M14-Y14</x:f>
        <x:v>2.201035260603616</x:v>
      </x:c>
      <x:c r="AA14" s="63" t="n">
        <x:f>M14/Economy!O14</x:f>
        <x:v>0.10210956077884893</x:v>
      </x:c>
      <x:c r="AB14" s="63" t="n">
        <x:f>Y14/Economy!O14</x:f>
        <x:v>0.08495302556458567</x:v>
      </x:c>
      <x:c r="AC14" s="63" t="n">
        <x:f>(N14+O14+P14)/Economy!O14</x:f>
        <x:v>0.03045966973517761</x:v>
      </x:c>
    </x:row>
    <x:row r="15">
      <x:c r="A15" s="58" t="n">
        <x:v>1855</x:v>
      </x:c>
      <x:c r="B15" s="53" t="n">
        <x:f>Economy!O15*Paths!N15*Paths!O15*cust_coll</x:f>
        <x:v>3.735913912772596</x:v>
      </x:c>
      <x:c r="C15" s="53" t="n">
        <x:f>(Economy!J15+Economy!L15+Economy!M15+Economy!N15)*Paths!P15*Paths!Q15</x:f>
        <x:v>6.306583087468689</x:v>
      </x:c>
      <x:c r="D15" s="53" t="n">
        <x:f>Resources!P15+Resources!Q15</x:f>
        <x:v>2.475</x:v>
      </x:c>
      <x:c r="E15" s="53" t="n">
        <x:f>Paths!S15*(1-canal_opcost)*canal_share</x:f>
        <x:v>0</x:v>
      </x:c>
      <x:c r="F15" s="53" t="n">
        <x:f>Economy!O15*Paths!R15</x:f>
        <x:v>0.023899785973966102</x:v>
      </x:c>
      <x:c r="G15" s="53" t="n">
        <x:f>SUMPRODUCT((Events!$B$6:$B$158&lt;=$A15)*(Events!$C$6:$C$158&gt;=$A15)*(Events!$E$6:$E$158="Receipt")*Events!$H$6:$H$158)</x:f>
        <x:v>1</x:v>
      </x:c>
      <x:c r="H15" s="69" t="n">
        <x:f>Loans!Y15</x:f>
        <x:v>0</x:v>
      </x:c>
      <x:c r="I15" s="53" t="n">
        <x:f>'Debt &amp; cash'!S14*fund_yield</x:f>
        <x:v>0.0475850448874046</x:v>
      </x:c>
      <x:c r="J15" s="69" t="n">
        <x:f>Labour!Q15</x:f>
        <x:v>0</x:v>
      </x:c>
      <x:c r="K15" s="69" t="n">
        <x:f>Champions!BD15</x:f>
        <x:v>0</x:v>
      </x:c>
      <x:c r="L15" s="69" t="n">
        <x:f>Abroad!N15</x:f>
        <x:v>0.007643590383812284</x:v>
      </x:c>
      <x:c r="M15" s="53" t="n">
        <x:f>SUM(B15:L15)</x:f>
        <x:v>13.596625421486468</x:v>
      </x:c>
      <x:c r="N15" s="53" t="n">
        <x:f>(Paths!W15*army_cost+Paths!X15*res_cost)*Economy!H15/1000000</x:f>
        <x:v>3.4675</x:v>
      </x:c>
      <x:c r="O15" s="69" t="n">
        <x:f>Navy!Y15</x:f>
        <x:v>0.877625</x:v>
      </x:c>
      <x:c r="P15" s="53" t="n">
        <x:f>SUMPRODUCT((Events!$B$6:$B$158&lt;=$A15)*(Events!$C$6:$C$158&gt;=$A15)*(Events!$E$6:$E$158="War &amp; operations")*Events!$H$6:$H$158)</x:f>
        <x:v>0</x:v>
      </x:c>
      <x:c r="Q15" s="53" t="n">
        <x:f>Economy!O15*Paths!T15</x:f>
        <x:v>2.578661118243711</x:v>
      </x:c>
      <x:c r="R15" s="53" t="n">
        <x:f>Economy!O15*Paths!U15</x:f>
        <x:v>2.1635595723800893</x:v>
      </x:c>
      <x:c r="S15" s="53" t="n">
        <x:f>Economy!O15*Paths!V15+SUMPRODUCT((Events!$B$6:$B$158&lt;=$A15)*(Events!$C$6:$C$158&gt;=$A15)*(Events!$E$6:$E$158="Programme")*Events!$H$6:$H$158)+SUMPRODUCT((Events!$B$6:$B$158&lt;=$A15)*(Events!$C$6:$C$158&gt;=$A15)*(Events!$E$6:$E$158="Investment")*Events!$H$6:$H$158)</x:f>
        <x:v>1.091835909772703</x:v>
      </x:c>
      <x:c r="T15" s="53" t="n">
        <x:f>(People!T15*assist_cost+Labour!AD15*talent_cost+Labour!L15*gw_admin)*Economy!H15/1000000</x:f>
        <x:v>0.8208</x:v>
      </x:c>
      <x:c r="U15" s="53" t="n">
        <x:f>SUMPRODUCT((Events!$B$6:$B$158&lt;=$A15)*(Events!$C$6:$C$158&gt;=$A15)*(Events!$E$6:$E$158="Purchase")*Events!$H$6:$H$158)</x:f>
        <x:v>0</x:v>
      </x:c>
      <x:c r="V15" s="53" t="n">
        <x:f>SUMPRODUCT((Events!$B$6:$B$158&lt;=$A15)*(Events!$C$6:$C$158&gt;=$A15)*(Events!$E$6:$E$158="Subsidy &amp; guarantee")*Events!$H$6:$H$158)+SUMPRODUCT((Events!$B$6:$B$158&lt;=$A15)*(Events!$C$6:$C$158&gt;=$A15)*(Events!$E$6:$E$158="Relief")*Events!$H$6:$H$158)</x:f>
        <x:v>0</x:v>
      </x:c>
      <x:c r="W15" s="53" t="n">
        <x:f>SUMPRODUCT((Events!$B$6:$B$158&lt;=$A15)*(Events!$C$6:$C$158&gt;=$A15)*(Events!$E$6:$E$158="Bank rescue &amp; capital")*Events!$H$6:$H$158)</x:f>
        <x:v>0</x:v>
      </x:c>
      <x:c r="X15" s="53" t="n">
        <x:f>'Debt &amp; cash'!R14*Paths!Y15</x:f>
        <x:v>0.5752590779669464</x:v>
      </x:c>
      <x:c r="Y15" s="53" t="n">
        <x:f>SUM(N15:X15)</x:f>
        <x:v>11.575240678363448</x:v>
      </x:c>
      <x:c r="Z15" s="53" t="n">
        <x:f>M15-Y15</x:f>
        <x:v>2.0213847431230203</x:v>
      </x:c>
      <x:c r="AA15" s="63" t="n">
        <x:f>M15/Economy!O15</x:f>
        <x:v>0.1080912955830009</x:v>
      </x:c>
      <x:c r="AB15" s="63" t="n">
        <x:f>Y15/Economy!O15</x:f>
        <x:v>0.09202156585354929</x:v>
      </x:c>
      <x:c r="AC15" s="63" t="n">
        <x:f>(N15+O15+P15)/Economy!O15</x:f>
        <x:v>0.03454314406410554</x:v>
      </x:c>
    </x:row>
    <x:row r="16">
      <x:c r="A16" s="58" t="n">
        <x:v>1856</x:v>
      </x:c>
      <x:c r="B16" s="53" t="n">
        <x:f>Economy!O16*Paths!N16*Paths!O16*cust_coll</x:f>
        <x:v>4.176532831326582</x:v>
      </x:c>
      <x:c r="C16" s="53" t="n">
        <x:f>(Economy!J16+Economy!L16+Economy!M16+Economy!N16)*Paths!P16*Paths!Q16</x:f>
        <x:v>7.340507550153323</x:v>
      </x:c>
      <x:c r="D16" s="53" t="n">
        <x:f>Resources!P16+Resources!Q16</x:f>
        <x:v>2.565</x:v>
      </x:c>
      <x:c r="E16" s="53" t="n">
        <x:f>Paths!S16*(1-canal_opcost)*canal_share</x:f>
        <x:v>0</x:v>
      </x:c>
      <x:c r="F16" s="53" t="n">
        <x:f>Economy!O16*Paths!R16</x:f>
        <x:v>0.029714731287642876</x:v>
      </x:c>
      <x:c r="G16" s="53" t="n">
        <x:f>SUMPRODUCT((Events!$B$6:$B$158&lt;=$A16)*(Events!$C$6:$C$158&gt;=$A16)*(Events!$E$6:$E$158="Receipt")*Events!$H$6:$H$158)</x:f>
        <x:v>1</x:v>
      </x:c>
      <x:c r="H16" s="69" t="n">
        <x:f>Loans!Y16</x:f>
        <x:v>0</x:v>
      </x:c>
      <x:c r="I16" s="53" t="n">
        <x:f>'Debt &amp; cash'!S15*fund_yield</x:f>
        <x:v>0.06128739785372915</x:v>
      </x:c>
      <x:c r="J16" s="69" t="n">
        <x:f>Labour!Q16</x:f>
        <x:v>0</x:v>
      </x:c>
      <x:c r="K16" s="69" t="n">
        <x:f>Champions!BD16</x:f>
        <x:v>0</x:v>
      </x:c>
      <x:c r="L16" s="69" t="n">
        <x:f>Abroad!N16</x:f>
        <x:v>0.008923742839074721</x:v>
      </x:c>
      <x:c r="M16" s="53" t="n">
        <x:f>SUM(B16:L16)</x:f>
        <x:v>15.18196625346035</x:v>
      </x:c>
      <x:c r="N16" s="53" t="n">
        <x:f>(Paths!W16*army_cost+Paths!X16*res_cost)*Economy!H16/1000000</x:f>
        <x:v>4.445925</x:v>
      </x:c>
      <x:c r="O16" s="69" t="n">
        <x:f>Navy!Y16</x:f>
        <x:v>0.6442875</x:v>
      </x:c>
      <x:c r="P16" s="53" t="n">
        <x:f>SUMPRODUCT((Events!$B$6:$B$158&lt;=$A16)*(Events!$C$6:$C$158&gt;=$A16)*(Events!$E$6:$E$158="War &amp; operations")*Events!$H$6:$H$158)</x:f>
        <x:v>0</x:v>
      </x:c>
      <x:c r="Q16" s="53" t="n">
        <x:f>Economy!O16*Paths!T16</x:f>
        <x:v>2.9148736405973485</x:v>
      </x:c>
      <x:c r="R16" s="53" t="n">
        <x:f>Economy!O16*Paths!U16</x:f>
        <x:v>2.5469769675122462</x:v>
      </x:c>
      <x:c r="S16" s="53" t="n">
        <x:f>Economy!O16*Paths!V16+SUMPRODUCT((Events!$B$6:$B$158&lt;=$A16)*(Events!$C$6:$C$158&gt;=$A16)*(Events!$E$6:$E$158="Programme")*Events!$H$6:$H$158)+SUMPRODUCT((Events!$B$6:$B$158&lt;=$A16)*(Events!$C$6:$C$158&gt;=$A16)*(Events!$E$6:$E$158="Investment")*Events!$H$6:$H$158)</x:f>
        <x:v>1.248992322504082</x:v>
      </x:c>
      <x:c r="T16" s="53" t="n">
        <x:f>(People!T16*assist_cost+Labour!AD16*talent_cost+Labour!L16*gw_admin)*Economy!H16/1000000</x:f>
        <x:v>0.80784</x:v>
      </x:c>
      <x:c r="U16" s="53" t="n">
        <x:f>SUMPRODUCT((Events!$B$6:$B$158&lt;=$A16)*(Events!$C$6:$C$158&gt;=$A16)*(Events!$E$6:$E$158="Purchase")*Events!$H$6:$H$158)</x:f>
        <x:v>0</x:v>
      </x:c>
      <x:c r="V16" s="53" t="n">
        <x:f>SUMPRODUCT((Events!$B$6:$B$158&lt;=$A16)*(Events!$C$6:$C$158&gt;=$A16)*(Events!$E$6:$E$158="Subsidy &amp; guarantee")*Events!$H$6:$H$158)+SUMPRODUCT((Events!$B$6:$B$158&lt;=$A16)*(Events!$C$6:$C$158&gt;=$A16)*(Events!$E$6:$E$158="Relief")*Events!$H$6:$H$158)</x:f>
        <x:v>0</x:v>
      </x:c>
      <x:c r="W16" s="53" t="n">
        <x:f>SUMPRODUCT((Events!$B$6:$B$158&lt;=$A16)*(Events!$C$6:$C$158&gt;=$A16)*(Events!$E$6:$E$158="Bank rescue &amp; capital")*Events!$H$6:$H$158)</x:f>
        <x:v>0</x:v>
      </x:c>
      <x:c r="X16" s="53" t="n">
        <x:f>'Debt &amp; cash'!R15*Paths!Y16</x:f>
        <x:v>0.4797840703525427</x:v>
      </x:c>
      <x:c r="Y16" s="53" t="n">
        <x:f>SUM(N16:X16)</x:f>
        <x:v>13.08867950096622</x:v>
      </x:c>
      <x:c r="Z16" s="53" t="n">
        <x:f>M16-Y16</x:f>
        <x:v>2.09328675249413</x:v>
      </x:c>
      <x:c r="AA16" s="63" t="n">
        <x:f>M16/Economy!O16</x:f>
        <x:v>0.10729401798603912</x:v>
      </x:c>
      <x:c r="AB16" s="63" t="n">
        <x:f>Y16/Economy!O16</x:f>
        <x:v>0.09250033825296428</x:v>
      </x:c>
      <x:c r="AC16" s="63" t="n">
        <x:f>(N16+O16+P16)/Economy!O16</x:f>
        <x:v>0.035973558523967865</x:v>
      </x:c>
    </x:row>
    <x:row r="17">
      <x:c r="A17" s="58" t="n">
        <x:v>1857</x:v>
      </x:c>
      <x:c r="B17" s="53" t="n">
        <x:f>Economy!O17*Paths!N17*Paths!O17*cust_coll</x:f>
        <x:v>4.209698309273712</x:v>
      </x:c>
      <x:c r="C17" s="53" t="n">
        <x:f>(Economy!J17+Economy!L17+Economy!M17+Economy!N17)*Paths!P17*Paths!Q17</x:f>
        <x:v>8.190421159470064</x:v>
      </x:c>
      <x:c r="D17" s="53" t="n">
        <x:f>Resources!P17+Resources!Q17</x:f>
        <x:v>1.935</x:v>
      </x:c>
      <x:c r="E17" s="53" t="n">
        <x:f>Paths!S17*(1-canal_opcost)*canal_share</x:f>
        <x:v>0</x:v>
      </x:c>
      <x:c r="F17" s="53" t="n">
        <x:f>Economy!O17*Paths!R17</x:f>
        <x:v>0.03299631303360712</x:v>
      </x:c>
      <x:c r="G17" s="53" t="n">
        <x:f>SUMPRODUCT((Events!$B$6:$B$158&lt;=$A17)*(Events!$C$6:$C$158&gt;=$A17)*(Events!$E$6:$E$158="Receipt")*Events!$H$6:$H$158)</x:f>
        <x:v>1</x:v>
      </x:c>
      <x:c r="H17" s="69" t="n">
        <x:f>Loans!Y17</x:f>
        <x:v>0</x:v>
      </x:c>
      <x:c r="I17" s="53" t="n">
        <x:f>'Debt &amp; cash'!S16*fund_yield</x:f>
        <x:v>0.07363672504589405</x:v>
      </x:c>
      <x:c r="J17" s="69" t="n">
        <x:f>Labour!Q17</x:f>
        <x:v>0</x:v>
      </x:c>
      <x:c r="K17" s="69" t="n">
        <x:f>Champions!BD17</x:f>
        <x:v>0</x:v>
      </x:c>
      <x:c r="L17" s="69" t="n">
        <x:f>Abroad!N17</x:f>
        <x:v>0.010354015198910644</x:v>
      </x:c>
      <x:c r="M17" s="53" t="n">
        <x:f>SUM(B17:L17)</x:f>
        <x:v>15.452106522022188</x:v>
      </x:c>
      <x:c r="N17" s="53" t="n">
        <x:f>(Paths!W17*army_cost+Paths!X17*res_cost)*Economy!H17/1000000</x:f>
        <x:v>5.4694</x:v>
      </x:c>
      <x:c r="O17" s="69" t="n">
        <x:f>Navy!Y17</x:f>
        <x:v>0.8759499999999999</x:v>
      </x:c>
      <x:c r="P17" s="53" t="n">
        <x:f>SUMPRODUCT((Events!$B$6:$B$158&lt;=$A17)*(Events!$C$6:$C$158&gt;=$A17)*(Events!$E$6:$E$158="War &amp; operations")*Events!$H$6:$H$158)</x:f>
        <x:v>0.3</x:v>
      </x:c>
      <x:c r="Q17" s="53" t="n">
        <x:f>Economy!O17*Paths!T17</x:f>
        <x:v>2.984014396082731</x:v>
      </x:c>
      <x:c r="R17" s="53" t="n">
        <x:f>Economy!O17*Paths!U17</x:f>
        <x:v>2.5966663735143</x:v>
      </x:c>
      <x:c r="S17" s="53" t="n">
        <x:f>Economy!O17*Paths!V17+SUMPRODUCT((Events!$B$6:$B$158&lt;=$A17)*(Events!$C$6:$C$158&gt;=$A17)*(Events!$E$6:$E$158="Programme")*Events!$H$6:$H$158)+SUMPRODUCT((Events!$B$6:$B$158&lt;=$A17)*(Events!$C$6:$C$158&gt;=$A17)*(Events!$E$6:$E$158="Investment")*Events!$H$6:$H$158)</x:f>
        <x:v>1.2751196065434933</x:v>
      </x:c>
      <x:c r="T17" s="53" t="n">
        <x:f>(People!T17*assist_cost+Labour!AD17*talent_cost+Labour!L17*gw_admin)*Economy!H17/1000000</x:f>
        <x:v>0.79488</x:v>
      </x:c>
      <x:c r="U17" s="53" t="n">
        <x:f>SUMPRODUCT((Events!$B$6:$B$158&lt;=$A17)*(Events!$C$6:$C$158&gt;=$A17)*(Events!$E$6:$E$158="Purchase")*Events!$H$6:$H$158)</x:f>
        <x:v>0</x:v>
      </x:c>
      <x:c r="V17" s="53" t="n">
        <x:f>SUMPRODUCT((Events!$B$6:$B$158&lt;=$A17)*(Events!$C$6:$C$158&gt;=$A17)*(Events!$E$6:$E$158="Subsidy &amp; guarantee")*Events!$H$6:$H$158)+SUMPRODUCT((Events!$B$6:$B$158&lt;=$A17)*(Events!$C$6:$C$158&gt;=$A17)*(Events!$E$6:$E$158="Relief")*Events!$H$6:$H$158)</x:f>
        <x:v>0</x:v>
      </x:c>
      <x:c r="W17" s="53" t="n">
        <x:f>SUMPRODUCT((Events!$B$6:$B$158&lt;=$A17)*(Events!$C$6:$C$158&gt;=$A17)*(Events!$E$6:$E$158="Bank rescue &amp; capital")*Events!$H$6:$H$158)</x:f>
        <x:v>0</x:v>
      </x:c>
      <x:c r="X17" s="53" t="n">
        <x:f>'Debt &amp; cash'!R16*Paths!Y17</x:f>
        <x:v>0.3947644198953312</x:v>
      </x:c>
      <x:c r="Y17" s="53" t="n">
        <x:f>SUM(N17:X17)</x:f>
        <x:v>14.690794796035853</x:v>
      </x:c>
      <x:c r="Z17" s="53" t="n">
        <x:f>M17-Y17</x:f>
        <x:v>0.7613117259863351</x:v>
      </x:c>
      <x:c r="AA17" s="63" t="n">
        <x:f>M17/Economy!O17</x:f>
        <x:v>0.1077085338730218</x:v>
      </x:c>
      <x:c r="AB17" s="63" t="n">
        <x:f>Y17/Economy!O17</x:f>
        <x:v>0.10240182894515565</x:v>
      </x:c>
      <x:c r="AC17" s="63" t="n">
        <x:f>(N17+O17+P17)/Economy!O17</x:f>
        <x:v>0.046321251057452266</x:v>
      </x:c>
    </x:row>
    <x:row r="18">
      <x:c r="A18" s="58" t="n">
        <x:v>1858</x:v>
      </x:c>
      <x:c r="B18" s="53" t="n">
        <x:f>Economy!O18*Paths!N18*Paths!O18*cust_coll</x:f>
        <x:v>4.53890879241401</x:v>
      </x:c>
      <x:c r="C18" s="53" t="n">
        <x:f>(Economy!J18+Economy!L18+Economy!M18+Economy!N18)*Paths!P18*Paths!Q18</x:f>
        <x:v>8.86907103058684</x:v>
      </x:c>
      <x:c r="D18" s="53" t="n">
        <x:f>Resources!P18+Resources!Q18</x:f>
        <x:v>2.115</x:v>
      </x:c>
      <x:c r="E18" s="53" t="n">
        <x:f>Paths!S18*(1-canal_opcost)*canal_share</x:f>
        <x:v>0</x:v>
      </x:c>
      <x:c r="F18" s="53" t="n">
        <x:f>Economy!O18*Paths!R18</x:f>
        <x:v>0.03891382709545619</x:v>
      </x:c>
      <x:c r="G18" s="53" t="n">
        <x:f>SUMPRODUCT((Events!$B$6:$B$158&lt;=$A18)*(Events!$C$6:$C$158&gt;=$A18)*(Events!$E$6:$E$158="Receipt")*Events!$H$6:$H$158)</x:f>
        <x:v>1</x:v>
      </x:c>
      <x:c r="H18" s="69" t="n">
        <x:f>Loans!Y18</x:f>
        <x:v>0</x:v>
      </x:c>
      <x:c r="I18" s="53" t="n">
        <x:f>'Debt &amp; cash'!S17*fund_yield</x:f>
        <x:v>0.07818276809117214</x:v>
      </x:c>
      <x:c r="J18" s="69" t="n">
        <x:f>Labour!Q18</x:f>
        <x:v>0</x:v>
      </x:c>
      <x:c r="K18" s="69" t="n">
        <x:f>Champions!BD18</x:f>
        <x:v>0</x:v>
      </x:c>
      <x:c r="L18" s="69" t="n">
        <x:f>Abroad!N18</x:f>
        <x:v>0.011764941509914131</x:v>
      </x:c>
      <x:c r="M18" s="53" t="n">
        <x:f>SUM(B18:L18)</x:f>
        <x:v>16.651841359697393</x:v>
      </x:c>
      <x:c r="N18" s="53" t="n">
        <x:f>(Paths!W18*army_cost+Paths!X18*res_cost)*Economy!H18/1000000</x:f>
        <x:v>6.392235</x:v>
      </x:c>
      <x:c r="O18" s="69" t="n">
        <x:f>Navy!Y18</x:f>
        <x:v>1.183031625</x:v>
      </x:c>
      <x:c r="P18" s="53" t="n">
        <x:f>SUMPRODUCT((Events!$B$6:$B$158&lt;=$A18)*(Events!$C$6:$C$158&gt;=$A18)*(Events!$E$6:$E$158="War &amp; operations")*Events!$H$6:$H$158)</x:f>
        <x:v>0.3</x:v>
      </x:c>
      <x:c r="Q18" s="53" t="n">
        <x:f>Economy!O18*Paths!T18</x:f>
        <x:v>3.2531959451801375</x:v>
      </x:c>
      <x:c r="R18" s="53" t="n">
        <x:f>Economy!O18*Paths!U18</x:f>
        <x:v>2.832926612549211</x:v>
      </x:c>
      <x:c r="S18" s="53" t="n">
        <x:f>Economy!O18*Paths!V18+SUMPRODUCT((Events!$B$6:$B$158&lt;=$A18)*(Events!$C$6:$C$158&gt;=$A18)*(Events!$E$6:$E$158="Programme")*Events!$H$6:$H$158)+SUMPRODUCT((Events!$B$6:$B$158&lt;=$A18)*(Events!$C$6:$C$158&gt;=$A18)*(Events!$E$6:$E$158="Investment")*Events!$H$6:$H$158)</x:f>
        <x:v>1.3650629119673137</x:v>
      </x:c>
      <x:c r="T18" s="53" t="n">
        <x:f>(People!T18*assist_cost+Labour!AD18*talent_cost+Labour!L18*gw_admin)*Economy!H18/1000000</x:f>
        <x:v>0.7833887999999999</x:v>
      </x:c>
      <x:c r="U18" s="53" t="n">
        <x:f>SUMPRODUCT((Events!$B$6:$B$158&lt;=$A18)*(Events!$C$6:$C$158&gt;=$A18)*(Events!$E$6:$E$158="Purchase")*Events!$H$6:$H$158)</x:f>
        <x:v>0</x:v>
      </x:c>
      <x:c r="V18" s="53" t="n">
        <x:f>SUMPRODUCT((Events!$B$6:$B$158&lt;=$A18)*(Events!$C$6:$C$158&gt;=$A18)*(Events!$E$6:$E$158="Subsidy &amp; guarantee")*Events!$H$6:$H$158)+SUMPRODUCT((Events!$B$6:$B$158&lt;=$A18)*(Events!$C$6:$C$158&gt;=$A18)*(Events!$E$6:$E$158="Relief")*Events!$H$6:$H$158)</x:f>
        <x:v>0</x:v>
      </x:c>
      <x:c r="W18" s="53" t="n">
        <x:f>SUMPRODUCT((Events!$B$6:$B$158&lt;=$A18)*(Events!$C$6:$C$158&gt;=$A18)*(Events!$E$6:$E$158="Bank rescue &amp; capital")*Events!$H$6:$H$158)</x:f>
        <x:v>0</x:v>
      </x:c>
      <x:c r="X18" s="53" t="n">
        <x:f>'Debt &amp; cash'!R17*Paths!Y18</x:f>
        <x:v>0.35998330224060304</x:v>
      </x:c>
      <x:c r="Y18" s="53" t="n">
        <x:f>SUM(N18:X18)</x:f>
        <x:v>16.469824196937267</x:v>
      </x:c>
      <x:c r="Z18" s="53" t="n">
        <x:f>M18-Y18</x:f>
        <x:v>0.18201716276012547</x:v>
      </x:c>
      <x:c r="AA18" s="63" t="n">
        <x:f>M18/Economy!O18</x:f>
        <x:v>0.10697894940306296</x:v>
      </x:c>
      <x:c r="AB18" s="63" t="n">
        <x:f>Y18/Economy!O18</x:f>
        <x:v>0.10580958894467349</x:v>
      </x:c>
      <x:c r="AC18" s="63" t="n">
        <x:f>(N18+O18+P18)/Economy!O18</x:f>
        <x:v>0.050594269523284455</x:v>
      </x:c>
    </x:row>
    <x:row r="19">
      <x:c r="A19" s="58" t="n">
        <x:v>1859</x:v>
      </x:c>
      <x:c r="B19" s="53" t="n">
        <x:f>Economy!O19*Paths!N19*Paths!O19*cust_coll</x:f>
        <x:v>4.81146695411008</x:v>
      </x:c>
      <x:c r="C19" s="53" t="n">
        <x:f>(Economy!J19+Economy!L19+Economy!M19+Economy!N19)*Paths!P19*Paths!Q19</x:f>
        <x:v>9.670502258888385</x:v>
      </x:c>
      <x:c r="D19" s="53" t="n">
        <x:f>Resources!P19+Resources!Q19</x:f>
        <x:v>2.0700000000000003</x:v>
      </x:c>
      <x:c r="E19" s="53" t="n">
        <x:f>Paths!S19*(1-canal_opcost)*canal_share</x:f>
        <x:v>0</x:v>
      </x:c>
      <x:c r="F19" s="53" t="n">
        <x:f>Economy!O19*Paths!R19</x:f>
        <x:v>0.044832901175084615</x:v>
      </x:c>
      <x:c r="G19" s="53" t="n">
        <x:f>SUMPRODUCT((Events!$B$6:$B$158&lt;=$A19)*(Events!$C$6:$C$158&gt;=$A19)*(Events!$E$6:$E$158="Receipt")*Events!$H$6:$H$158)</x:f>
        <x:v>1</x:v>
      </x:c>
      <x:c r="H19" s="69" t="n">
        <x:f>Loans!Y19</x:f>
        <x:v>0</x:v>
      </x:c>
      <x:c r="I19" s="53" t="n">
        <x:f>'Debt &amp; cash'!S18*fund_yield</x:f>
        <x:v>0.06890935556355166</x:v>
      </x:c>
      <x:c r="J19" s="69" t="n">
        <x:f>Labour!Q19</x:f>
        <x:v>0</x:v>
      </x:c>
      <x:c r="K19" s="69" t="n">
        <x:f>Champions!BD19</x:f>
        <x:v>0</x:v>
      </x:c>
      <x:c r="L19" s="69" t="n">
        <x:f>Abroad!N19</x:f>
        <x:v>0.013279856965198606</x:v>
      </x:c>
      <x:c r="M19" s="53" t="n">
        <x:f>SUM(B19:L19)</x:f>
        <x:v>17.6789913267023</x:v>
      </x:c>
      <x:c r="N19" s="53" t="n">
        <x:f>(Paths!W19*army_cost+Paths!X19*res_cost)*Economy!H19/1000000</x:f>
        <x:v>8.3478885</x:v>
      </x:c>
      <x:c r="O19" s="69" t="n">
        <x:f>Navy!Y19</x:f>
        <x:v>0.9320433750000001</x:v>
      </x:c>
      <x:c r="P19" s="53" t="n">
        <x:f>SUMPRODUCT((Events!$B$6:$B$158&lt;=$A19)*(Events!$C$6:$C$158&gt;=$A19)*(Events!$E$6:$E$158="War &amp; operations")*Events!$H$6:$H$158)</x:f>
        <x:v>0</x:v>
      </x:c>
      <x:c r="Q19" s="53" t="n">
        <x:f>Economy!O19*Paths!T19</x:f>
        <x:v>3.503608202941798</x:v>
      </x:c>
      <x:c r="R19" s="53" t="n">
        <x:f>Economy!O19*Paths!U19</x:f>
        <x:v>3.022069634764963</x:v>
      </x:c>
      <x:c r="S19" s="53" t="n">
        <x:f>Economy!O19*Paths!V19+SUMPRODUCT((Events!$B$6:$B$158&lt;=$A19)*(Events!$C$6:$C$158&gt;=$A19)*(Events!$E$6:$E$158="Programme")*Events!$H$6:$H$158)+SUMPRODUCT((Events!$B$6:$B$158&lt;=$A19)*(Events!$C$6:$C$158&gt;=$A19)*(Events!$E$6:$E$158="Investment")*Events!$H$6:$H$158)</x:f>
        <x:v>1.4461010274186412</x:v>
      </x:c>
      <x:c r="T19" s="53" t="n">
        <x:f>(People!T19*assist_cost+Labour!AD19*talent_cost+Labour!L19*gw_admin)*Economy!H19/1000000</x:f>
        <x:v>0.7718111999999999</x:v>
      </x:c>
      <x:c r="U19" s="53" t="n">
        <x:f>SUMPRODUCT((Events!$B$6:$B$158&lt;=$A19)*(Events!$C$6:$C$158&gt;=$A19)*(Events!$E$6:$E$158="Purchase")*Events!$H$6:$H$158)</x:f>
        <x:v>0</x:v>
      </x:c>
      <x:c r="V19" s="53" t="n">
        <x:f>SUMPRODUCT((Events!$B$6:$B$158&lt;=$A19)*(Events!$C$6:$C$158&gt;=$A19)*(Events!$E$6:$E$158="Subsidy &amp; guarantee")*Events!$H$6:$H$158)+SUMPRODUCT((Events!$B$6:$B$158&lt;=$A19)*(Events!$C$6:$C$158&gt;=$A19)*(Events!$E$6:$E$158="Relief")*Events!$H$6:$H$158)</x:f>
        <x:v>0</x:v>
      </x:c>
      <x:c r="W19" s="53" t="n">
        <x:f>SUMPRODUCT((Events!$B$6:$B$158&lt;=$A19)*(Events!$C$6:$C$158&gt;=$A19)*(Events!$E$6:$E$158="Bank rescue &amp; capital")*Events!$H$6:$H$158)</x:f>
        <x:v>0</x:v>
      </x:c>
      <x:c r="X19" s="53" t="n">
        <x:f>'Debt &amp; cash'!R18*Paths!Y19</x:f>
        <x:v>0.3539000401078029</x:v>
      </x:c>
      <x:c r="Y19" s="53" t="n">
        <x:f>SUM(N19:X19)</x:f>
        <x:v>18.3774219802332</x:v>
      </x:c>
      <x:c r="Z19" s="53" t="n">
        <x:f>M19-Y19</x:f>
        <x:v>-0.6984306535309024</x:v>
      </x:c>
      <x:c r="AA19" s="63" t="n">
        <x:f>M19/Economy!O19</x:f>
        <x:v>0.10646930118504899</x:v>
      </x:c>
      <x:c r="AB19" s="63" t="n">
        <x:f>Y19/Economy!O19</x:f>
        <x:v>0.1106755040296274</x:v>
      </x:c>
      <x:c r="AC19" s="63" t="n">
        <x:f>(N19+O19+P19)/Economy!O19</x:f>
        <x:v>0.05588711728614272</x:v>
      </x:c>
    </x:row>
    <x:row r="20">
      <x:c r="A20" s="58" t="n">
        <x:v>1860</x:v>
      </x:c>
      <x:c r="B20" s="53" t="n">
        <x:f>Economy!O20*Paths!N20*Paths!O20*cust_coll</x:f>
        <x:v>5.040784598290366</x:v>
      </x:c>
      <x:c r="C20" s="53" t="n">
        <x:f>(Economy!J20+Economy!L20+Economy!M20+Economy!N20)*Paths!P20*Paths!Q20</x:f>
        <x:v>10.36826278925131</x:v>
      </x:c>
      <x:c r="D20" s="53" t="n">
        <x:f>Resources!P20+Resources!Q20</x:f>
        <x:v>2.025</x:v>
      </x:c>
      <x:c r="E20" s="53" t="n">
        <x:f>Paths!S20*(1-canal_opcost)*canal_share</x:f>
        <x:v>0</x:v>
      </x:c>
      <x:c r="F20" s="53" t="n">
        <x:f>Economy!O20*Paths!R20</x:f>
        <x:v>0.05075155652433051</x:v>
      </x:c>
      <x:c r="G20" s="53" t="n">
        <x:f>SUMPRODUCT((Events!$B$6:$B$158&lt;=$A20)*(Events!$C$6:$C$158&gt;=$A20)*(Events!$E$6:$E$158="Receipt")*Events!$H$6:$H$158)</x:f>
        <x:v>1</x:v>
      </x:c>
      <x:c r="H20" s="69" t="n">
        <x:f>Loans!Y20</x:f>
        <x:v>0</x:v>
      </x:c>
      <x:c r="I20" s="53" t="n">
        <x:f>'Debt &amp; cash'!S19*fund_yield</x:f>
        <x:v>0.026235014104218503</x:v>
      </x:c>
      <x:c r="J20" s="69" t="n">
        <x:f>Labour!Q20</x:f>
        <x:v>0</x:v>
      </x:c>
      <x:c r="K20" s="69" t="n">
        <x:f>Champions!BD20</x:f>
        <x:v>0</x:v>
      </x:c>
      <x:c r="L20" s="69" t="n">
        <x:f>Abroad!N20</x:f>
        <x:v>0.014874034641801965</x:v>
      </x:c>
      <x:c r="M20" s="53" t="n">
        <x:f>SUM(B20:L20)</x:f>
        <x:v>18.525907992812026</x:v>
      </x:c>
      <x:c r="N20" s="53" t="n">
        <x:f>(Paths!W20*army_cost+Paths!X20*res_cost)*Economy!H20/1000000</x:f>
        <x:v>10.2564</x:v>
      </x:c>
      <x:c r="O20" s="69" t="n">
        <x:f>Navy!Y20</x:f>
        <x:v>1.4511500000000002</x:v>
      </x:c>
      <x:c r="P20" s="53" t="n">
        <x:f>SUMPRODUCT((Events!$B$6:$B$158&lt;=$A20)*(Events!$C$6:$C$158&gt;=$A20)*(Events!$E$6:$E$158="War &amp; operations")*Events!$H$6:$H$158)</x:f>
        <x:v>1</x:v>
      </x:c>
      <x:c r="Q20" s="53" t="n">
        <x:f>Economy!O20*Paths!T20</x:f>
        <x:v>3.710113787295886</x:v>
      </x:c>
      <x:c r="R20" s="53" t="n">
        <x:f>Economy!O20*Paths!U20</x:f>
        <x:v>3.202598222052581</x:v>
      </x:c>
      <x:c r="S20" s="53" t="n">
        <x:f>Economy!O20*Paths!V20+SUMPRODUCT((Events!$B$6:$B$158&lt;=$A20)*(Events!$C$6:$C$158&gt;=$A20)*(Events!$E$6:$E$158="Programme")*Events!$H$6:$H$158)+SUMPRODUCT((Events!$B$6:$B$158&lt;=$A20)*(Events!$C$6:$C$158&gt;=$A20)*(Events!$E$6:$E$158="Investment")*Events!$H$6:$H$158)</x:f>
        <x:v>1.5200343508817769</x:v>
      </x:c>
      <x:c r="T20" s="53" t="n">
        <x:f>(People!T20*assist_cost+Labour!AD20*talent_cost+Labour!L20*gw_admin)*Economy!H20/1000000</x:f>
        <x:v>0.80256</x:v>
      </x:c>
      <x:c r="U20" s="53" t="n">
        <x:f>SUMPRODUCT((Events!$B$6:$B$158&lt;=$A20)*(Events!$C$6:$C$158&gt;=$A20)*(Events!$E$6:$E$158="Purchase")*Events!$H$6:$H$158)</x:f>
        <x:v>0</x:v>
      </x:c>
      <x:c r="V20" s="53" t="n">
        <x:f>SUMPRODUCT((Events!$B$6:$B$158&lt;=$A20)*(Events!$C$6:$C$158&gt;=$A20)*(Events!$E$6:$E$158="Subsidy &amp; guarantee")*Events!$H$6:$H$158)+SUMPRODUCT((Events!$B$6:$B$158&lt;=$A20)*(Events!$C$6:$C$158&gt;=$A20)*(Events!$E$6:$E$158="Relief")*Events!$H$6:$H$158)</x:f>
        <x:v>0</x:v>
      </x:c>
      <x:c r="W20" s="53" t="n">
        <x:f>SUMPRODUCT((Events!$B$6:$B$158&lt;=$A20)*(Events!$C$6:$C$158&gt;=$A20)*(Events!$E$6:$E$158="Bank rescue &amp; capital")*Events!$H$6:$H$158)</x:f>
        <x:v>0</x:v>
      </x:c>
      <x:c r="X20" s="53" t="n">
        <x:f>'Debt &amp; cash'!R19*Paths!Y20</x:f>
        <x:v>0.34846315305630454</x:v>
      </x:c>
      <x:c r="Y20" s="53" t="n">
        <x:f>SUM(N20:X20)</x:f>
        <x:v>22.291319513286545</x:v>
      </x:c>
      <x:c r="Z20" s="53" t="n">
        <x:f>M20-Y20</x:f>
        <x:v>-3.765411520474519</x:v>
      </x:c>
      <x:c r="AA20" s="63" t="n">
        <x:f>M20/Economy!O20</x:f>
        <x:v>0.10585908464383514</x:v>
      </x:c>
      <x:c r="AB20" s="63" t="n">
        <x:f>Y20/Economy!O20</x:f>
        <x:v>0.1273750619994088</x:v>
      </x:c>
      <x:c r="AC20" s="63" t="n">
        <x:f>(N20+O20+P20)/Economy!O20</x:f>
        <x:v>0.07261234437673461</x:v>
      </x:c>
    </x:row>
    <x:row r="21">
      <x:c r="A21" s="61" t="n">
        <x:v>1861</x:v>
      </x:c>
      <x:c r="B21" s="53" t="n">
        <x:f>Economy!O21*Paths!N21*Paths!O21*cust_coll</x:f>
        <x:v>5.164963332625163</x:v>
      </x:c>
      <x:c r="C21" s="53" t="n">
        <x:f>(Economy!J21+Economy!L21+Economy!M21+Economy!N21)*Paths!P21*Paths!Q21</x:f>
        <x:v>15.480226133045655</x:v>
      </x:c>
      <x:c r="D21" s="53" t="n">
        <x:f>Resources!P21+Resources!Q21</x:f>
        <x:v>1.8450000000000002</x:v>
      </x:c>
      <x:c r="E21" s="53" t="n">
        <x:f>Paths!S21*(1-canal_opcost)*canal_share</x:f>
        <x:v>0</x:v>
      </x:c>
      <x:c r="F21" s="53" t="n">
        <x:f>Economy!O21*Paths!R21</x:f>
        <x:v>0.055944746090628945</x:v>
      </x:c>
      <x:c r="G21" s="53" t="n">
        <x:f>SUMPRODUCT((Events!$B$6:$B$158&lt;=$A21)*(Events!$C$6:$C$158&gt;=$A21)*(Events!$E$6:$E$158="Receipt")*Events!$H$6:$H$158)</x:f>
        <x:v>1</x:v>
      </x:c>
      <x:c r="H21" s="69" t="n">
        <x:f>Loans!Y21</x:f>
        <x:v>0</x:v>
      </x:c>
      <x:c r="I21" s="53" t="n">
        <x:f>'Debt &amp; cash'!S20*fund_yield</x:f>
        <x:v>0</x:v>
      </x:c>
      <x:c r="J21" s="69" t="n">
        <x:f>Labour!Q21</x:f>
        <x:v>0</x:v>
      </x:c>
      <x:c r="K21" s="69" t="n">
        <x:f>Champions!BD21</x:f>
        <x:v>0</x:v>
      </x:c>
      <x:c r="L21" s="69" t="n">
        <x:f>Abroad!N21</x:f>
        <x:v>0.016527878010451236</x:v>
      </x:c>
      <x:c r="M21" s="53" t="n">
        <x:f>SUM(B21:L21)</x:f>
        <x:v>23.562662089771894</x:v>
      </x:c>
      <x:c r="N21" s="53" t="n">
        <x:f>(Paths!W21*army_cost+Paths!X21*res_cost)*Economy!H21/1000000</x:f>
        <x:v>13.508</x:v>
      </x:c>
      <x:c r="O21" s="69" t="n">
        <x:f>Navy!Y21</x:f>
        <x:v>2.573875</x:v>
      </x:c>
      <x:c r="P21" s="53" t="n">
        <x:f>SUMPRODUCT((Events!$B$6:$B$158&lt;=$A21)*(Events!$C$6:$C$158&gt;=$A21)*(Events!$E$6:$E$158="War &amp; operations")*Events!$H$6:$H$158)</x:f>
        <x:v>6</x:v>
      </x:c>
      <x:c r="Q21" s="53" t="n">
        <x:f>Economy!O21*Paths!T21</x:f>
        <x:v>3.861992149482127</x:v>
      </x:c>
      <x:c r="R21" s="53" t="n">
        <x:f>Economy!O21*Paths!U21</x:f>
        <x:v>3.3205913808631373</x:v>
      </x:c>
      <x:c r="S21" s="53" t="n">
        <x:f>Economy!O21*Paths!V21+SUMPRODUCT((Events!$B$6:$B$158&lt;=$A21)*(Events!$C$6:$C$158&gt;=$A21)*(Events!$E$6:$E$158="Programme")*Events!$H$6:$H$158)+SUMPRODUCT((Events!$B$6:$B$158&lt;=$A21)*(Events!$C$6:$C$158&gt;=$A21)*(Events!$E$6:$E$158="Investment")*Events!$H$6:$H$158)</x:f>
        <x:v>1.573034998674478</x:v>
      </x:c>
      <x:c r="T21" s="53" t="n">
        <x:f>(People!T21*assist_cost+Labour!AD21*talent_cost+Labour!L21*gw_admin)*Economy!H21/1000000</x:f>
        <x:v>0.90816</x:v>
      </x:c>
      <x:c r="U21" s="53" t="n">
        <x:f>SUMPRODUCT((Events!$B$6:$B$158&lt;=$A21)*(Events!$C$6:$C$158&gt;=$A21)*(Events!$E$6:$E$158="Purchase")*Events!$H$6:$H$158)</x:f>
        <x:v>0</x:v>
      </x:c>
      <x:c r="V21" s="53" t="n">
        <x:f>SUMPRODUCT((Events!$B$6:$B$158&lt;=$A21)*(Events!$C$6:$C$158&gt;=$A21)*(Events!$E$6:$E$158="Subsidy &amp; guarantee")*Events!$H$6:$H$158)+SUMPRODUCT((Events!$B$6:$B$158&lt;=$A21)*(Events!$C$6:$C$158&gt;=$A21)*(Events!$E$6:$E$158="Relief")*Events!$H$6:$H$158)</x:f>
        <x:v>0</x:v>
      </x:c>
      <x:c r="W21" s="53" t="n">
        <x:f>SUMPRODUCT((Events!$B$6:$B$158&lt;=$A21)*(Events!$C$6:$C$158&gt;=$A21)*(Events!$E$6:$E$158="Bank rescue &amp; capital")*Events!$H$6:$H$158)</x:f>
        <x:v>0</x:v>
      </x:c>
      <x:c r="X21" s="53" t="n">
        <x:f>'Debt &amp; cash'!R20*Paths!Y21</x:f>
        <x:v>0.5685660837408697</x:v>
      </x:c>
      <x:c r="Y21" s="53" t="n">
        <x:f>SUM(N21:X21)</x:f>
        <x:v>32.31421961276062</x:v>
      </x:c>
      <x:c r="Z21" s="53" t="n">
        <x:f>M21-Y21</x:f>
        <x:v>-8.751557522988723</x:v>
      </x:c>
      <x:c r="AA21" s="63" t="n">
        <x:f>M21/Economy!O21</x:f>
        <x:v>0.13056499060691631</x:v>
      </x:c>
      <x:c r="AB21" s="63" t="n">
        <x:f>Y21/Economy!O21</x:f>
        <x:v>0.17905896049162268</x:v>
      </x:c>
      <x:c r="AC21" s="63" t="n">
        <x:f>(N21+O21+P21)/Economy!O21</x:f>
        <x:v>0.12235968036946081</x:v>
      </x:c>
    </x:row>
    <x:row r="22">
      <x:c r="A22" s="61" t="n">
        <x:v>1862</x:v>
      </x:c>
      <x:c r="B22" s="53" t="n">
        <x:f>Economy!O22*Paths!N22*Paths!O22*cust_coll</x:f>
        <x:v>5.913526491976145</x:v>
      </x:c>
      <x:c r="C22" s="53" t="n">
        <x:f>(Economy!J22+Economy!L22+Economy!M22+Economy!N22)*Paths!P22*Paths!Q22</x:f>
        <x:v>18.49833529214552</x:v>
      </x:c>
      <x:c r="D22" s="53" t="n">
        <x:f>Resources!P22+Resources!Q22</x:f>
        <x:v>1.7100000000000002</x:v>
      </x:c>
      <x:c r="E22" s="53" t="n">
        <x:f>Paths!S22*(1-canal_opcost)*canal_share</x:f>
        <x:v>0</x:v>
      </x:c>
      <x:c r="F22" s="53" t="n">
        <x:f>Economy!O22*Paths!R22</x:f>
        <x:v>0.06862555535694138</x:v>
      </x:c>
      <x:c r="G22" s="53" t="n">
        <x:f>SUMPRODUCT((Events!$B$6:$B$158&lt;=$A22)*(Events!$C$6:$C$158&gt;=$A22)*(Events!$E$6:$E$158="Receipt")*Events!$H$6:$H$158)</x:f>
        <x:v>1</x:v>
      </x:c>
      <x:c r="H22" s="69" t="n">
        <x:f>Loans!Y22</x:f>
        <x:v>0</x:v>
      </x:c>
      <x:c r="I22" s="53" t="n">
        <x:f>'Debt &amp; cash'!S21*fund_yield</x:f>
        <x:v>0</x:v>
      </x:c>
      <x:c r="J22" s="69" t="n">
        <x:f>Labour!Q22</x:f>
        <x:v>0</x:v>
      </x:c>
      <x:c r="K22" s="69" t="n">
        <x:f>Champions!BD22</x:f>
        <x:v>0</x:v>
      </x:c>
      <x:c r="L22" s="69" t="n">
        <x:f>Abroad!N22</x:f>
        <x:v>0.018197644744613658</x:v>
      </x:c>
      <x:c r="M22" s="53" t="n">
        <x:f>SUM(B22:L22)</x:f>
        <x:v>27.208684984223222</x:v>
      </x:c>
      <x:c r="N22" s="53" t="n">
        <x:f>(Paths!W22*army_cost+Paths!X22*res_cost)*Economy!H22/1000000</x:f>
        <x:v>24.7016</x:v>
      </x:c>
      <x:c r="O22" s="69" t="n">
        <x:f>Navy!Y22</x:f>
        <x:v>3.2645359999999997</x:v>
      </x:c>
      <x:c r="P22" s="53" t="n">
        <x:f>SUMPRODUCT((Events!$B$6:$B$158&lt;=$A22)*(Events!$C$6:$C$158&gt;=$A22)*(Events!$E$6:$E$158="War &amp; operations")*Events!$H$6:$H$158)</x:f>
        <x:v>5</x:v>
      </x:c>
      <x:c r="Q22" s="53" t="n">
        <x:f>Economy!O22*Paths!T22</x:f>
        <x:v>4.471058909618908</x:v>
      </x:c>
      <x:c r="R22" s="53" t="n">
        <x:f>Economy!O22*Paths!U22</x:f>
        <x:v>3.847190224555805</x:v>
      </x:c>
      <x:c r="S22" s="53" t="n">
        <x:f>Economy!O22*Paths!V22+SUMPRODUCT((Events!$B$6:$B$158&lt;=$A22)*(Events!$C$6:$C$158&gt;=$A22)*(Events!$E$6:$E$158="Programme")*Events!$H$6:$H$158)+SUMPRODUCT((Events!$B$6:$B$158&lt;=$A22)*(Events!$C$6:$C$158&gt;=$A22)*(Events!$E$6:$E$158="Investment")*Events!$H$6:$H$158)</x:f>
        <x:v>1.3725111071388278</x:v>
      </x:c>
      <x:c r="T22" s="53" t="n">
        <x:f>(People!T22*assist_cost+Labour!AD22*talent_cost+Labour!L22*gw_admin)*Economy!H22/1000000</x:f>
        <x:v>0.90816</x:v>
      </x:c>
      <x:c r="U22" s="53" t="n">
        <x:f>SUMPRODUCT((Events!$B$6:$B$158&lt;=$A22)*(Events!$C$6:$C$158&gt;=$A22)*(Events!$E$6:$E$158="Purchase")*Events!$H$6:$H$158)</x:f>
        <x:v>0</x:v>
      </x:c>
      <x:c r="V22" s="53" t="n">
        <x:f>SUMPRODUCT((Events!$B$6:$B$158&lt;=$A22)*(Events!$C$6:$C$158&gt;=$A22)*(Events!$E$6:$E$158="Subsidy &amp; guarantee")*Events!$H$6:$H$158)+SUMPRODUCT((Events!$B$6:$B$158&lt;=$A22)*(Events!$C$6:$C$158&gt;=$A22)*(Events!$E$6:$E$158="Relief")*Events!$H$6:$H$158)</x:f>
        <x:v>0.8</x:v>
      </x:c>
      <x:c r="W22" s="53" t="n">
        <x:f>SUMPRODUCT((Events!$B$6:$B$158&lt;=$A22)*(Events!$C$6:$C$158&gt;=$A22)*(Events!$E$6:$E$158="Bank rescue &amp; capital")*Events!$H$6:$H$158)</x:f>
        <x:v>0</x:v>
      </x:c>
      <x:c r="X22" s="53" t="n">
        <x:f>'Debt &amp; cash'!R21*Paths!Y22</x:f>
        <x:v>1.2341556528992572</x:v>
      </x:c>
      <x:c r="Y22" s="53" t="n">
        <x:f>SUM(N22:X22)</x:f>
        <x:v>45.59921189421279</x:v>
      </x:c>
      <x:c r="Z22" s="53" t="n">
        <x:f>M22-Y22</x:f>
        <x:v>-18.39052690998957</x:v>
      </x:c>
      <x:c r="AA22" s="63" t="n">
        <x:f>M22/Economy!O22</x:f>
        <x:v>0.1308385192380882</x:v>
      </x:c>
      <x:c r="AB22" s="63" t="n">
        <x:f>Y22/Economy!O22</x:f>
        <x:v>0.21927312422934236</x:v>
      </x:c>
      <x:c r="AC22" s="63" t="n">
        <x:f>(N22+O22+P22)/Economy!O22</x:f>
        <x:v>0.15852439843169328</x:v>
      </x:c>
    </x:row>
    <x:row r="23">
      <x:c r="A23" s="61" t="n">
        <x:v>1863</x:v>
      </x:c>
      <x:c r="B23" s="53" t="n">
        <x:f>Economy!O23*Paths!N23*Paths!O23*cust_coll</x:f>
        <x:v>7.324673828558036</x:v>
      </x:c>
      <x:c r="C23" s="53" t="n">
        <x:f>(Economy!J23+Economy!L23+Economy!M23+Economy!N23)*Paths!P23*Paths!Q23</x:f>
        <x:v>23.720684236718593</x:v>
      </x:c>
      <x:c r="D23" s="53" t="n">
        <x:f>Resources!P23+Resources!Q23</x:f>
        <x:v>1.7100000000000002</x:v>
      </x:c>
      <x:c r="E23" s="53" t="n">
        <x:f>Paths!S23*(1-canal_opcost)*canal_share</x:f>
        <x:v>0</x:v>
      </x:c>
      <x:c r="F23" s="53" t="n">
        <x:f>Economy!O23*Paths!R23</x:f>
        <x:v>0.0907045047338383</x:v>
      </x:c>
      <x:c r="G23" s="53" t="n">
        <x:f>SUMPRODUCT((Events!$B$6:$B$158&lt;=$A23)*(Events!$C$6:$C$158&gt;=$A23)*(Events!$E$6:$E$158="Receipt")*Events!$H$6:$H$158)</x:f>
        <x:v>1</x:v>
      </x:c>
      <x:c r="H23" s="69" t="n">
        <x:f>Loans!Y23</x:f>
        <x:v>0</x:v>
      </x:c>
      <x:c r="I23" s="53" t="n">
        <x:f>'Debt &amp; cash'!S22*fund_yield</x:f>
        <x:v>0</x:v>
      </x:c>
      <x:c r="J23" s="69" t="n">
        <x:f>Labour!Q23</x:f>
        <x:v>0</x:v>
      </x:c>
      <x:c r="K23" s="69" t="n">
        <x:f>Champions!BD23</x:f>
        <x:v>0</x:v>
      </x:c>
      <x:c r="L23" s="69" t="n">
        <x:f>Abroad!N23</x:f>
        <x:v>0.020147190142527666</x:v>
      </x:c>
      <x:c r="M23" s="53" t="n">
        <x:f>SUM(B23:L23)</x:f>
        <x:v>33.866209760153</x:v>
      </x:c>
      <x:c r="N23" s="53" t="n">
        <x:f>(Paths!W23*army_cost+Paths!X23*res_cost)*Economy!H23/1000000</x:f>
        <x:v>27.9797175</x:v>
      </x:c>
      <x:c r="O23" s="69" t="n">
        <x:f>Navy!Y23</x:f>
        <x:v>4.558677905</x:v>
      </x:c>
      <x:c r="P23" s="53" t="n">
        <x:f>SUMPRODUCT((Events!$B$6:$B$158&lt;=$A23)*(Events!$C$6:$C$158&gt;=$A23)*(Events!$E$6:$E$158="War &amp; operations")*Events!$H$6:$H$158)</x:f>
        <x:v>5</x:v>
      </x:c>
      <x:c r="Q23" s="53" t="n">
        <x:f>Economy!O23*Paths!T23</x:f>
        <x:v>5.623679293497975</x:v>
      </x:c>
      <x:c r="R23" s="53" t="n">
        <x:f>Economy!O23*Paths!U23</x:f>
        <x:v>4.820296537283978</x:v>
      </x:c>
      <x:c r="S23" s="53" t="n">
        <x:f>Economy!O23*Paths!V23+SUMPRODUCT((Events!$B$6:$B$158&lt;=$A23)*(Events!$C$6:$C$158&gt;=$A23)*(Events!$E$6:$E$158="Programme")*Events!$H$6:$H$158)+SUMPRODUCT((Events!$B$6:$B$158&lt;=$A23)*(Events!$C$6:$C$158&gt;=$A23)*(Events!$E$6:$E$158="Investment")*Events!$H$6:$H$158)</x:f>
        <x:v>1.7363433763334764</x:v>
      </x:c>
      <x:c r="T23" s="53" t="n">
        <x:f>(People!T23*assist_cost+Labour!AD23*talent_cost+Labour!L23*gw_admin)*Economy!H23/1000000</x:f>
        <x:v>0.9322056</x:v>
      </x:c>
      <x:c r="U23" s="53" t="n">
        <x:f>SUMPRODUCT((Events!$B$6:$B$158&lt;=$A23)*(Events!$C$6:$C$158&gt;=$A23)*(Events!$E$6:$E$158="Purchase")*Events!$H$6:$H$158)</x:f>
        <x:v>0</x:v>
      </x:c>
      <x:c r="V23" s="53" t="n">
        <x:f>SUMPRODUCT((Events!$B$6:$B$158&lt;=$A23)*(Events!$C$6:$C$158&gt;=$A23)*(Events!$E$6:$E$158="Subsidy &amp; guarantee")*Events!$H$6:$H$158)+SUMPRODUCT((Events!$B$6:$B$158&lt;=$A23)*(Events!$C$6:$C$158&gt;=$A23)*(Events!$E$6:$E$158="Relief")*Events!$H$6:$H$158)</x:f>
        <x:v>0.8</x:v>
      </x:c>
      <x:c r="W23" s="53" t="n">
        <x:f>SUMPRODUCT((Events!$B$6:$B$158&lt;=$A23)*(Events!$C$6:$C$158&gt;=$A23)*(Events!$E$6:$E$158="Bank rescue &amp; capital")*Events!$H$6:$H$158)</x:f>
        <x:v>0</x:v>
      </x:c>
      <x:c r="X23" s="53" t="n">
        <x:f>'Debt &amp; cash'!R22*Paths!Y23</x:f>
        <x:v>2.524175373027161</x:v>
      </x:c>
      <x:c r="Y23" s="53" t="n">
        <x:f>SUM(N23:X23)</x:f>
        <x:v>53.9750955851426</x:v>
      </x:c>
      <x:c r="Z23" s="53" t="n">
        <x:f>M23-Y23</x:f>
        <x:v>-20.1088858249896</x:v>
      </x:c>
      <x:c r="AA23" s="63" t="n">
        <x:f>M23/Economy!O23</x:f>
        <x:v>0.13067899384749734</x:v>
      </x:c>
      <x:c r="AB23" s="63" t="n">
        <x:f>Y23/Economy!O23</x:f>
        <x:v>0.2082728251505717</x:v>
      </x:c>
      <x:c r="AC23" s="63" t="n">
        <x:f>(N23+O23+P23)/Economy!O23</x:f>
        <x:v>0.14484879698426448</x:v>
      </x:c>
    </x:row>
    <x:row r="24">
      <x:c r="A24" s="61" t="n">
        <x:v>1864</x:v>
      </x:c>
      <x:c r="B24" s="53" t="n">
        <x:f>Economy!O24*Paths!N24*Paths!O24*cust_coll</x:f>
        <x:v>8.830772228350146</x:v>
      </x:c>
      <x:c r="C24" s="53" t="n">
        <x:f>(Economy!J24+Economy!L24+Economy!M24+Economy!N24)*Paths!P24*Paths!Q24</x:f>
        <x:v>27.864991427767627</x:v>
      </x:c>
      <x:c r="D24" s="53" t="n">
        <x:f>Resources!P24+Resources!Q24</x:f>
        <x:v>2.6550000000000002</x:v>
      </x:c>
      <x:c r="E24" s="53" t="n">
        <x:f>Paths!S24*(1-canal_opcost)*canal_share</x:f>
        <x:v>0</x:v>
      </x:c>
      <x:c r="F24" s="53" t="n">
        <x:f>Economy!O24*Paths!R24</x:f>
        <x:v>0.11950475237795784</x:v>
      </x:c>
      <x:c r="G24" s="53" t="n">
        <x:f>SUMPRODUCT((Events!$B$6:$B$158&lt;=$A24)*(Events!$C$6:$C$158&gt;=$A24)*(Events!$E$6:$E$158="Receipt")*Events!$H$6:$H$158)</x:f>
        <x:v>1</x:v>
      </x:c>
      <x:c r="H24" s="69" t="n">
        <x:f>Loans!Y24</x:f>
        <x:v>0</x:v>
      </x:c>
      <x:c r="I24" s="53" t="n">
        <x:f>'Debt &amp; cash'!S23*fund_yield</x:f>
        <x:v>0</x:v>
      </x:c>
      <x:c r="J24" s="69" t="n">
        <x:f>Labour!Q24</x:f>
        <x:v>0</x:v>
      </x:c>
      <x:c r="K24" s="69" t="n">
        <x:f>Champions!BD24</x:f>
        <x:v>0</x:v>
      </x:c>
      <x:c r="L24" s="69" t="n">
        <x:f>Abroad!N24</x:f>
        <x:v>0.022652643171983435</x:v>
      </x:c>
      <x:c r="M24" s="53" t="n">
        <x:f>SUM(B24:L24)</x:f>
        <x:v>40.492921051667714</x:v>
      </x:c>
      <x:c r="N24" s="53" t="n">
        <x:f>(Paths!W24*army_cost+Paths!X24*res_cost)*Economy!H24/1000000</x:f>
        <x:v>28.801836</x:v>
      </x:c>
      <x:c r="O24" s="69" t="n">
        <x:f>Navy!Y24</x:f>
        <x:v>4.853739450000001</x:v>
      </x:c>
      <x:c r="P24" s="53" t="n">
        <x:f>SUMPRODUCT((Events!$B$6:$B$158&lt;=$A24)*(Events!$C$6:$C$158&gt;=$A24)*(Events!$E$6:$E$158="War &amp; operations")*Events!$H$6:$H$158)</x:f>
        <x:v>5</x:v>
      </x:c>
      <x:c r="Q24" s="53" t="n">
        <x:f>Economy!O24*Paths!T24</x:f>
        <x:v>6.8557989522091605</x:v>
      </x:c>
      <x:c r="R24" s="53" t="n">
        <x:f>Economy!O24*Paths!U24</x:f>
        <x:v>5.8808917617573995</x:v>
      </x:c>
      <x:c r="S24" s="53" t="n">
        <x:f>Economy!O24*Paths!V24+SUMPRODUCT((Events!$B$6:$B$158&lt;=$A24)*(Events!$C$6:$C$158&gt;=$A24)*(Events!$E$6:$E$158="Programme")*Events!$H$6:$H$158)+SUMPRODUCT((Events!$B$6:$B$158&lt;=$A24)*(Events!$C$6:$C$158&gt;=$A24)*(Events!$E$6:$E$158="Investment")*Events!$H$6:$H$158)</x:f>
        <x:v>2.1385060951845087</x:v>
      </x:c>
      <x:c r="T24" s="53" t="n">
        <x:f>(People!T24*assist_cost+Labour!AD24*talent_cost+Labour!L24*gw_admin)*Economy!H24/1000000</x:f>
        <x:v>0.9563544</x:v>
      </x:c>
      <x:c r="U24" s="53" t="n">
        <x:f>SUMPRODUCT((Events!$B$6:$B$158&lt;=$A24)*(Events!$C$6:$C$158&gt;=$A24)*(Events!$E$6:$E$158="Purchase")*Events!$H$6:$H$158)</x:f>
        <x:v>0</x:v>
      </x:c>
      <x:c r="V24" s="53" t="n">
        <x:f>SUMPRODUCT((Events!$B$6:$B$158&lt;=$A24)*(Events!$C$6:$C$158&gt;=$A24)*(Events!$E$6:$E$158="Subsidy &amp; guarantee")*Events!$H$6:$H$158)+SUMPRODUCT((Events!$B$6:$B$158&lt;=$A24)*(Events!$C$6:$C$158&gt;=$A24)*(Events!$E$6:$E$158="Relief")*Events!$H$6:$H$158)</x:f>
        <x:v>0.8</x:v>
      </x:c>
      <x:c r="W24" s="53" t="n">
        <x:f>SUMPRODUCT((Events!$B$6:$B$158&lt;=$A24)*(Events!$C$6:$C$158&gt;=$A24)*(Events!$E$6:$E$158="Bank rescue &amp; capital")*Events!$H$6:$H$158)</x:f>
        <x:v>0</x:v>
      </x:c>
      <x:c r="X24" s="53" t="n">
        <x:f>'Debt &amp; cash'!R23*Paths!Y24</x:f>
        <x:v>3.9858678172143476</x:v>
      </x:c>
      <x:c r="Y24" s="53" t="n">
        <x:f>SUM(N24:X24)</x:f>
        <x:v>59.27299447636542</x:v>
      </x:c>
      <x:c r="Z24" s="53" t="n">
        <x:f>M24-Y24</x:f>
        <x:v>-18.780073424697704</x:v>
      </x:c>
      <x:c r="AA24" s="63" t="n">
        <x:f>M24/Economy!O24</x:f>
        <x:v>0.12875897981837797</x:v>
      </x:c>
      <x:c r="AB24" s="63" t="n">
        <x:f>Y24/Economy!O24</x:f>
        <x:v>0.18847566689049322</x:v>
      </x:c>
      <x:c r="AC24" s="63" t="n">
        <x:f>(N24+O24+P24)/Economy!O24</x:f>
        <x:v>0.12291660690231553</x:v>
      </x:c>
    </x:row>
    <x:row r="25">
      <x:c r="A25" s="61" t="n">
        <x:v>1865</x:v>
      </x:c>
      <x:c r="B25" s="53" t="n">
        <x:f>Economy!O25*Paths!N25*Paths!O25*cust_coll</x:f>
        <x:v>9.572895152232547</x:v>
      </x:c>
      <x:c r="C25" s="53" t="n">
        <x:f>(Economy!J25+Economy!L25+Economy!M25+Economy!N25)*Paths!P25*Paths!Q25</x:f>
        <x:v>30.860997614305784</x:v>
      </x:c>
      <x:c r="D25" s="53" t="n">
        <x:f>Resources!P25+Resources!Q25</x:f>
        <x:v>2.6100000000000003</x:v>
      </x:c>
      <x:c r="E25" s="53" t="n">
        <x:f>Paths!S25*(1-canal_opcost)*canal_share</x:f>
        <x:v>0</x:v>
      </x:c>
      <x:c r="F25" s="53" t="n">
        <x:f>Economy!O25*Paths!R25</x:f>
        <x:v>0.13726352005610112</x:v>
      </x:c>
      <x:c r="G25" s="53" t="n">
        <x:f>SUMPRODUCT((Events!$B$6:$B$158&lt;=$A25)*(Events!$C$6:$C$158&gt;=$A25)*(Events!$E$6:$E$158="Receipt")*Events!$H$6:$H$158)</x:f>
        <x:v>1</x:v>
      </x:c>
      <x:c r="H25" s="69" t="n">
        <x:f>Loans!Y25</x:f>
        <x:v>0</x:v>
      </x:c>
      <x:c r="I25" s="53" t="n">
        <x:f>'Debt &amp; cash'!S24*fund_yield</x:f>
        <x:v>0</x:v>
      </x:c>
      <x:c r="J25" s="69" t="n">
        <x:f>Labour!Q25</x:f>
        <x:v>0</x:v>
      </x:c>
      <x:c r="K25" s="69" t="n">
        <x:f>Champions!BD25</x:f>
        <x:v>0</x:v>
      </x:c>
      <x:c r="L25" s="69" t="n">
        <x:f>Abroad!N25</x:f>
        <x:v>0.025746898162443656</x:v>
      </x:c>
      <x:c r="M25" s="53" t="n">
        <x:f>SUM(B25:L25)</x:f>
        <x:v>44.20690318475688</x:v>
      </x:c>
      <x:c r="N25" s="53" t="n">
        <x:f>(Paths!W25*army_cost+Paths!X25*res_cost)*Economy!H25/1000000</x:f>
        <x:v>22.99</x:v>
      </x:c>
      <x:c r="O25" s="69" t="n">
        <x:f>Navy!Y25</x:f>
        <x:v>3.77429</x:v>
      </x:c>
      <x:c r="P25" s="53" t="n">
        <x:f>SUMPRODUCT((Events!$B$6:$B$158&lt;=$A25)*(Events!$C$6:$C$158&gt;=$A25)*(Events!$E$6:$E$158="War &amp; operations")*Events!$H$6:$H$158)</x:f>
        <x:v>0</x:v>
      </x:c>
      <x:c r="Q25" s="53" t="n">
        <x:f>Economy!O25*Paths!T25</x:f>
        <x:v>7.549493603085562</x:v>
      </x:c>
      <x:c r="R25" s="53" t="n">
        <x:f>Economy!O25*Paths!U25</x:f>
        <x:v>6.4170695626227285</x:v>
      </x:c>
      <x:c r="S25" s="53" t="n">
        <x:f>Economy!O25*Paths!V25+SUMPRODUCT((Events!$B$6:$B$158&lt;=$A25)*(Events!$C$6:$C$158&gt;=$A25)*(Events!$E$6:$E$158="Programme")*Events!$H$6:$H$158)+SUMPRODUCT((Events!$B$6:$B$158&lt;=$A25)*(Events!$C$6:$C$158&gt;=$A25)*(Events!$E$6:$E$158="Investment")*Events!$H$6:$H$158)</x:f>
        <x:v>2.3677957209677443</x:v>
      </x:c>
      <x:c r="T25" s="53" t="n">
        <x:f>(People!T25*assist_cost+Labour!AD25*talent_cost+Labour!L25*gw_admin)*Economy!H25/1000000</x:f>
        <x:v>0.9804</x:v>
      </x:c>
      <x:c r="U25" s="53" t="n">
        <x:f>SUMPRODUCT((Events!$B$6:$B$158&lt;=$A25)*(Events!$C$6:$C$158&gt;=$A25)*(Events!$E$6:$E$158="Purchase")*Events!$H$6:$H$158)</x:f>
        <x:v>0</x:v>
      </x:c>
      <x:c r="V25" s="53" t="n">
        <x:f>SUMPRODUCT((Events!$B$6:$B$158&lt;=$A25)*(Events!$C$6:$C$158&gt;=$A25)*(Events!$E$6:$E$158="Subsidy &amp; guarantee")*Events!$H$6:$H$158)+SUMPRODUCT((Events!$B$6:$B$158&lt;=$A25)*(Events!$C$6:$C$158&gt;=$A25)*(Events!$E$6:$E$158="Relief")*Events!$H$6:$H$158)</x:f>
        <x:v>2</x:v>
      </x:c>
      <x:c r="W25" s="53" t="n">
        <x:f>SUMPRODUCT((Events!$B$6:$B$158&lt;=$A25)*(Events!$C$6:$C$158&gt;=$A25)*(Events!$E$6:$E$158="Bank rescue &amp; capital")*Events!$H$6:$H$158)</x:f>
        <x:v>0</x:v>
      </x:c>
      <x:c r="X25" s="53" t="n">
        <x:f>'Debt &amp; cash'!R24*Paths!Y25</x:f>
        <x:v>5.376299368886033</x:v>
      </x:c>
      <x:c r="Y25" s="53" t="n">
        <x:f>SUM(N25:X25)</x:f>
        <x:v>51.455348255562065</x:v>
      </x:c>
      <x:c r="Z25" s="53" t="n">
        <x:f>M25-Y25</x:f>
        <x:v>-7.248445070805182</x:v>
      </x:c>
      <x:c r="AA25" s="63" t="n">
        <x:f>M25/Economy!O25</x:f>
        <x:v>0.12882345773061635</x:v>
      </x:c>
      <x:c r="AB25" s="63" t="n">
        <x:f>Y25/Economy!O25</x:f>
        <x:v>0.14994617137760038</x:v>
      </x:c>
      <x:c r="AC25" s="63" t="n">
        <x:f>(N25+O25+P25)/Economy!O25</x:f>
        <x:v>0.07799389084313482</x:v>
      </x:c>
    </x:row>
    <x:row r="26">
      <x:c r="A26" s="58" t="n">
        <x:v>1866</x:v>
      </x:c>
      <x:c r="B26" s="53" t="n">
        <x:f>Economy!O26*Paths!N26*Paths!O26*cust_coll</x:f>
        <x:v>10.167667562953524</x:v>
      </x:c>
      <x:c r="C26" s="53" t="n">
        <x:f>(Economy!J26+Economy!L26+Economy!M26+Economy!N26)*Paths!P26*Paths!Q26</x:f>
        <x:v>32.018143884585946</x:v>
      </x:c>
      <x:c r="D26" s="53" t="n">
        <x:f>Resources!P26+Resources!Q26</x:f>
        <x:v>2.5200000000000005</x:v>
      </x:c>
      <x:c r="E26" s="53" t="n">
        <x:f>Paths!S26*(1-canal_opcost)*canal_share</x:f>
        <x:v>0</x:v>
      </x:c>
      <x:c r="F26" s="53" t="n">
        <x:f>Economy!O26*Paths!R26</x:f>
        <x:v>0.15403556451689104</x:v>
      </x:c>
      <x:c r="G26" s="53" t="n">
        <x:f>SUMPRODUCT((Events!$B$6:$B$158&lt;=$A26)*(Events!$C$6:$C$158&gt;=$A26)*(Events!$E$6:$E$158="Receipt")*Events!$H$6:$H$158)</x:f>
        <x:v>1</x:v>
      </x:c>
      <x:c r="H26" s="69" t="n">
        <x:f>Loans!Y26</x:f>
        <x:v>0</x:v>
      </x:c>
      <x:c r="I26" s="53" t="n">
        <x:f>'Debt &amp; cash'!S25*fund_yield</x:f>
        <x:v>0</x:v>
      </x:c>
      <x:c r="J26" s="69" t="n">
        <x:f>Labour!Q26</x:f>
        <x:v>0</x:v>
      </x:c>
      <x:c r="K26" s="69" t="n">
        <x:f>Champions!BD26</x:f>
        <x:v>0</x:v>
      </x:c>
      <x:c r="L26" s="69" t="n">
        <x:f>Abroad!N26</x:f>
        <x:v>0.02909239681925338</x:v>
      </x:c>
      <x:c r="M26" s="53" t="n">
        <x:f>SUM(B26:L26)</x:f>
        <x:v>45.888939408875615</x:v>
      </x:c>
      <x:c r="N26" s="53" t="n">
        <x:f>(Paths!W26*army_cost+Paths!X26*res_cost)*Economy!H26/1000000</x:f>
        <x:v>16.34</x:v>
      </x:c>
      <x:c r="O26" s="69" t="n">
        <x:f>Navy!Y26</x:f>
        <x:v>3.8182650000000002</x:v>
      </x:c>
      <x:c r="P26" s="53" t="n">
        <x:f>SUMPRODUCT((Events!$B$6:$B$158&lt;=$A26)*(Events!$C$6:$C$158&gt;=$A26)*(Events!$E$6:$E$158="War &amp; operations")*Events!$H$6:$H$158)</x:f>
        <x:v>0</x:v>
      </x:c>
      <x:c r="Q26" s="53" t="n">
        <x:f>Economy!O26*Paths!T26</x:f>
        <x:v>8.178554973158738</x:v>
      </x:c>
      <x:c r="R26" s="53" t="n">
        <x:f>Economy!O26*Paths!U26</x:f>
        <x:v>6.8949252688513125</x:v>
      </x:c>
      <x:c r="S26" s="53" t="n">
        <x:f>Economy!O26*Paths!V26+SUMPRODUCT((Events!$B$6:$B$158&lt;=$A26)*(Events!$C$6:$C$158&gt;=$A26)*(Events!$E$6:$E$158="Programme")*Events!$H$6:$H$158)+SUMPRODUCT((Events!$B$6:$B$158&lt;=$A26)*(Events!$C$6:$C$158&gt;=$A26)*(Events!$E$6:$E$158="Investment")*Events!$H$6:$H$158)</x:f>
        <x:v>2.5672594086148504</x:v>
      </x:c>
      <x:c r="T26" s="53" t="n">
        <x:f>(People!T26*assist_cost+Labour!AD26*talent_cost+Labour!L26*gw_admin)*Economy!H26/1000000</x:f>
        <x:v>2.0064</x:v>
      </x:c>
      <x:c r="U26" s="53" t="n">
        <x:f>SUMPRODUCT((Events!$B$6:$B$158&lt;=$A26)*(Events!$C$6:$C$158&gt;=$A26)*(Events!$E$6:$E$158="Purchase")*Events!$H$6:$H$158)</x:f>
        <x:v>5.714285714285714</x:v>
      </x:c>
      <x:c r="V26" s="53" t="n">
        <x:f>SUMPRODUCT((Events!$B$6:$B$158&lt;=$A26)*(Events!$C$6:$C$158&gt;=$A26)*(Events!$E$6:$E$158="Subsidy &amp; guarantee")*Events!$H$6:$H$158)+SUMPRODUCT((Events!$B$6:$B$158&lt;=$A26)*(Events!$C$6:$C$158&gt;=$A26)*(Events!$E$6:$E$158="Relief")*Events!$H$6:$H$158)</x:f>
        <x:v>0</x:v>
      </x:c>
      <x:c r="W26" s="53" t="n">
        <x:f>SUMPRODUCT((Events!$B$6:$B$158&lt;=$A26)*(Events!$C$6:$C$158&gt;=$A26)*(Events!$E$6:$E$158="Bank rescue &amp; capital")*Events!$H$6:$H$158)</x:f>
        <x:v>0</x:v>
      </x:c>
      <x:c r="X26" s="53" t="n">
        <x:f>'Debt &amp; cash'!R25*Paths!Y26</x:f>
        <x:v>5.863728926584998</x:v>
      </x:c>
      <x:c r="Y26" s="53" t="n">
        <x:f>SUM(N26:X26)</x:f>
        <x:v>51.38341929149561</x:v>
      </x:c>
      <x:c r="Z26" s="53" t="n">
        <x:f>M26-Y26</x:f>
        <x:v>-5.4944798826199985</x:v>
      </x:c>
      <x:c r="AA26" s="63" t="n">
        <x:f>M26/Economy!O26</x:f>
        <x:v>0.1251227572812531</x:v>
      </x:c>
      <x:c r="AB26" s="63" t="n">
        <x:f>Y26/Economy!O26</x:f>
        <x:v>0.1401042426150985</x:v>
      </x:c>
      <x:c r="AC26" s="63" t="n">
        <x:f>(N26+O26+P26)/Economy!O26</x:f>
        <x:v>0.05496439297349149</x:v>
      </x:c>
    </x:row>
    <x:row r="27">
      <x:c r="A27" s="58" t="n">
        <x:v>1867</x:v>
      </x:c>
      <x:c r="B27" s="53" t="n">
        <x:f>Economy!O27*Paths!N27*Paths!O27*cust_coll</x:f>
        <x:v>10.98565697744747</x:v>
      </x:c>
      <x:c r="C27" s="53" t="n">
        <x:f>(Economy!J27+Economy!L27+Economy!M27+Economy!N27)*Paths!P27*Paths!Q27</x:f>
        <x:v>35.57105100019935</x:v>
      </x:c>
      <x:c r="D27" s="53" t="n">
        <x:f>Resources!P27+Resources!Q27</x:f>
        <x:v>2.25</x:v>
      </x:c>
      <x:c r="E27" s="53" t="n">
        <x:f>Paths!S27*(1-canal_opcost)*canal_share</x:f>
        <x:v>0</x:v>
      </x:c>
      <x:c r="F27" s="53" t="n">
        <x:f>Economy!O27*Paths!R27</x:f>
        <x:v>0.17551521677839094</x:v>
      </x:c>
      <x:c r="G27" s="53" t="n">
        <x:f>SUMPRODUCT((Events!$B$6:$B$158&lt;=$A27)*(Events!$C$6:$C$158&gt;=$A27)*(Events!$E$6:$E$158="Receipt")*Events!$H$6:$H$158)</x:f>
        <x:v>1</x:v>
      </x:c>
      <x:c r="H27" s="69" t="n">
        <x:f>Loans!Y27</x:f>
        <x:v>0</x:v>
      </x:c>
      <x:c r="I27" s="53" t="n">
        <x:f>'Debt &amp; cash'!S26*fund_yield</x:f>
        <x:v>0</x:v>
      </x:c>
      <x:c r="J27" s="69" t="n">
        <x:f>Labour!Q27</x:f>
        <x:v>0</x:v>
      </x:c>
      <x:c r="K27" s="69" t="n">
        <x:f>Champions!BD27</x:f>
        <x:v>0</x:v>
      </x:c>
      <x:c r="L27" s="69" t="n">
        <x:f>Abroad!N27</x:f>
        <x:v>0.03442204057539411</x:v>
      </x:c>
      <x:c r="M27" s="53" t="n">
        <x:f>SUM(B27:L27)</x:f>
        <x:v>50.0166452350006</x:v>
      </x:c>
      <x:c r="N27" s="53" t="n">
        <x:f>(Paths!W27*army_cost+Paths!X27*res_cost)*Economy!H27/1000000</x:f>
        <x:v>13.68</x:v>
      </x:c>
      <x:c r="O27" s="69" t="n">
        <x:f>Navy!Y27</x:f>
        <x:v>4.781767500000001</x:v>
      </x:c>
      <x:c r="P27" s="53" t="n">
        <x:f>SUMPRODUCT((Events!$B$6:$B$158&lt;=$A27)*(Events!$C$6:$C$158&gt;=$A27)*(Events!$E$6:$E$158="War &amp; operations")*Events!$H$6:$H$158)</x:f>
        <x:v>0</x:v>
      </x:c>
      <x:c r="Q27" s="53" t="n">
        <x:f>Economy!O27*Paths!T27</x:f>
        <x:v>8.97520994889499</x:v>
      </x:c>
      <x:c r="R27" s="53" t="n">
        <x:f>Economy!O27*Paths!U27</x:f>
        <x:v>7.539176357071792</x:v>
      </x:c>
      <x:c r="S27" s="53" t="n">
        <x:f>Economy!O27*Paths!V27+SUMPRODUCT((Events!$B$6:$B$158&lt;=$A27)*(Events!$C$6:$C$158&gt;=$A27)*(Events!$E$6:$E$158="Programme")*Events!$H$6:$H$158)+SUMPRODUCT((Events!$B$6:$B$158&lt;=$A27)*(Events!$C$6:$C$158&gt;=$A27)*(Events!$E$6:$E$158="Investment")*Events!$H$6:$H$158)</x:f>
        <x:v>2.832177361651308</x:v>
      </x:c>
      <x:c r="T27" s="53" t="n">
        <x:f>(People!T27*assist_cost+Labour!AD27*talent_cost+Labour!L27*gw_admin)*Economy!H27/1000000</x:f>
        <x:v>2.0064</x:v>
      </x:c>
      <x:c r="U27" s="53" t="n">
        <x:f>SUMPRODUCT((Events!$B$6:$B$158&lt;=$A27)*(Events!$C$6:$C$158&gt;=$A27)*(Events!$E$6:$E$158="Purchase")*Events!$H$6:$H$158)</x:f>
        <x:v>17.914285714285715</x:v>
      </x:c>
      <x:c r="V27" s="53" t="n">
        <x:f>SUMPRODUCT((Events!$B$6:$B$158&lt;=$A27)*(Events!$C$6:$C$158&gt;=$A27)*(Events!$E$6:$E$158="Subsidy &amp; guarantee")*Events!$H$6:$H$158)+SUMPRODUCT((Events!$B$6:$B$158&lt;=$A27)*(Events!$C$6:$C$158&gt;=$A27)*(Events!$E$6:$E$158="Relief")*Events!$H$6:$H$158)</x:f>
        <x:v>1</x:v>
      </x:c>
      <x:c r="W27" s="53" t="n">
        <x:f>SUMPRODUCT((Events!$B$6:$B$158&lt;=$A27)*(Events!$C$6:$C$158&gt;=$A27)*(Events!$E$6:$E$158="Bank rescue &amp; capital")*Events!$H$6:$H$158)</x:f>
        <x:v>0</x:v>
      </x:c>
      <x:c r="X27" s="53" t="n">
        <x:f>'Debt &amp; cash'!R26*Paths!Y27</x:f>
        <x:v>6.191309323235949</x:v>
      </x:c>
      <x:c r="Y27" s="53" t="n">
        <x:f>SUM(N27:X27)</x:f>
        <x:v>64.92032620513976</x:v>
      </x:c>
      <x:c r="Z27" s="53" t="n">
        <x:f>M27-Y27</x:f>
        <x:v>-14.903680970139156</x:v>
      </x:c>
      <x:c r="AA27" s="63" t="n">
        <x:f>M27/Economy!O27</x:f>
        <x:v>0.1253869852845133</x:v>
      </x:c>
      <x:c r="AB27" s="63" t="n">
        <x:f>Y27/Economy!O27</x:f>
        <x:v>0.16274909979075017</x:v>
      </x:c>
      <x:c r="AC27" s="63" t="n">
        <x:f>(N27+O27+P27)/Economy!O27</x:f>
        <x:v>0.046281899934958286</x:v>
      </x:c>
    </x:row>
    <x:row r="28">
      <x:c r="A28" s="58" t="n">
        <x:v>1868</x:v>
      </x:c>
      <x:c r="B28" s="53" t="n">
        <x:f>Economy!O28*Paths!N28*Paths!O28*cust_coll</x:f>
        <x:v>11.87980865394399</x:v>
      </x:c>
      <x:c r="C28" s="53" t="n">
        <x:f>(Economy!J28+Economy!L28+Economy!M28+Economy!N28)*Paths!P28*Paths!Q28</x:f>
        <x:v>39.52951404435616</x:v>
      </x:c>
      <x:c r="D28" s="53" t="n">
        <x:f>Resources!P28+Resources!Q28</x:f>
        <x:v>1.9200000000000004</x:v>
      </x:c>
      <x:c r="E28" s="53" t="n">
        <x:f>Paths!S28*(1-canal_opcost)*canal_share</x:f>
        <x:v>0</x:v>
      </x:c>
      <x:c r="F28" s="53" t="n">
        <x:f>Economy!O28*Paths!R28</x:f>
        <x:v>0.19975990922834275</x:v>
      </x:c>
      <x:c r="G28" s="53" t="n">
        <x:f>SUMPRODUCT((Events!$B$6:$B$158&lt;=$A28)*(Events!$C$6:$C$158&gt;=$A28)*(Events!$E$6:$E$158="Receipt")*Events!$H$6:$H$158)</x:f>
        <x:v>1</x:v>
      </x:c>
      <x:c r="H28" s="69" t="n">
        <x:f>Loans!Y28</x:f>
        <x:v>0.5</x:v>
      </x:c>
      <x:c r="I28" s="53" t="n">
        <x:f>'Debt &amp; cash'!S27*fund_yield</x:f>
        <x:v>0</x:v>
      </x:c>
      <x:c r="J28" s="69" t="n">
        <x:f>Labour!Q28</x:f>
        <x:v>0</x:v>
      </x:c>
      <x:c r="K28" s="69" t="n">
        <x:f>Champions!BD28</x:f>
        <x:v>0</x:v>
      </x:c>
      <x:c r="L28" s="69" t="n">
        <x:f>Abroad!N28</x:f>
        <x:v>0.03836867108640147</x:v>
      </x:c>
      <x:c r="M28" s="53" t="n">
        <x:f>SUM(B28:L28)</x:f>
        <x:v>55.0674512786149</x:v>
      </x:c>
      <x:c r="N28" s="53" t="n">
        <x:f>(Paths!W28*army_cost+Paths!X28*res_cost)*Economy!H28/1000000</x:f>
        <x:v>13.68</x:v>
      </x:c>
      <x:c r="O28" s="69" t="n">
        <x:f>Navy!Y28</x:f>
        <x:v>6.100655</x:v>
      </x:c>
      <x:c r="P28" s="53" t="n">
        <x:f>SUMPRODUCT((Events!$B$6:$B$158&lt;=$A28)*(Events!$C$6:$C$158&gt;=$A28)*(Events!$E$6:$E$158="War &amp; operations")*Events!$H$6:$H$158)</x:f>
        <x:v>0.5</x:v>
      </x:c>
      <x:c r="Q28" s="53" t="n">
        <x:f>Economy!O28*Paths!T28</x:f>
        <x:v>9.901143326970033</x:v>
      </x:c>
      <x:c r="R28" s="53" t="n">
        <x:f>Economy!O28*Paths!U28</x:f>
        <x:v>8.250952772475026</x:v>
      </x:c>
      <x:c r="S28" s="53" t="n">
        <x:f>Economy!O28*Paths!V28+SUMPRODUCT((Events!$B$6:$B$158&lt;=$A28)*(Events!$C$6:$C$158&gt;=$A28)*(Events!$E$6:$E$158="Programme")*Events!$H$6:$H$158)+SUMPRODUCT((Events!$B$6:$B$158&lt;=$A28)*(Events!$C$6:$C$158&gt;=$A28)*(Events!$E$6:$E$158="Investment")*Events!$H$6:$H$158)</x:f>
        <x:v>3.1266768400957994</x:v>
      </x:c>
      <x:c r="T28" s="53" t="n">
        <x:f>(People!T28*assist_cost+Labour!AD28*talent_cost+Labour!L28*gw_admin)*Economy!H28/1000000</x:f>
        <x:v>2.166</x:v>
      </x:c>
      <x:c r="U28" s="53" t="n">
        <x:f>SUMPRODUCT((Events!$B$6:$B$158&lt;=$A28)*(Events!$C$6:$C$158&gt;=$A28)*(Events!$E$6:$E$158="Purchase")*Events!$H$6:$H$158)</x:f>
        <x:v>5.714285714285714</x:v>
      </x:c>
      <x:c r="V28" s="53" t="n">
        <x:f>SUMPRODUCT((Events!$B$6:$B$158&lt;=$A28)*(Events!$C$6:$C$158&gt;=$A28)*(Events!$E$6:$E$158="Subsidy &amp; guarantee")*Events!$H$6:$H$158)+SUMPRODUCT((Events!$B$6:$B$158&lt;=$A28)*(Events!$C$6:$C$158&gt;=$A28)*(Events!$E$6:$E$158="Relief")*Events!$H$6:$H$158)</x:f>
        <x:v>1</x:v>
      </x:c>
      <x:c r="W28" s="53" t="n">
        <x:f>SUMPRODUCT((Events!$B$6:$B$158&lt;=$A28)*(Events!$C$6:$C$158&gt;=$A28)*(Events!$E$6:$E$158="Bank rescue &amp; capital")*Events!$H$6:$H$158)</x:f>
        <x:v>0</x:v>
      </x:c>
      <x:c r="X28" s="53" t="n">
        <x:f>'Debt &amp; cash'!R27*Paths!Y28</x:f>
        <x:v>7.808757328768774</x:v>
      </x:c>
      <x:c r="Y28" s="53" t="n">
        <x:f>SUM(N28:X28)</x:f>
        <x:v>58.248470982595336</x:v>
      </x:c>
      <x:c r="Z28" s="53" t="n">
        <x:f>M28-Y28</x:f>
        <x:v>-3.1810197039804393</x:v>
      </x:c>
      <x:c r="AA28" s="63" t="n">
        <x:f>M28/Economy!O28</x:f>
        <x:v>0.12680736433058404</x:v>
      </x:c>
      <x:c r="AB28" s="63" t="n">
        <x:f>Y28/Economy!O28</x:f>
        <x:v>0.13413250314088634</x:v>
      </x:c>
      <x:c r="AC28" s="63" t="n">
        <x:f>(N28+O28+P28)/Economy!O28</x:f>
        <x:v>0.046701569579389604</x:v>
      </x:c>
    </x:row>
    <x:row r="29">
      <x:c r="A29" s="58" t="n">
        <x:v>1869</x:v>
      </x:c>
      <x:c r="B29" s="53" t="n">
        <x:f>Economy!O29*Paths!N29*Paths!O29*cust_coll</x:f>
        <x:v>12.820113701814915</x:v>
      </x:c>
      <x:c r="C29" s="53" t="n">
        <x:f>(Economy!J29+Economy!L29+Economy!M29+Economy!N29)*Paths!P29*Paths!Q29</x:f>
        <x:v>43.203420918583554</x:v>
      </x:c>
      <x:c r="D29" s="53" t="n">
        <x:f>Resources!P29+Resources!Q29</x:f>
        <x:v>1.905</x:v>
      </x:c>
      <x:c r="E29" s="53" t="n">
        <x:f>Paths!S29*(1-canal_opcost)*canal_share</x:f>
        <x:v>0</x:v>
      </x:c>
      <x:c r="F29" s="53" t="n">
        <x:f>Economy!O29*Paths!R29</x:f>
        <x:v>0.22637379069994995</x:v>
      </x:c>
      <x:c r="G29" s="53" t="n">
        <x:f>SUMPRODUCT((Events!$B$6:$B$158&lt;=$A29)*(Events!$C$6:$C$158&gt;=$A29)*(Events!$E$6:$E$158="Receipt")*Events!$H$6:$H$158)</x:f>
        <x:v>1</x:v>
      </x:c>
      <x:c r="H29" s="69" t="n">
        <x:f>Loans!Y29</x:f>
        <x:v>0.48</x:v>
      </x:c>
      <x:c r="I29" s="53" t="n">
        <x:f>'Debt &amp; cash'!S28*fund_yield</x:f>
        <x:v>0</x:v>
      </x:c>
      <x:c r="J29" s="69" t="n">
        <x:f>Labour!Q29</x:f>
        <x:v>0</x:v>
      </x:c>
      <x:c r="K29" s="69" t="n">
        <x:f>Champions!BD29</x:f>
        <x:v>0</x:v>
      </x:c>
      <x:c r="L29" s="69" t="n">
        <x:f>Abroad!N29</x:f>
        <x:v>0.0436683905252574</x:v>
      </x:c>
      <x:c r="M29" s="53" t="n">
        <x:f>SUM(B29:L29)</x:f>
        <x:v>59.67857680162367</x:v>
      </x:c>
      <x:c r="N29" s="53" t="n">
        <x:f>(Paths!W29*army_cost+Paths!X29*res_cost)*Economy!H29/1000000</x:f>
        <x:v>13.68</x:v>
      </x:c>
      <x:c r="O29" s="69" t="n">
        <x:f>Navy!Y29</x:f>
        <x:v>6.9993225</x:v>
      </x:c>
      <x:c r="P29" s="53" t="n">
        <x:f>SUMPRODUCT((Events!$B$6:$B$158&lt;=$A29)*(Events!$C$6:$C$158&gt;=$A29)*(Events!$E$6:$E$158="War &amp; operations")*Events!$H$6:$H$158)</x:f>
        <x:v>0.5</x:v>
      </x:c>
      <x:c r="Q29" s="53" t="n">
        <x:f>Economy!O29*Paths!T29</x:f>
        <x:v>10.89423867743509</x:v>
      </x:c>
      <x:c r="R29" s="53" t="n">
        <x:f>Economy!O29*Paths!U29</x:f>
        <x:v>9.007790421602174</x:v>
      </x:c>
      <x:c r="S29" s="53" t="n">
        <x:f>Economy!O29*Paths!V29+SUMPRODUCT((Events!$B$6:$B$158&lt;=$A29)*(Events!$C$6:$C$158&gt;=$A29)*(Events!$E$6:$E$158="Programme")*Events!$H$6:$H$158)+SUMPRODUCT((Events!$B$6:$B$158&lt;=$A29)*(Events!$C$6:$C$158&gt;=$A29)*(Events!$E$6:$E$158="Investment")*Events!$H$6:$H$158)</x:f>
        <x:v>3.442768066895072</x:v>
      </x:c>
      <x:c r="T29" s="53" t="n">
        <x:f>(People!T29*assist_cost+Labour!AD29*talent_cost+Labour!L29*gw_admin)*Economy!H29/1000000</x:f>
        <x:v>2.39856</x:v>
      </x:c>
      <x:c r="U29" s="53" t="n">
        <x:f>SUMPRODUCT((Events!$B$6:$B$158&lt;=$A29)*(Events!$C$6:$C$158&gt;=$A29)*(Events!$E$6:$E$158="Purchase")*Events!$H$6:$H$158)</x:f>
        <x:v>5.714285714285714</x:v>
      </x:c>
      <x:c r="V29" s="53" t="n">
        <x:f>SUMPRODUCT((Events!$B$6:$B$158&lt;=$A29)*(Events!$C$6:$C$158&gt;=$A29)*(Events!$E$6:$E$158="Subsidy &amp; guarantee")*Events!$H$6:$H$158)+SUMPRODUCT((Events!$B$6:$B$158&lt;=$A29)*(Events!$C$6:$C$158&gt;=$A29)*(Events!$E$6:$E$158="Relief")*Events!$H$6:$H$158)</x:f>
        <x:v>1</x:v>
      </x:c>
      <x:c r="W29" s="53" t="n">
        <x:f>SUMPRODUCT((Events!$B$6:$B$158&lt;=$A29)*(Events!$C$6:$C$158&gt;=$A29)*(Events!$E$6:$E$158="Bank rescue &amp; capital")*Events!$H$6:$H$158)</x:f>
        <x:v>0</x:v>
      </x:c>
      <x:c r="X29" s="53" t="n">
        <x:f>'Debt &amp; cash'!R28*Paths!Y29</x:f>
        <x:v>7.973091120111467</x:v>
      </x:c>
      <x:c r="Y29" s="53" t="n">
        <x:f>SUM(N29:X29)</x:f>
        <x:v>61.61005650032952</x:v>
      </x:c>
      <x:c r="Z29" s="53" t="n">
        <x:f>M29-Y29</x:f>
        <x:v>-1.93147969870585</x:v>
      </x:c>
      <x:c r="AA29" s="63" t="n">
        <x:f>M29/Economy!O29</x:f>
        <x:v>0.1265416671082219</x:v>
      </x:c>
      <x:c r="AB29" s="63" t="n">
        <x:f>Y29/Economy!O29</x:f>
        <x:v>0.13063715118573888</x:v>
      </x:c>
      <x:c r="AC29" s="63" t="n">
        <x:f>(N29+O29+P29)/Economy!O29</x:f>
        <x:v>0.04490835608029709</x:v>
      </x:c>
    </x:row>
    <x:row r="30">
      <x:c r="A30" s="61" t="n">
        <x:v>1870</x:v>
      </x:c>
      <x:c r="B30" s="53" t="n">
        <x:f>Economy!O30*Paths!N30*Paths!O30*cust_coll</x:f>
        <x:v>13.890877632295128</x:v>
      </x:c>
      <x:c r="C30" s="53" t="n">
        <x:f>(Economy!J30+Economy!L30+Economy!M30+Economy!N30)*Paths!P30*Paths!Q30</x:f>
        <x:v>47.382059298401806</x:v>
      </x:c>
      <x:c r="D30" s="53" t="n">
        <x:f>Resources!P30+Resources!Q30</x:f>
        <x:v>1.9125</x:v>
      </x:c>
      <x:c r="E30" s="53" t="n">
        <x:f>Paths!S30*(1-canal_opcost)*canal_share</x:f>
        <x:v>0</x:v>
      </x:c>
      <x:c r="F30" s="53" t="n">
        <x:f>Economy!O30*Paths!R30</x:f>
        <x:v>0.257238474672132</x:v>
      </x:c>
      <x:c r="G30" s="53" t="n">
        <x:f>SUMPRODUCT((Events!$B$6:$B$158&lt;=$A30)*(Events!$C$6:$C$158&gt;=$A30)*(Events!$E$6:$E$158="Receipt")*Events!$H$6:$H$158)</x:f>
        <x:v>1</x:v>
      </x:c>
      <x:c r="H30" s="69" t="n">
        <x:f>Loans!Y30</x:f>
        <x:v>0.4608</x:v>
      </x:c>
      <x:c r="I30" s="53" t="n">
        <x:f>'Debt &amp; cash'!S29*fund_yield</x:f>
        <x:v>0</x:v>
      </x:c>
      <x:c r="J30" s="69" t="n">
        <x:f>Labour!Q30</x:f>
        <x:v>0</x:v>
      </x:c>
      <x:c r="K30" s="69" t="n">
        <x:f>Champions!BD30</x:f>
        <x:v>0</x:v>
      </x:c>
      <x:c r="L30" s="69" t="n">
        <x:f>Abroad!N30</x:f>
        <x:v>0.09349450605084562</x:v>
      </x:c>
      <x:c r="M30" s="53" t="n">
        <x:f>SUM(B30:L30)</x:f>
        <x:v>64.99696991141992</x:v>
      </x:c>
      <x:c r="N30" s="53" t="n">
        <x:f>(Paths!W30*army_cost+Paths!X30*res_cost)*Economy!H30/1000000</x:f>
        <x:v>13.68</x:v>
      </x:c>
      <x:c r="O30" s="69" t="n">
        <x:f>Navy!Y30</x:f>
        <x:v>6.268739999999999</x:v>
      </x:c>
      <x:c r="P30" s="53" t="n">
        <x:f>SUMPRODUCT((Events!$B$6:$B$158&lt;=$A30)*(Events!$C$6:$C$158&gt;=$A30)*(Events!$E$6:$E$158="War &amp; operations")*Events!$H$6:$H$158)</x:f>
        <x:v>6</x:v>
      </x:c>
      <x:c r="Q30" s="53" t="n">
        <x:f>Economy!O30*Paths!T30</x:f>
        <x:v>11.98731291972135</x:v>
      </x:c>
      <x:c r="R30" s="53" t="n">
        <x:f>Economy!O30*Paths!U30</x:f>
        <x:v>9.877957427409868</x:v>
      </x:c>
      <x:c r="S30" s="53" t="n">
        <x:f>Economy!O30*Paths!V30+SUMPRODUCT((Events!$B$6:$B$158&lt;=$A30)*(Events!$C$6:$C$158&gt;=$A30)*(Events!$E$6:$E$158="Programme")*Events!$H$6:$H$158)+SUMPRODUCT((Events!$B$6:$B$158&lt;=$A30)*(Events!$C$6:$C$158&gt;=$A30)*(Events!$E$6:$E$158="Investment")*Events!$H$6:$H$158)</x:f>
        <x:v>3.8071294251475534</x:v>
      </x:c>
      <x:c r="T30" s="53" t="n">
        <x:f>(People!T30*assist_cost+Labour!AD30*talent_cost+Labour!L30*gw_admin)*Economy!H30/1000000</x:f>
        <x:v>2.4054</x:v>
      </x:c>
      <x:c r="U30" s="53" t="n">
        <x:f>SUMPRODUCT((Events!$B$6:$B$158&lt;=$A30)*(Events!$C$6:$C$158&gt;=$A30)*(Events!$E$6:$E$158="Purchase")*Events!$H$6:$H$158)</x:f>
        <x:v>5.714285714285714</x:v>
      </x:c>
      <x:c r="V30" s="53" t="n">
        <x:f>SUMPRODUCT((Events!$B$6:$B$158&lt;=$A30)*(Events!$C$6:$C$158&gt;=$A30)*(Events!$E$6:$E$158="Subsidy &amp; guarantee")*Events!$H$6:$H$158)+SUMPRODUCT((Events!$B$6:$B$158&lt;=$A30)*(Events!$C$6:$C$158&gt;=$A30)*(Events!$E$6:$E$158="Relief")*Events!$H$6:$H$158)</x:f>
        <x:v>1</x:v>
      </x:c>
      <x:c r="W30" s="53" t="n">
        <x:f>SUMPRODUCT((Events!$B$6:$B$158&lt;=$A30)*(Events!$C$6:$C$158&gt;=$A30)*(Events!$E$6:$E$158="Bank rescue &amp; capital")*Events!$H$6:$H$158)</x:f>
        <x:v>0</x:v>
      </x:c>
      <x:c r="X30" s="53" t="n">
        <x:f>'Debt &amp; cash'!R29*Paths!Y30</x:f>
        <x:v>8.059017266609764</x:v>
      </x:c>
      <x:c r="Y30" s="53" t="n">
        <x:f>SUM(N30:X30)</x:f>
        <x:v>68.79984275317425</x:v>
      </x:c>
      <x:c r="Z30" s="53" t="n">
        <x:f>M30-Y30</x:f>
        <x:v>-3.802872841754322</x:v>
      </x:c>
      <x:c r="AA30" s="63" t="n">
        <x:f>M30/Economy!O30</x:f>
        <x:v>0.12633601951314438</x:v>
      </x:c>
      <x:c r="AB30" s="63" t="n">
        <x:f>Y30/Economy!O30</x:f>
        <x:v>0.13372774589972272</x:v>
      </x:c>
      <x:c r="AC30" s="63" t="n">
        <x:f>(N30+O30+P30)/Economy!O30</x:f>
        <x:v>0.05043712849151637</x:v>
      </x:c>
    </x:row>
    <x:row r="31">
      <x:c r="A31" s="61" t="n">
        <x:v>1871</x:v>
      </x:c>
      <x:c r="B31" s="53" t="n">
        <x:f>Economy!O31*Paths!N31*Paths!O31*cust_coll</x:f>
        <x:v>14.829297225130997</x:v>
      </x:c>
      <x:c r="C31" s="53" t="n">
        <x:f>(Economy!J31+Economy!L31+Economy!M31+Economy!N31)*Paths!P31*Paths!Q31</x:f>
        <x:v>50.96915562452659</x:v>
      </x:c>
      <x:c r="D31" s="53" t="n">
        <x:f>Resources!P31+Resources!Q31</x:f>
        <x:v>2.0295000000000005</x:v>
      </x:c>
      <x:c r="E31" s="53" t="n">
        <x:f>Paths!S31*(1-canal_opcost)*canal_share</x:f>
        <x:v>0</x:v>
      </x:c>
      <x:c r="F31" s="53" t="n">
        <x:f>Economy!O31*Paths!R31</x:f>
        <x:v>0.35944583151859116</x:v>
      </x:c>
      <x:c r="G31" s="53" t="n">
        <x:f>SUMPRODUCT((Events!$B$6:$B$158&lt;=$A31)*(Events!$C$6:$C$158&gt;=$A31)*(Events!$E$6:$E$158="Receipt")*Events!$H$6:$H$158)</x:f>
        <x:v>1</x:v>
      </x:c>
      <x:c r="H31" s="69" t="n">
        <x:f>Loans!Y31</x:f>
        <x:v>0.717368</x:v>
      </x:c>
      <x:c r="I31" s="53" t="n">
        <x:f>'Debt &amp; cash'!S30*fund_yield</x:f>
        <x:v>0</x:v>
      </x:c>
      <x:c r="J31" s="69" t="n">
        <x:f>Labour!Q31</x:f>
        <x:v>0</x:v>
      </x:c>
      <x:c r="K31" s="69" t="n">
        <x:f>Champions!BD31</x:f>
        <x:v>0</x:v>
      </x:c>
      <x:c r="L31" s="69" t="n">
        <x:f>Abroad!N31</x:f>
        <x:v>0.1360836106653475</x:v>
      </x:c>
      <x:c r="M31" s="53" t="n">
        <x:f>SUM(B31:L31)</x:f>
        <x:v>70.04085029184152</x:v>
      </x:c>
      <x:c r="N31" s="53" t="n">
        <x:f>(Paths!W31*army_cost+Paths!X31*res_cost)*Economy!H31/1000000</x:f>
        <x:v>13.60944</x:v>
      </x:c>
      <x:c r="O31" s="69" t="n">
        <x:f>Navy!Y31</x:f>
        <x:v>6.476176200000001</x:v>
      </x:c>
      <x:c r="P31" s="53" t="n">
        <x:f>SUMPRODUCT((Events!$B$6:$B$158&lt;=$A31)*(Events!$C$6:$C$158&gt;=$A31)*(Events!$E$6:$E$158="War &amp; operations")*Events!$H$6:$H$158)</x:f>
        <x:v>6</x:v>
      </x:c>
      <x:c r="Q31" s="53" t="n">
        <x:f>Economy!O31*Paths!T31</x:f>
        <x:v>13.050648652059618</x:v>
      </x:c>
      <x:c r="R31" s="53" t="n">
        <x:f>Economy!O31*Paths!U31</x:f>
        <x:v>10.617476869472231</x:v>
      </x:c>
      <x:c r="S31" s="53" t="n">
        <x:f>Economy!O31*Paths!V31+SUMPRODUCT((Events!$B$6:$B$158&lt;=$A31)*(Events!$C$6:$C$158&gt;=$A31)*(Events!$E$6:$E$158="Programme")*Events!$H$6:$H$158)+SUMPRODUCT((Events!$B$6:$B$158&lt;=$A31)*(Events!$C$6:$C$158&gt;=$A31)*(Events!$E$6:$E$158="Investment")*Events!$H$6:$H$158)</x:f>
        <x:v>4.14745190213759</x:v>
      </x:c>
      <x:c r="T31" s="53" t="n">
        <x:f>(People!T31*assist_cost+Labour!AD31*talent_cost+Labour!L31*gw_admin)*Economy!H31/1000000</x:f>
        <x:v>2.369952</x:v>
      </x:c>
      <x:c r="U31" s="53" t="n">
        <x:f>SUMPRODUCT((Events!$B$6:$B$158&lt;=$A31)*(Events!$C$6:$C$158&gt;=$A31)*(Events!$E$6:$E$158="Purchase")*Events!$H$6:$H$158)</x:f>
        <x:v>5.714285714285714</x:v>
      </x:c>
      <x:c r="V31" s="53" t="n">
        <x:f>SUMPRODUCT((Events!$B$6:$B$158&lt;=$A31)*(Events!$C$6:$C$158&gt;=$A31)*(Events!$E$6:$E$158="Subsidy &amp; guarantee")*Events!$H$6:$H$158)+SUMPRODUCT((Events!$B$6:$B$158&lt;=$A31)*(Events!$C$6:$C$158&gt;=$A31)*(Events!$E$6:$E$158="Relief")*Events!$H$6:$H$158)</x:f>
        <x:v>2</x:v>
      </x:c>
      <x:c r="W31" s="53" t="n">
        <x:f>SUMPRODUCT((Events!$B$6:$B$158&lt;=$A31)*(Events!$C$6:$C$158&gt;=$A31)*(Events!$E$6:$E$158="Bank rescue &amp; capital")*Events!$H$6:$H$158)</x:f>
        <x:v>0</x:v>
      </x:c>
      <x:c r="X31" s="53" t="n">
        <x:f>'Debt &amp; cash'!R30*Paths!Y31</x:f>
        <x:v>8.583061727294652</x:v>
      </x:c>
      <x:c r="Y31" s="53" t="n">
        <x:f>SUM(N31:X31)</x:f>
        <x:v>72.56849306524981</x:v>
      </x:c>
      <x:c r="Z31" s="53" t="n">
        <x:f>M31-Y31</x:f>
        <x:v>-2.5276427734082887</x:v>
      </x:c>
      <x:c r="AA31" s="63" t="n">
        <x:f>M31/Economy!O31</x:f>
        <x:v>0.12665761763700487</x:v>
      </x:c>
      <x:c r="AB31" s="63" t="n">
        <x:f>Y31/Economy!O31</x:f>
        <x:v>0.13122845323627766</x:v>
      </x:c>
      <x:c r="AC31" s="63" t="n">
        <x:f>(N31+O31+P31)/Economy!O31</x:f>
        <x:v>0.04717164324417273</x:v>
      </x:c>
    </x:row>
    <x:row r="32">
      <x:c r="A32" s="58" t="n">
        <x:v>1872</x:v>
      </x:c>
      <x:c r="B32" s="53" t="n">
        <x:f>Economy!O32*Paths!N32*Paths!O32*cust_coll</x:f>
        <x:v>15.788956642093186</x:v>
      </x:c>
      <x:c r="C32" s="53" t="n">
        <x:f>(Economy!J32+Economy!L32+Economy!M32+Economy!N32)*Paths!P32*Paths!Q32</x:f>
        <x:v>54.66262811420412</x:v>
      </x:c>
      <x:c r="D32" s="53" t="n">
        <x:f>Resources!P32+Resources!Q32</x:f>
        <x:v>2.1465</x:v>
      </x:c>
      <x:c r="E32" s="53" t="n">
        <x:f>Paths!S32*(1-canal_opcost)*canal_share</x:f>
        <x:v>0</x:v>
      </x:c>
      <x:c r="F32" s="53" t="n">
        <x:f>Economy!O32*Paths!R32</x:f>
        <x:v>0.4740787774052511</x:v>
      </x:c>
      <x:c r="G32" s="53" t="n">
        <x:f>SUMPRODUCT((Events!$B$6:$B$158&lt;=$A32)*(Events!$C$6:$C$158&gt;=$A32)*(Events!$E$6:$E$158="Receipt")*Events!$H$6:$H$158)</x:f>
        <x:v>1</x:v>
      </x:c>
      <x:c r="H32" s="69" t="n">
        <x:f>Loans!Y32</x:f>
        <x:v>1.3136732800000002</x:v>
      </x:c>
      <x:c r="I32" s="53" t="n">
        <x:f>'Debt &amp; cash'!S31*fund_yield</x:f>
        <x:v>0</x:v>
      </x:c>
      <x:c r="J32" s="69" t="n">
        <x:f>Labour!Q32</x:f>
        <x:v>0</x:v>
      </x:c>
      <x:c r="K32" s="69" t="n">
        <x:f>Champions!BD32</x:f>
        <x:v>0</x:v>
      </x:c>
      <x:c r="L32" s="69" t="n">
        <x:f>Abroad!N32</x:f>
        <x:v>0.17584689883225404</x:v>
      </x:c>
      <x:c r="M32" s="53" t="n">
        <x:f>SUM(B32:L32)</x:f>
        <x:v>75.56168371253482</x:v>
      </x:c>
      <x:c r="N32" s="53" t="n">
        <x:f>(Paths!W32*army_cost+Paths!X32*res_cost)*Economy!H32/1000000</x:f>
        <x:v>13.53496</x:v>
      </x:c>
      <x:c r="O32" s="69" t="n">
        <x:f>Navy!Y32</x:f>
        <x:v>6.979363299999999</x:v>
      </x:c>
      <x:c r="P32" s="53" t="n">
        <x:f>SUMPRODUCT((Events!$B$6:$B$158&lt;=$A32)*(Events!$C$6:$C$158&gt;=$A32)*(Events!$E$6:$E$158="War &amp; operations")*Events!$H$6:$H$158)</x:f>
        <x:v>0</x:v>
      </x:c>
      <x:c r="Q32" s="53" t="n">
        <x:f>Economy!O32*Paths!T32</x:f>
        <x:v>14.163103474981877</x:v>
      </x:c>
      <x:c r="R32" s="53" t="n">
        <x:f>Economy!O32*Paths!U32</x:f>
        <x:v>11.437150504901684</x:v>
      </x:c>
      <x:c r="S32" s="53" t="n">
        <x:f>Economy!O32*Paths!V32+SUMPRODUCT((Events!$B$6:$B$158&lt;=$A32)*(Events!$C$6:$C$158&gt;=$A32)*(Events!$E$6:$E$158="Programme")*Events!$H$6:$H$158)+SUMPRODUCT((Events!$B$6:$B$158&lt;=$A32)*(Events!$C$6:$C$158&gt;=$A32)*(Events!$E$6:$E$158="Investment")*Events!$H$6:$H$158)</x:f>
        <x:v>4.503748385349885</x:v>
      </x:c>
      <x:c r="T32" s="53" t="n">
        <x:f>(People!T32*assist_cost+Labour!AD32*talent_cost+Labour!L32*gw_admin)*Economy!H32/1000000</x:f>
        <x:v>2.334504</x:v>
      </x:c>
      <x:c r="U32" s="53" t="n">
        <x:f>SUMPRODUCT((Events!$B$6:$B$158&lt;=$A32)*(Events!$C$6:$C$158&gt;=$A32)*(Events!$E$6:$E$158="Purchase")*Events!$H$6:$H$158)</x:f>
        <x:v>5.714285714285714</x:v>
      </x:c>
      <x:c r="V32" s="53" t="n">
        <x:f>SUMPRODUCT((Events!$B$6:$B$158&lt;=$A32)*(Events!$C$6:$C$158&gt;=$A32)*(Events!$E$6:$E$158="Subsidy &amp; guarantee")*Events!$H$6:$H$158)+SUMPRODUCT((Events!$B$6:$B$158&lt;=$A32)*(Events!$C$6:$C$158&gt;=$A32)*(Events!$E$6:$E$158="Relief")*Events!$H$6:$H$158)</x:f>
        <x:v>2</x:v>
      </x:c>
      <x:c r="W32" s="53" t="n">
        <x:f>SUMPRODUCT((Events!$B$6:$B$158&lt;=$A32)*(Events!$C$6:$C$158&gt;=$A32)*(Events!$E$6:$E$158="Bank rescue &amp; capital")*Events!$H$6:$H$158)</x:f>
        <x:v>0</x:v>
      </x:c>
      <x:c r="X32" s="53" t="n">
        <x:f>'Debt &amp; cash'!R31*Paths!Y32</x:f>
        <x:v>9.462610224580208</x:v>
      </x:c>
      <x:c r="Y32" s="53" t="n">
        <x:f>SUM(N32:X32)</x:f>
        <x:v>70.12972560409938</x:v>
      </x:c>
      <x:c r="Z32" s="53" t="n">
        <x:f>M32-Y32</x:f>
        <x:v>5.431958108435438</x:v>
      </x:c>
      <x:c r="AA32" s="63" t="n">
        <x:f>M32/Economy!O32</x:f>
        <x:v>0.12750907623598315</x:v>
      </x:c>
      <x:c r="AB32" s="63" t="n">
        <x:f>Y32/Economy!O32</x:f>
        <x:v>0.11834273786805896</x:v>
      </x:c>
      <x:c r="AC32" s="63" t="n">
        <x:f>(N32+O32+P32)/Economy!O32</x:f>
        <x:v>0.03461757712467941</x:v>
      </x:c>
    </x:row>
    <x:row r="33">
      <x:c r="A33" s="58" t="n">
        <x:v>1873</x:v>
      </x:c>
      <x:c r="B33" s="53" t="n">
        <x:f>Economy!O33*Paths!N33*Paths!O33*cust_coll</x:f>
        <x:v>16.632084259078383</x:v>
      </x:c>
      <x:c r="C33" s="53" t="n">
        <x:f>(Economy!J33+Economy!L33+Economy!M33+Economy!N33)*Paths!P33*Paths!Q33</x:f>
        <x:v>52.61417920720885</x:v>
      </x:c>
      <x:c r="D33" s="53" t="n">
        <x:f>Resources!P33+Resources!Q33</x:f>
        <x:v>2.511</x:v>
      </x:c>
      <x:c r="E33" s="53" t="n">
        <x:f>Paths!S33*(1-canal_opcost)*canal_share</x:f>
        <x:v>0</x:v>
      </x:c>
      <x:c r="F33" s="53" t="n">
        <x:f>Economy!O33*Paths!R33</x:f>
        <x:v>0.5971458823176292</x:v>
      </x:c>
      <x:c r="G33" s="53" t="n">
        <x:f>SUMPRODUCT((Events!$B$6:$B$158&lt;=$A33)*(Events!$C$6:$C$158&gt;=$A33)*(Events!$E$6:$E$158="Receipt")*Events!$H$6:$H$158)</x:f>
        <x:v>1</x:v>
      </x:c>
      <x:c r="H33" s="69" t="n">
        <x:f>Loans!Y33</x:f>
        <x:v>2.1061263488</x:v>
      </x:c>
      <x:c r="I33" s="53" t="n">
        <x:f>'Debt &amp; cash'!S32*fund_yield</x:f>
        <x:v>0</x:v>
      </x:c>
      <x:c r="J33" s="69" t="n">
        <x:f>Labour!Q33</x:f>
        <x:v>0</x:v>
      </x:c>
      <x:c r="K33" s="69" t="n">
        <x:f>Champions!BD33</x:f>
        <x:v>0</x:v>
      </x:c>
      <x:c r="L33" s="69" t="n">
        <x:f>Abroad!N33</x:f>
        <x:v>0.2052979603482804</x:v>
      </x:c>
      <x:c r="M33" s="53" t="n">
        <x:f>SUM(B33:L33)</x:f>
        <x:v>75.66583365775314</x:v>
      </x:c>
      <x:c r="N33" s="53" t="n">
        <x:f>(Paths!W33*army_cost+Paths!X33*res_cost)*Economy!H33/1000000</x:f>
        <x:v>13.45656</x:v>
      </x:c>
      <x:c r="O33" s="69" t="n">
        <x:f>Navy!Y33</x:f>
        <x:v>5.4820362000000005</x:v>
      </x:c>
      <x:c r="P33" s="53" t="n">
        <x:f>SUMPRODUCT((Events!$B$6:$B$158&lt;=$A33)*(Events!$C$6:$C$158&gt;=$A33)*(Events!$E$6:$E$158="War &amp; operations")*Events!$H$6:$H$158)</x:f>
        <x:v>1.5</x:v>
      </x:c>
      <x:c r="Q33" s="53" t="n">
        <x:f>Economy!O33*Paths!T33</x:f>
        <x:v>15.148648172478802</x:v>
      </x:c>
      <x:c r="R33" s="53" t="n">
        <x:f>Economy!O33*Paths!U33</x:f>
        <x:v>12.194347491538954</x:v>
      </x:c>
      <x:c r="S33" s="53" t="n">
        <x:f>Economy!O33*Paths!V33+SUMPRODUCT((Events!$B$6:$B$158&lt;=$A33)*(Events!$C$6:$C$158&gt;=$A33)*(Events!$E$6:$E$158="Programme")*Events!$H$6:$H$158)+SUMPRODUCT((Events!$B$6:$B$158&lt;=$A33)*(Events!$C$6:$C$158&gt;=$A33)*(Events!$E$6:$E$158="Investment")*Events!$H$6:$H$158)</x:f>
        <x:v>4.840024519837626</x:v>
      </x:c>
      <x:c r="T33" s="53" t="n">
        <x:f>(People!T33*assist_cost+Labour!AD33*talent_cost+Labour!L33*gw_admin)*Economy!H33/1000000</x:f>
        <x:v>2.952816</x:v>
      </x:c>
      <x:c r="U33" s="53" t="n">
        <x:f>SUMPRODUCT((Events!$B$6:$B$158&lt;=$A33)*(Events!$C$6:$C$158&gt;=$A33)*(Events!$E$6:$E$158="Purchase")*Events!$H$6:$H$158)</x:f>
        <x:v>0</x:v>
      </x:c>
      <x:c r="V33" s="53" t="n">
        <x:f>SUMPRODUCT((Events!$B$6:$B$158&lt;=$A33)*(Events!$C$6:$C$158&gt;=$A33)*(Events!$E$6:$E$158="Subsidy &amp; guarantee")*Events!$H$6:$H$158)+SUMPRODUCT((Events!$B$6:$B$158&lt;=$A33)*(Events!$C$6:$C$158&gt;=$A33)*(Events!$E$6:$E$158="Relief")*Events!$H$6:$H$158)</x:f>
        <x:v>2</x:v>
      </x:c>
      <x:c r="W33" s="53" t="n">
        <x:f>SUMPRODUCT((Events!$B$6:$B$158&lt;=$A33)*(Events!$C$6:$C$158&gt;=$A33)*(Events!$E$6:$E$158="Bank rescue &amp; capital")*Events!$H$6:$H$158)</x:f>
        <x:v>0</x:v>
      </x:c>
      <x:c r="X33" s="53" t="n">
        <x:f>'Debt &amp; cash'!R32*Paths!Y33</x:f>
        <x:v>10.055935236315637</x:v>
      </x:c>
      <x:c r="Y33" s="53" t="n">
        <x:f>SUM(N33:X33)</x:f>
        <x:v>67.63036762017101</x:v>
      </x:c>
      <x:c r="Z33" s="53" t="n">
        <x:f>M33-Y33</x:f>
        <x:v>8.035466037582125</x:v>
      </x:c>
      <x:c r="AA33" s="63" t="n">
        <x:f>M33/Economy!O33</x:f>
        <x:v>0.12037685279830881</x:v>
      </x:c>
      <x:c r="AB33" s="63" t="n">
        <x:f>Y33/Economy!O33</x:f>
        <x:v>0.10759322159235407</x:v>
      </x:c>
      <x:c r="AC33" s="63" t="n">
        <x:f>(N33+O33+P33)/Economy!O33</x:f>
        <x:v>0.0325157837723681</x:v>
      </x:c>
    </x:row>
    <x:row r="34">
      <x:c r="A34" s="58" t="n">
        <x:v>1874</x:v>
      </x:c>
      <x:c r="B34" s="53" t="n">
        <x:f>Economy!O34*Paths!N34*Paths!O34*cust_coll</x:f>
        <x:v>17.61470602327218</x:v>
      </x:c>
      <x:c r="C34" s="53" t="n">
        <x:f>(Economy!J34+Economy!L34+Economy!M34+Economy!N34)*Paths!P34*Paths!Q34</x:f>
        <x:v>56.118813765623976</x:v>
      </x:c>
      <x:c r="D34" s="53" t="n">
        <x:f>Resources!P34+Resources!Q34</x:f>
        <x:v>2.673</x:v>
      </x:c>
      <x:c r="E34" s="53" t="n">
        <x:f>Paths!S34*(1-canal_opcost)*canal_share</x:f>
        <x:v>0</x:v>
      </x:c>
      <x:c r="F34" s="53" t="n">
        <x:f>Economy!O34*Paths!R34</x:f>
        <x:v>0.7373984497723965</x:v>
      </x:c>
      <x:c r="G34" s="53" t="n">
        <x:f>SUMPRODUCT((Events!$B$6:$B$158&lt;=$A34)*(Events!$C$6:$C$158&gt;=$A34)*(Events!$E$6:$E$158="Receipt")*Events!$H$6:$H$158)</x:f>
        <x:v>1</x:v>
      </x:c>
      <x:c r="H34" s="69" t="n">
        <x:f>Loans!Y34</x:f>
        <x:v>2.0218812948480003</x:v>
      </x:c>
      <x:c r="I34" s="53" t="n">
        <x:f>'Debt &amp; cash'!S33*fund_yield</x:f>
        <x:v>0.05014680940998549</x:v>
      </x:c>
      <x:c r="J34" s="69" t="n">
        <x:f>Labour!Q34</x:f>
        <x:v>0</x:v>
      </x:c>
      <x:c r="K34" s="69" t="n">
        <x:f>Champions!BD34</x:f>
        <x:v>0</x:v>
      </x:c>
      <x:c r="L34" s="69" t="n">
        <x:f>Abroad!N34</x:f>
        <x:v>0.250683776159855</x:v>
      </x:c>
      <x:c r="M34" s="53" t="n">
        <x:f>SUM(B34:L34)</x:f>
        <x:v>80.4666301190864</x:v>
      </x:c>
      <x:c r="N34" s="53" t="n">
        <x:f>(Paths!W34*army_cost+Paths!X34*res_cost)*Economy!H34/1000000</x:f>
        <x:v>13.37424</x:v>
      </x:c>
      <x:c r="O34" s="69" t="n">
        <x:f>Navy!Y34</x:f>
        <x:v>6.9597090999999995</x:v>
      </x:c>
      <x:c r="P34" s="53" t="n">
        <x:f>SUMPRODUCT((Events!$B$6:$B$158&lt;=$A34)*(Events!$C$6:$C$158&gt;=$A34)*(Events!$E$6:$E$158="War &amp; operations")*Events!$H$6:$H$158)</x:f>
        <x:v>1.5</x:v>
      </x:c>
      <x:c r="Q34" s="53" t="n">
        <x:f>Economy!O34*Paths!T34</x:f>
        <x:v>16.356838340405886</x:v>
      </x:c>
      <x:c r="R34" s="53" t="n">
        <x:f>Economy!O34*Paths!U34</x:f>
        <x:v>13.072063427783393</x:v>
      </x:c>
      <x:c r="S34" s="53" t="n">
        <x:f>Economy!O34*Paths!V34+SUMPRODUCT((Events!$B$6:$B$158&lt;=$A34)*(Events!$C$6:$C$158&gt;=$A34)*(Events!$E$6:$E$158="Programme")*Events!$H$6:$H$158)+SUMPRODUCT((Events!$B$6:$B$158&lt;=$A34)*(Events!$C$6:$C$158&gt;=$A34)*(Events!$E$6:$E$158="Investment")*Events!$H$6:$H$158)</x:f>
        <x:v>5.2288253711133565</x:v>
      </x:c>
      <x:c r="T34" s="53" t="n">
        <x:f>(People!T34*assist_cost+Labour!AD34*talent_cost+Labour!L34*gw_admin)*Economy!H34/1000000</x:f>
        <x:v>2.907288</x:v>
      </x:c>
      <x:c r="U34" s="53" t="n">
        <x:f>SUMPRODUCT((Events!$B$6:$B$158&lt;=$A34)*(Events!$C$6:$C$158&gt;=$A34)*(Events!$E$6:$E$158="Purchase")*Events!$H$6:$H$158)</x:f>
        <x:v>0</x:v>
      </x:c>
      <x:c r="V34" s="53" t="n">
        <x:f>SUMPRODUCT((Events!$B$6:$B$158&lt;=$A34)*(Events!$C$6:$C$158&gt;=$A34)*(Events!$E$6:$E$158="Subsidy &amp; guarantee")*Events!$H$6:$H$158)+SUMPRODUCT((Events!$B$6:$B$158&lt;=$A34)*(Events!$C$6:$C$158&gt;=$A34)*(Events!$E$6:$E$158="Relief")*Events!$H$6:$H$158)</x:f>
        <x:v>2</x:v>
      </x:c>
      <x:c r="W34" s="53" t="n">
        <x:f>SUMPRODUCT((Events!$B$6:$B$158&lt;=$A34)*(Events!$C$6:$C$158&gt;=$A34)*(Events!$E$6:$E$158="Bank rescue &amp; capital")*Events!$H$6:$H$158)</x:f>
        <x:v>0</x:v>
      </x:c>
      <x:c r="X34" s="53" t="n">
        <x:f>'Debt &amp; cash'!R33*Paths!Y34</x:f>
        <x:v>9.460743294603072</x:v>
      </x:c>
      <x:c r="Y34" s="53" t="n">
        <x:f>SUM(N34:X34)</x:f>
        <x:v>70.8597075339057</x:v>
      </x:c>
      <x:c r="Z34" s="53" t="n">
        <x:f>M34-Y34</x:f>
        <x:v>9.606922585180698</x:v>
      </x:c>
      <x:c r="AA34" s="63" t="n">
        <x:f>M34/Economy!O34</x:f>
        <x:v>0.12003455276901563</x:v>
      </x:c>
      <x:c r="AB34" s="63" t="n">
        <x:f>Y34/Economy!O34</x:f>
        <x:v>0.105703610187077</x:v>
      </x:c>
      <x:c r="AC34" s="63" t="n">
        <x:f>(N34+O34+P34)/Economy!O34</x:f>
        <x:v>0.03257037496812358</x:v>
      </x:c>
    </x:row>
    <x:row r="35">
      <x:c r="A35" s="58" t="n">
        <x:v>1875</x:v>
      </x:c>
      <x:c r="B35" s="53" t="n">
        <x:f>Economy!O35*Paths!N35*Paths!O35*cust_coll</x:f>
        <x:v>18.95686880503352</x:v>
      </x:c>
      <x:c r="C35" s="53" t="n">
        <x:f>(Economy!J35+Economy!L35+Economy!M35+Economy!N35)*Paths!P35*Paths!Q35</x:f>
        <x:v>60.87891053415014</x:v>
      </x:c>
      <x:c r="D35" s="53" t="n">
        <x:f>Resources!P35+Resources!Q35</x:f>
        <x:v>2.8350000000000004</x:v>
      </x:c>
      <x:c r="E35" s="53" t="n">
        <x:f>Paths!S35*(1-canal_opcost)*canal_share</x:f>
        <x:v>0</x:v>
      </x:c>
      <x:c r="F35" s="53" t="n">
        <x:f>Economy!O35*Paths!R35</x:f>
        <x:v>0.9077708058004221</x:v>
      </x:c>
      <x:c r="G35" s="53" t="n">
        <x:f>SUMPRODUCT((Events!$B$6:$B$158&lt;=$A35)*(Events!$C$6:$C$158&gt;=$A35)*(Events!$E$6:$E$158="Receipt")*Events!$H$6:$H$158)</x:f>
        <x:v>1</x:v>
      </x:c>
      <x:c r="H35" s="69" t="n">
        <x:f>Loans!Y35</x:f>
        <x:v>2.09100604305408</x:v>
      </x:c>
      <x:c r="I35" s="53" t="n">
        <x:f>'Debt &amp; cash'!S34*fund_yield</x:f>
        <x:v>0.08028882444644776</x:v>
      </x:c>
      <x:c r="J35" s="69" t="n">
        <x:f>Labour!Q35</x:f>
        <x:v>0</x:v>
      </x:c>
      <x:c r="K35" s="69" t="n">
        <x:f>Champions!BD35</x:f>
        <x:v>0</x:v>
      </x:c>
      <x:c r="L35" s="69" t="n">
        <x:f>Abroad!N35</x:f>
        <x:v>0.29853959181359374</x:v>
      </x:c>
      <x:c r="M35" s="53" t="n">
        <x:f>SUM(B35:L35)</x:f>
        <x:v>87.04838460429819</x:v>
      </x:c>
      <x:c r="N35" s="53" t="n">
        <x:f>(Paths!W35*army_cost+Paths!X35*res_cost)*Economy!H35/1000000</x:f>
        <x:v>13.288</x:v>
      </x:c>
      <x:c r="O35" s="69" t="n">
        <x:f>Navy!Y35</x:f>
        <x:v>7.443843</x:v>
      </x:c>
      <x:c r="P35" s="53" t="n">
        <x:f>SUMPRODUCT((Events!$B$6:$B$158&lt;=$A35)*(Events!$C$6:$C$158&gt;=$A35)*(Events!$E$6:$E$158="War &amp; operations")*Events!$H$6:$H$158)</x:f>
        <x:v>0</x:v>
      </x:c>
      <x:c r="Q35" s="53" t="n">
        <x:f>Economy!O35*Paths!T35</x:f>
        <x:v>17.93755112261634</x:v>
      </x:c>
      <x:c r="R35" s="53" t="n">
        <x:f>Economy!O35*Paths!U35</x:f>
        <x:v>14.233846234950619</x:v>
      </x:c>
      <x:c r="S35" s="53" t="n">
        <x:f>Economy!O35*Paths!V35+SUMPRODUCT((Events!$B$6:$B$158&lt;=$A35)*(Events!$C$6:$C$158&gt;=$A35)*(Events!$E$6:$E$158="Programme")*Events!$H$6:$H$158)+SUMPRODUCT((Events!$B$6:$B$158&lt;=$A35)*(Events!$C$6:$C$158&gt;=$A35)*(Events!$E$6:$E$158="Investment")*Events!$H$6:$H$158)</x:f>
        <x:v>6.937111492658668</x:v>
      </x:c>
      <x:c r="T35" s="53" t="n">
        <x:f>(People!T35*assist_cost+Labour!AD35*talent_cost+Labour!L35*gw_admin)*Economy!H35/1000000</x:f>
        <x:v>2.86176</x:v>
      </x:c>
      <x:c r="U35" s="53" t="n">
        <x:f>SUMPRODUCT((Events!$B$6:$B$158&lt;=$A35)*(Events!$C$6:$C$158&gt;=$A35)*(Events!$E$6:$E$158="Purchase")*Events!$H$6:$H$158)</x:f>
        <x:v>0</x:v>
      </x:c>
      <x:c r="V35" s="53" t="n">
        <x:f>SUMPRODUCT((Events!$B$6:$B$158&lt;=$A35)*(Events!$C$6:$C$158&gt;=$A35)*(Events!$E$6:$E$158="Subsidy &amp; guarantee")*Events!$H$6:$H$158)+SUMPRODUCT((Events!$B$6:$B$158&lt;=$A35)*(Events!$C$6:$C$158&gt;=$A35)*(Events!$E$6:$E$158="Relief")*Events!$H$6:$H$158)</x:f>
        <x:v>2</x:v>
      </x:c>
      <x:c r="W35" s="53" t="n">
        <x:f>SUMPRODUCT((Events!$B$6:$B$158&lt;=$A35)*(Events!$C$6:$C$158&gt;=$A35)*(Events!$E$6:$E$158="Bank rescue &amp; capital")*Events!$H$6:$H$158)</x:f>
        <x:v>0</x:v>
      </x:c>
      <x:c r="X35" s="53" t="n">
        <x:f>'Debt &amp; cash'!R34*Paths!Y35</x:f>
        <x:v>8.986141370117966</x:v>
      </x:c>
      <x:c r="Y35" s="53" t="n">
        <x:f>SUM(N35:X35)</x:f>
        <x:v>73.68825322034358</x:v>
      </x:c>
      <x:c r="Z35" s="53" t="n">
        <x:f>M35-Y35</x:f>
        <x:v>13.36013138395461</x:v>
      </x:c>
      <x:c r="AA35" s="63" t="n">
        <x:f>M35/Economy!O35</x:f>
        <x:v>0.11986558728271689</x:v>
      </x:c>
      <x:c r="AB35" s="63" t="n">
        <x:f>Y35/Economy!O35</x:f>
        <x:v>0.10146869224794214</x:v>
      </x:c>
      <x:c r="AC35" s="63" t="n">
        <x:f>(N35+O35+P35)/Economy!O35</x:f>
        <x:v>0.028547738685151657</x:v>
      </x:c>
    </x:row>
    <x:row r="36">
      <x:c r="A36" s="58" t="n">
        <x:v>1876</x:v>
      </x:c>
      <x:c r="B36" s="53" t="n">
        <x:f>Economy!O36*Paths!N36*Paths!O36*cust_coll</x:f>
        <x:v>20.52138452327191</x:v>
      </x:c>
      <x:c r="C36" s="53" t="n">
        <x:f>(Economy!J36+Economy!L36+Economy!M36+Economy!N36)*Paths!P36*Paths!Q36</x:f>
        <x:v>66.36148781103465</x:v>
      </x:c>
      <x:c r="D36" s="53" t="n">
        <x:f>Resources!P36+Resources!Q36</x:f>
        <x:v>3.0985</x:v>
      </x:c>
      <x:c r="E36" s="53" t="n">
        <x:f>Paths!S36*(1-canal_opcost)*canal_share</x:f>
        <x:v>0</x:v>
      </x:c>
      <x:c r="F36" s="53" t="n">
        <x:f>Economy!O36*Paths!R36</x:f>
        <x:v>1.1084081146828964</x:v>
      </x:c>
      <x:c r="G36" s="53" t="n">
        <x:f>SUMPRODUCT((Events!$B$6:$B$158&lt;=$A36)*(Events!$C$6:$C$158&gt;=$A36)*(Events!$E$6:$E$158="Receipt")*Events!$H$6:$H$158)</x:f>
        <x:v>1</x:v>
      </x:c>
      <x:c r="H36" s="69" t="n">
        <x:f>Loans!Y36</x:f>
        <x:v>2.158865801331917</x:v>
      </x:c>
      <x:c r="I36" s="53" t="n">
        <x:f>'Debt &amp; cash'!S35*fund_yield</x:f>
        <x:v>0.13810558946983345</x:v>
      </x:c>
      <x:c r="J36" s="69" t="n">
        <x:f>Labour!Q36</x:f>
        <x:v>0</x:v>
      </x:c>
      <x:c r="K36" s="69" t="n">
        <x:f>Champions!BD36</x:f>
        <x:v>0</x:v>
      </x:c>
      <x:c r="L36" s="69" t="n">
        <x:f>Abroad!N36</x:f>
        <x:v>0.3414204165599025</x:v>
      </x:c>
      <x:c r="M36" s="53" t="n">
        <x:f>SUM(B36:L36)</x:f>
        <x:v>94.7281722563511</x:v>
      </x:c>
      <x:c r="N36" s="53" t="n">
        <x:f>(Paths!W36*army_cost+Paths!X36*res_cost)*Economy!H36/1000000</x:f>
        <x:v>13.16736</x:v>
      </x:c>
      <x:c r="O36" s="69" t="n">
        <x:f>Navy!Y36</x:f>
        <x:v>5.8566004000000005</x:v>
      </x:c>
      <x:c r="P36" s="53" t="n">
        <x:f>SUMPRODUCT((Events!$B$6:$B$158&lt;=$A36)*(Events!$C$6:$C$158&gt;=$A36)*(Events!$E$6:$E$158="War &amp; operations")*Events!$H$6:$H$158)</x:f>
        <x:v>0</x:v>
      </x:c>
      <x:c r="Q36" s="53" t="n">
        <x:f>Economy!O36*Paths!T36</x:f>
        <x:v>19.71383003971723</x:v>
      </x:c>
      <x:c r="R36" s="53" t="n">
        <x:f>Economy!O36*Paths!U36</x:f>
        <x:v>15.596885613752185</x:v>
      </x:c>
      <x:c r="S36" s="53" t="n">
        <x:f>Economy!O36*Paths!V36+SUMPRODUCT((Events!$B$6:$B$158&lt;=$A36)*(Events!$C$6:$C$158&gt;=$A36)*(Events!$E$6:$E$158="Programme")*Events!$H$6:$H$158)+SUMPRODUCT((Events!$B$6:$B$158&lt;=$A36)*(Events!$C$6:$C$158&gt;=$A36)*(Events!$E$6:$E$158="Investment")*Events!$H$6:$H$158)</x:f>
        <x:v>10.833760655330838</x:v>
      </x:c>
      <x:c r="T36" s="53" t="n">
        <x:f>(People!T36*assist_cost+Labour!AD36*talent_cost+Labour!L36*gw_admin)*Economy!H36/1000000</x:f>
        <x:v>2.809728</x:v>
      </x:c>
      <x:c r="U36" s="53" t="n">
        <x:f>SUMPRODUCT((Events!$B$6:$B$158&lt;=$A36)*(Events!$C$6:$C$158&gt;=$A36)*(Events!$E$6:$E$158="Purchase")*Events!$H$6:$H$158)</x:f>
        <x:v>20</x:v>
      </x:c>
      <x:c r="V36" s="53" t="n">
        <x:f>SUMPRODUCT((Events!$B$6:$B$158&lt;=$A36)*(Events!$C$6:$C$158&gt;=$A36)*(Events!$E$6:$E$158="Subsidy &amp; guarantee")*Events!$H$6:$H$158)+SUMPRODUCT((Events!$B$6:$B$158&lt;=$A36)*(Events!$C$6:$C$158&gt;=$A36)*(Events!$E$6:$E$158="Relief")*Events!$H$6:$H$158)</x:f>
        <x:v>2.5</x:v>
      </x:c>
      <x:c r="W36" s="53" t="n">
        <x:f>SUMPRODUCT((Events!$B$6:$B$158&lt;=$A36)*(Events!$C$6:$C$158&gt;=$A36)*(Events!$E$6:$E$158="Bank rescue &amp; capital")*Events!$H$6:$H$158)</x:f>
        <x:v>0</x:v>
      </x:c>
      <x:c r="X36" s="53" t="n">
        <x:f>'Debt &amp; cash'!R35*Paths!Y36</x:f>
        <x:v>8.383449430005005</x:v>
      </x:c>
      <x:c r="Y36" s="53" t="n">
        <x:f>SUM(N36:X36)</x:f>
        <x:v>98.86161413880525</x:v>
      </x:c>
      <x:c r="Z36" s="53" t="n">
        <x:f>M36-Y36</x:f>
        <x:v>-4.13344188245415</x:v>
      </x:c>
      <x:c r="AA36" s="63" t="n">
        <x:f>M36/Economy!O36</x:f>
        <x:v>0.11964856572421659</x:v>
      </x:c>
      <x:c r="AB36" s="63" t="n">
        <x:f>Y36/Economy!O36</x:f>
        <x:v>0.1248694032106792</x:v>
      </x:c>
      <x:c r="AC36" s="63" t="n">
        <x:f>(N36+O36+P36)/Economy!O36</x:f>
        <x:v>0.02402864451025746</x:v>
      </x:c>
    </x:row>
    <x:row r="37">
      <x:c r="A37" s="58" t="n">
        <x:v>1877</x:v>
      </x:c>
      <x:c r="B37" s="53" t="n">
        <x:f>Economy!O37*Paths!N37*Paths!O37*cust_coll</x:f>
        <x:v>21.336724933069664</x:v>
      </x:c>
      <x:c r="C37" s="53" t="n">
        <x:f>(Economy!J37+Economy!L37+Economy!M37+Economy!N37)*Paths!P37*Paths!Q37</x:f>
        <x:v>69.32951097591183</x:v>
      </x:c>
      <x:c r="D37" s="53" t="n">
        <x:f>Resources!P37+Resources!Q37</x:f>
        <x:v>3.361875000000001</x:v>
      </x:c>
      <x:c r="E37" s="53" t="n">
        <x:f>Paths!S37*(1-canal_opcost)*canal_share</x:f>
        <x:v>0</x:v>
      </x:c>
      <x:c r="F37" s="53" t="n">
        <x:f>Economy!O37*Paths!R37</x:f>
        <x:v>1.2850252423127546</x:v>
      </x:c>
      <x:c r="G37" s="53" t="n">
        <x:f>SUMPRODUCT((Events!$B$6:$B$158&lt;=$A37)*(Events!$C$6:$C$158&gt;=$A37)*(Events!$E$6:$E$158="Receipt")*Events!$H$6:$H$158)</x:f>
        <x:v>1</x:v>
      </x:c>
      <x:c r="H37" s="69" t="n">
        <x:f>Loans!Y37</x:f>
        <x:v>2.0754661692786405</x:v>
      </x:c>
      <x:c r="I37" s="53" t="n">
        <x:f>'Debt &amp; cash'!S36*fund_yield</x:f>
        <x:v>0</x:v>
      </x:c>
      <x:c r="J37" s="69" t="n">
        <x:f>Labour!Q37</x:f>
        <x:v>0</x:v>
      </x:c>
      <x:c r="K37" s="69" t="n">
        <x:f>Champions!BD37</x:f>
        <x:v>0</x:v>
      </x:c>
      <x:c r="L37" s="69" t="n">
        <x:f>Abroad!N37</x:f>
        <x:v>0.38614890065910035</x:v>
      </x:c>
      <x:c r="M37" s="53" t="n">
        <x:f>SUM(B37:L37)</x:f>
        <x:v>98.77475122123198</x:v>
      </x:c>
      <x:c r="N37" s="53" t="n">
        <x:f>(Paths!W37*army_cost+Paths!X37*res_cost)*Economy!H37/1000000</x:f>
        <x:v>13.04224</x:v>
      </x:c>
      <x:c r="O37" s="69" t="n">
        <x:f>Navy!Y37</x:f>
        <x:v>7.3943578</x:v>
      </x:c>
      <x:c r="P37" s="53" t="n">
        <x:f>SUMPRODUCT((Events!$B$6:$B$158&lt;=$A37)*(Events!$C$6:$C$158&gt;=$A37)*(Events!$E$6:$E$158="War &amp; operations")*Events!$H$6:$H$158)</x:f>
        <x:v>0.5</x:v>
      </x:c>
      <x:c r="Q37" s="53" t="n">
        <x:f>Economy!O37*Paths!T37</x:f>
        <x:v>20.892023294375107</x:v>
      </x:c>
      <x:c r="R37" s="53" t="n">
        <x:f>Economy!O37*Paths!U37</x:f>
        <x:v>16.415161159866155</x:v>
      </x:c>
      <x:c r="S37" s="53" t="n">
        <x:f>Economy!O37*Paths!V37+SUMPRODUCT((Events!$B$6:$B$158&lt;=$A37)*(Events!$C$6:$C$158&gt;=$A37)*(Events!$E$6:$E$158="Programme")*Events!$H$6:$H$158)+SUMPRODUCT((Events!$B$6:$B$158&lt;=$A37)*(Events!$C$6:$C$158&gt;=$A37)*(Events!$E$6:$E$158="Investment")*Events!$H$6:$H$158)</x:f>
        <x:v>11.298198056106184</x:v>
      </x:c>
      <x:c r="T37" s="53" t="n">
        <x:f>(People!T37*assist_cost+Labour!AD37*talent_cost+Labour!L37*gw_admin)*Economy!H37/1000000</x:f>
        <x:v>2.778048</x:v>
      </x:c>
      <x:c r="U37" s="53" t="n">
        <x:f>SUMPRODUCT((Events!$B$6:$B$158&lt;=$A37)*(Events!$C$6:$C$158&gt;=$A37)*(Events!$E$6:$E$158="Purchase")*Events!$H$6:$H$158)</x:f>
        <x:v>0</x:v>
      </x:c>
      <x:c r="V37" s="53" t="n">
        <x:f>SUMPRODUCT((Events!$B$6:$B$158&lt;=$A37)*(Events!$C$6:$C$158&gt;=$A37)*(Events!$E$6:$E$158="Subsidy &amp; guarantee")*Events!$H$6:$H$158)+SUMPRODUCT((Events!$B$6:$B$158&lt;=$A37)*(Events!$C$6:$C$158&gt;=$A37)*(Events!$E$6:$E$158="Relief")*Events!$H$6:$H$158)</x:f>
        <x:v>3</x:v>
      </x:c>
      <x:c r="W37" s="53" t="n">
        <x:f>SUMPRODUCT((Events!$B$6:$B$158&lt;=$A37)*(Events!$C$6:$C$158&gt;=$A37)*(Events!$E$6:$E$158="Bank rescue &amp; capital")*Events!$H$6:$H$158)</x:f>
        <x:v>0</x:v>
      </x:c>
      <x:c r="X37" s="53" t="n">
        <x:f>'Debt &amp; cash'!R36*Paths!Y37</x:f>
        <x:v>8.342638305096557</x:v>
      </x:c>
      <x:c r="Y37" s="53" t="n">
        <x:f>SUM(N37:X37)</x:f>
        <x:v>83.66266661544401</x:v>
      </x:c>
      <x:c r="Z37" s="53" t="n">
        <x:f>M37-Y37</x:f>
        <x:v>15.11208460578797</x:v>
      </x:c>
      <x:c r="AA37" s="63" t="n">
        <x:f>M37/Economy!O37</x:f>
        <x:v>0.11914230114060846</x:v>
      </x:c>
      <x:c r="AB37" s="63" t="n">
        <x:f>Y37/Economy!O37</x:f>
        <x:v>0.10091407466871914</x:v>
      </x:c>
      <x:c r="AC37" s="63" t="n">
        <x:f>(N37+O37+P37)/Economy!O37</x:f>
        <x:v>0.02525376585723269</x:v>
      </x:c>
    </x:row>
    <x:row r="38">
      <x:c r="A38" s="58" t="n">
        <x:v>1878</x:v>
      </x:c>
      <x:c r="B38" s="53" t="n">
        <x:f>Economy!O38*Paths!N38*Paths!O38*cust_coll</x:f>
        <x:v>22.580745164749345</x:v>
      </x:c>
      <x:c r="C38" s="53" t="n">
        <x:f>(Economy!J38+Economy!L38+Economy!M38+Economy!N38)*Paths!P38*Paths!Q38</x:f>
        <x:v>75.18388078803491</x:v>
      </x:c>
      <x:c r="D38" s="53" t="n">
        <x:f>Resources!P38+Resources!Q38</x:f>
        <x:v>2.635125</x:v>
      </x:c>
      <x:c r="E38" s="53" t="n">
        <x:f>Paths!S38*(1-canal_opcost)*canal_share</x:f>
        <x:v>0</x:v>
      </x:c>
      <x:c r="F38" s="53" t="n">
        <x:f>Economy!O38*Paths!R38</x:f>
        <x:v>1.5016377497720934</x:v>
      </x:c>
      <x:c r="G38" s="53" t="n">
        <x:f>SUMPRODUCT((Events!$B$6:$B$158&lt;=$A38)*(Events!$C$6:$C$158&gt;=$A38)*(Events!$E$6:$E$158="Receipt")*Events!$H$6:$H$158)</x:f>
        <x:v>1</x:v>
      </x:c>
      <x:c r="H38" s="69" t="n">
        <x:f>Loans!Y38</x:f>
        <x:v>1.9953138725074946</x:v>
      </x:c>
      <x:c r="I38" s="53" t="n">
        <x:f>'Debt &amp; cash'!S37*fund_yield</x:f>
        <x:v>0.10185209230684898</x:v>
      </x:c>
      <x:c r="J38" s="69" t="n">
        <x:f>Labour!Q38</x:f>
        <x:v>0</x:v>
      </x:c>
      <x:c r="K38" s="69" t="n">
        <x:f>Champions!BD38</x:f>
        <x:v>0</x:v>
      </x:c>
      <x:c r="L38" s="69" t="n">
        <x:f>Abroad!N38</x:f>
        <x:v>0.42821123931477745</x:v>
      </x:c>
      <x:c r="M38" s="53" t="n">
        <x:f>SUM(B38:L38)</x:f>
        <x:v>105.42676590668546</x:v>
      </x:c>
      <x:c r="N38" s="53" t="n">
        <x:f>(Paths!W38*army_cost+Paths!X38*res_cost)*Economy!H38/1000000</x:f>
        <x:v>12.91264</x:v>
      </x:c>
      <x:c r="O38" s="69" t="n">
        <x:f>Navy!Y38</x:f>
        <x:v>7.846505600000001</x:v>
      </x:c>
      <x:c r="P38" s="53" t="n">
        <x:f>SUMPRODUCT((Events!$B$6:$B$158&lt;=$A38)*(Events!$C$6:$C$158&gt;=$A38)*(Events!$E$6:$E$158="War &amp; operations")*Events!$H$6:$H$158)</x:f>
        <x:v>6</x:v>
      </x:c>
      <x:c r="Q38" s="53" t="n">
        <x:f>Economy!O38*Paths!T38</x:f>
        <x:v>22.5245662465814</x:v>
      </x:c>
      <x:c r="R38" s="53" t="n">
        <x:f>Economy!O38*Paths!U38</x:f>
        <x:v>17.489663203227916</x:v>
      </x:c>
      <x:c r="S38" s="53" t="n">
        <x:f>Economy!O38*Paths!V38+SUMPRODUCT((Events!$B$6:$B$158&lt;=$A38)*(Events!$C$6:$C$158&gt;=$A38)*(Events!$E$6:$E$158="Programme")*Events!$H$6:$H$158)+SUMPRODUCT((Events!$B$6:$B$158&lt;=$A38)*(Events!$C$6:$C$158&gt;=$A38)*(Events!$E$6:$E$158="Investment")*Events!$H$6:$H$158)</x:f>
        <x:v>14.419857116520934</x:v>
      </x:c>
      <x:c r="T38" s="53" t="n">
        <x:f>(People!T38*assist_cost+Labour!AD38*talent_cost+Labour!L38*gw_admin)*Economy!H38/1000000</x:f>
        <x:v>2.725632</x:v>
      </x:c>
      <x:c r="U38" s="53" t="n">
        <x:f>SUMPRODUCT((Events!$B$6:$B$158&lt;=$A38)*(Events!$C$6:$C$158&gt;=$A38)*(Events!$E$6:$E$158="Purchase")*Events!$H$6:$H$158)</x:f>
        <x:v>0</x:v>
      </x:c>
      <x:c r="V38" s="53" t="n">
        <x:f>SUMPRODUCT((Events!$B$6:$B$158&lt;=$A38)*(Events!$C$6:$C$158&gt;=$A38)*(Events!$E$6:$E$158="Subsidy &amp; guarantee")*Events!$H$6:$H$158)+SUMPRODUCT((Events!$B$6:$B$158&lt;=$A38)*(Events!$C$6:$C$158&gt;=$A38)*(Events!$E$6:$E$158="Relief")*Events!$H$6:$H$158)</x:f>
        <x:v>3</x:v>
      </x:c>
      <x:c r="W38" s="53" t="n">
        <x:f>SUMPRODUCT((Events!$B$6:$B$158&lt;=$A38)*(Events!$C$6:$C$158&gt;=$A38)*(Events!$E$6:$E$158="Bank rescue &amp; capital")*Events!$H$6:$H$158)</x:f>
        <x:v>0</x:v>
      </x:c>
      <x:c r="X38" s="53" t="n">
        <x:f>'Debt &amp; cash'!R37*Paths!Y38</x:f>
        <x:v>7.517879052063312</x:v>
      </x:c>
      <x:c r="Y38" s="53" t="n">
        <x:f>SUM(N38:X38)</x:f>
        <x:v>94.43674321839356</x:v>
      </x:c>
      <x:c r="Z38" s="53" t="n">
        <x:f>M38-Y38</x:f>
        <x:v>10.990022688291901</x:v>
      </x:c>
      <x:c r="AA38" s="63" t="n">
        <x:f>M38/Economy!O38</x:f>
        <x:v>0.11935335407528658</x:v>
      </x:c>
      <x:c r="AB38" s="63" t="n">
        <x:f>Y38/Economy!O38</x:f>
        <x:v>0.10691157937101334</x:v>
      </x:c>
      <x:c r="AC38" s="63" t="n">
        <x:f>(N38+O38+P38)/Economy!O38</x:f>
        <x:v>0.030293955733933956</x:v>
      </x:c>
    </x:row>
    <x:row r="39">
      <x:c r="A39" s="58" t="n">
        <x:v>1879</x:v>
      </x:c>
      <x:c r="B39" s="53" t="n">
        <x:f>Economy!O39*Paths!N39*Paths!O39*cust_coll</x:f>
        <x:v>23.507022885845835</x:v>
      </x:c>
      <x:c r="C39" s="53" t="n">
        <x:f>(Economy!J39+Economy!L39+Economy!M39+Economy!N39)*Paths!P39*Paths!Q39</x:f>
        <x:v>79.7726170573184</x:v>
      </x:c>
      <x:c r="D39" s="53" t="n">
        <x:f>Resources!P39+Resources!Q39</x:f>
        <x:v>2.0882500000000004</x:v>
      </x:c>
      <x:c r="E39" s="53" t="n">
        <x:f>Paths!S39*(1-canal_opcost)*canal_share</x:f>
        <x:v>0</x:v>
      </x:c>
      <x:c r="F39" s="53" t="n">
        <x:f>Economy!O39*Paths!R39</x:f>
        <x:v>1.7134748754458156</x:v>
      </x:c>
      <x:c r="G39" s="53" t="n">
        <x:f>SUMPRODUCT((Events!$B$6:$B$158&lt;=$A39)*(Events!$C$6:$C$158&gt;=$A39)*(Events!$E$6:$E$158="Receipt")*Events!$H$6:$H$158)</x:f>
        <x:v>1</x:v>
      </x:c>
      <x:c r="H39" s="69" t="n">
        <x:f>Loans!Y39</x:f>
        <x:v>1.9182816771071949</x:v>
      </x:c>
      <x:c r="I39" s="53" t="n">
        <x:f>'Debt &amp; cash'!S38*fund_yield</x:f>
        <x:v>0.16712743012414058</x:v>
      </x:c>
      <x:c r="J39" s="69" t="n">
        <x:f>Labour!Q39</x:f>
        <x:v>0</x:v>
      </x:c>
      <x:c r="K39" s="69" t="n">
        <x:f>Champions!BD39</x:f>
        <x:v>0</x:v>
      </x:c>
      <x:c r="L39" s="69" t="n">
        <x:f>Abroad!N39</x:f>
        <x:v>0.4801700054510832</x:v>
      </x:c>
      <x:c r="M39" s="53" t="n">
        <x:f>SUM(B39:L39)</x:f>
        <x:v>110.64694393129245</x:v>
      </x:c>
      <x:c r="N39" s="53" t="n">
        <x:f>(Paths!W39*army_cost+Paths!X39*res_cost)*Economy!H39/1000000</x:f>
        <x:v>12.77856</x:v>
      </x:c>
      <x:c r="O39" s="69" t="n">
        <x:f>Navy!Y39</x:f>
        <x:v>6.1785727999999995</x:v>
      </x:c>
      <x:c r="P39" s="53" t="n">
        <x:f>SUMPRODUCT((Events!$B$6:$B$158&lt;=$A39)*(Events!$C$6:$C$158&gt;=$A39)*(Events!$E$6:$E$158="War &amp; operations")*Events!$H$6:$H$158)</x:f>
        <x:v>0</x:v>
      </x:c>
      <x:c r="Q39" s="53" t="n">
        <x:f>Economy!O39*Paths!T39</x:f>
        <x:v>23.803407729166196</x:v>
      </x:c>
      <x:c r="R39" s="53" t="n">
        <x:f>Economy!O39*Paths!U39</x:f>
        <x:v>18.43143244398472</x:v>
      </x:c>
      <x:c r="S39" s="53" t="n">
        <x:f>Economy!O39*Paths!V39+SUMPRODUCT((Events!$B$6:$B$158&lt;=$A39)*(Events!$C$6:$C$158&gt;=$A39)*(Events!$E$6:$E$158="Programme")*Events!$H$6:$H$158)+SUMPRODUCT((Events!$B$6:$B$158&lt;=$A39)*(Events!$C$6:$C$158&gt;=$A39)*(Events!$E$6:$E$158="Investment")*Events!$H$6:$H$158)</x:f>
        <x:v>15.057962927772213</x:v>
      </x:c>
      <x:c r="T39" s="53" t="n">
        <x:f>(People!T39*assist_cost+Labour!AD39*talent_cost+Labour!L39*gw_admin)*Economy!H39/1000000</x:f>
        <x:v>2.673216</x:v>
      </x:c>
      <x:c r="U39" s="53" t="n">
        <x:f>SUMPRODUCT((Events!$B$6:$B$158&lt;=$A39)*(Events!$C$6:$C$158&gt;=$A39)*(Events!$E$6:$E$158="Purchase")*Events!$H$6:$H$158)</x:f>
        <x:v>0</x:v>
      </x:c>
      <x:c r="V39" s="53" t="n">
        <x:f>SUMPRODUCT((Events!$B$6:$B$158&lt;=$A39)*(Events!$C$6:$C$158&gt;=$A39)*(Events!$E$6:$E$158="Subsidy &amp; guarantee")*Events!$H$6:$H$158)+SUMPRODUCT((Events!$B$6:$B$158&lt;=$A39)*(Events!$C$6:$C$158&gt;=$A39)*(Events!$E$6:$E$158="Relief")*Events!$H$6:$H$158)</x:f>
        <x:v>3</x:v>
      </x:c>
      <x:c r="W39" s="53" t="n">
        <x:f>SUMPRODUCT((Events!$B$6:$B$158&lt;=$A39)*(Events!$C$6:$C$158&gt;=$A39)*(Events!$E$6:$E$158="Bank rescue &amp; capital")*Events!$H$6:$H$158)</x:f>
        <x:v>0</x:v>
      </x:c>
      <x:c r="X39" s="53" t="n">
        <x:f>'Debt &amp; cash'!R38*Paths!Y39</x:f>
        <x:v>6.913966241587058</x:v>
      </x:c>
      <x:c r="Y39" s="53" t="n">
        <x:f>SUM(N39:X39)</x:f>
        <x:v>88.83711814251018</x:v>
      </x:c>
      <x:c r="Z39" s="53" t="n">
        <x:f>M39-Y39</x:f>
        <x:v>21.809825788782277</x:v>
      </x:c>
      <x:c r="AA39" s="63" t="n">
        <x:f>M39/Economy!O39</x:f>
        <x:v>0.11946299838194743</x:v>
      </x:c>
      <x:c r="AB39" s="63" t="n">
        <x:f>Y39/Economy!O39</x:f>
        <x:v>0.09591542363344151</x:v>
      </x:c>
      <x:c r="AC39" s="63" t="n">
        <x:f>(N39+O39+P39)/Economy!O39</x:f>
        <x:v>0.020467586763345584</x:v>
      </x:c>
    </x:row>
    <x:row r="40">
      <x:c r="A40" s="58" t="n">
        <x:v>1880</x:v>
      </x:c>
      <x:c r="B40" s="53" t="n">
        <x:f>Economy!O40*Paths!N40*Paths!O40*cust_coll</x:f>
        <x:v>24.654104810067885</x:v>
      </x:c>
      <x:c r="C40" s="53" t="n">
        <x:f>(Economy!J40+Economy!L40+Economy!M40+Economy!N40)*Paths!P40*Paths!Q40</x:f>
        <x:v>84.56832653757911</x:v>
      </x:c>
      <x:c r="D40" s="53" t="n">
        <x:f>Resources!P40+Resources!Q40</x:f>
        <x:v>1.9957500000000001</x:v>
      </x:c>
      <x:c r="E40" s="53" t="n">
        <x:f>Paths!S40*(1-canal_opcost)*canal_share</x:f>
        <x:v>0</x:v>
      </x:c>
      <x:c r="F40" s="53" t="n">
        <x:f>Economy!O40*Paths!R40</x:f>
        <x:v>1.956954549861717</x:v>
      </x:c>
      <x:c r="G40" s="53" t="n">
        <x:f>SUMPRODUCT((Events!$B$6:$B$158&lt;=$A40)*(Events!$C$6:$C$158&gt;=$A40)*(Events!$E$6:$E$158="Receipt")*Events!$H$6:$H$158)</x:f>
        <x:v>1</x:v>
      </x:c>
      <x:c r="H40" s="69" t="n">
        <x:f>Loans!Y40</x:f>
        <x:v>1.8442473587379071</x:v>
      </x:c>
      <x:c r="I40" s="53" t="n">
        <x:f>'Debt &amp; cash'!S39*fund_yield</x:f>
        <x:v>0.3228274224448424</x:v>
      </x:c>
      <x:c r="J40" s="69" t="n">
        <x:f>Labour!Q40</x:f>
        <x:v>0</x:v>
      </x:c>
      <x:c r="K40" s="69" t="n">
        <x:f>Champions!BD40</x:f>
        <x:v>0.8654362900402096</x:v>
      </x:c>
      <x:c r="L40" s="69" t="n">
        <x:f>Abroad!N40</x:f>
        <x:v>0.6034581971344475</x:v>
      </x:c>
      <x:c r="M40" s="53" t="n">
        <x:f>SUM(B40:L40)</x:f>
        <x:v>117.81110516586611</x:v>
      </x:c>
      <x:c r="N40" s="53" t="n">
        <x:f>(Paths!W40*army_cost+Paths!X40*res_cost)*Economy!H40/1000000</x:f>
        <x:v>12.64</x:v>
      </x:c>
      <x:c r="O40" s="69" t="n">
        <x:f>Navy!Y40</x:f>
        <x:v>7.7606399999999995</x:v>
      </x:c>
      <x:c r="P40" s="53" t="n">
        <x:f>SUMPRODUCT((Events!$B$6:$B$158&lt;=$A40)*(Events!$C$6:$C$158&gt;=$A40)*(Events!$E$6:$E$158="War &amp; operations")*Events!$H$6:$H$158)</x:f>
        <x:v>0</x:v>
      </x:c>
      <x:c r="Q40" s="53" t="n">
        <x:f>Economy!O40*Paths!T40</x:f>
        <x:v>25.44040914820232</x:v>
      </x:c>
      <x:c r="R40" s="53" t="n">
        <x:f>Economy!O40*Paths!U40</x:f>
        <x:v>19.56954549861717</x:v>
      </x:c>
      <x:c r="S40" s="53" t="n">
        <x:f>Economy!O40*Paths!V40+SUMPRODUCT((Events!$B$6:$B$158&lt;=$A40)*(Events!$C$6:$C$158&gt;=$A40)*(Events!$E$6:$E$158="Programme")*Events!$H$6:$H$158)+SUMPRODUCT((Events!$B$6:$B$158&lt;=$A40)*(Events!$C$6:$C$158&gt;=$A40)*(Events!$E$6:$E$158="Investment")*Events!$H$6:$H$158)</x:f>
        <x:v>13.70844774688464</x:v>
      </x:c>
      <x:c r="T40" s="53" t="n">
        <x:f>(People!T40*assist_cost+Labour!AD40*talent_cost+Labour!L40*gw_admin)*Economy!H40/1000000</x:f>
        <x:v>3.06900629157746</x:v>
      </x:c>
      <x:c r="U40" s="53" t="n">
        <x:f>SUMPRODUCT((Events!$B$6:$B$158&lt;=$A40)*(Events!$C$6:$C$158&gt;=$A40)*(Events!$E$6:$E$158="Purchase")*Events!$H$6:$H$158)</x:f>
        <x:v>10</x:v>
      </x:c>
      <x:c r="V40" s="53" t="n">
        <x:f>SUMPRODUCT((Events!$B$6:$B$158&lt;=$A40)*(Events!$C$6:$C$158&gt;=$A40)*(Events!$E$6:$E$158="Subsidy &amp; guarantee")*Events!$H$6:$H$158)+SUMPRODUCT((Events!$B$6:$B$158&lt;=$A40)*(Events!$C$6:$C$158&gt;=$A40)*(Events!$E$6:$E$158="Relief")*Events!$H$6:$H$158)</x:f>
        <x:v>2.5</x:v>
      </x:c>
      <x:c r="W40" s="53" t="n">
        <x:f>SUMPRODUCT((Events!$B$6:$B$158&lt;=$A40)*(Events!$C$6:$C$158&gt;=$A40)*(Events!$E$6:$E$158="Bank rescue &amp; capital")*Events!$H$6:$H$158)</x:f>
        <x:v>0</x:v>
      </x:c>
      <x:c r="X40" s="53" t="n">
        <x:f>'Debt &amp; cash'!R39*Paths!Y40</x:f>
        <x:v>5.849068068042687</x:v>
      </x:c>
      <x:c r="Y40" s="53" t="n">
        <x:f>SUM(N40:X40)</x:f>
        <x:v>100.53711675332428</x:v>
      </x:c>
      <x:c r="Z40" s="53" t="n">
        <x:f>M40-Y40</x:f>
        <x:v>17.273988412541826</x:v>
      </x:c>
      <x:c r="AA40" s="63" t="n">
        <x:f>M40/Economy!O40</x:f>
        <x:v>0.12040249496258451</x:v>
      </x:c>
      <x:c r="AB40" s="63" t="n">
        <x:f>Y40/Economy!O40</x:f>
        <x:v>0.10274854544826141</x:v>
      </x:c>
      <x:c r="AC40" s="63" t="n">
        <x:f>(N40+O40+P40)/Economy!O40</x:f>
        <x:v>0.020849375374038765</x:v>
      </x:c>
    </x:row>
    <x:row r="41">
      <x:c r="A41" s="58" t="n">
        <x:v>1881</x:v>
      </x:c>
      <x:c r="B41" s="53" t="n">
        <x:f>Economy!O41*Paths!N41*Paths!O41*cust_coll</x:f>
        <x:v>26.007133708293956</x:v>
      </x:c>
      <x:c r="C41" s="53" t="n">
        <x:f>(Economy!J41+Economy!L41+Economy!M41+Economy!N41)*Paths!P41*Paths!Q41</x:f>
        <x:v>77.1218398220136</x:v>
      </x:c>
      <x:c r="D41" s="53" t="n">
        <x:f>Resources!P41+Resources!Q41</x:f>
        <x:v>2.016675</x:v>
      </x:c>
      <x:c r="E41" s="53" t="n">
        <x:f>Paths!S41*(1-canal_opcost)*canal_share</x:f>
        <x:v>0</x:v>
      </x:c>
      <x:c r="F41" s="53" t="n">
        <x:f>Economy!O41*Paths!R41</x:f>
        <x:v>2.078608490248722</x:v>
      </x:c>
      <x:c r="G41" s="53" t="n">
        <x:f>SUMPRODUCT((Events!$B$6:$B$158&lt;=$A41)*(Events!$C$6:$C$158&gt;=$A41)*(Events!$E$6:$E$158="Receipt")*Events!$H$6:$H$158)</x:f>
        <x:v>1</x:v>
      </x:c>
      <x:c r="H41" s="69" t="n">
        <x:f>Loans!Y41</x:f>
        <x:v>1.773093504641941</x:v>
      </x:c>
      <x:c r="I41" s="53" t="n">
        <x:f>'Debt &amp; cash'!S40*fund_yield</x:f>
        <x:v>0.3582165143753707</x:v>
      </x:c>
      <x:c r="J41" s="69" t="n">
        <x:f>Labour!Q41</x:f>
        <x:v>0</x:v>
      </x:c>
      <x:c r="K41" s="69" t="n">
        <x:f>Champions!BD41</x:f>
        <x:v>0.988442398530678</x:v>
      </x:c>
      <x:c r="L41" s="69" t="n">
        <x:f>Abroad!N41</x:f>
        <x:v>0.6791335280715229</x:v>
      </x:c>
      <x:c r="M41" s="53" t="n">
        <x:f>SUM(B41:L41)</x:f>
        <x:v>112.02314296617578</x:v>
      </x:c>
      <x:c r="N41" s="53" t="n">
        <x:f>(Paths!W41*army_cost+Paths!X41*res_cost)*Economy!H41/1000000</x:f>
        <x:v>12.91532</x:v>
      </x:c>
      <x:c r="O41" s="69" t="n">
        <x:f>Navy!Y41</x:f>
        <x:v>7.9569090000000005</x:v>
      </x:c>
      <x:c r="P41" s="53" t="n">
        <x:f>SUMPRODUCT((Events!$B$6:$B$158&lt;=$A41)*(Events!$C$6:$C$158&gt;=$A41)*(Events!$E$6:$E$158="War &amp; operations")*Events!$H$6:$H$158)</x:f>
        <x:v>0</x:v>
      </x:c>
      <x:c r="Q41" s="53" t="n">
        <x:f>Economy!O41*Paths!T41</x:f>
        <x:v>27.541562495795564</x:v>
      </x:c>
      <x:c r="R41" s="53" t="n">
        <x:f>Economy!O41*Paths!U41</x:f>
        <x:v>20.786084902487218</x:v>
      </x:c>
      <x:c r="S41" s="53" t="n">
        <x:f>Economy!O41*Paths!V41+SUMPRODUCT((Events!$B$6:$B$158&lt;=$A41)*(Events!$C$6:$C$158&gt;=$A41)*(Events!$E$6:$E$158="Programme")*Events!$H$6:$H$158)+SUMPRODUCT((Events!$B$6:$B$158&lt;=$A41)*(Events!$C$6:$C$158&gt;=$A41)*(Events!$E$6:$E$158="Investment")*Events!$H$6:$H$158)</x:f>
        <x:v>14.457668630631686</x:v>
      </x:c>
      <x:c r="T41" s="53" t="n">
        <x:f>(People!T41*assist_cost+Labour!AD41*talent_cost+Labour!L41*gw_admin)*Economy!H41/1000000</x:f>
        <x:v>2.581488</x:v>
      </x:c>
      <x:c r="U41" s="53" t="n">
        <x:f>SUMPRODUCT((Events!$B$6:$B$158&lt;=$A41)*(Events!$C$6:$C$158&gt;=$A41)*(Events!$E$6:$E$158="Purchase")*Events!$H$6:$H$158)</x:f>
        <x:v>0</x:v>
      </x:c>
      <x:c r="V41" s="53" t="n">
        <x:f>SUMPRODUCT((Events!$B$6:$B$158&lt;=$A41)*(Events!$C$6:$C$158&gt;=$A41)*(Events!$E$6:$E$158="Subsidy &amp; guarantee")*Events!$H$6:$H$158)+SUMPRODUCT((Events!$B$6:$B$158&lt;=$A41)*(Events!$C$6:$C$158&gt;=$A41)*(Events!$E$6:$E$158="Relief")*Events!$H$6:$H$158)</x:f>
        <x:v>2.5</x:v>
      </x:c>
      <x:c r="W41" s="53" t="n">
        <x:f>SUMPRODUCT((Events!$B$6:$B$158&lt;=$A41)*(Events!$C$6:$C$158&gt;=$A41)*(Events!$E$6:$E$158="Bank rescue &amp; capital")*Events!$H$6:$H$158)</x:f>
        <x:v>0</x:v>
      </x:c>
      <x:c r="X41" s="53" t="n">
        <x:f>'Debt &amp; cash'!R40*Paths!Y41</x:f>
        <x:v>5.467411633668382</x:v>
      </x:c>
      <x:c r="Y41" s="53" t="n">
        <x:f>SUM(N41:X41)</x:f>
        <x:v>94.20644466258284</x:v>
      </x:c>
      <x:c r="Z41" s="53" t="n">
        <x:f>M41-Y41</x:f>
        <x:v>17.816698303592943</x:v>
      </x:c>
      <x:c r="AA41" s="63" t="n">
        <x:f>M41/Economy!O41</x:f>
        <x:v>0.10778666929506416</x:v>
      </x:c>
      <x:c r="AB41" s="63" t="n">
        <x:f>Y41/Economy!O41</x:f>
        <x:v>0.09064376009674655</x:v>
      </x:c>
      <x:c r="AC41" s="63" t="n">
        <x:f>(N41+O41+P41)/Economy!O41</x:f>
        <x:v>0.020082886313528406</x:v>
      </x:c>
    </x:row>
    <x:row r="42">
      <x:c r="A42" s="58" t="n">
        <x:v>1882</x:v>
      </x:c>
      <x:c r="B42" s="53" t="n">
        <x:f>Economy!O42*Paths!N42*Paths!O42*cust_coll</x:f>
        <x:v>27.31974000167588</x:v>
      </x:c>
      <x:c r="C42" s="53" t="n">
        <x:f>(Economy!J42+Economy!L42+Economy!M42+Economy!N42)*Paths!P42*Paths!Q42</x:f>
        <x:v>81.73454175994382</x:v>
      </x:c>
      <x:c r="D42" s="53" t="n">
        <x:f>Resources!P42+Resources!Q42</x:f>
        <x:v>2.0349</x:v>
      </x:c>
      <x:c r="E42" s="53" t="n">
        <x:f>Paths!S42*(1-canal_opcost)*canal_share</x:f>
        <x:v>0</x:v>
      </x:c>
      <x:c r="F42" s="53" t="n">
        <x:f>Economy!O42*Paths!R42</x:f>
        <x:v>2.199657004965852</x:v>
      </x:c>
      <x:c r="G42" s="53" t="n">
        <x:f>SUMPRODUCT((Events!$B$6:$B$158&lt;=$A42)*(Events!$C$6:$C$158&gt;=$A42)*(Events!$E$6:$E$158="Receipt")*Events!$H$6:$H$158)</x:f>
        <x:v>1</x:v>
      </x:c>
      <x:c r="H42" s="69" t="n">
        <x:f>Loans!Y42</x:f>
        <x:v>1.704707323502207</x:v>
      </x:c>
      <x:c r="I42" s="53" t="n">
        <x:f>'Debt &amp; cash'!S41*fund_yield</x:f>
        <x:v>0.40282135275895525</x:v>
      </x:c>
      <x:c r="J42" s="69" t="n">
        <x:f>Labour!Q42</x:f>
        <x:v>0</x:v>
      </x:c>
      <x:c r="K42" s="69" t="n">
        <x:f>Champions!BD42</x:f>
        <x:v>1.1501976581706073</x:v>
      </x:c>
      <x:c r="L42" s="69" t="n">
        <x:f>Abroad!N42</x:f>
        <x:v>0.8065872444802749</x:v>
      </x:c>
      <x:c r="M42" s="53" t="n">
        <x:f>SUM(B42:L42)</x:f>
        <x:v>118.35315234549759</x:v>
      </x:c>
      <x:c r="N42" s="53" t="n">
        <x:f>(Paths!W42*army_cost+Paths!X42*res_cost)*Economy!H42/1000000</x:f>
        <x:v>13.16484</x:v>
      </x:c>
      <x:c r="O42" s="69" t="n">
        <x:f>Navy!Y42</x:f>
        <x:v>6.2879984</x:v>
      </x:c>
      <x:c r="P42" s="53" t="n">
        <x:f>SUMPRODUCT((Events!$B$6:$B$158&lt;=$A42)*(Events!$C$6:$C$158&gt;=$A42)*(Events!$E$6:$E$158="War &amp; operations")*Events!$H$6:$H$158)</x:f>
        <x:v>0</x:v>
      </x:c>
      <x:c r="Q42" s="53" t="n">
        <x:f>Economy!O42*Paths!T42</x:f>
        <x:v>29.695369567039</x:v>
      </x:c>
      <x:c r="R42" s="53" t="n">
        <x:f>Economy!O42*Paths!U42</x:f>
        <x:v>21.996570049658516</x:v>
      </x:c>
      <x:c r="S42" s="53" t="n">
        <x:f>Economy!O42*Paths!V42+SUMPRODUCT((Events!$B$6:$B$158&lt;=$A42)*(Events!$C$6:$C$158&gt;=$A42)*(Events!$E$6:$E$158="Programme")*Events!$H$6:$H$158)+SUMPRODUCT((Events!$B$6:$B$158&lt;=$A42)*(Events!$C$6:$C$158&gt;=$A42)*(Events!$E$6:$E$158="Investment")*Events!$H$6:$H$158)</x:f>
        <x:v>14.92840507309121</x:v>
      </x:c>
      <x:c r="T42" s="53" t="n">
        <x:f>(People!T42*assist_cost+Labour!AD42*talent_cost+Labour!L42*gw_admin)*Economy!H42/1000000</x:f>
        <x:v>2.5947597644106115</x:v>
      </x:c>
      <x:c r="U42" s="53" t="n">
        <x:f>SUMPRODUCT((Events!$B$6:$B$158&lt;=$A42)*(Events!$C$6:$C$158&gt;=$A42)*(Events!$E$6:$E$158="Purchase")*Events!$H$6:$H$158)</x:f>
        <x:v>0</x:v>
      </x:c>
      <x:c r="V42" s="53" t="n">
        <x:f>SUMPRODUCT((Events!$B$6:$B$158&lt;=$A42)*(Events!$C$6:$C$158&gt;=$A42)*(Events!$E$6:$E$158="Subsidy &amp; guarantee")*Events!$H$6:$H$158)+SUMPRODUCT((Events!$B$6:$B$158&lt;=$A42)*(Events!$C$6:$C$158&gt;=$A42)*(Events!$E$6:$E$158="Relief")*Events!$H$6:$H$158)</x:f>
        <x:v>2.5</x:v>
      </x:c>
      <x:c r="W42" s="53" t="n">
        <x:f>SUMPRODUCT((Events!$B$6:$B$158&lt;=$A42)*(Events!$C$6:$C$158&gt;=$A42)*(Events!$E$6:$E$158="Bank rescue &amp; capital")*Events!$H$6:$H$158)</x:f>
        <x:v>0</x:v>
      </x:c>
      <x:c r="X42" s="53" t="n">
        <x:f>'Debt &amp; cash'!R41*Paths!Y42</x:f>
        <x:v>5.060003522286145</x:v>
      </x:c>
      <x:c r="Y42" s="53" t="n">
        <x:f>SUM(N42:X42)</x:f>
        <x:v>96.22794637648548</x:v>
      </x:c>
      <x:c r="Z42" s="53" t="n">
        <x:f>M42-Y42</x:f>
        <x:v>22.125205969012114</x:v>
      </x:c>
      <x:c r="AA42" s="63" t="n">
        <x:f>M42/Economy!O42</x:f>
        <x:v>0.10761055207999118</x:v>
      </x:c>
      <x:c r="AB42" s="63" t="n">
        <x:f>Y42/Economy!O42</x:f>
        <x:v>0.08749359210026415</x:v>
      </x:c>
      <x:c r="AC42" s="63" t="n">
        <x:f>(N42+O42+P42)/Economy!O42</x:f>
        <x:v>0.01768715609395838</x:v>
      </x:c>
    </x:row>
    <x:row r="43">
      <x:c r="A43" s="58" t="n">
        <x:v>1883</x:v>
      </x:c>
      <x:c r="B43" s="53" t="n">
        <x:f>Economy!O43*Paths!N43*Paths!O43*cust_coll</x:f>
        <x:v>28.663004880313018</x:v>
      </x:c>
      <x:c r="C43" s="53" t="n">
        <x:f>(Economy!J43+Economy!L43+Economy!M43+Economy!N43)*Paths!P43*Paths!Q43</x:f>
        <x:v>86.51064631009075</x:v>
      </x:c>
      <x:c r="D43" s="53" t="n">
        <x:f>Resources!P43+Resources!Q43</x:f>
        <x:v>2.0547</x:v>
      </x:c>
      <x:c r="E43" s="53" t="n">
        <x:f>Paths!S43*(1-canal_opcost)*canal_share</x:f>
        <x:v>0</x:v>
      </x:c>
      <x:c r="F43" s="53" t="n">
        <x:f>Economy!O43*Paths!R43</x:f>
        <x:v>2.3249951234010657</x:v>
      </x:c>
      <x:c r="G43" s="53" t="n">
        <x:f>SUMPRODUCT((Events!$B$6:$B$158&lt;=$A43)*(Events!$C$6:$C$158&gt;=$A43)*(Events!$E$6:$E$158="Receipt")*Events!$H$6:$H$158)</x:f>
        <x:v>1</x:v>
      </x:c>
      <x:c r="H43" s="69" t="n">
        <x:f>Loans!Y43</x:f>
        <x:v>1.6389804628366837</x:v>
      </x:c>
      <x:c r="I43" s="53" t="n">
        <x:f>'Debt &amp; cash'!S42*fund_yield</x:f>
        <x:v>0.4506816857313361</x:v>
      </x:c>
      <x:c r="J43" s="69" t="n">
        <x:f>Labour!Q43</x:f>
        <x:v>0</x:v>
      </x:c>
      <x:c r="K43" s="69" t="n">
        <x:f>Champions!BD43</x:f>
        <x:v>1.2419704082689837</x:v>
      </x:c>
      <x:c r="L43" s="69" t="n">
        <x:f>Abroad!N43</x:f>
        <x:v>0.8890142934335474</x:v>
      </x:c>
      <x:c r="M43" s="53" t="n">
        <x:f>SUM(B43:L43)</x:f>
        <x:v>124.77399316407539</x:v>
      </x:c>
      <x:c r="N43" s="53" t="n">
        <x:f>(Paths!W43*army_cost+Paths!X43*res_cost)*Economy!H43/1000000</x:f>
        <x:v>13.40056</x:v>
      </x:c>
      <x:c r="O43" s="69" t="n">
        <x:f>Navy!Y43</x:f>
        <x:v>7.9452376000000005</x:v>
      </x:c>
      <x:c r="P43" s="53" t="n">
        <x:f>SUMPRODUCT((Events!$B$6:$B$158&lt;=$A43)*(Events!$C$6:$C$158&gt;=$A43)*(Events!$E$6:$E$158="War &amp; operations")*Events!$H$6:$H$158)</x:f>
        <x:v>0</x:v>
      </x:c>
      <x:c r="Q43" s="53" t="n">
        <x:f>Economy!O43*Paths!T43</x:f>
        <x:v>31.968682946764652</x:v>
      </x:c>
      <x:c r="R43" s="53" t="n">
        <x:f>Economy!O43*Paths!U43</x:f>
        <x:v>23.249951234010656</x:v>
      </x:c>
      <x:c r="S43" s="53" t="n">
        <x:f>Economy!O43*Paths!V43+SUMPRODUCT((Events!$B$6:$B$158&lt;=$A43)*(Events!$C$6:$C$158&gt;=$A43)*(Events!$E$6:$E$158="Programme")*Events!$H$6:$H$158)+SUMPRODUCT((Events!$B$6:$B$158&lt;=$A43)*(Events!$C$6:$C$158&gt;=$A43)*(Events!$E$6:$E$158="Investment")*Events!$H$6:$H$158)</x:f>
        <x:v>14.859976592325113</x:v>
      </x:c>
      <x:c r="T43" s="53" t="n">
        <x:f>(People!T43*assist_cost+Labour!AD43*talent_cost+Labour!L43*gw_admin)*Economy!H43/1000000</x:f>
        <x:v>2.6700199318537177</x:v>
      </x:c>
      <x:c r="U43" s="53" t="n">
        <x:f>SUMPRODUCT((Events!$B$6:$B$158&lt;=$A43)*(Events!$C$6:$C$158&gt;=$A43)*(Events!$E$6:$E$158="Purchase")*Events!$H$6:$H$158)</x:f>
        <x:v>0</x:v>
      </x:c>
      <x:c r="V43" s="53" t="n">
        <x:f>SUMPRODUCT((Events!$B$6:$B$158&lt;=$A43)*(Events!$C$6:$C$158&gt;=$A43)*(Events!$E$6:$E$158="Subsidy &amp; guarantee")*Events!$H$6:$H$158)+SUMPRODUCT((Events!$B$6:$B$158&lt;=$A43)*(Events!$C$6:$C$158&gt;=$A43)*(Events!$E$6:$E$158="Relief")*Events!$H$6:$H$158)</x:f>
        <x:v>2.5</x:v>
      </x:c>
      <x:c r="W43" s="53" t="n">
        <x:f>SUMPRODUCT((Events!$B$6:$B$158&lt;=$A43)*(Events!$C$6:$C$158&gt;=$A43)*(Events!$E$6:$E$158="Bank rescue &amp; capital")*Events!$H$6:$H$158)</x:f>
        <x:v>0</x:v>
      </x:c>
      <x:c r="X43" s="53" t="n">
        <x:f>'Debt &amp; cash'!R42*Paths!Y43</x:f>
        <x:v>4.641219353254881</x:v>
      </x:c>
      <x:c r="Y43" s="53" t="n">
        <x:f>SUM(N43:X43)</x:f>
        <x:v>101.23564765820902</x:v>
      </x:c>
      <x:c r="Z43" s="53" t="n">
        <x:f>M43-Y43</x:f>
        <x:v>23.538345505866374</x:v>
      </x:c>
      <x:c r="AA43" s="63" t="n">
        <x:f>M43/Economy!O43</x:f>
        <x:v>0.10733269236414796</x:v>
      </x:c>
      <x:c r="AB43" s="63" t="n">
        <x:f>Y43/Economy!O43</x:f>
        <x:v>0.0870846107497368</x:v>
      </x:c>
      <x:c r="AC43" s="63" t="n">
        <x:f>(N43+O43+P43)/Economy!O43</x:f>
        <x:v>0.018362014943734413</x:v>
      </x:c>
    </x:row>
    <x:row r="44">
      <x:c r="A44" s="58" t="n">
        <x:v>1884</x:v>
      </x:c>
      <x:c r="B44" s="53" t="n">
        <x:f>Economy!O44*Paths!N44*Paths!O44*cust_coll</x:f>
        <x:v>29.472323794801092</x:v>
      </x:c>
      <x:c r="C44" s="53" t="n">
        <x:f>(Economy!J44+Economy!L44+Economy!M44+Economy!N44)*Paths!P44*Paths!Q44</x:f>
        <x:v>89.6492309838146</x:v>
      </x:c>
      <x:c r="D44" s="53" t="n">
        <x:f>Resources!P44+Resources!Q44</x:f>
        <x:v>2.0739000000000005</x:v>
      </x:c>
      <x:c r="E44" s="53" t="n">
        <x:f>Paths!S44*(1-canal_opcost)*canal_share</x:f>
        <x:v>0</x:v>
      </x:c>
      <x:c r="F44" s="53" t="n">
        <x:f>Economy!O44*Paths!R44</x:f>
        <x:v>2.407515544674892</x:v>
      </x:c>
      <x:c r="G44" s="53" t="n">
        <x:f>SUMPRODUCT((Events!$B$6:$B$158&lt;=$A44)*(Events!$C$6:$C$158&gt;=$A44)*(Events!$E$6:$E$158="Receipt")*Events!$H$6:$H$158)</x:f>
        <x:v>1</x:v>
      </x:c>
      <x:c r="H44" s="69" t="n">
        <x:f>Loans!Y44</x:f>
        <x:v>1.5758088336295446</x:v>
      </x:c>
      <x:c r="I44" s="53" t="n">
        <x:f>'Debt &amp; cash'!S43*fund_yield</x:f>
        <x:v>0.5020792186934967</x:v>
      </x:c>
      <x:c r="J44" s="69" t="n">
        <x:f>Labour!Q44</x:f>
        <x:v>0</x:v>
      </x:c>
      <x:c r="K44" s="69" t="n">
        <x:f>Champions!BD44</x:f>
        <x:v>1.4156682443747652</x:v>
      </x:c>
      <x:c r="L44" s="69" t="n">
        <x:f>Abroad!N44</x:f>
        <x:v>1.0303022058498301</x:v>
      </x:c>
      <x:c r="M44" s="53" t="n">
        <x:f>SUM(B44:L44)</x:f>
        <x:v>129.12682882583823</x:v>
      </x:c>
      <x:c r="N44" s="53" t="n">
        <x:f>(Paths!W44*army_cost+Paths!X44*res_cost)*Economy!H44/1000000</x:f>
        <x:v>13.63376</x:v>
      </x:c>
      <x:c r="O44" s="69" t="n">
        <x:f>Navy!Y44</x:f>
        <x:v>8.453822800000001</x:v>
      </x:c>
      <x:c r="P44" s="53" t="n">
        <x:f>SUMPRODUCT((Events!$B$6:$B$158&lt;=$A44)*(Events!$C$6:$C$158&gt;=$A44)*(Events!$E$6:$E$158="War &amp; operations")*Events!$H$6:$H$158)</x:f>
        <x:v>1</x:v>
      </x:c>
      <x:c r="Q44" s="53" t="n">
        <x:f>Economy!O44*Paths!T44</x:f>
        <x:v>33.70521762544848</x:v>
      </x:c>
      <x:c r="R44" s="53" t="n">
        <x:f>Economy!O44*Paths!U44</x:f>
        <x:v>24.07515544674892</x:v>
      </x:c>
      <x:c r="S44" s="53" t="n">
        <x:f>Economy!O44*Paths!V44+SUMPRODUCT((Events!$B$6:$B$158&lt;=$A44)*(Events!$C$6:$C$158&gt;=$A44)*(Events!$E$6:$E$158="Programme")*Events!$H$6:$H$158)+SUMPRODUCT((Events!$B$6:$B$158&lt;=$A44)*(Events!$C$6:$C$158&gt;=$A44)*(Events!$E$6:$E$158="Investment")*Events!$H$6:$H$158)</x:f>
        <x:v>15.496826168906969</x:v>
      </x:c>
      <x:c r="T44" s="53" t="n">
        <x:f>(People!T44*assist_cost+Labour!AD44*talent_cost+Labour!L44*gw_admin)*Economy!H44/1000000</x:f>
        <x:v>2.838912270599895</x:v>
      </x:c>
      <x:c r="U44" s="53" t="n">
        <x:f>SUMPRODUCT((Events!$B$6:$B$158&lt;=$A44)*(Events!$C$6:$C$158&gt;=$A44)*(Events!$E$6:$E$158="Purchase")*Events!$H$6:$H$158)</x:f>
        <x:v>0</x:v>
      </x:c>
      <x:c r="V44" s="53" t="n">
        <x:f>SUMPRODUCT((Events!$B$6:$B$158&lt;=$A44)*(Events!$C$6:$C$158&gt;=$A44)*(Events!$E$6:$E$158="Subsidy &amp; guarantee")*Events!$H$6:$H$158)+SUMPRODUCT((Events!$B$6:$B$158&lt;=$A44)*(Events!$C$6:$C$158&gt;=$A44)*(Events!$E$6:$E$158="Relief")*Events!$H$6:$H$158)</x:f>
        <x:v>2.5</x:v>
      </x:c>
      <x:c r="W44" s="53" t="n">
        <x:f>SUMPRODUCT((Events!$B$6:$B$158&lt;=$A44)*(Events!$C$6:$C$158&gt;=$A44)*(Events!$E$6:$E$158="Bank rescue &amp; capital")*Events!$H$6:$H$158)</x:f>
        <x:v>0</x:v>
      </x:c>
      <x:c r="X44" s="53" t="n">
        <x:f>'Debt &amp; cash'!R43*Paths!Y44</x:f>
        <x:v>4.2284135376933305</x:v>
      </x:c>
      <x:c r="Y44" s="53" t="n">
        <x:f>SUM(N44:X44)</x:f>
        <x:v>105.93210784939758</x:v>
      </x:c>
      <x:c r="Z44" s="53" t="n">
        <x:f>M44-Y44</x:f>
        <x:v>23.19472097644065</x:v>
      </x:c>
      <x:c r="AA44" s="63" t="n">
        <x:f>M44/Economy!O44</x:f>
        <x:v>0.10726977785165277</x:v>
      </x:c>
      <x:c r="AB44" s="63" t="n">
        <x:f>Y44/Economy!O44</x:f>
        <x:v>0.08800118286563548</x:v>
      </x:c>
      <x:c r="AC44" s="63" t="n">
        <x:f>(N44+O44+P44)/Economy!O44</x:f>
        <x:v>0.019179591883480628</x:v>
      </x:c>
    </x:row>
    <x:row r="45">
      <x:c r="A45" s="58" t="n">
        <x:v>1885</x:v>
      </x:c>
      <x:c r="B45" s="53" t="n">
        <x:f>Economy!O45*Paths!N45*Paths!O45*cust_coll</x:f>
        <x:v>30.902726796086345</x:v>
      </x:c>
      <x:c r="C45" s="53" t="n">
        <x:f>(Economy!J45+Economy!L45+Economy!M45+Economy!N45)*Paths!P45*Paths!Q45</x:f>
        <x:v>94.81770713582738</x:v>
      </x:c>
      <x:c r="D45" s="53" t="n">
        <x:f>Resources!P45+Resources!Q45</x:f>
        <x:v>2.1225</x:v>
      </x:c>
      <x:c r="E45" s="53" t="n">
        <x:f>Paths!S45*(1-canal_opcost)*canal_share</x:f>
        <x:v>0</x:v>
      </x:c>
      <x:c r="F45" s="53" t="n">
        <x:f>Economy!O45*Paths!R45</x:f>
        <x:v>2.5434343042046375</x:v>
      </x:c>
      <x:c r="G45" s="53" t="n">
        <x:f>SUMPRODUCT((Events!$B$6:$B$158&lt;=$A45)*(Events!$C$6:$C$158&gt;=$A45)*(Events!$E$6:$E$158="Receipt")*Events!$H$6:$H$158)</x:f>
        <x:v>1.05</x:v>
      </x:c>
      <x:c r="H45" s="69" t="n">
        <x:f>Loans!Y45</x:f>
        <x:v>1.5150924419115015</x:v>
      </x:c>
      <x:c r="I45" s="53" t="n">
        <x:f>'Debt &amp; cash'!S44*fund_yield</x:f>
        <x:v>0.554108296029952</x:v>
      </x:c>
      <x:c r="J45" s="69" t="n">
        <x:f>Labour!Q45</x:f>
        <x:v>0</x:v>
      </x:c>
      <x:c r="K45" s="69" t="n">
        <x:f>Champions!BD45</x:f>
        <x:v>1.5605675956620275</x:v>
      </x:c>
      <x:c r="L45" s="69" t="n">
        <x:f>Abroad!N45</x:f>
        <x:v>1.112119998552486</x:v>
      </x:c>
      <x:c r="M45" s="53" t="n">
        <x:f>SUM(B45:L45)</x:f>
        <x:v>136.17825656827435</x:v>
      </x:c>
      <x:c r="N45" s="53" t="n">
        <x:f>(Paths!W45*army_cost+Paths!X45*res_cost)*Economy!H45/1000000</x:f>
        <x:v>13.8528</x:v>
      </x:c>
      <x:c r="O45" s="69" t="n">
        <x:f>Navy!Y45</x:f>
        <x:v>6.808461</x:v>
      </x:c>
      <x:c r="P45" s="53" t="n">
        <x:f>SUMPRODUCT((Events!$B$6:$B$158&lt;=$A45)*(Events!$C$6:$C$158&gt;=$A45)*(Events!$E$6:$E$158="War &amp; operations")*Events!$H$6:$H$158)</x:f>
        <x:v>2</x:v>
      </x:c>
      <x:c r="Q45" s="53" t="n">
        <x:f>Economy!O45*Paths!T45</x:f>
        <x:v>36.24393883491609</x:v>
      </x:c>
      <x:c r="R45" s="53" t="n">
        <x:f>Economy!O45*Paths!U45</x:f>
        <x:v>25.434343042046375</x:v>
      </x:c>
      <x:c r="S45" s="53" t="n">
        <x:f>Economy!O45*Paths!V45+SUMPRODUCT((Events!$B$6:$B$158&lt;=$A45)*(Events!$C$6:$C$158&gt;=$A45)*(Events!$E$6:$E$158="Programme")*Events!$H$6:$H$158)+SUMPRODUCT((Events!$B$6:$B$158&lt;=$A45)*(Events!$C$6:$C$158&gt;=$A45)*(Events!$E$6:$E$158="Investment")*Events!$H$6:$H$158)</x:f>
        <x:v>17.817171521023187</x:v>
      </x:c>
      <x:c r="T45" s="53" t="n">
        <x:f>(People!T45*assist_cost+Labour!AD45*talent_cost+Labour!L45*gw_admin)*Economy!H45/1000000</x:f>
        <x:v>2.5774190219034656</x:v>
      </x:c>
      <x:c r="U45" s="53" t="n">
        <x:f>SUMPRODUCT((Events!$B$6:$B$158&lt;=$A45)*(Events!$C$6:$C$158&gt;=$A45)*(Events!$E$6:$E$158="Purchase")*Events!$H$6:$H$158)</x:f>
        <x:v>0</x:v>
      </x:c>
      <x:c r="V45" s="53" t="n">
        <x:f>SUMPRODUCT((Events!$B$6:$B$158&lt;=$A45)*(Events!$C$6:$C$158&gt;=$A45)*(Events!$E$6:$E$158="Subsidy &amp; guarantee")*Events!$H$6:$H$158)+SUMPRODUCT((Events!$B$6:$B$158&lt;=$A45)*(Events!$C$6:$C$158&gt;=$A45)*(Events!$E$6:$E$158="Relief")*Events!$H$6:$H$158)</x:f>
        <x:v>2.5</x:v>
      </x:c>
      <x:c r="W45" s="53" t="n">
        <x:f>SUMPRODUCT((Events!$B$6:$B$158&lt;=$A45)*(Events!$C$6:$C$158&gt;=$A45)*(Events!$E$6:$E$158="Bank rescue &amp; capital")*Events!$H$6:$H$158)</x:f>
        <x:v>0</x:v>
      </x:c>
      <x:c r="X45" s="53" t="n">
        <x:f>'Debt &amp; cash'!R44*Paths!Y45</x:f>
        <x:v>3.820326712395078</x:v>
      </x:c>
      <x:c r="Y45" s="53" t="n">
        <x:f>SUM(N45:X45)</x:f>
        <x:v>111.05446013228419</x:v>
      </x:c>
      <x:c r="Z45" s="53" t="n">
        <x:f>M45-Y45</x:f>
        <x:v>25.123796435990158</x:v>
      </x:c>
      <x:c r="AA45" s="63" t="n">
        <x:f>M45/Economy!O45</x:f>
        <x:v>0.10708218910404209</x:v>
      </x:c>
      <x:c r="AB45" s="63" t="n">
        <x:f>Y45/Economy!O45</x:f>
        <x:v>0.08732638381789244</x:v>
      </x:c>
      <x:c r="AC45" s="63" t="n">
        <x:f>(N45+O45+P45)/Economy!O45</x:f>
        <x:v>0.01781941917079431</x:v>
      </x:c>
    </x:row>
    <x:row r="46">
      <x:c r="A46" s="58" t="n">
        <x:v>1886</x:v>
      </x:c>
      <x:c r="B46" s="53" t="n">
        <x:f>Economy!O46*Paths!N46*Paths!O46*cust_coll</x:f>
        <x:v>33.43837560667234</x:v>
      </x:c>
      <x:c r="C46" s="53" t="n">
        <x:f>(Economy!J46+Economy!L46+Economy!M46+Economy!N46)*Paths!P46*Paths!Q46</x:f>
        <x:v>103.40144889890837</x:v>
      </x:c>
      <x:c r="D46" s="53" t="n">
        <x:f>Resources!P46+Resources!Q46</x:f>
        <x:v>2.3100000000000005</x:v>
      </x:c>
      <x:c r="E46" s="53" t="n">
        <x:f>Paths!S46*(1-canal_opcost)*canal_share</x:f>
        <x:v>0</x:v>
      </x:c>
      <x:c r="F46" s="53" t="n">
        <x:f>Economy!O46*Paths!R46</x:f>
        <x:v>2.773081853566232</x:v>
      </x:c>
      <x:c r="G46" s="53" t="n">
        <x:f>SUMPRODUCT((Events!$B$6:$B$158&lt;=$A46)*(Events!$C$6:$C$158&gt;=$A46)*(Events!$E$6:$E$158="Receipt")*Events!$H$6:$H$158)</x:f>
        <x:v>1.05</x:v>
      </x:c>
      <x:c r="H46" s="69" t="n">
        <x:f>Loans!Y46</x:f>
        <x:v>1.4897352270133655</x:v>
      </x:c>
      <x:c r="I46" s="53" t="n">
        <x:f>'Debt &amp; cash'!S45*fund_yield</x:f>
        <x:v>0.6079243719141482</x:v>
      </x:c>
      <x:c r="J46" s="69" t="n">
        <x:f>Labour!Q46</x:f>
        <x:v>0</x:v>
      </x:c>
      <x:c r="K46" s="69" t="n">
        <x:f>Champions!BD46</x:f>
        <x:v>1.7590027218628501</x:v>
      </x:c>
      <x:c r="L46" s="69" t="n">
        <x:f>Abroad!N46</x:f>
        <x:v>1.2492558538905438</x:v>
      </x:c>
      <x:c r="M46" s="53" t="n">
        <x:f>SUM(B46:L46)</x:f>
        <x:v>148.07882453382786</x:v>
      </x:c>
      <x:c r="N46" s="53" t="n">
        <x:f>(Paths!W46*army_cost+Paths!X46*res_cost)*Economy!H46/1000000</x:f>
        <x:v>14.85963</x:v>
      </x:c>
      <x:c r="O46" s="69" t="n">
        <x:f>Navy!Y46</x:f>
        <x:v>7.4395288</x:v>
      </x:c>
      <x:c r="P46" s="53" t="n">
        <x:f>SUMPRODUCT((Events!$B$6:$B$158&lt;=$A46)*(Events!$C$6:$C$158&gt;=$A46)*(Events!$E$6:$E$158="War &amp; operations")*Events!$H$6:$H$158)</x:f>
        <x:v>1</x:v>
      </x:c>
      <x:c r="Q46" s="53" t="n">
        <x:f>Economy!O46*Paths!T46</x:f>
        <x:v>40.209686876710364</x:v>
      </x:c>
      <x:c r="R46" s="53" t="n">
        <x:f>Economy!O46*Paths!U46</x:f>
        <x:v>27.73081853566232</x:v>
      </x:c>
      <x:c r="S46" s="53" t="n">
        <x:f>Economy!O46*Paths!V46+SUMPRODUCT((Events!$B$6:$B$158&lt;=$A46)*(Events!$C$6:$C$158&gt;=$A46)*(Events!$E$6:$E$158="Programme")*Events!$H$6:$H$158)+SUMPRODUCT((Events!$B$6:$B$158&lt;=$A46)*(Events!$C$6:$C$158&gt;=$A46)*(Events!$E$6:$E$158="Investment")*Events!$H$6:$H$158)</x:f>
        <x:v>18.12675517515285</x:v>
      </x:c>
      <x:c r="T46" s="53" t="n">
        <x:f>(People!T46*assist_cost+Labour!AD46*talent_cost+Labour!L46*gw_admin)*Economy!H46/1000000</x:f>
        <x:v>2.9083782677069823</x:v>
      </x:c>
      <x:c r="U46" s="53" t="n">
        <x:f>SUMPRODUCT((Events!$B$6:$B$158&lt;=$A46)*(Events!$C$6:$C$158&gt;=$A46)*(Events!$E$6:$E$158="Purchase")*Events!$H$6:$H$158)</x:f>
        <x:v>0</x:v>
      </x:c>
      <x:c r="V46" s="53" t="n">
        <x:f>SUMPRODUCT((Events!$B$6:$B$158&lt;=$A46)*(Events!$C$6:$C$158&gt;=$A46)*(Events!$E$6:$E$158="Subsidy &amp; guarantee")*Events!$H$6:$H$158)+SUMPRODUCT((Events!$B$6:$B$158&lt;=$A46)*(Events!$C$6:$C$158&gt;=$A46)*(Events!$E$6:$E$158="Relief")*Events!$H$6:$H$158)</x:f>
        <x:v>2.5</x:v>
      </x:c>
      <x:c r="W46" s="53" t="n">
        <x:f>SUMPRODUCT((Events!$B$6:$B$158&lt;=$A46)*(Events!$C$6:$C$158&gt;=$A46)*(Events!$E$6:$E$158="Bank rescue &amp; capital")*Events!$H$6:$H$158)</x:f>
        <x:v>0</x:v>
      </x:c>
      <x:c r="X46" s="53" t="n">
        <x:f>'Debt &amp; cash'!R45*Paths!Y46</x:f>
        <x:v>3.426377864384224</x:v>
      </x:c>
      <x:c r="Y46" s="53" t="n">
        <x:f>SUM(N46:X46)</x:f>
        <x:v>118.20117551961674</x:v>
      </x:c>
      <x:c r="Z46" s="53" t="n">
        <x:f>M46-Y46</x:f>
        <x:v>29.877649014211116</x:v>
      </x:c>
      <x:c r="AA46" s="63" t="n">
        <x:f>M46/Economy!O46</x:f>
        <x:v>0.10679729799060629</x:v>
      </x:c>
      <x:c r="AB46" s="63" t="n">
        <x:f>Y46/Economy!O46</x:f>
        <x:v>0.0852489625343067</x:v>
      </x:c>
      <x:c r="AC46" s="63" t="n">
        <x:f>(N46+O46+P46)/Economy!O46</x:f>
        <x:v>0.016803801712550873</x:v>
      </x:c>
    </x:row>
    <x:row r="47">
      <x:c r="A47" s="58" t="n">
        <x:v>1887</x:v>
      </x:c>
      <x:c r="B47" s="53" t="n">
        <x:f>Economy!O47*Paths!N47*Paths!O47*cust_coll</x:f>
        <x:v>35.54420870500966</x:v>
      </x:c>
      <x:c r="C47" s="53" t="n">
        <x:f>(Economy!J47+Economy!L47+Economy!M47+Economy!N47)*Paths!P47*Paths!Q47</x:f>
        <x:v>110.66216624296426</x:v>
      </x:c>
      <x:c r="D47" s="53" t="n">
        <x:f>Resources!P47+Resources!Q47</x:f>
        <x:v>2.5737500000000004</x:v>
      </x:c>
      <x:c r="E47" s="53" t="n">
        <x:f>Paths!S47*(1-canal_opcost)*canal_share</x:f>
        <x:v>0</x:v>
      </x:c>
      <x:c r="F47" s="53" t="n">
        <x:f>Economy!O47*Paths!R47</x:f>
        <x:v>2.968994529227824</x:v>
      </x:c>
      <x:c r="G47" s="53" t="n">
        <x:f>SUMPRODUCT((Events!$B$6:$B$158&lt;=$A47)*(Events!$C$6:$C$158&gt;=$A47)*(Events!$E$6:$E$158="Receipt")*Events!$H$6:$H$158)</x:f>
        <x:v>1.05</x:v>
      </x:c>
      <x:c r="H47" s="69" t="n">
        <x:f>Loans!Y47</x:f>
        <x:v>1.4323249062278054</x:v>
      </x:c>
      <x:c r="I47" s="53" t="n">
        <x:f>'Debt &amp; cash'!S46*fund_yield</x:f>
        <x:v>0.6719605552511547</x:v>
      </x:c>
      <x:c r="J47" s="69" t="n">
        <x:f>Labour!Q47</x:f>
        <x:v>0</x:v>
      </x:c>
      <x:c r="K47" s="69" t="n">
        <x:f>Champions!BD47</x:f>
        <x:v>1.8611670563011957</x:v>
      </x:c>
      <x:c r="L47" s="69" t="n">
        <x:f>Abroad!N47</x:f>
        <x:v>1.3283960178140817</x:v>
      </x:c>
      <x:c r="M47" s="53" t="n">
        <x:f>SUM(B47:L47)</x:f>
        <x:v>158.09296801279598</x:v>
      </x:c>
      <x:c r="N47" s="53" t="n">
        <x:f>(Paths!W47*army_cost+Paths!X47*res_cost)*Economy!H47/1000000</x:f>
        <x:v>15.8608</x:v>
      </x:c>
      <x:c r="O47" s="69" t="n">
        <x:f>Navy!Y47</x:f>
        <x:v>7.540454400000001</x:v>
      </x:c>
      <x:c r="P47" s="53" t="n">
        <x:f>SUMPRODUCT((Events!$B$6:$B$158&lt;=$A47)*(Events!$C$6:$C$158&gt;=$A47)*(Events!$E$6:$E$158="War &amp; operations")*Events!$H$6:$H$158)</x:f>
        <x:v>1.5</x:v>
      </x:c>
      <x:c r="Q47" s="53" t="n">
        <x:f>Economy!O47*Paths!T47</x:f>
        <x:v>43.7926693061104</x:v>
      </x:c>
      <x:c r="R47" s="53" t="n">
        <x:f>Economy!O47*Paths!U47</x:f>
        <x:v>29.68994529227824</x:v>
      </x:c>
      <x:c r="S47" s="53" t="n">
        <x:f>Economy!O47*Paths!V47+SUMPRODUCT((Events!$B$6:$B$158&lt;=$A47)*(Events!$C$6:$C$158&gt;=$A47)*(Events!$E$6:$E$158="Programme")*Events!$H$6:$H$158)+SUMPRODUCT((Events!$B$6:$B$158&lt;=$A47)*(Events!$C$6:$C$158&gt;=$A47)*(Events!$E$6:$E$158="Investment")*Events!$H$6:$H$158)</x:f>
        <x:v>18.69652291967773</x:v>
      </x:c>
      <x:c r="T47" s="53" t="n">
        <x:f>(People!T47*assist_cost+Labour!AD47*talent_cost+Labour!L47*gw_admin)*Economy!H47/1000000</x:f>
        <x:v>3.636921368184192</x:v>
      </x:c>
      <x:c r="U47" s="53" t="n">
        <x:f>SUMPRODUCT((Events!$B$6:$B$158&lt;=$A47)*(Events!$C$6:$C$158&gt;=$A47)*(Events!$E$6:$E$158="Purchase")*Events!$H$6:$H$158)</x:f>
        <x:v>0</x:v>
      </x:c>
      <x:c r="V47" s="53" t="n">
        <x:f>SUMPRODUCT((Events!$B$6:$B$158&lt;=$A47)*(Events!$C$6:$C$158&gt;=$A47)*(Events!$E$6:$E$158="Subsidy &amp; guarantee")*Events!$H$6:$H$158)+SUMPRODUCT((Events!$B$6:$B$158&lt;=$A47)*(Events!$C$6:$C$158&gt;=$A47)*(Events!$E$6:$E$158="Relief")*Events!$H$6:$H$158)</x:f>
        <x:v>2.5</x:v>
      </x:c>
      <x:c r="W47" s="53" t="n">
        <x:f>SUMPRODUCT((Events!$B$6:$B$158&lt;=$A47)*(Events!$C$6:$C$158&gt;=$A47)*(Events!$E$6:$E$158="Bank rescue &amp; capital")*Events!$H$6:$H$158)</x:f>
        <x:v>0</x:v>
      </x:c>
      <x:c r="X47" s="53" t="n">
        <x:f>'Debt &amp; cash'!R46*Paths!Y47</x:f>
        <x:v>2.9902099788279193</x:v>
      </x:c>
      <x:c r="Y47" s="53" t="n">
        <x:f>SUM(N47:X47)</x:f>
        <x:v>126.20752326507848</x:v>
      </x:c>
      <x:c r="Z47" s="53" t="n">
        <x:f>M47-Y47</x:f>
        <x:v>31.8854447477175</x:v>
      </x:c>
      <x:c r="AA47" s="63" t="n">
        <x:f>M47/Economy!O47</x:f>
        <x:v>0.10649596451355725</x:v>
      </x:c>
      <x:c r="AB47" s="63" t="n">
        <x:f>Y47/Economy!O47</x:f>
        <x:v>0.08501701301410113</x:v>
      </x:c>
      <x:c r="AC47" s="63" t="n">
        <x:f>(N47+O47+P47)/Economy!O47</x:f>
        <x:v>0.01677420025861504</x:v>
      </x:c>
    </x:row>
    <x:row r="48">
      <x:c r="A48" s="58" t="n">
        <x:v>1888</x:v>
      </x:c>
      <x:c r="B48" s="53" t="n">
        <x:f>Economy!O48*Paths!N48*Paths!O48*cust_coll</x:f>
        <x:v>37.843594557316656</x:v>
      </x:c>
      <x:c r="C48" s="53" t="n">
        <x:f>(Economy!J48+Economy!L48+Economy!M48+Economy!N48)*Paths!P48*Paths!Q48</x:f>
        <x:v>112.12216523426466</x:v>
      </x:c>
      <x:c r="D48" s="53" t="n">
        <x:f>Resources!P48+Resources!Q48</x:f>
        <x:v>2.8200000000000003</x:v>
      </x:c>
      <x:c r="E48" s="53" t="n">
        <x:f>Paths!S48*(1-canal_opcost)*canal_share</x:f>
        <x:v>0</x:v>
      </x:c>
      <x:c r="F48" s="53" t="n">
        <x:f>Economy!O48*Paths!R48</x:f>
        <x:v>3.1854877573498865</x:v>
      </x:c>
      <x:c r="G48" s="53" t="n">
        <x:f>SUMPRODUCT((Events!$B$6:$B$158&lt;=$A48)*(Events!$C$6:$C$158&gt;=$A48)*(Events!$E$6:$E$158="Receipt")*Events!$H$6:$H$158)</x:f>
        <x:v>1.05</x:v>
      </x:c>
      <x:c r="H48" s="69" t="n">
        <x:f>Loans!Y48</x:f>
        <x:v>1.3771456256248185</x:v>
      </x:c>
      <x:c r="I48" s="53" t="n">
        <x:f>'Debt &amp; cash'!S47*fund_yield</x:f>
        <x:v>0.7422143847116659</x:v>
      </x:c>
      <x:c r="J48" s="69" t="n">
        <x:f>Labour!Q48</x:f>
        <x:v>0</x:v>
      </x:c>
      <x:c r="K48" s="69" t="n">
        <x:f>Champions!BD48</x:f>
        <x:v>2.0618078270273057</x:v>
      </x:c>
      <x:c r="L48" s="69" t="n">
        <x:f>Abroad!N48</x:f>
        <x:v>1.4976590504179463</x:v>
      </x:c>
      <x:c r="M48" s="53" t="n">
        <x:f>SUM(B48:L48)</x:f>
        <x:v>162.70007443671295</x:v>
      </x:c>
      <x:c r="N48" s="53" t="n">
        <x:f>(Paths!W48*army_cost+Paths!X48*res_cost)*Economy!H48/1000000</x:f>
        <x:v>15.32592</x:v>
      </x:c>
      <x:c r="O48" s="69" t="n">
        <x:f>Navy!Y48</x:f>
        <x:v>6.2264223</x:v>
      </x:c>
      <x:c r="P48" s="53" t="n">
        <x:f>SUMPRODUCT((Events!$B$6:$B$158&lt;=$A48)*(Events!$C$6:$C$158&gt;=$A48)*(Events!$E$6:$E$158="War &amp; operations")*Events!$H$6:$H$158)</x:f>
        <x:v>0.5</x:v>
      </x:c>
      <x:c r="Q48" s="53" t="n">
        <x:f>Economy!O48*Paths!T48</x:f>
        <x:v>47.782316360248295</x:v>
      </x:c>
      <x:c r="R48" s="53" t="n">
        <x:f>Economy!O48*Paths!U48</x:f>
        <x:v>31.854877573498868</x:v>
      </x:c>
      <x:c r="S48" s="53" t="n">
        <x:f>Economy!O48*Paths!V48+SUMPRODUCT((Events!$B$6:$B$158&lt;=$A48)*(Events!$C$6:$C$158&gt;=$A48)*(Events!$E$6:$E$158="Programme")*Events!$H$6:$H$158)+SUMPRODUCT((Events!$B$6:$B$158&lt;=$A48)*(Events!$C$6:$C$158&gt;=$A48)*(Events!$E$6:$E$158="Investment")*Events!$H$6:$H$158)</x:f>
        <x:v>19.808890011014444</x:v>
      </x:c>
      <x:c r="T48" s="53" t="n">
        <x:f>(People!T48*assist_cost+Labour!AD48*talent_cost+Labour!L48*gw_admin)*Economy!H48/1000000</x:f>
        <x:v>2.8345596503802373</x:v>
      </x:c>
      <x:c r="U48" s="53" t="n">
        <x:f>SUMPRODUCT((Events!$B$6:$B$158&lt;=$A48)*(Events!$C$6:$C$158&gt;=$A48)*(Events!$E$6:$E$158="Purchase")*Events!$H$6:$H$158)</x:f>
        <x:v>0</x:v>
      </x:c>
      <x:c r="V48" s="53" t="n">
        <x:f>SUMPRODUCT((Events!$B$6:$B$158&lt;=$A48)*(Events!$C$6:$C$158&gt;=$A48)*(Events!$E$6:$E$158="Subsidy &amp; guarantee")*Events!$H$6:$H$158)+SUMPRODUCT((Events!$B$6:$B$158&lt;=$A48)*(Events!$C$6:$C$158&gt;=$A48)*(Events!$E$6:$E$158="Relief")*Events!$H$6:$H$158)</x:f>
        <x:v>2.5</x:v>
      </x:c>
      <x:c r="W48" s="53" t="n">
        <x:f>SUMPRODUCT((Events!$B$6:$B$158&lt;=$A48)*(Events!$C$6:$C$158&gt;=$A48)*(Events!$E$6:$E$158="Bank rescue &amp; capital")*Events!$H$6:$H$158)</x:f>
        <x:v>0</x:v>
      </x:c>
      <x:c r="X48" s="53" t="n">
        <x:f>'Debt &amp; cash'!R47*Paths!Y48</x:f>
        <x:v>3.6815532162425018</x:v>
      </x:c>
      <x:c r="Y48" s="53" t="n">
        <x:f>SUM(N48:X48)</x:f>
        <x:v>130.51453911138435</x:v>
      </x:c>
      <x:c r="Z48" s="53" t="n">
        <x:f>M48-Y48</x:f>
        <x:v>32.1855353253286</x:v>
      </x:c>
      <x:c r="AA48" s="63" t="n">
        <x:f>M48/Economy!O48</x:f>
        <x:v>0.10215080818396777</x:v>
      </x:c>
      <x:c r="AB48" s="63" t="n">
        <x:f>Y48/Economy!O48</x:f>
        <x:v>0.08194320559559377</x:v>
      </x:c>
      <x:c r="AC48" s="63" t="n">
        <x:f>(N48+O48+P48)/Economy!O48</x:f>
        <x:v>0.013845504349604581</x:v>
      </x:c>
    </x:row>
    <x:row r="49">
      <x:c r="A49" s="58" t="n">
        <x:v>1889</x:v>
      </x:c>
      <x:c r="B49" s="53" t="n">
        <x:f>Economy!O49*Paths!N49*Paths!O49*cust_coll</x:f>
        <x:v>40.09458360175246</x:v>
      </x:c>
      <x:c r="C49" s="53" t="n">
        <x:f>(Economy!J49+Economy!L49+Economy!M49+Economy!N49)*Paths!P49*Paths!Q49</x:f>
        <x:v>119.69394926378139</x:v>
      </x:c>
      <x:c r="D49" s="53" t="n">
        <x:f>Resources!P49+Resources!Q49</x:f>
        <x:v>3.09</x:v>
      </x:c>
      <x:c r="E49" s="53" t="n">
        <x:f>Paths!S49*(1-canal_opcost)*canal_share</x:f>
        <x:v>0</x:v>
      </x:c>
      <x:c r="F49" s="53" t="n">
        <x:f>Economy!O49*Paths!R49</x:f>
        <x:v>3.401247315260385</x:v>
      </x:c>
      <x:c r="G49" s="53" t="n">
        <x:f>SUMPRODUCT((Events!$B$6:$B$158&lt;=$A49)*(Events!$C$6:$C$158&gt;=$A49)*(Events!$E$6:$E$158="Receipt")*Events!$H$6:$H$158)</x:f>
        <x:v>1.05</x:v>
      </x:c>
      <x:c r="H49" s="69" t="n">
        <x:f>Loans!Y49</x:f>
        <x:v>1.4741101047765672</x:v>
      </x:c>
      <x:c r="I49" s="53" t="n">
        <x:f>'Debt &amp; cash'!S48*fund_yield</x:f>
        <x:v>0.8084282125039917</x:v>
      </x:c>
      <x:c r="J49" s="69" t="n">
        <x:f>Labour!Q49</x:f>
        <x:v>0</x:v>
      </x:c>
      <x:c r="K49" s="69" t="n">
        <x:f>Champions!BD49</x:f>
        <x:v>2.191586845408415</x:v>
      </x:c>
      <x:c r="L49" s="69" t="n">
        <x:f>Abroad!N49</x:f>
        <x:v>1.6021804508562476</x:v>
      </x:c>
      <x:c r="M49" s="53" t="n">
        <x:f>SUM(B49:L49)</x:f>
        <x:v>173.40608579433948</x:v>
      </x:c>
      <x:c r="N49" s="53" t="n">
        <x:f>(Paths!W49*army_cost+Paths!X49*res_cost)*Economy!H49/1000000</x:f>
        <x:v>14.79372</x:v>
      </x:c>
      <x:c r="O49" s="69" t="n">
        <x:f>Navy!Y49</x:f>
        <x:v>7.5767196000000006</x:v>
      </x:c>
      <x:c r="P49" s="53" t="n">
        <x:f>SUMPRODUCT((Events!$B$6:$B$158&lt;=$A49)*(Events!$C$6:$C$158&gt;=$A49)*(Events!$E$6:$E$158="War &amp; operations")*Events!$H$6:$H$158)</x:f>
        <x:v>0.5</x:v>
      </x:c>
      <x:c r="Q49" s="53" t="n">
        <x:f>Economy!O49*Paths!T49</x:f>
        <x:v>51.86902155772086</x:v>
      </x:c>
      <x:c r="R49" s="53" t="n">
        <x:f>Economy!O49*Paths!U49</x:f>
        <x:v>34.012473152603846</x:v>
      </x:c>
      <x:c r="S49" s="53" t="n">
        <x:f>Economy!O49*Paths!V49+SUMPRODUCT((Events!$B$6:$B$158&lt;=$A49)*(Events!$C$6:$C$158&gt;=$A49)*(Events!$E$6:$E$158="Programme")*Events!$H$6:$H$158)+SUMPRODUCT((Events!$B$6:$B$158&lt;=$A49)*(Events!$C$6:$C$158&gt;=$A49)*(Events!$E$6:$E$158="Investment")*Events!$H$6:$H$158)</x:f>
        <x:v>20.696049479012867</x:v>
      </x:c>
      <x:c r="T49" s="53" t="n">
        <x:f>(People!T49*assist_cost+Labour!AD49*talent_cost+Labour!L49*gw_admin)*Economy!H49/1000000</x:f>
        <x:v>3.3508938940785007</x:v>
      </x:c>
      <x:c r="U49" s="53" t="n">
        <x:f>SUMPRODUCT((Events!$B$6:$B$158&lt;=$A49)*(Events!$C$6:$C$158&gt;=$A49)*(Events!$E$6:$E$158="Purchase")*Events!$H$6:$H$158)</x:f>
        <x:v>30</x:v>
      </x:c>
      <x:c r="V49" s="53" t="n">
        <x:f>SUMPRODUCT((Events!$B$6:$B$158&lt;=$A49)*(Events!$C$6:$C$158&gt;=$A49)*(Events!$E$6:$E$158="Subsidy &amp; guarantee")*Events!$H$6:$H$158)+SUMPRODUCT((Events!$B$6:$B$158&lt;=$A49)*(Events!$C$6:$C$158&gt;=$A49)*(Events!$E$6:$E$158="Relief")*Events!$H$6:$H$158)</x:f>
        <x:v>1.5</x:v>
      </x:c>
      <x:c r="W49" s="53" t="n">
        <x:f>SUMPRODUCT((Events!$B$6:$B$158&lt;=$A49)*(Events!$C$6:$C$158&gt;=$A49)*(Events!$E$6:$E$158="Bank rescue &amp; capital")*Events!$H$6:$H$158)</x:f>
        <x:v>0</x:v>
      </x:c>
      <x:c r="X49" s="53" t="n">
        <x:f>'Debt &amp; cash'!R48*Paths!Y49</x:f>
        <x:v>3.8942587833602365</x:v>
      </x:c>
      <x:c r="Y49" s="53" t="n">
        <x:f>SUM(N49:X49)</x:f>
        <x:v>168.1931364667763</x:v>
      </x:c>
      <x:c r="Z49" s="53" t="n">
        <x:f>M49-Y49</x:f>
        <x:v>5.212949327563166</x:v>
      </x:c>
      <x:c r="AA49" s="63" t="n">
        <x:f>M49/Economy!O49</x:f>
        <x:v>0.10196617283095996</x:v>
      </x:c>
      <x:c r="AB49" s="63" t="n">
        <x:f>Y49/Economy!O49</x:f>
        <x:v>0.09890085658407946</x:v>
      </x:c>
      <x:c r="AC49" s="63" t="n">
        <x:f>(N49+O49+P49)/Economy!O49</x:f>
        <x:v>0.013448266168347796</x:v>
      </x:c>
    </x:row>
    <x:row r="50">
      <x:c r="A50" s="58" t="n">
        <x:v>1890</x:v>
      </x:c>
      <x:c r="B50" s="53" t="n">
        <x:f>Economy!O50*Paths!N50*Paths!O50*cust_coll</x:f>
        <x:v>43.310261420526395</x:v>
      </x:c>
      <x:c r="C50" s="53" t="n">
        <x:f>(Economy!J50+Economy!L50+Economy!M50+Economy!N50)*Paths!P50*Paths!Q50</x:f>
        <x:v>130.315964379114</x:v>
      </x:c>
      <x:c r="D50" s="53" t="n">
        <x:f>Resources!P50+Resources!Q50</x:f>
        <x:v>3.3350000000000004</x:v>
      </x:c>
      <x:c r="E50" s="53" t="n">
        <x:f>Paths!S50*(1-canal_opcost)*canal_share</x:f>
        <x:v>0</x:v>
      </x:c>
      <x:c r="F50" s="53" t="n">
        <x:f>Economy!O50*Paths!R50</x:f>
        <x:v>3.7011623357540206</x:v>
      </x:c>
      <x:c r="G50" s="53" t="n">
        <x:f>SUMPRODUCT((Events!$B$6:$B$158&lt;=$A50)*(Events!$C$6:$C$158&gt;=$A50)*(Events!$E$6:$E$158="Receipt")*Events!$H$6:$H$158)</x:f>
        <x:v>1.05</x:v>
      </x:c>
      <x:c r="H50" s="69" t="n">
        <x:f>Loans!Y50</x:f>
        <x:v>1.567134495636944</x:v>
      </x:c>
      <x:c r="I50" s="53" t="n">
        <x:f>'Debt &amp; cash'!S49*fund_yield</x:f>
        <x:v>0.7709551289988693</x:v>
      </x:c>
      <x:c r="J50" s="69" t="n">
        <x:f>Labour!Q50</x:f>
        <x:v>6.363277476983539</x:v>
      </x:c>
      <x:c r="K50" s="69" t="n">
        <x:f>Champions!BD50</x:f>
        <x:v>2.4926345033117125</x:v>
      </x:c>
      <x:c r="L50" s="69" t="n">
        <x:f>Abroad!N50</x:f>
        <x:v>1.7981653607303756</x:v>
      </x:c>
      <x:c r="M50" s="53" t="n">
        <x:f>SUM(B50:L50)</x:f>
        <x:v>194.70455510105586</x:v>
      </x:c>
      <x:c r="N50" s="53" t="n">
        <x:f>(Paths!W50*army_cost+Paths!X50*res_cost)*Economy!H50/1000000</x:f>
        <x:v>14.25325</x:v>
      </x:c>
      <x:c r="O50" s="69" t="n">
        <x:f>Navy!Y50</x:f>
        <x:v>8.1940925</x:v>
      </x:c>
      <x:c r="P50" s="53" t="n">
        <x:f>SUMPRODUCT((Events!$B$6:$B$158&lt;=$A50)*(Events!$C$6:$C$158&gt;=$A50)*(Events!$E$6:$E$158="War &amp; operations")*Events!$H$6:$H$158)</x:f>
        <x:v>0</x:v>
      </x:c>
      <x:c r="Q50" s="53" t="n">
        <x:f>Economy!O50*Paths!T50</x:f>
        <x:v>57.36801620418732</x:v>
      </x:c>
      <x:c r="R50" s="53" t="n">
        <x:f>Economy!O50*Paths!U50</x:f>
        <x:v>37.01162335754021</x:v>
      </x:c>
      <x:c r="S50" s="53" t="n">
        <x:f>Economy!O50*Paths!V50+SUMPRODUCT((Events!$B$6:$B$158&lt;=$A50)*(Events!$C$6:$C$158&gt;=$A50)*(Events!$E$6:$E$158="Programme")*Events!$H$6:$H$158)+SUMPRODUCT((Events!$B$6:$B$158&lt;=$A50)*(Events!$C$6:$C$158&gt;=$A50)*(Events!$E$6:$E$158="Investment")*Events!$H$6:$H$158)</x:f>
        <x:v>22.150637328407</x:v>
      </x:c>
      <x:c r="T50" s="53" t="n">
        <x:f>(People!T50*assist_cost+Labour!AD50*talent_cost+Labour!L50*gw_admin)*Economy!H50/1000000</x:f>
        <x:v>5.504523292835433</x:v>
      </x:c>
      <x:c r="U50" s="53" t="n">
        <x:f>SUMPRODUCT((Events!$B$6:$B$158&lt;=$A50)*(Events!$C$6:$C$158&gt;=$A50)*(Events!$E$6:$E$158="Purchase")*Events!$H$6:$H$158)</x:f>
        <x:v>18.75</x:v>
      </x:c>
      <x:c r="V50" s="53" t="n">
        <x:f>SUMPRODUCT((Events!$B$6:$B$158&lt;=$A50)*(Events!$C$6:$C$158&gt;=$A50)*(Events!$E$6:$E$158="Subsidy &amp; guarantee")*Events!$H$6:$H$158)+SUMPRODUCT((Events!$B$6:$B$158&lt;=$A50)*(Events!$C$6:$C$158&gt;=$A50)*(Events!$E$6:$E$158="Relief")*Events!$H$6:$H$158)</x:f>
        <x:v>1.7</x:v>
      </x:c>
      <x:c r="W50" s="53" t="n">
        <x:f>SUMPRODUCT((Events!$B$6:$B$158&lt;=$A50)*(Events!$C$6:$C$158&gt;=$A50)*(Events!$E$6:$E$158="Bank rescue &amp; capital")*Events!$H$6:$H$158)</x:f>
        <x:v>0</x:v>
      </x:c>
      <x:c r="X50" s="53" t="n">
        <x:f>'Debt &amp; cash'!R49*Paths!Y50</x:f>
        <x:v>4.107006133176915</x:v>
      </x:c>
      <x:c r="Y50" s="53" t="n">
        <x:f>SUM(N50:X50)</x:f>
        <x:v>169.03914881614688</x:v>
      </x:c>
      <x:c r="Z50" s="53" t="n">
        <x:f>M50-Y50</x:f>
        <x:v>25.665406284908983</x:v>
      </x:c>
      <x:c r="AA50" s="63" t="n">
        <x:f>M50/Economy!O50</x:f>
        <x:v>0.105212653452224</x:v>
      </x:c>
      <x:c r="AB50" s="63" t="n">
        <x:f>Y50/Economy!O50</x:f>
        <x:v>0.09134381768840157</x:v>
      </x:c>
      <x:c r="AC50" s="63" t="n">
        <x:f>(N50+O50+P50)/Economy!O50</x:f>
        <x:v>0.01212988810739473</x:v>
      </x:c>
    </x:row>
    <x:row r="51">
      <x:c r="A51" s="58" t="n">
        <x:v>1891</x:v>
      </x:c>
      <x:c r="B51" s="53" t="n">
        <x:f>Economy!O51*Paths!N51*Paths!O51*cust_coll</x:f>
        <x:v>46.17968466179512</x:v>
      </x:c>
      <x:c r="C51" s="53" t="n">
        <x:f>(Economy!J51+Economy!L51+Economy!M51+Economy!N51)*Paths!P51*Paths!Q51</x:f>
        <x:v>140.20034295067606</x:v>
      </x:c>
      <x:c r="D51" s="53" t="n">
        <x:f>Resources!P51+Resources!Q51</x:f>
        <x:v>3.4890000000000003</x:v>
      </x:c>
      <x:c r="E51" s="53" t="n">
        <x:f>Paths!S51*(1-canal_opcost)*canal_share</x:f>
        <x:v>0</x:v>
      </x:c>
      <x:c r="F51" s="53" t="n">
        <x:f>Economy!O51*Paths!R51</x:f>
        <x:v>3.977578351575808</x:v>
      </x:c>
      <x:c r="G51" s="53" t="n">
        <x:f>SUMPRODUCT((Events!$B$6:$B$158&lt;=$A51)*(Events!$C$6:$C$158&gt;=$A51)*(Events!$E$6:$E$158="Receipt")*Events!$H$6:$H$158)</x:f>
        <x:v>1.05</x:v>
      </x:c>
      <x:c r="H51" s="69" t="n">
        <x:f>Loans!Y51</x:f>
        <x:v>1.581378247011362</x:v>
      </x:c>
      <x:c r="I51" s="53" t="n">
        <x:f>'Debt &amp; cash'!S50*fund_yield</x:f>
        <x:v>0.8149616491630419</x:v>
      </x:c>
      <x:c r="J51" s="69" t="n">
        <x:f>Labour!Q51</x:f>
        <x:v>10.50295196348834</x:v>
      </x:c>
      <x:c r="K51" s="69" t="n">
        <x:f>Champions!BD51</x:f>
        <x:v>2.956825705106427</x:v>
      </x:c>
      <x:c r="L51" s="69" t="n">
        <x:f>Abroad!N51</x:f>
        <x:v>2.1025756214929685</x:v>
      </x:c>
      <x:c r="M51" s="53" t="n">
        <x:f>SUM(B51:L51)</x:f>
        <x:v>212.85529915030915</x:v>
      </x:c>
      <x:c r="N51" s="53" t="n">
        <x:f>(Paths!W51*army_cost+Paths!X51*res_cost)*Economy!H51/1000000</x:f>
        <x:v>14.405132</x:v>
      </x:c>
      <x:c r="O51" s="69" t="n">
        <x:f>Navy!Y51</x:f>
        <x:v>8.163556325</x:v>
      </x:c>
      <x:c r="P51" s="53" t="n">
        <x:f>SUMPRODUCT((Events!$B$6:$B$158&lt;=$A51)*(Events!$C$6:$C$158&gt;=$A51)*(Events!$E$6:$E$158="War &amp; operations")*Events!$H$6:$H$158)</x:f>
        <x:v>0</x:v>
      </x:c>
      <x:c r="Q51" s="53" t="n">
        <x:f>Economy!O51*Paths!T51</x:f>
        <x:v>62.64685903731897</x:v>
      </x:c>
      <x:c r="R51" s="53" t="n">
        <x:f>Economy!O51*Paths!U51</x:f>
        <x:v>39.77578351575808</x:v>
      </x:c>
      <x:c r="S51" s="53" t="n">
        <x:f>Economy!O51*Paths!V51+SUMPRODUCT((Events!$B$6:$B$158&lt;=$A51)*(Events!$C$6:$C$158&gt;=$A51)*(Events!$E$6:$E$158="Programme")*Events!$H$6:$H$158)+SUMPRODUCT((Events!$B$6:$B$158&lt;=$A51)*(Events!$C$6:$C$158&gt;=$A51)*(Events!$E$6:$E$158="Investment")*Events!$H$6:$H$158)</x:f>
        <x:v>22.992376087563876</x:v>
      </x:c>
      <x:c r="T51" s="53" t="n">
        <x:f>(People!T51*assist_cost+Labour!AD51*talent_cost+Labour!L51*gw_admin)*Economy!H51/1000000</x:f>
        <x:v>6.942919931407039</x:v>
      </x:c>
      <x:c r="U51" s="53" t="n">
        <x:f>SUMPRODUCT((Events!$B$6:$B$158&lt;=$A51)*(Events!$C$6:$C$158&gt;=$A51)*(Events!$E$6:$E$158="Purchase")*Events!$H$6:$H$158)</x:f>
        <x:v>18.75</x:v>
      </x:c>
      <x:c r="V51" s="53" t="n">
        <x:f>SUMPRODUCT((Events!$B$6:$B$158&lt;=$A51)*(Events!$C$6:$C$158&gt;=$A51)*(Events!$E$6:$E$158="Subsidy &amp; guarantee")*Events!$H$6:$H$158)+SUMPRODUCT((Events!$B$6:$B$158&lt;=$A51)*(Events!$C$6:$C$158&gt;=$A51)*(Events!$E$6:$E$158="Relief")*Events!$H$6:$H$158)</x:f>
        <x:v>1.7</x:v>
      </x:c>
      <x:c r="W51" s="53" t="n">
        <x:f>SUMPRODUCT((Events!$B$6:$B$158&lt;=$A51)*(Events!$C$6:$C$158&gt;=$A51)*(Events!$E$6:$E$158="Bank rescue &amp; capital")*Events!$H$6:$H$158)</x:f>
        <x:v>0</x:v>
      </x:c>
      <x:c r="X51" s="53" t="n">
        <x:f>'Debt &amp; cash'!R50*Paths!Y51</x:f>
        <x:v>4.404383179547285</x:v>
      </x:c>
      <x:c r="Y51" s="53" t="n">
        <x:f>SUM(N51:X51)</x:f>
        <x:v>179.78101007659524</x:v>
      </x:c>
      <x:c r="Z51" s="53" t="n">
        <x:f>M51-Y51</x:f>
        <x:v>33.07428907371391</x:v>
      </x:c>
      <x:c r="AA51" s="63" t="n">
        <x:f>M51/Economy!O51</x:f>
        <x:v>0.10702758328618804</x:v>
      </x:c>
      <x:c r="AB51" s="63" t="n">
        <x:f>Y51/Economy!O51</x:f>
        <x:v>0.09039721870236493</x:v>
      </x:c>
      <x:c r="AC51" s="63" t="n">
        <x:f>(N51+O51+P51)/Economy!O51</x:f>
        <x:v>0.011347954121913854</x:v>
      </x:c>
    </x:row>
    <x:row r="52">
      <x:c r="A52" s="58" t="n">
        <x:v>1892</x:v>
      </x:c>
      <x:c r="B52" s="53" t="n">
        <x:f>Economy!O52*Paths!N52*Paths!O52*cust_coll</x:f>
        <x:v>49.1117520551187</x:v>
      </x:c>
      <x:c r="C52" s="53" t="n">
        <x:f>(Economy!J52+Economy!L52+Economy!M52+Economy!N52)*Paths!P52*Paths!Q52</x:f>
        <x:v>150.44441016073372</x:v>
      </x:c>
      <x:c r="D52" s="53" t="n">
        <x:f>Resources!P52+Resources!Q52</x:f>
        <x:v>3.6330000000000005</x:v>
      </x:c>
      <x:c r="E52" s="53" t="n">
        <x:f>Paths!S52*(1-canal_opcost)*canal_share</x:f>
        <x:v>0</x:v>
      </x:c>
      <x:c r="F52" s="53" t="n">
        <x:f>Economy!O52*Paths!R52</x:f>
        <x:v>4.263839146317888</x:v>
      </x:c>
      <x:c r="G52" s="53" t="n">
        <x:f>SUMPRODUCT((Events!$B$6:$B$158&lt;=$A52)*(Events!$C$6:$C$158&gt;=$A52)*(Events!$E$6:$E$158="Receipt")*Events!$H$6:$H$158)</x:f>
        <x:v>1.05</x:v>
      </x:c>
      <x:c r="H52" s="69" t="n">
        <x:f>Loans!Y52</x:f>
        <x:v>1.5957443743948065</x:v>
      </x:c>
      <x:c r="I52" s="53" t="n">
        <x:f>'Debt &amp; cash'!S51*fund_yield</x:f>
        <x:v>0.8782741981614506</x:v>
      </x:c>
      <x:c r="J52" s="69" t="n">
        <x:f>Labour!Q52</x:f>
        <x:v>13.489667726508278</x:v>
      </x:c>
      <x:c r="K52" s="69" t="n">
        <x:f>Champions!BD52</x:f>
        <x:v>3.4306429811888655</x:v>
      </x:c>
      <x:c r="L52" s="69" t="n">
        <x:f>Abroad!N52</x:f>
        <x:v>2.414399804201097</x:v>
      </x:c>
      <x:c r="M52" s="53" t="n">
        <x:f>SUM(B52:L52)</x:f>
        <x:v>230.31173044662484</x:v>
      </x:c>
      <x:c r="N52" s="53" t="n">
        <x:f>(Paths!W52*army_cost+Paths!X52*res_cost)*Economy!H52/1000000</x:f>
        <x:v>14.558453</x:v>
      </x:c>
      <x:c r="O52" s="69" t="n">
        <x:f>Navy!Y52</x:f>
        <x:v>8.165112735000001</x:v>
      </x:c>
      <x:c r="P52" s="53" t="n">
        <x:f>SUMPRODUCT((Events!$B$6:$B$158&lt;=$A52)*(Events!$C$6:$C$158&gt;=$A52)*(Events!$E$6:$E$158="War &amp; operations")*Events!$H$6:$H$158)</x:f>
        <x:v>0</x:v>
      </x:c>
      <x:c r="Q52" s="53" t="n">
        <x:f>Economy!O52*Paths!T52</x:f>
        <x:v>68.22142634108621</x:v>
      </x:c>
      <x:c r="R52" s="53" t="n">
        <x:f>Economy!O52*Paths!U52</x:f>
        <x:v>42.638391463178884</x:v>
      </x:c>
      <x:c r="S52" s="53" t="n">
        <x:f>Economy!O52*Paths!V52+SUMPRODUCT((Events!$B$6:$B$158&lt;=$A52)*(Events!$C$6:$C$158&gt;=$A52)*(Events!$E$6:$E$158="Programme")*Events!$H$6:$H$158)+SUMPRODUCT((Events!$B$6:$B$158&lt;=$A52)*(Events!$C$6:$C$158&gt;=$A52)*(Events!$E$6:$E$158="Investment")*Events!$H$6:$H$158)</x:f>
        <x:v>24.153235945009968</x:v>
      </x:c>
      <x:c r="T52" s="53" t="n">
        <x:f>(People!T52*assist_cost+Labour!AD52*talent_cost+Labour!L52*gw_admin)*Economy!H52/1000000</x:f>
        <x:v>8.304945246161873</x:v>
      </x:c>
      <x:c r="U52" s="53" t="n">
        <x:f>SUMPRODUCT((Events!$B$6:$B$158&lt;=$A52)*(Events!$C$6:$C$158&gt;=$A52)*(Events!$E$6:$E$158="Purchase")*Events!$H$6:$H$158)</x:f>
        <x:v>18.75</x:v>
      </x:c>
      <x:c r="V52" s="53" t="n">
        <x:f>SUMPRODUCT((Events!$B$6:$B$158&lt;=$A52)*(Events!$C$6:$C$158&gt;=$A52)*(Events!$E$6:$E$158="Subsidy &amp; guarantee")*Events!$H$6:$H$158)+SUMPRODUCT((Events!$B$6:$B$158&lt;=$A52)*(Events!$C$6:$C$158&gt;=$A52)*(Events!$E$6:$E$158="Relief")*Events!$H$6:$H$158)</x:f>
        <x:v>1.7</x:v>
      </x:c>
      <x:c r="W52" s="53" t="n">
        <x:f>SUMPRODUCT((Events!$B$6:$B$158&lt;=$A52)*(Events!$C$6:$C$158&gt;=$A52)*(Events!$E$6:$E$158="Bank rescue &amp; capital")*Events!$H$6:$H$158)</x:f>
        <x:v>0</x:v>
      </x:c>
      <x:c r="X52" s="53" t="n">
        <x:f>'Debt &amp; cash'!R51*Paths!Y52</x:f>
        <x:v>4.673654563101574</x:v>
      </x:c>
      <x:c r="Y52" s="53" t="n">
        <x:f>SUM(N52:X52)</x:f>
        <x:v>191.1652192935385</x:v>
      </x:c>
      <x:c r="Z52" s="53" t="n">
        <x:f>M52-Y52</x:f>
        <x:v>39.14651115308632</x:v>
      </x:c>
      <x:c r="AA52" s="63" t="n">
        <x:f>M52/Economy!O52</x:f>
        <x:v>0.10803021527935193</x:v>
      </x:c>
      <x:c r="AB52" s="63" t="n">
        <x:f>Y52/Economy!O52</x:f>
        <x:v>0.0896681196140443</x:v>
      </x:c>
      <x:c r="AC52" s="63" t="n">
        <x:f>(N52+O52+P52)/Economy!O52</x:f>
        <x:v>0.010658734982825666</x:v>
      </x:c>
    </x:row>
    <x:row r="53">
      <x:c r="A53" s="58" t="n">
        <x:v>1893</x:v>
      </x:c>
      <x:c r="B53" s="53" t="n">
        <x:f>Economy!O53*Paths!N53*Paths!O53*cust_coll</x:f>
        <x:v>49.60082200986772</x:v>
      </x:c>
      <x:c r="C53" s="53" t="n">
        <x:f>(Economy!J53+Economy!L53+Economy!M53+Economy!N53)*Paths!P53*Paths!Q53</x:f>
        <x:v>153.04629506043736</x:v>
      </x:c>
      <x:c r="D53" s="53" t="n">
        <x:f>Resources!P53+Resources!Q53</x:f>
        <x:v>3.8033</x:v>
      </x:c>
      <x:c r="E53" s="53" t="n">
        <x:f>Paths!S53*(1-canal_opcost)*canal_share</x:f>
        <x:v>0</x:v>
      </x:c>
      <x:c r="F53" s="53" t="n">
        <x:f>Economy!O53*Paths!R53</x:f>
        <x:v>4.338846201811414</x:v>
      </x:c>
      <x:c r="G53" s="53" t="n">
        <x:f>SUMPRODUCT((Events!$B$6:$B$158&lt;=$A53)*(Events!$C$6:$C$158&gt;=$A53)*(Events!$E$6:$E$158="Receipt")*Events!$H$6:$H$158)</x:f>
        <x:v>1.05</x:v>
      </x:c>
      <x:c r="H53" s="69" t="n">
        <x:f>Loans!Y53</x:f>
        <x:v>1.5352072189649966</x:v>
      </x:c>
      <x:c r="I53" s="53" t="n">
        <x:f>'Debt &amp; cash'!S52*fund_yield</x:f>
        <x:v>0.9598420993354313</x:v>
      </x:c>
      <x:c r="J53" s="69" t="n">
        <x:f>Labour!Q53</x:f>
        <x:v>13.868165443319228</x:v>
      </x:c>
      <x:c r="K53" s="69" t="n">
        <x:f>Champions!BD53</x:f>
        <x:v>3.953429155538591</x:v>
      </x:c>
      <x:c r="L53" s="69" t="n">
        <x:f>Abroad!N53</x:f>
        <x:v>2.7537129166523786</x:v>
      </x:c>
      <x:c r="M53" s="53" t="n">
        <x:f>SUM(B53:L53)</x:f>
        <x:v>234.90962010592713</x:v>
      </x:c>
      <x:c r="N53" s="53" t="n">
        <x:f>(Paths!W53*army_cost+Paths!X53*res_cost)*Economy!H53/1000000</x:f>
        <x:v>14.7063</x:v>
      </x:c>
      <x:c r="O53" s="69" t="n">
        <x:f>Navy!Y53</x:f>
        <x:v>8.282554750000001</x:v>
      </x:c>
      <x:c r="P53" s="53" t="n">
        <x:f>SUMPRODUCT((Events!$B$6:$B$158&lt;=$A53)*(Events!$C$6:$C$158&gt;=$A53)*(Events!$E$6:$E$158="War &amp; operations")*Events!$H$6:$H$158)</x:f>
        <x:v>0</x:v>
      </x:c>
      <x:c r="Q53" s="53" t="n">
        <x:f>Economy!O53*Paths!T53</x:f>
        <x:v>70.50625077943548</x:v>
      </x:c>
      <x:c r="R53" s="53" t="n">
        <x:f>Economy!O53*Paths!U53</x:f>
        <x:v>43.38846201811414</x:v>
      </x:c>
      <x:c r="S53" s="53" t="n">
        <x:f>Economy!O53*Paths!V53+SUMPRODUCT((Events!$B$6:$B$158&lt;=$A53)*(Events!$C$6:$C$158&gt;=$A53)*(Events!$E$6:$E$158="Programme")*Events!$H$6:$H$158)+SUMPRODUCT((Events!$B$6:$B$158&lt;=$A53)*(Events!$C$6:$C$158&gt;=$A53)*(Events!$E$6:$E$158="Investment")*Events!$H$6:$H$158)</x:f>
        <x:v>24.509519458604217</x:v>
      </x:c>
      <x:c r="T53" s="53" t="n">
        <x:f>(People!T53*assist_cost+Labour!AD53*talent_cost+Labour!L53*gw_admin)*Economy!H53/1000000</x:f>
        <x:v>9.11769277749162</x:v>
      </x:c>
      <x:c r="U53" s="53" t="n">
        <x:f>SUMPRODUCT((Events!$B$6:$B$158&lt;=$A53)*(Events!$C$6:$C$158&gt;=$A53)*(Events!$E$6:$E$158="Purchase")*Events!$H$6:$H$158)</x:f>
        <x:v>18.75</x:v>
      </x:c>
      <x:c r="V53" s="53" t="n">
        <x:f>SUMPRODUCT((Events!$B$6:$B$158&lt;=$A53)*(Events!$C$6:$C$158&gt;=$A53)*(Events!$E$6:$E$158="Subsidy &amp; guarantee")*Events!$H$6:$H$158)+SUMPRODUCT((Events!$B$6:$B$158&lt;=$A53)*(Events!$C$6:$C$158&gt;=$A53)*(Events!$E$6:$E$158="Relief")*Events!$H$6:$H$158)</x:f>
        <x:v>3.7</x:v>
      </x:c>
      <x:c r="W53" s="53" t="n">
        <x:f>SUMPRODUCT((Events!$B$6:$B$158&lt;=$A53)*(Events!$C$6:$C$158&gt;=$A53)*(Events!$E$6:$E$158="Bank rescue &amp; capital")*Events!$H$6:$H$158)</x:f>
        <x:v>0</x:v>
      </x:c>
      <x:c r="X53" s="53" t="n">
        <x:f>'Debt &amp; cash'!R52*Paths!Y53</x:f>
        <x:v>4.935393811862957</x:v>
      </x:c>
      <x:c r="Y53" s="53" t="n">
        <x:f>SUM(N53:X53)</x:f>
        <x:v>197.89617359550837</x:v>
      </x:c>
      <x:c r="Z53" s="53" t="n">
        <x:f>M53-Y53</x:f>
        <x:v>37.01344651041876</x:v>
      </x:c>
      <x:c r="AA53" s="63" t="n">
        <x:f>M53/Economy!O53</x:f>
        <x:v>0.10828206817188187</x:v>
      </x:c>
      <x:c r="AB53" s="63" t="n">
        <x:f>Y53/Economy!O53</x:f>
        <x:v>0.09122064456347366</x:v>
      </x:c>
      <x:c r="AC53" s="63" t="n">
        <x:f>(N53+O53+P53)/Economy!O53</x:f>
        <x:v>0.010596759452041624</x:v>
      </x:c>
    </x:row>
    <x:row r="54">
      <x:c r="A54" s="58" t="n">
        <x:v>1894</x:v>
      </x:c>
      <x:c r="B54" s="53" t="n">
        <x:f>Economy!O54*Paths!N54*Paths!O54*cust_coll</x:f>
        <x:v>51.94775036550322</x:v>
      </x:c>
      <x:c r="C54" s="53" t="n">
        <x:f>(Economy!J54+Economy!L54+Economy!M54+Economy!N54)*Paths!P54*Paths!Q54</x:f>
        <x:v>161.6887969097358</x:v>
      </x:c>
      <x:c r="D54" s="53" t="n">
        <x:f>Resources!P54+Resources!Q54</x:f>
        <x:v>3.9613500000000004</x:v>
      </x:c>
      <x:c r="E54" s="53" t="n">
        <x:f>Paths!S54*(1-canal_opcost)*canal_share</x:f>
        <x:v>0</x:v>
      </x:c>
      <x:c r="F54" s="53" t="n">
        <x:f>Economy!O54*Paths!R54</x:f>
        <x:v>4.580930367328326</x:v>
      </x:c>
      <x:c r="G54" s="53" t="n">
        <x:f>SUMPRODUCT((Events!$B$6:$B$158&lt;=$A54)*(Events!$C$6:$C$158&gt;=$A54)*(Events!$E$6:$E$158="Receipt")*Events!$H$6:$H$158)</x:f>
        <x:v>1.05</x:v>
      </x:c>
      <x:c r="H54" s="69" t="n">
        <x:f>Loans!Y54</x:f>
        <x:v>1.4769927711659996</x:v>
      </x:c>
      <x:c r="I54" s="53" t="n">
        <x:f>'Debt &amp; cash'!S53*fund_yield</x:f>
        <x:v>1.0435524696794236</x:v>
      </x:c>
      <x:c r="J54" s="69" t="n">
        <x:f>Labour!Q54</x:f>
        <x:v>14.695945614995606</x:v>
      </x:c>
      <x:c r="K54" s="69" t="n">
        <x:f>Champions!BD54</x:f>
        <x:v>4.469657584776461</x:v>
      </x:c>
      <x:c r="L54" s="69" t="n">
        <x:f>Abroad!N54</x:f>
        <x:v>3.091342333567497</x:v>
      </x:c>
      <x:c r="M54" s="53" t="n">
        <x:f>SUM(B54:L54)</x:f>
        <x:v>248.00631841675235</x:v>
      </x:c>
      <x:c r="N54" s="53" t="n">
        <x:f>(Paths!W54*army_cost+Paths!X54*res_cost)*Economy!H54/1000000</x:f>
        <x:v>14.8362265</x:v>
      </x:c>
      <x:c r="O54" s="69" t="n">
        <x:f>Navy!Y54</x:f>
        <x:v>9.258088615000002</x:v>
      </x:c>
      <x:c r="P54" s="53" t="n">
        <x:f>SUMPRODUCT((Events!$B$6:$B$158&lt;=$A54)*(Events!$C$6:$C$158&gt;=$A54)*(Events!$E$6:$E$158="War &amp; operations")*Events!$H$6:$H$158)</x:f>
        <x:v>0.4</x:v>
      </x:c>
      <x:c r="Q54" s="53" t="n">
        <x:f>Economy!O54*Paths!T54</x:f>
        <x:v>75.58535106091739</x:v>
      </x:c>
      <x:c r="R54" s="53" t="n">
        <x:f>Economy!O54*Paths!U54</x:f>
        <x:v>45.80930367328327</x:v>
      </x:c>
      <x:c r="S54" s="53" t="n">
        <x:f>Economy!O54*Paths!V54+SUMPRODUCT((Events!$B$6:$B$158&lt;=$A54)*(Events!$C$6:$C$158&gt;=$A54)*(Events!$E$6:$E$158="Programme")*Events!$H$6:$H$158)+SUMPRODUCT((Events!$B$6:$B$158&lt;=$A54)*(Events!$C$6:$C$158&gt;=$A54)*(Events!$E$6:$E$158="Investment")*Events!$H$6:$H$158)</x:f>
        <x:v>28.43037272644314</x:v>
      </x:c>
      <x:c r="T54" s="53" t="n">
        <x:f>(People!T54*assist_cost+Labour!AD54*talent_cost+Labour!L54*gw_admin)*Economy!H54/1000000</x:f>
        <x:v>8.719591958309314</x:v>
      </x:c>
      <x:c r="U54" s="53" t="n">
        <x:f>SUMPRODUCT((Events!$B$6:$B$158&lt;=$A54)*(Events!$C$6:$C$158&gt;=$A54)*(Events!$E$6:$E$158="Purchase")*Events!$H$6:$H$158)</x:f>
        <x:v>18.75</x:v>
      </x:c>
      <x:c r="V54" s="53" t="n">
        <x:f>SUMPRODUCT((Events!$B$6:$B$158&lt;=$A54)*(Events!$C$6:$C$158&gt;=$A54)*(Events!$E$6:$E$158="Subsidy &amp; guarantee")*Events!$H$6:$H$158)+SUMPRODUCT((Events!$B$6:$B$158&lt;=$A54)*(Events!$C$6:$C$158&gt;=$A54)*(Events!$E$6:$E$158="Relief")*Events!$H$6:$H$158)</x:f>
        <x:v>3.7</x:v>
      </x:c>
      <x:c r="W54" s="53" t="n">
        <x:f>SUMPRODUCT((Events!$B$6:$B$158&lt;=$A54)*(Events!$C$6:$C$158&gt;=$A54)*(Events!$E$6:$E$158="Bank rescue &amp; capital")*Events!$H$6:$H$158)</x:f>
        <x:v>0</x:v>
      </x:c>
      <x:c r="X54" s="53" t="n">
        <x:f>'Debt &amp; cash'!R53*Paths!Y54</x:f>
        <x:v>4.9571317855695405</x:v>
      </x:c>
      <x:c r="Y54" s="53" t="n">
        <x:f>SUM(N54:X54)</x:f>
        <x:v>210.44606631952266</x:v>
      </x:c>
      <x:c r="Z54" s="53" t="n">
        <x:f>M54-Y54</x:f>
        <x:v>37.56025209722969</x:v>
      </x:c>
      <x:c r="AA54" s="63" t="n">
        <x:f>M54/Economy!O54</x:f>
        <x:v>0.10827770715990764</x:v>
      </x:c>
      <x:c r="AB54" s="63" t="n">
        <x:f>Y54/Economy!O54</x:f>
        <x:v>0.0918791814957267</x:v>
      </x:c>
      <x:c r="AC54" s="63" t="n">
        <x:f>(N54+O54+P54)/Economy!O54</x:f>
        <x:v>0.010694035119894425</x:v>
      </x:c>
    </x:row>
    <x:row r="55">
      <x:c r="A55" s="58" t="n">
        <x:v>1895</x:v>
      </x:c>
      <x:c r="B55" s="53" t="n">
        <x:f>Economy!O55*Paths!N55*Paths!O55*cust_coll</x:f>
        <x:v>56.5204607499078</x:v>
      </x:c>
      <x:c r="C55" s="53" t="n">
        <x:f>(Economy!J55+Economy!L55+Economy!M55+Economy!N55)*Paths!P55*Paths!Q55</x:f>
        <x:v>177.62824812284802</x:v>
      </x:c>
      <x:c r="D55" s="53" t="n">
        <x:f>Resources!P55+Resources!Q55</x:f>
        <x:v>4.105</x:v>
      </x:c>
      <x:c r="E55" s="53" t="n">
        <x:f>Paths!S55*(1-canal_opcost)*canal_share</x:f>
        <x:v>0</x:v>
      </x:c>
      <x:c r="F55" s="53" t="n">
        <x:f>Economy!O55*Paths!R55</x:f>
        <x:v>5.024844930736277</x:v>
      </x:c>
      <x:c r="G55" s="53" t="n">
        <x:f>SUMPRODUCT((Events!$B$6:$B$158&lt;=$A55)*(Events!$C$6:$C$158&gt;=$A55)*(Events!$E$6:$E$158="Receipt")*Events!$H$6:$H$158)</x:f>
        <x:v>1.55</x:v>
      </x:c>
      <x:c r="H55" s="69" t="n">
        <x:f>Loans!Y55</x:f>
        <x:v>1.9710110860501744</x:v>
      </x:c>
      <x:c r="I55" s="53" t="n">
        <x:f>'Debt &amp; cash'!S54*fund_yield</x:f>
        <x:v>1.0992803413256318</x:v>
      </x:c>
      <x:c r="J55" s="69" t="n">
        <x:f>Labour!Q55</x:f>
        <x:v>17.17223877757251</x:v>
      </x:c>
      <x:c r="K55" s="69" t="n">
        <x:f>Champions!BD55</x:f>
        <x:v>4.9227556110021125</x:v>
      </x:c>
      <x:c r="L55" s="69" t="n">
        <x:f>Abroad!N55</x:f>
        <x:v>3.4038108412153885</x:v>
      </x:c>
      <x:c r="M55" s="53" t="n">
        <x:f>SUM(B55:L55)</x:f>
        <x:v>273.39765046065787</x:v>
      </x:c>
      <x:c r="N55" s="53" t="n">
        <x:f>(Paths!W55*army_cost+Paths!X55*res_cost)*Economy!H55/1000000</x:f>
        <x:v>14.956759</x:v>
      </x:c>
      <x:c r="O55" s="69" t="n">
        <x:f>Navy!Y55</x:f>
        <x:v>8.81411885</x:v>
      </x:c>
      <x:c r="P55" s="53" t="n">
        <x:f>SUMPRODUCT((Events!$B$6:$B$158&lt;=$A55)*(Events!$C$6:$C$158&gt;=$A55)*(Events!$E$6:$E$158="War &amp; operations")*Events!$H$6:$H$158)</x:f>
        <x:v>0.4</x:v>
      </x:c>
      <x:c r="Q55" s="53" t="n">
        <x:f>Economy!O55*Paths!T55</x:f>
        <x:v>84.16615258983265</x:v>
      </x:c>
      <x:c r="R55" s="53" t="n">
        <x:f>Economy!O55*Paths!U55</x:f>
        <x:v>50.24844930736277</x:v>
      </x:c>
      <x:c r="S55" s="53" t="n">
        <x:f>Economy!O55*Paths!V55+SUMPRODUCT((Events!$B$6:$B$158&lt;=$A55)*(Events!$C$6:$C$158&gt;=$A55)*(Events!$E$6:$E$158="Programme")*Events!$H$6:$H$158)+SUMPRODUCT((Events!$B$6:$B$158&lt;=$A55)*(Events!$C$6:$C$158&gt;=$A55)*(Events!$E$6:$E$158="Investment")*Events!$H$6:$H$158)</x:f>
        <x:v>30.76552892792369</x:v>
      </x:c>
      <x:c r="T55" s="53" t="n">
        <x:f>(People!T55*assist_cost+Labour!AD55*talent_cost+Labour!L55*gw_admin)*Economy!H55/1000000</x:f>
        <x:v>9.428722792144697</x:v>
      </x:c>
      <x:c r="U55" s="53" t="n">
        <x:f>SUMPRODUCT((Events!$B$6:$B$158&lt;=$A55)*(Events!$C$6:$C$158&gt;=$A55)*(Events!$E$6:$E$158="Purchase")*Events!$H$6:$H$158)</x:f>
        <x:v>18.75</x:v>
      </x:c>
      <x:c r="V55" s="53" t="n">
        <x:f>SUMPRODUCT((Events!$B$6:$B$158&lt;=$A55)*(Events!$C$6:$C$158&gt;=$A55)*(Events!$E$6:$E$158="Subsidy &amp; guarantee")*Events!$H$6:$H$158)+SUMPRODUCT((Events!$B$6:$B$158&lt;=$A55)*(Events!$C$6:$C$158&gt;=$A55)*(Events!$E$6:$E$158="Relief")*Events!$H$6:$H$158)</x:f>
        <x:v>3.7</x:v>
      </x:c>
      <x:c r="W55" s="53" t="n">
        <x:f>SUMPRODUCT((Events!$B$6:$B$158&lt;=$A55)*(Events!$C$6:$C$158&gt;=$A55)*(Events!$E$6:$E$158="Bank rescue &amp; capital")*Events!$H$6:$H$158)</x:f>
        <x:v>0</x:v>
      </x:c>
      <x:c r="X55" s="53" t="n">
        <x:f>'Debt &amp; cash'!R54*Paths!Y55</x:f>
        <x:v>5.153546663244367</x:v>
      </x:c>
      <x:c r="Y55" s="53" t="n">
        <x:f>SUM(N55:X55)</x:f>
        <x:v>226.38327813050816</x:v>
      </x:c>
      <x:c r="Z55" s="53" t="n">
        <x:f>M55-Y55</x:f>
        <x:v>47.01437233014971</x:v>
      </x:c>
      <x:c r="AA55" s="63" t="n">
        <x:f>M55/Economy!O55</x:f>
        <x:v>0.10881834334362141</x:v>
      </x:c>
      <x:c r="AB55" s="63" t="n">
        <x:f>Y55/Economy!O55</x:f>
        <x:v>0.09010557788390769</x:v>
      </x:c>
      <x:c r="AC55" s="63" t="n">
        <x:f>(N55+O55+P55)/Economy!O55</x:f>
        <x:v>0.009620546776339346</x:v>
      </x:c>
    </x:row>
    <x:row r="56">
      <x:c r="A56" s="58" t="n">
        <x:v>1896</x:v>
      </x:c>
      <x:c r="B56" s="53" t="n">
        <x:f>Economy!O56*Paths!N56*Paths!O56*cust_coll</x:f>
        <x:v>60.0037172737635</x:v>
      </x:c>
      <x:c r="C56" s="53" t="n">
        <x:f>(Economy!J56+Economy!L56+Economy!M56+Economy!N56)*Paths!P56*Paths!Q56</x:f>
        <x:v>165.29104444659103</x:v>
      </x:c>
      <x:c r="D56" s="53" t="n">
        <x:f>Resources!P56+Resources!Q56</x:f>
        <x:v>4.6621625</x:v>
      </x:c>
      <x:c r="E56" s="53" t="n">
        <x:f>Paths!S56*(1-canal_opcost)*canal_share</x:f>
        <x:v>0</x:v>
      </x:c>
      <x:c r="F56" s="53" t="n">
        <x:f>Economy!O56*Paths!R56</x:f>
        <x:v>5.375810108921813</x:v>
      </x:c>
      <x:c r="G56" s="53" t="n">
        <x:f>SUMPRODUCT((Events!$B$6:$B$158&lt;=$A56)*(Events!$C$6:$C$158&gt;=$A56)*(Events!$E$6:$E$158="Receipt")*Events!$H$6:$H$158)</x:f>
        <x:v>1.55</x:v>
      </x:c>
      <x:c r="H56" s="69" t="n">
        <x:f>Loans!Y56</x:f>
        <x:v>5.9701757275670575</x:v>
      </x:c>
      <x:c r="I56" s="53" t="n">
        <x:f>'Debt &amp; cash'!S55*fund_yield</x:f>
        <x:v>0</x:v>
      </x:c>
      <x:c r="J56" s="69" t="n">
        <x:f>Labour!Q56</x:f>
        <x:v>19.260889927711823</x:v>
      </x:c>
      <x:c r="K56" s="69" t="n">
        <x:f>Champions!BD56</x:f>
        <x:v>5.469997945825618</x:v>
      </x:c>
      <x:c r="L56" s="69" t="n">
        <x:f>Abroad!N56</x:f>
        <x:v>3.7652314834773435</x:v>
      </x:c>
      <x:c r="M56" s="53" t="n">
        <x:f>SUM(B56:L56)</x:f>
        <x:v>271.34902941385826</x:v>
      </x:c>
      <x:c r="N56" s="53" t="n">
        <x:f>(Paths!W56*army_cost+Paths!X56*res_cost)*Economy!H56/1000000</x:f>
        <x:v>14.987200000000001</x:v>
      </x:c>
      <x:c r="O56" s="69" t="n">
        <x:f>Navy!Y56</x:f>
        <x:v>9.791304000000002</x:v>
      </x:c>
      <x:c r="P56" s="53" t="n">
        <x:f>SUMPRODUCT((Events!$B$6:$B$158&lt;=$A56)*(Events!$C$6:$C$158&gt;=$A56)*(Events!$E$6:$E$158="War &amp; operations")*Events!$H$6:$H$158)</x:f>
        <x:v>0</x:v>
      </x:c>
      <x:c r="Q56" s="53" t="n">
        <x:f>Economy!O56*Paths!T56</x:f>
        <x:v>91.38877185167084</x:v>
      </x:c>
      <x:c r="R56" s="53" t="n">
        <x:f>Economy!O56*Paths!U56</x:f>
        <x:v>53.75810108921814</x:v>
      </x:c>
      <x:c r="S56" s="53" t="n">
        <x:f>Economy!O56*Paths!V56+SUMPRODUCT((Events!$B$6:$B$158&lt;=$A56)*(Events!$C$6:$C$158&gt;=$A56)*(Events!$E$6:$E$158="Programme")*Events!$H$6:$H$158)+SUMPRODUCT((Events!$B$6:$B$158&lt;=$A56)*(Events!$C$6:$C$158&gt;=$A56)*(Events!$E$6:$E$158="Investment")*Events!$H$6:$H$158)</x:f>
        <x:v>31.89751700648643</x:v>
      </x:c>
      <x:c r="T56" s="53" t="n">
        <x:f>(People!T56*assist_cost+Labour!AD56*talent_cost+Labour!L56*gw_admin)*Economy!H56/1000000</x:f>
        <x:v>10.43682370732718</x:v>
      </x:c>
      <x:c r="U56" s="53" t="n">
        <x:f>SUMPRODUCT((Events!$B$6:$B$158&lt;=$A56)*(Events!$C$6:$C$158&gt;=$A56)*(Events!$E$6:$E$158="Purchase")*Events!$H$6:$H$158)</x:f>
        <x:v>18.75</x:v>
      </x:c>
      <x:c r="V56" s="53" t="n">
        <x:f>SUMPRODUCT((Events!$B$6:$B$158&lt;=$A56)*(Events!$C$6:$C$158&gt;=$A56)*(Events!$E$6:$E$158="Subsidy &amp; guarantee")*Events!$H$6:$H$158)+SUMPRODUCT((Events!$B$6:$B$158&lt;=$A56)*(Events!$C$6:$C$158&gt;=$A56)*(Events!$E$6:$E$158="Relief")*Events!$H$6:$H$158)</x:f>
        <x:v>1.7</x:v>
      </x:c>
      <x:c r="W56" s="53" t="n">
        <x:f>SUMPRODUCT((Events!$B$6:$B$158&lt;=$A56)*(Events!$C$6:$C$158&gt;=$A56)*(Events!$E$6:$E$158="Bank rescue &amp; capital")*Events!$H$6:$H$158)</x:f>
        <x:v>0</x:v>
      </x:c>
      <x:c r="X56" s="53" t="n">
        <x:f>'Debt &amp; cash'!R55*Paths!Y56</x:f>
        <x:v>5.590139985444108</x:v>
      </x:c>
      <x:c r="Y56" s="53" t="n">
        <x:f>SUM(N56:X56)</x:f>
        <x:v>238.29985764014668</x:v>
      </x:c>
      <x:c r="Z56" s="53" t="n">
        <x:f>M56-Y56</x:f>
        <x:v>33.04917177371158</x:v>
      </x:c>
      <x:c r="AA56" s="63" t="n">
        <x:f>M56/Economy!O56</x:f>
        <x:v>0.10095186545503956</x:v>
      </x:c>
      <x:c r="AB56" s="63" t="n">
        <x:f>Y56/Economy!O56</x:f>
        <x:v>0.08865635236804922</x:v>
      </x:c>
      <x:c r="AC56" s="63" t="n">
        <x:f>(N56+O56+P56)/Economy!O56</x:f>
        <x:v>0.009218519068922116</x:v>
      </x:c>
    </x:row>
    <x:row r="57">
      <x:c r="A57" s="58" t="n">
        <x:v>1897</x:v>
      </x:c>
      <x:c r="B57" s="53" t="n">
        <x:f>Economy!O57*Paths!N57*Paths!O57*cust_coll</x:f>
        <x:v>67.14216761031744</x:v>
      </x:c>
      <x:c r="C57" s="53" t="n">
        <x:f>(Economy!J57+Economy!L57+Economy!M57+Economy!N57)*Paths!P57*Paths!Q57</x:f>
        <x:v>186.58832433965165</x:v>
      </x:c>
      <x:c r="D57" s="53" t="n">
        <x:f>Resources!P57+Resources!Q57</x:f>
        <x:v>5.211675</x:v>
      </x:c>
      <x:c r="E57" s="53" t="n">
        <x:f>Paths!S57*(1-canal_opcost)*canal_share</x:f>
        <x:v>0</x:v>
      </x:c>
      <x:c r="F57" s="53" t="n">
        <x:f>Economy!O57*Paths!R57</x:f>
        <x:v>6.065236459829942</x:v>
      </x:c>
      <x:c r="G57" s="53" t="n">
        <x:f>SUMPRODUCT((Events!$B$6:$B$158&lt;=$A57)*(Events!$C$6:$C$158&gt;=$A57)*(Events!$E$6:$E$158="Receipt")*Events!$H$6:$H$158)</x:f>
        <x:v>1.55</x:v>
      </x:c>
      <x:c r="H57" s="69" t="n">
        <x:f>Loans!Y57</x:f>
        <x:v>5.899283630874499</x:v>
      </x:c>
      <x:c r="I57" s="53" t="n">
        <x:f>'Debt &amp; cash'!S56*fund_yield</x:f>
        <x:v>0.07836788660108532</x:v>
      </x:c>
      <x:c r="J57" s="69" t="n">
        <x:f>Labour!Q57</x:f>
        <x:v>23.141299824680292</x:v>
      </x:c>
      <x:c r="K57" s="69" t="n">
        <x:f>Champions!BD57</x:f>
        <x:v>6.064477089325014</x:v>
      </x:c>
      <x:c r="L57" s="69" t="n">
        <x:f>Abroad!N57</x:f>
        <x:v>4.365498038734188</x:v>
      </x:c>
      <x:c r="M57" s="53" t="n">
        <x:f>SUM(B57:L57)</x:f>
        <x:v>306.1063298800141</x:v>
      </x:c>
      <x:c r="N57" s="53" t="n">
        <x:f>(Paths!W57*army_cost+Paths!X57*res_cost)*Economy!H57/1000000</x:f>
        <x:v>15.644999999999998</x:v>
      </x:c>
      <x:c r="O57" s="69" t="n">
        <x:f>Navy!Y57</x:f>
        <x:v>11.004622499999998</x:v>
      </x:c>
      <x:c r="P57" s="53" t="n">
        <x:f>SUMPRODUCT((Events!$B$6:$B$158&lt;=$A57)*(Events!$C$6:$C$158&gt;=$A57)*(Events!$E$6:$E$158="War &amp; operations")*Events!$H$6:$H$158)</x:f>
        <x:v>0</x:v>
      </x:c>
      <x:c r="Q57" s="53" t="n">
        <x:f>Economy!O57*Paths!T57</x:f>
        <x:v>104.62532893206651</x:v>
      </x:c>
      <x:c r="R57" s="53" t="n">
        <x:f>Economy!O57*Paths!U57</x:f>
        <x:v>60.65236459829942</x:v>
      </x:c>
      <x:c r="S57" s="53" t="n">
        <x:f>Economy!O57*Paths!V57+SUMPRODUCT((Events!$B$6:$B$158&lt;=$A57)*(Events!$C$6:$C$158&gt;=$A57)*(Events!$E$6:$E$158="Programme")*Events!$H$6:$H$158)+SUMPRODUCT((Events!$B$6:$B$158&lt;=$A57)*(Events!$C$6:$C$158&gt;=$A57)*(Events!$E$6:$E$158="Investment")*Events!$H$6:$H$158)</x:f>
        <x:v>34.800087715217735</x:v>
      </x:c>
      <x:c r="T57" s="53" t="n">
        <x:f>(People!T57*assist_cost+Labour!AD57*talent_cost+Labour!L57*gw_admin)*Economy!H57/1000000</x:f>
        <x:v>11.458927577899171</x:v>
      </x:c>
      <x:c r="U57" s="53" t="n">
        <x:f>SUMPRODUCT((Events!$B$6:$B$158&lt;=$A57)*(Events!$C$6:$C$158&gt;=$A57)*(Events!$E$6:$E$158="Purchase")*Events!$H$6:$H$158)</x:f>
        <x:v>18.75</x:v>
      </x:c>
      <x:c r="V57" s="53" t="n">
        <x:f>SUMPRODUCT((Events!$B$6:$B$158&lt;=$A57)*(Events!$C$6:$C$158&gt;=$A57)*(Events!$E$6:$E$158="Subsidy &amp; guarantee")*Events!$H$6:$H$158)+SUMPRODUCT((Events!$B$6:$B$158&lt;=$A57)*(Events!$C$6:$C$158&gt;=$A57)*(Events!$E$6:$E$158="Relief")*Events!$H$6:$H$158)</x:f>
        <x:v>1.7</x:v>
      </x:c>
      <x:c r="W57" s="53" t="n">
        <x:f>SUMPRODUCT((Events!$B$6:$B$158&lt;=$A57)*(Events!$C$6:$C$158&gt;=$A57)*(Events!$E$6:$E$158="Bank rescue &amp; capital")*Events!$H$6:$H$158)</x:f>
        <x:v>0</x:v>
      </x:c>
      <x:c r="X57" s="53" t="n">
        <x:f>'Debt &amp; cash'!R56*Paths!Y57</x:f>
        <x:v>5.913391119813994</x:v>
      </x:c>
      <x:c r="Y57" s="53" t="n">
        <x:f>SUM(N57:X57)</x:f>
        <x:v>264.5497224432968</x:v>
      </x:c>
      <x:c r="Z57" s="53" t="n">
        <x:f>M57-Y57</x:f>
        <x:v>41.556607436717286</x:v>
      </x:c>
      <x:c r="AA57" s="63" t="n">
        <x:f>M57/Economy!O57</x:f>
        <x:v>0.10093797064874754</x:v>
      </x:c>
      <x:c r="AB57" s="63" t="n">
        <x:f>Y57/Economy!O57</x:f>
        <x:v>0.08723475966531873</x:v>
      </x:c>
      <x:c r="AC57" s="63" t="n">
        <x:f>(N57+O57+P57)/Economy!O57</x:f>
        <x:v>0.008787661512127494</x:v>
      </x:c>
    </x:row>
    <x:row r="58">
      <x:c r="A58" s="58" t="n">
        <x:v>1898</x:v>
      </x:c>
      <x:c r="B58" s="53" t="n">
        <x:f>Economy!O58*Paths!N58*Paths!O58*cust_coll</x:f>
        <x:v>73.30420807356893</x:v>
      </x:c>
      <x:c r="C58" s="53" t="n">
        <x:f>(Economy!J58+Economy!L58+Economy!M58+Economy!N58)*Paths!P58*Paths!Q58</x:f>
        <x:v>205.45303807890025</x:v>
      </x:c>
      <x:c r="D58" s="53" t="n">
        <x:f>Resources!P58+Resources!Q58</x:f>
        <x:v>5.7555000000000005</x:v>
      </x:c>
      <x:c r="E58" s="53" t="n">
        <x:f>Paths!S58*(1-canal_opcost)*canal_share</x:f>
        <x:v>0</x:v>
      </x:c>
      <x:c r="F58" s="53" t="n">
        <x:f>Economy!O58*Paths!R58</x:f>
        <x:v>6.677252015227354</x:v>
      </x:c>
      <x:c r="G58" s="53" t="n">
        <x:f>SUMPRODUCT((Events!$B$6:$B$158&lt;=$A58)*(Events!$C$6:$C$158&gt;=$A58)*(Events!$E$6:$E$158="Receipt")*Events!$H$6:$H$158)</x:f>
        <x:v>1.55</x:v>
      </x:c>
      <x:c r="H58" s="69" t="n">
        <x:f>Loans!Y58</x:f>
        <x:v>6.93113977007734</x:v>
      </x:c>
      <x:c r="I58" s="53" t="n">
        <x:f>'Debt &amp; cash'!S57*fund_yield</x:f>
        <x:v>0.10649908454913966</x:v>
      </x:c>
      <x:c r="J58" s="69" t="n">
        <x:f>Labour!Q58</x:f>
        <x:v>26.315412112367284</x:v>
      </x:c>
      <x:c r="K58" s="69" t="n">
        <x:f>Champions!BD58</x:f>
        <x:v>6.642345270083931</x:v>
      </x:c>
      <x:c r="L58" s="69" t="n">
        <x:f>Abroad!N58</x:f>
        <x:v>5.023863783892795</x:v>
      </x:c>
      <x:c r="M58" s="53" t="n">
        <x:f>SUM(B58:L58)</x:f>
        <x:v>337.75925818866693</x:v>
      </x:c>
      <x:c r="N58" s="53" t="n">
        <x:f>(Paths!W58*army_cost+Paths!X58*res_cost)*Economy!H58/1000000</x:f>
        <x:v>16.3044</x:v>
      </x:c>
      <x:c r="O58" s="69" t="n">
        <x:f>Navy!Y58</x:f>
        <x:v>15.013575</x:v>
      </x:c>
      <x:c r="P58" s="53" t="n">
        <x:f>SUMPRODUCT((Events!$B$6:$B$158&lt;=$A58)*(Events!$C$6:$C$158&gt;=$A58)*(Events!$E$6:$E$158="War &amp; operations")*Events!$H$6:$H$158)</x:f>
        <x:v>6</x:v>
      </x:c>
      <x:c r="Q58" s="53" t="n">
        <x:f>Economy!O58*Paths!T58</x:f>
        <x:v>116.8519102664787</x:v>
      </x:c>
      <x:c r="R58" s="53" t="n">
        <x:f>Economy!O58*Paths!U58</x:f>
        <x:v>66.77252015227354</x:v>
      </x:c>
      <x:c r="S58" s="53" t="n">
        <x:f>Economy!O58*Paths!V58+SUMPRODUCT((Events!$B$6:$B$158&lt;=$A58)*(Events!$C$6:$C$158&gt;=$A58)*(Events!$E$6:$E$158="Programme")*Events!$H$6:$H$158)+SUMPRODUCT((Events!$B$6:$B$158&lt;=$A58)*(Events!$C$6:$C$158&gt;=$A58)*(Events!$E$6:$E$158="Investment")*Events!$H$6:$H$158)</x:f>
        <x:v>40.28149666928446</x:v>
      </x:c>
      <x:c r="T58" s="53" t="n">
        <x:f>(People!T58*assist_cost+Labour!AD58*talent_cost+Labour!L58*gw_admin)*Economy!H58/1000000</x:f>
        <x:v>12.420465204689863</x:v>
      </x:c>
      <x:c r="U58" s="53" t="n">
        <x:f>SUMPRODUCT((Events!$B$6:$B$158&lt;=$A58)*(Events!$C$6:$C$158&gt;=$A58)*(Events!$E$6:$E$158="Purchase")*Events!$H$6:$H$158)</x:f>
        <x:v>18.75</x:v>
      </x:c>
      <x:c r="V58" s="53" t="n">
        <x:f>SUMPRODUCT((Events!$B$6:$B$158&lt;=$A58)*(Events!$C$6:$C$158&gt;=$A58)*(Events!$E$6:$E$158="Subsidy &amp; guarantee")*Events!$H$6:$H$158)+SUMPRODUCT((Events!$B$6:$B$158&lt;=$A58)*(Events!$C$6:$C$158&gt;=$A58)*(Events!$E$6:$E$158="Relief")*Events!$H$6:$H$158)</x:f>
        <x:v>1.7</x:v>
      </x:c>
      <x:c r="W58" s="53" t="n">
        <x:f>SUMPRODUCT((Events!$B$6:$B$158&lt;=$A58)*(Events!$C$6:$C$158&gt;=$A58)*(Events!$E$6:$E$158="Bank rescue &amp; capital")*Events!$H$6:$H$158)</x:f>
        <x:v>0</x:v>
      </x:c>
      <x:c r="X58" s="53" t="n">
        <x:f>'Debt &amp; cash'!R57*Paths!Y58</x:f>
        <x:v>6.5959446500650625</x:v>
      </x:c>
      <x:c r="Y58" s="53" t="n">
        <x:f>SUM(N58:X58)</x:f>
        <x:v>300.69031194279165</x:v>
      </x:c>
      <x:c r="Z58" s="53" t="n">
        <x:f>M58-Y58</x:f>
        <x:v>37.06894624587528</x:v>
      </x:c>
      <x:c r="AA58" s="63" t="n">
        <x:f>M58/Economy!O58</x:f>
        <x:v>0.10116714403422636</x:v>
      </x:c>
      <x:c r="AB58" s="63" t="n">
        <x:f>Y58/Economy!O58</x:f>
        <x:v>0.09006408961563013</x:v>
      </x:c>
      <x:c r="AC58" s="63" t="n">
        <x:f>(N58+O58+P58)/Economy!O58</x:f>
        <x:v>0.011177644610356785</x:v>
      </x:c>
    </x:row>
    <x:row r="59">
      <x:c r="A59" s="58" t="n">
        <x:v>1899</x:v>
      </x:c>
      <x:c r="B59" s="53" t="n">
        <x:f>Economy!O59*Paths!N59*Paths!O59*cust_coll</x:f>
        <x:v>79.855197541397</x:v>
      </x:c>
      <x:c r="C59" s="53" t="n">
        <x:f>(Economy!J59+Economy!L59+Economy!M59+Economy!N59)*Paths!P59*Paths!Q59</x:f>
        <x:v>225.49412515394846</x:v>
      </x:c>
      <x:c r="D59" s="53" t="n">
        <x:f>Resources!P59+Resources!Q59</x:f>
        <x:v>6.506500000000001</x:v>
      </x:c>
      <x:c r="E59" s="53" t="n">
        <x:f>Paths!S59*(1-canal_opcost)*canal_share</x:f>
        <x:v>0</x:v>
      </x:c>
      <x:c r="F59" s="53" t="n">
        <x:f>Economy!O59*Paths!R59</x:f>
        <x:v>7.331680488201859</x:v>
      </x:c>
      <x:c r="G59" s="53" t="n">
        <x:f>SUMPRODUCT((Events!$B$6:$B$158&lt;=$A59)*(Events!$C$6:$C$158&gt;=$A59)*(Events!$E$6:$E$158="Receipt")*Events!$H$6:$H$158)</x:f>
        <x:v>1.55</x:v>
      </x:c>
      <x:c r="H59" s="69" t="n">
        <x:f>Loans!Y59</x:f>
        <x:v>7.931636839178931</x:v>
      </x:c>
      <x:c r="I59" s="53" t="n">
        <x:f>'Debt &amp; cash'!S58*fund_yield</x:f>
        <x:v>0.12427125118976243</x:v>
      </x:c>
      <x:c r="J59" s="69" t="n">
        <x:f>Labour!Q59</x:f>
        <x:v>29.37012732669068</x:v>
      </x:c>
      <x:c r="K59" s="69" t="n">
        <x:f>Champions!BD59</x:f>
        <x:v>7.215559816114008</x:v>
      </x:c>
      <x:c r="L59" s="69" t="n">
        <x:f>Abroad!N59</x:f>
        <x:v>5.700248231300585</x:v>
      </x:c>
      <x:c r="M59" s="53" t="n">
        <x:f>SUM(B59:L59)</x:f>
        <x:v>371.0793466480213</x:v>
      </x:c>
      <x:c r="N59" s="53" t="n">
        <x:f>(Paths!W59*army_cost+Paths!X59*res_cost)*Economy!H59/1000000</x:f>
        <x:v>16.9756</x:v>
      </x:c>
      <x:c r="O59" s="69" t="n">
        <x:f>Navy!Y59</x:f>
        <x:v>14.079959500000001</x:v>
      </x:c>
      <x:c r="P59" s="53" t="n">
        <x:f>SUMPRODUCT((Events!$B$6:$B$158&lt;=$A59)*(Events!$C$6:$C$158&gt;=$A59)*(Events!$E$6:$E$158="War &amp; operations")*Events!$H$6:$H$158)</x:f>
        <x:v>6</x:v>
      </x:c>
      <x:c r="Q59" s="53" t="n">
        <x:f>Economy!O59*Paths!T59</x:f>
        <x:v>130.13732866558297</x:v>
      </x:c>
      <x:c r="R59" s="53" t="n">
        <x:f>Economy!O59*Paths!U59</x:f>
        <x:v>73.31680488201859</x:v>
      </x:c>
      <x:c r="S59" s="53" t="n">
        <x:f>Economy!O59*Paths!V59+SUMPRODUCT((Events!$B$6:$B$158&lt;=$A59)*(Events!$C$6:$C$158&gt;=$A59)*(Events!$E$6:$E$158="Programme")*Events!$H$6:$H$158)+SUMPRODUCT((Events!$B$6:$B$158&lt;=$A59)*(Events!$C$6:$C$158&gt;=$A59)*(Events!$E$6:$E$158="Investment")*Events!$H$6:$H$158)</x:f>
        <x:v>44.25914622131846</x:v>
      </x:c>
      <x:c r="T59" s="53" t="n">
        <x:f>(People!T59*assist_cost+Labour!AD59*talent_cost+Labour!L59*gw_admin)*Economy!H59/1000000</x:f>
        <x:v>13.364644086749077</x:v>
      </x:c>
      <x:c r="U59" s="53" t="n">
        <x:f>SUMPRODUCT((Events!$B$6:$B$158&lt;=$A59)*(Events!$C$6:$C$158&gt;=$A59)*(Events!$E$6:$E$158="Purchase")*Events!$H$6:$H$158)</x:f>
        <x:v>21.75</x:v>
      </x:c>
      <x:c r="V59" s="53" t="n">
        <x:f>SUMPRODUCT((Events!$B$6:$B$158&lt;=$A59)*(Events!$C$6:$C$158&gt;=$A59)*(Events!$E$6:$E$158="Subsidy &amp; guarantee")*Events!$H$6:$H$158)+SUMPRODUCT((Events!$B$6:$B$158&lt;=$A59)*(Events!$C$6:$C$158&gt;=$A59)*(Events!$E$6:$E$158="Relief")*Events!$H$6:$H$158)</x:f>
        <x:v>1.8</x:v>
      </x:c>
      <x:c r="W59" s="53" t="n">
        <x:f>SUMPRODUCT((Events!$B$6:$B$158&lt;=$A59)*(Events!$C$6:$C$158&gt;=$A59)*(Events!$E$6:$E$158="Bank rescue &amp; capital")*Events!$H$6:$H$158)</x:f>
        <x:v>0</x:v>
      </x:c>
      <x:c r="X59" s="53" t="n">
        <x:f>'Debt &amp; cash'!R58*Paths!Y59</x:f>
        <x:v>7.178045916369405</x:v>
      </x:c>
      <x:c r="Y59" s="53" t="n">
        <x:f>SUM(N59:X59)</x:f>
        <x:v>328.8615292720385</x:v>
      </x:c>
      <x:c r="Z59" s="53" t="n">
        <x:f>M59-Y59</x:f>
        <x:v>42.217817375982804</x:v>
      </x:c>
      <x:c r="AA59" s="63" t="n">
        <x:f>M59/Economy!O59</x:f>
        <x:v>0.10122627336124707</x:v>
      </x:c>
      <x:c r="AB59" s="63" t="n">
        <x:f>Y59/Economy!O59</x:f>
        <x:v>0.08970972747687042</x:v>
      </x:c>
      <x:c r="AC59" s="63" t="n">
        <x:f>(N59+O59+P59)/Economy!O59</x:f>
        <x:v>0.010108339980071367</x:v>
      </x:c>
    </x:row>
    <x:row r="60">
      <x:c r="A60" s="58" t="n">
        <x:v>1900</x:v>
      </x:c>
      <x:c r="B60" s="53" t="n">
        <x:f>Economy!O60*Paths!N60*Paths!O60*cust_coll</x:f>
        <x:v>87.06944970747506</x:v>
      </x:c>
      <x:c r="C60" s="53" t="n">
        <x:f>(Economy!J60+Economy!L60+Economy!M60+Economy!N60)*Paths!P60*Paths!Q60</x:f>
        <x:v>247.92462984260095</x:v>
      </x:c>
      <x:c r="D60" s="53" t="n">
        <x:f>Resources!P60+Resources!Q60</x:f>
        <x:v>7.24875</x:v>
      </x:c>
      <x:c r="E60" s="53" t="n">
        <x:f>Paths!S60*(1-canal_opcost)*canal_share</x:f>
        <x:v>0</x:v>
      </x:c>
      <x:c r="F60" s="53" t="n">
        <x:f>Economy!O60*Paths!R60</x:f>
        <x:v>8.061986084025468</x:v>
      </x:c>
      <x:c r="G60" s="53" t="n">
        <x:f>SUMPRODUCT((Events!$B$6:$B$158&lt;=$A60)*(Events!$C$6:$C$158&gt;=$A60)*(Events!$E$6:$E$158="Receipt")*Events!$H$6:$H$158)</x:f>
        <x:v>1.55</x:v>
      </x:c>
      <x:c r="H60" s="69" t="n">
        <x:f>Loans!Y60</x:f>
        <x:v>8.892031745719319</x:v>
      </x:c>
      <x:c r="I60" s="53" t="n">
        <x:f>'Debt &amp; cash'!S59*fund_yield</x:f>
        <x:v>0.15446687376050774</x:v>
      </x:c>
      <x:c r="J60" s="69" t="n">
        <x:f>Labour!Q60</x:f>
        <x:v>32.463050738623565</x:v>
      </x:c>
      <x:c r="K60" s="69" t="n">
        <x:f>Champions!BD60</x:f>
        <x:v>7.869613578171021</x:v>
      </x:c>
      <x:c r="L60" s="69" t="n">
        <x:f>Abroad!N60</x:f>
        <x:v>6.409981280033266</x:v>
      </x:c>
      <x:c r="M60" s="53" t="n">
        <x:f>SUM(B60:L60)</x:f>
        <x:v>407.6439598504091</x:v>
      </x:c>
      <x:c r="N60" s="53" t="n">
        <x:f>(Paths!W60*army_cost+Paths!X60*res_cost)*Economy!H60/1000000</x:f>
        <x:v>17.67</x:v>
      </x:c>
      <x:c r="O60" s="69" t="n">
        <x:f>Navy!Y60</x:f>
        <x:v>14.693033999999999</x:v>
      </x:c>
      <x:c r="P60" s="53" t="n">
        <x:f>SUMPRODUCT((Events!$B$6:$B$158&lt;=$A60)*(Events!$C$6:$C$158&gt;=$A60)*(Events!$E$6:$E$158="War &amp; operations")*Events!$H$6:$H$158)</x:f>
        <x:v>1</x:v>
      </x:c>
      <x:c r="Q60" s="53" t="n">
        <x:f>Economy!O60*Paths!T60</x:f>
        <x:v>145.11574951245842</x:v>
      </x:c>
      <x:c r="R60" s="53" t="n">
        <x:f>Economy!O60*Paths!U60</x:f>
        <x:v>80.61986084025467</x:v>
      </x:c>
      <x:c r="S60" s="53" t="n">
        <x:f>Economy!O60*Paths!V60+SUMPRODUCT((Events!$B$6:$B$158&lt;=$A60)*(Events!$C$6:$C$158&gt;=$A60)*(Events!$E$6:$E$158="Programme")*Events!$H$6:$H$158)+SUMPRODUCT((Events!$B$6:$B$158&lt;=$A60)*(Events!$C$6:$C$158&gt;=$A60)*(Events!$E$6:$E$158="Investment")*Events!$H$6:$H$158)</x:f>
        <x:v>47.178937378114604</x:v>
      </x:c>
      <x:c r="T60" s="53" t="n">
        <x:f>(People!T60*assist_cost+Labour!AD60*talent_cost+Labour!L60*gw_admin)*Economy!H60/1000000</x:f>
        <x:v>14.878349641026531</x:v>
      </x:c>
      <x:c r="U60" s="53" t="n">
        <x:f>SUMPRODUCT((Events!$B$6:$B$158&lt;=$A60)*(Events!$C$6:$C$158&gt;=$A60)*(Events!$E$6:$E$158="Purchase")*Events!$H$6:$H$158)</x:f>
        <x:v>18.75</x:v>
      </x:c>
      <x:c r="V60" s="53" t="n">
        <x:f>SUMPRODUCT((Events!$B$6:$B$158&lt;=$A60)*(Events!$C$6:$C$158&gt;=$A60)*(Events!$E$6:$E$158="Subsidy &amp; guarantee")*Events!$H$6:$H$158)+SUMPRODUCT((Events!$B$6:$B$158&lt;=$A60)*(Events!$C$6:$C$158&gt;=$A60)*(Events!$E$6:$E$158="Relief")*Events!$H$6:$H$158)</x:f>
        <x:v>1.8</x:v>
      </x:c>
      <x:c r="W60" s="53" t="n">
        <x:f>SUMPRODUCT((Events!$B$6:$B$158&lt;=$A60)*(Events!$C$6:$C$158&gt;=$A60)*(Events!$E$6:$E$158="Bank rescue &amp; capital")*Events!$H$6:$H$158)</x:f>
        <x:v>10</x:v>
      </x:c>
      <x:c r="X60" s="53" t="n">
        <x:f>'Debt &amp; cash'!R59*Paths!Y60</x:f>
        <x:v>7.789910518714477</x:v>
      </x:c>
      <x:c r="Y60" s="53" t="n">
        <x:f>SUM(N60:X60)</x:f>
        <x:v>359.4958418905687</x:v>
      </x:c>
      <x:c r="Z60" s="53" t="n">
        <x:f>M60-Y60</x:f>
        <x:v>48.14811795984036</x:v>
      </x:c>
      <x:c r="AA60" s="63" t="n">
        <x:f>M60/Economy!O60</x:f>
        <x:v>0.1011274283040852</x:v>
      </x:c>
      <x:c r="AB60" s="63" t="n">
        <x:f>Y60/Economy!O60</x:f>
        <x:v>0.08918294776094855</x:v>
      </x:c>
      <x:c r="AC60" s="63" t="n">
        <x:f>(N60+O60+P60)/Economy!O60</x:f>
        <x:v>0.008276629022247418</x:v>
      </x:c>
    </x:row>
    <x:row r="61">
      <x:c r="A61" s="58" t="n">
        <x:v>1901</x:v>
      </x:c>
      <x:c r="B61" s="53" t="n">
        <x:f>Economy!O61*Paths!N61*Paths!O61*cust_coll</x:f>
        <x:v>94.5584555931973</x:v>
      </x:c>
      <x:c r="C61" s="53" t="n">
        <x:f>(Economy!J61+Economy!L61+Economy!M61+Economy!N61)*Paths!P61*Paths!Q61</x:f>
        <x:v>271.1918555683912</x:v>
      </x:c>
      <x:c r="D61" s="53" t="n">
        <x:f>Resources!P61+Resources!Q61</x:f>
        <x:v>7.8495</x:v>
      </x:c>
      <x:c r="E61" s="53" t="n">
        <x:f>Paths!S61*(1-canal_opcost)*canal_share</x:f>
        <x:v>2.4</x:v>
      </x:c>
      <x:c r="F61" s="53" t="n">
        <x:f>Economy!O61*Paths!R61</x:f>
        <x:v>8.817132482301787</x:v>
      </x:c>
      <x:c r="G61" s="53" t="n">
        <x:f>SUMPRODUCT((Events!$B$6:$B$158&lt;=$A61)*(Events!$C$6:$C$158&gt;=$A61)*(Events!$E$6:$E$158="Receipt")*Events!$H$6:$H$158)</x:f>
        <x:v>1.55</x:v>
      </x:c>
      <x:c r="H61" s="69" t="n">
        <x:f>Loans!Y61</x:f>
        <x:v>8.538931044594863</x:v>
      </x:c>
      <x:c r="I61" s="53" t="n">
        <x:f>'Debt &amp; cash'!S60*fund_yield</x:f>
        <x:v>0.25549191501198576</x:v>
      </x:c>
      <x:c r="J61" s="69" t="n">
        <x:f>Labour!Q61</x:f>
        <x:v>35.450597714342486</x:v>
      </x:c>
      <x:c r="K61" s="69" t="n">
        <x:f>Champions!BD61</x:f>
        <x:v>10.722866498961832</x:v>
      </x:c>
      <x:c r="L61" s="69" t="n">
        <x:f>Abroad!N61</x:f>
        <x:v>11.229730294379847</x:v>
      </x:c>
      <x:c r="M61" s="53" t="n">
        <x:f>SUM(B61:L61)</x:f>
        <x:v>452.56456111118126</x:v>
      </x:c>
      <x:c r="N61" s="53" t="n">
        <x:f>(Paths!W61*army_cost+Paths!X61*res_cost)*Economy!H61/1000000</x:f>
        <x:v>18.18832</x:v>
      </x:c>
      <x:c r="O61" s="69" t="n">
        <x:f>Navy!Y61</x:f>
        <x:v>15.718925800000001</x:v>
      </x:c>
      <x:c r="P61" s="53" t="n">
        <x:f>SUMPRODUCT((Events!$B$6:$B$158&lt;=$A61)*(Events!$C$6:$C$158&gt;=$A61)*(Events!$E$6:$E$158="War &amp; operations")*Events!$H$6:$H$158)</x:f>
        <x:v>0</x:v>
      </x:c>
      <x:c r="Q61" s="53" t="n">
        <x:f>Economy!O61*Paths!T61</x:f>
        <x:v>160.03095455377743</x:v>
      </x:c>
      <x:c r="R61" s="53" t="n">
        <x:f>Economy!O61*Paths!U61</x:f>
        <x:v>88.17132482301788</x:v>
      </x:c>
      <x:c r="S61" s="53" t="n">
        <x:f>Economy!O61*Paths!V61+SUMPRODUCT((Events!$B$6:$B$158&lt;=$A61)*(Events!$C$6:$C$158&gt;=$A61)*(Events!$E$6:$E$158="Programme")*Events!$H$6:$H$158)+SUMPRODUCT((Events!$B$6:$B$158&lt;=$A61)*(Events!$C$6:$C$158&gt;=$A61)*(Events!$E$6:$E$158="Investment")*Events!$H$6:$H$158)</x:f>
        <x:v>46.03623954624295</x:v>
      </x:c>
      <x:c r="T61" s="53" t="n">
        <x:f>(People!T61*assist_cost+Labour!AD61*talent_cost+Labour!L61*gw_admin)*Economy!H61/1000000</x:f>
        <x:v>15.771746621624532</x:v>
      </x:c>
      <x:c r="U61" s="53" t="n">
        <x:f>SUMPRODUCT((Events!$B$6:$B$158&lt;=$A61)*(Events!$C$6:$C$158&gt;=$A61)*(Events!$E$6:$E$158="Purchase")*Events!$H$6:$H$158)</x:f>
        <x:v>18.75</x:v>
      </x:c>
      <x:c r="V61" s="53" t="n">
        <x:f>SUMPRODUCT((Events!$B$6:$B$158&lt;=$A61)*(Events!$C$6:$C$158&gt;=$A61)*(Events!$E$6:$E$158="Subsidy &amp; guarantee")*Events!$H$6:$H$158)+SUMPRODUCT((Events!$B$6:$B$158&lt;=$A61)*(Events!$C$6:$C$158&gt;=$A61)*(Events!$E$6:$E$158="Relief")*Events!$H$6:$H$158)</x:f>
        <x:v>0.7</x:v>
      </x:c>
      <x:c r="W61" s="53" t="n">
        <x:f>SUMPRODUCT((Events!$B$6:$B$158&lt;=$A61)*(Events!$C$6:$C$158&gt;=$A61)*(Events!$E$6:$E$158="Bank rescue &amp; capital")*Events!$H$6:$H$158)</x:f>
        <x:v>0</x:v>
      </x:c>
      <x:c r="X61" s="53" t="n">
        <x:f>'Debt &amp; cash'!R60*Paths!Y61</x:f>
        <x:v>8.465085388226742</x:v>
      </x:c>
      <x:c r="Y61" s="53" t="n">
        <x:f>SUM(N61:X61)</x:f>
        <x:v>371.8325967328895</x:v>
      </x:c>
      <x:c r="Z61" s="53" t="n">
        <x:f>M61-Y61</x:f>
        <x:v>80.73196437829176</x:v>
      </x:c>
      <x:c r="AA61" s="63" t="n">
        <x:f>M61/Economy!O61</x:f>
        <x:v>0.10265572441371221</x:v>
      </x:c>
      <x:c r="AB61" s="63" t="n">
        <x:f>Y61/Economy!O61</x:f>
        <x:v>0.08434320284497289</x:v>
      </x:c>
      <x:c r="AC61" s="63" t="n">
        <x:f>(N61+O61+P61)/Economy!O61</x:f>
        <x:v>0.007691218401914774</x:v>
      </x:c>
    </x:row>
    <x:row r="62">
      <x:c r="A62" s="58" t="n">
        <x:v>1902</x:v>
      </x:c>
      <x:c r="B62" s="53" t="n">
        <x:f>Economy!O62*Paths!N62*Paths!O62*cust_coll</x:f>
        <x:v>102.82654564819188</x:v>
      </x:c>
      <x:c r="C62" s="53" t="n">
        <x:f>(Economy!J62+Economy!L62+Economy!M62+Economy!N62)*Paths!P62*Paths!Q62</x:f>
        <x:v>297.11043726685017</x:v>
      </x:c>
      <x:c r="D62" s="53" t="n">
        <x:f>Resources!P62+Resources!Q62</x:f>
        <x:v>8.37275</x:v>
      </x:c>
      <x:c r="E62" s="53" t="n">
        <x:f>Paths!S62*(1-canal_opcost)*canal_share</x:f>
        <x:v>3.5999999999999996</x:v>
      </x:c>
      <x:c r="F62" s="53" t="n">
        <x:f>Economy!O62*Paths!R62</x:f>
        <x:v>9.656162727085857</x:v>
      </x:c>
      <x:c r="G62" s="53" t="n">
        <x:f>SUMPRODUCT((Events!$B$6:$B$158&lt;=$A62)*(Events!$C$6:$C$158&gt;=$A62)*(Events!$E$6:$E$158="Receipt")*Events!$H$6:$H$158)</x:f>
        <x:v>1.55</x:v>
      </x:c>
      <x:c r="H62" s="69" t="n">
        <x:f>Loans!Y62</x:f>
        <x:v>8.199876954454258</x:v>
      </x:c>
      <x:c r="I62" s="53" t="n">
        <x:f>'Debt &amp; cash'!S61*fund_yield</x:f>
        <x:v>0.42818369043045706</x:v>
      </x:c>
      <x:c r="J62" s="69" t="n">
        <x:f>Labour!Q62</x:f>
        <x:v>38.95946311594867</x:v>
      </x:c>
      <x:c r="K62" s="69" t="n">
        <x:f>Champions!BD62</x:f>
        <x:v>12.332851516541332</x:v>
      </x:c>
      <x:c r="L62" s="69" t="n">
        <x:f>Abroad!N62</x:f>
        <x:v>12.721615244719134</x:v>
      </x:c>
      <x:c r="M62" s="53" t="n">
        <x:f>SUM(B62:L62)</x:f>
        <x:v>495.7578861642218</x:v>
      </x:c>
      <x:c r="N62" s="53" t="n">
        <x:f>(Paths!W62*army_cost+Paths!X62*res_cost)*Economy!H62/1000000</x:f>
        <x:v>18.72584</x:v>
      </x:c>
      <x:c r="O62" s="69" t="n">
        <x:f>Navy!Y62</x:f>
        <x:v>18.3396938</x:v>
      </x:c>
      <x:c r="P62" s="53" t="n">
        <x:f>SUMPRODUCT((Events!$B$6:$B$158&lt;=$A62)*(Events!$C$6:$C$158&gt;=$A62)*(Events!$E$6:$E$158="War &amp; operations")*Events!$H$6:$H$158)</x:f>
        <x:v>0</x:v>
      </x:c>
      <x:c r="Q62" s="53" t="n">
        <x:f>Economy!O62*Paths!T62</x:f>
        <x:v>176.70777790567118</x:v>
      </x:c>
      <x:c r="R62" s="53" t="n">
        <x:f>Economy!O62*Paths!U62</x:f>
        <x:v>96.56162727085858</x:v>
      </x:c>
      <x:c r="S62" s="53" t="n">
        <x:f>Economy!O62*Paths!V62+SUMPRODUCT((Events!$B$6:$B$158&lt;=$A62)*(Events!$C$6:$C$158&gt;=$A62)*(Events!$E$6:$E$158="Programme")*Events!$H$6:$H$158)+SUMPRODUCT((Events!$B$6:$B$158&lt;=$A62)*(Events!$C$6:$C$158&gt;=$A62)*(Events!$E$6:$E$158="Investment")*Events!$H$6:$H$158)</x:f>
        <x:v>48.28711599917777</x:v>
      </x:c>
      <x:c r="T62" s="53" t="n">
        <x:f>(People!T62*assist_cost+Labour!AD62*talent_cost+Labour!L62*gw_admin)*Economy!H62/1000000</x:f>
        <x:v>16.772801234462367</x:v>
      </x:c>
      <x:c r="U62" s="53" t="n">
        <x:f>SUMPRODUCT((Events!$B$6:$B$158&lt;=$A62)*(Events!$C$6:$C$158&gt;=$A62)*(Events!$E$6:$E$158="Purchase")*Events!$H$6:$H$158)</x:f>
        <x:v>0</x:v>
      </x:c>
      <x:c r="V62" s="53" t="n">
        <x:f>SUMPRODUCT((Events!$B$6:$B$158&lt;=$A62)*(Events!$C$6:$C$158&gt;=$A62)*(Events!$E$6:$E$158="Subsidy &amp; guarantee")*Events!$H$6:$H$158)+SUMPRODUCT((Events!$B$6:$B$158&lt;=$A62)*(Events!$C$6:$C$158&gt;=$A62)*(Events!$E$6:$E$158="Relief")*Events!$H$6:$H$158)</x:f>
        <x:v>0.7</x:v>
      </x:c>
      <x:c r="W62" s="53" t="n">
        <x:f>SUMPRODUCT((Events!$B$6:$B$158&lt;=$A62)*(Events!$C$6:$C$158&gt;=$A62)*(Events!$E$6:$E$158="Bank rescue &amp; capital")*Events!$H$6:$H$158)</x:f>
        <x:v>0</x:v>
      </x:c>
      <x:c r="X62" s="53" t="n">
        <x:f>'Debt &amp; cash'!R61*Paths!Y62</x:f>
        <x:v>9.147774950388106</x:v>
      </x:c>
      <x:c r="Y62" s="53" t="n">
        <x:f>SUM(N62:X62)</x:f>
        <x:v>385.242631160558</x:v>
      </x:c>
      <x:c r="Z62" s="53" t="n">
        <x:f>M62-Y62</x:f>
        <x:v>110.51525500366381</x:v>
      </x:c>
      <x:c r="AA62" s="63" t="n">
        <x:f>M62/Economy!O62</x:f>
        <x:v>0.10268217306935072</x:v>
      </x:c>
      <x:c r="AB62" s="63" t="n">
        <x:f>Y62/Economy!O62</x:f>
        <x:v>0.07979207518529895</x:v>
      </x:c>
      <x:c r="AC62" s="63" t="n">
        <x:f>(N62+O62+P62)/Economy!O62</x:f>
        <x:v>0.007677073149571091</x:v>
      </x:c>
    </x:row>
    <x:row r="63">
      <x:c r="A63" s="58" t="n">
        <x:v>1903</x:v>
      </x:c>
      <x:c r="B63" s="53" t="n">
        <x:f>Economy!O63*Paths!N63*Paths!O63*cust_coll</x:f>
        <x:v>111.9830416214019</x:v>
      </x:c>
      <x:c r="C63" s="53" t="n">
        <x:f>(Economy!J63+Economy!L63+Economy!M63+Economy!N63)*Paths!P63*Paths!Q63</x:f>
        <x:v>325.91412458354506</x:v>
      </x:c>
      <x:c r="D63" s="53" t="n">
        <x:f>Resources!P63+Resources!Q63</x:f>
        <x:v>8.796000000000001</x:v>
      </x:c>
      <x:c r="E63" s="53" t="n">
        <x:f>Paths!S63*(1-canal_opcost)*canal_share</x:f>
        <x:v>4.8</x:v>
      </x:c>
      <x:c r="F63" s="53" t="n">
        <x:f>Economy!O63*Paths!R63</x:f>
        <x:v>10.585809239540383</x:v>
      </x:c>
      <x:c r="G63" s="53" t="n">
        <x:f>SUMPRODUCT((Events!$B$6:$B$158&lt;=$A63)*(Events!$C$6:$C$158&gt;=$A63)*(Events!$E$6:$E$158="Receipt")*Events!$H$6:$H$158)</x:f>
        <x:v>1.55</x:v>
      </x:c>
      <x:c r="H63" s="69" t="n">
        <x:f>Loans!Y63</x:f>
        <x:v>7.874309933369981</x:v>
      </x:c>
      <x:c r="I63" s="53" t="n">
        <x:f>'Debt &amp; cash'!S62*fund_yield</x:f>
        <x:v>0.6718666857361801</x:v>
      </x:c>
      <x:c r="J63" s="69" t="n">
        <x:f>Labour!Q63</x:f>
        <x:v>42.93968671610433</x:v>
      </x:c>
      <x:c r="K63" s="69" t="n">
        <x:f>Champions!BD63</x:f>
        <x:v>14.048426432345831</x:v>
      </x:c>
      <x:c r="L63" s="69" t="n">
        <x:f>Abroad!N63</x:f>
        <x:v>14.354762155474042</x:v>
      </x:c>
      <x:c r="M63" s="53" t="n">
        <x:f>SUM(B63:L63)</x:f>
        <x:v>543.5180273675178</x:v>
      </x:c>
      <x:c r="N63" s="53" t="n">
        <x:f>(Paths!W63*army_cost+Paths!X63*res_cost)*Economy!H63/1000000</x:f>
        <x:v>19.25922</x:v>
      </x:c>
      <x:c r="O63" s="69" t="n">
        <x:f>Navy!Y63</x:f>
        <x:v>20.66852</x:v>
      </x:c>
      <x:c r="P63" s="53" t="n">
        <x:f>SUMPRODUCT((Events!$B$6:$B$158&lt;=$A63)*(Events!$C$6:$C$158&gt;=$A63)*(Events!$E$6:$E$158="War &amp; operations")*Events!$H$6:$H$158)</x:f>
        <x:v>0</x:v>
      </x:c>
      <x:c r="Q63" s="53" t="n">
        <x:f>Economy!O63*Paths!T63</x:f>
        <x:v>195.3081804695201</x:v>
      </x:c>
      <x:c r="R63" s="53" t="n">
        <x:f>Economy!O63*Paths!U63</x:f>
        <x:v>105.85809239540384</x:v>
      </x:c>
      <x:c r="S63" s="53" t="n">
        <x:f>Economy!O63*Paths!V63+SUMPRODUCT((Events!$B$6:$B$158&lt;=$A63)*(Events!$C$6:$C$158&gt;=$A63)*(Events!$E$6:$E$158="Programme")*Events!$H$6:$H$158)+SUMPRODUCT((Events!$B$6:$B$158&lt;=$A63)*(Events!$C$6:$C$158&gt;=$A63)*(Events!$E$6:$E$158="Investment")*Events!$H$6:$H$158)</x:f>
        <x:v>49.37756065397769</x:v>
      </x:c>
      <x:c r="T63" s="53" t="n">
        <x:f>(People!T63*assist_cost+Labour!AD63*talent_cost+Labour!L63*gw_admin)*Economy!H63/1000000</x:f>
        <x:v>17.870492100987605</x:v>
      </x:c>
      <x:c r="U63" s="53" t="n">
        <x:f>SUMPRODUCT((Events!$B$6:$B$158&lt;=$A63)*(Events!$C$6:$C$158&gt;=$A63)*(Events!$E$6:$E$158="Purchase")*Events!$H$6:$H$158)</x:f>
        <x:v>0</x:v>
      </x:c>
      <x:c r="V63" s="53" t="n">
        <x:f>SUMPRODUCT((Events!$B$6:$B$158&lt;=$A63)*(Events!$C$6:$C$158&gt;=$A63)*(Events!$E$6:$E$158="Subsidy &amp; guarantee")*Events!$H$6:$H$158)+SUMPRODUCT((Events!$B$6:$B$158&lt;=$A63)*(Events!$C$6:$C$158&gt;=$A63)*(Events!$E$6:$E$158="Relief")*Events!$H$6:$H$158)</x:f>
        <x:v>0.5</x:v>
      </x:c>
      <x:c r="W63" s="53" t="n">
        <x:f>SUMPRODUCT((Events!$B$6:$B$158&lt;=$A63)*(Events!$C$6:$C$158&gt;=$A63)*(Events!$E$6:$E$158="Bank rescue &amp; capital")*Events!$H$6:$H$158)</x:f>
        <x:v>0</x:v>
      </x:c>
      <x:c r="X63" s="53" t="n">
        <x:f>'Debt &amp; cash'!R62*Paths!Y63</x:f>
        <x:v>9.897566795263003</x:v>
      </x:c>
      <x:c r="Y63" s="53" t="n">
        <x:f>SUM(N63:X63)</x:f>
        <x:v>418.73963241515224</x:v>
      </x:c>
      <x:c r="Z63" s="53" t="n">
        <x:f>M63-Y63</x:f>
        <x:v>124.77839495236555</x:v>
      </x:c>
      <x:c r="AA63" s="63" t="n">
        <x:f>M63/Economy!O63</x:f>
        <x:v>0.10268804492288704</x:v>
      </x:c>
      <x:c r="AB63" s="63" t="n">
        <x:f>Y63/Economy!O63</x:f>
        <x:v>0.07911339094437209</x:v>
      </x:c>
      <x:c r="AC63" s="63" t="n">
        <x:f>(N63+O63+P63)/Economy!O63</x:f>
        <x:v>0.007543634897719655</x:v>
      </x:c>
    </x:row>
    <x:row r="64">
      <x:c r="A64" s="58" t="n">
        <x:v>1904</x:v>
      </x:c>
      <x:c r="B64" s="53" t="n">
        <x:f>Economy!O64*Paths!N64*Paths!O64*cust_coll</x:f>
        <x:v>121.84449299334865</x:v>
      </x:c>
      <x:c r="C64" s="53" t="n">
        <x:f>(Economy!J64+Economy!L64+Economy!M64+Economy!N64)*Paths!P64*Paths!Q64</x:f>
        <x:v>357.4189620302118</x:v>
      </x:c>
      <x:c r="D64" s="53" t="n">
        <x:f>Resources!P64+Resources!Q64</x:f>
        <x:v>9.141749999999998</x:v>
      </x:c>
      <x:c r="E64" s="53" t="n">
        <x:f>Paths!S64*(1-canal_opcost)*canal_share</x:f>
        <x:v>5.3999999999999995</x:v>
      </x:c>
      <x:c r="F64" s="53" t="n">
        <x:f>Economy!O64*Paths!R64</x:f>
        <x:v>11.600922878544097</x:v>
      </x:c>
      <x:c r="G64" s="53" t="n">
        <x:f>SUMPRODUCT((Events!$B$6:$B$158&lt;=$A64)*(Events!$C$6:$C$158&gt;=$A64)*(Events!$E$6:$E$158="Receipt")*Events!$H$6:$H$158)</x:f>
        <x:v>1.55</x:v>
      </x:c>
      <x:c r="H64" s="69" t="n">
        <x:f>Loans!Y64</x:f>
        <x:v>7.561692751416257</x:v>
      </x:c>
      <x:c r="I64" s="53" t="n">
        <x:f>'Debt &amp; cash'!S63*fund_yield</x:f>
        <x:v>0.9454400698448079</x:v>
      </x:c>
      <x:c r="J64" s="69" t="n">
        <x:f>Labour!Q64</x:f>
        <x:v>47.30569483915354</x:v>
      </x:c>
      <x:c r="K64" s="69" t="n">
        <x:f>Champions!BD64</x:f>
        <x:v>15.977519970246048</x:v>
      </x:c>
      <x:c r="L64" s="69" t="n">
        <x:f>Abroad!N64</x:f>
        <x:v>16.14730684818495</x:v>
      </x:c>
      <x:c r="M64" s="53" t="n">
        <x:f>SUM(B64:L64)</x:f>
        <x:v>594.89378238095</x:v>
      </x:c>
      <x:c r="N64" s="53" t="n">
        <x:f>(Paths!W64*army_cost+Paths!X64*res_cost)*Economy!H64/1000000</x:f>
        <x:v>19.80004</x:v>
      </x:c>
      <x:c r="O64" s="69" t="n">
        <x:f>Navy!Y64</x:f>
        <x:v>21.508086900000002</x:v>
      </x:c>
      <x:c r="P64" s="53" t="n">
        <x:f>SUMPRODUCT((Events!$B$6:$B$158&lt;=$A64)*(Events!$C$6:$C$158&gt;=$A64)*(Events!$E$6:$E$158="War &amp; operations")*Events!$H$6:$H$158)</x:f>
        <x:v>3</x:v>
      </x:c>
      <x:c r="Q64" s="53" t="n">
        <x:f>Economy!O64*Paths!T64</x:f>
        <x:v>215.77716554092018</x:v>
      </x:c>
      <x:c r="R64" s="53" t="n">
        <x:f>Economy!O64*Paths!U64</x:f>
        <x:v>116.00922878544098</x:v>
      </x:c>
      <x:c r="S64" s="53" t="n">
        <x:f>Economy!O64*Paths!V64+SUMPRODUCT((Events!$B$6:$B$158&lt;=$A64)*(Events!$C$6:$C$158&gt;=$A64)*(Events!$E$6:$E$158="Programme")*Events!$H$6:$H$158)+SUMPRODUCT((Events!$B$6:$B$158&lt;=$A64)*(Events!$C$6:$C$158&gt;=$A64)*(Events!$E$6:$E$158="Investment")*Events!$H$6:$H$158)</x:f>
        <x:v>53.264014521666816</x:v>
      </x:c>
      <x:c r="T64" s="53" t="n">
        <x:f>(People!T64*assist_cost+Labour!AD64*talent_cost+Labour!L64*gw_admin)*Economy!H64/1000000</x:f>
        <x:v>19.051058871529307</x:v>
      </x:c>
      <x:c r="U64" s="53" t="n">
        <x:f>SUMPRODUCT((Events!$B$6:$B$158&lt;=$A64)*(Events!$C$6:$C$158&gt;=$A64)*(Events!$E$6:$E$158="Purchase")*Events!$H$6:$H$158)</x:f>
        <x:v>0</x:v>
      </x:c>
      <x:c r="V64" s="53" t="n">
        <x:f>SUMPRODUCT((Events!$B$6:$B$158&lt;=$A64)*(Events!$C$6:$C$158&gt;=$A64)*(Events!$E$6:$E$158="Subsidy &amp; guarantee")*Events!$H$6:$H$158)+SUMPRODUCT((Events!$B$6:$B$158&lt;=$A64)*(Events!$C$6:$C$158&gt;=$A64)*(Events!$E$6:$E$158="Relief")*Events!$H$6:$H$158)</x:f>
        <x:v>0.5</x:v>
      </x:c>
      <x:c r="W64" s="53" t="n">
        <x:f>SUMPRODUCT((Events!$B$6:$B$158&lt;=$A64)*(Events!$C$6:$C$158&gt;=$A64)*(Events!$E$6:$E$158="Bank rescue &amp; capital")*Events!$H$6:$H$158)</x:f>
        <x:v>0</x:v>
      </x:c>
      <x:c r="X64" s="53" t="n">
        <x:f>'Debt &amp; cash'!R63*Paths!Y64</x:f>
        <x:v>10.718131855034638</x:v>
      </x:c>
      <x:c r="Y64" s="53" t="n">
        <x:f>SUM(N64:X64)</x:f>
        <x:v>459.62772647459195</x:v>
      </x:c>
      <x:c r="Z64" s="53" t="n">
        <x:f>M64-Y64</x:f>
        <x:v>135.26605590635808</x:v>
      </x:c>
      <x:c r="AA64" s="63" t="n">
        <x:f>M64/Economy!O64</x:f>
        <x:v>0.10255973401585246</x:v>
      </x:c>
      <x:c r="AB64" s="63" t="n">
        <x:f>Y64/Economy!O64</x:f>
        <x:v>0.07923985553333404</x:v>
      </x:c>
      <x:c r="AC64" s="63" t="n">
        <x:f>(N64+O64+P64)/Economy!O64</x:f>
        <x:v>0.007638724498711714</x:v>
      </x:c>
    </x:row>
    <x:row r="65">
      <x:c r="A65" s="58" t="n">
        <x:v>1905</x:v>
      </x:c>
      <x:c r="B65" s="53" t="n">
        <x:f>Economy!O65*Paths!N65*Paths!O65*cust_coll</x:f>
        <x:v>132.18129669958608</x:v>
      </x:c>
      <x:c r="C65" s="53" t="n">
        <x:f>(Economy!J65+Economy!L65+Economy!M65+Economy!N65)*Paths!P65*Paths!Q65</x:f>
        <x:v>390.85565541716846</x:v>
      </x:c>
      <x:c r="D65" s="53" t="n">
        <x:f>Resources!P65+Resources!Q65</x:f>
        <x:v>9.3875</x:v>
      </x:c>
      <x:c r="E65" s="53" t="n">
        <x:f>Paths!S65*(1-canal_opcost)*canal_share</x:f>
        <x:v>6</x:v>
      </x:c>
      <x:c r="F65" s="53" t="n">
        <x:f>Economy!O65*Paths!R65</x:f>
        <x:v>12.676342779560208</x:v>
      </x:c>
      <x:c r="G65" s="53" t="n">
        <x:f>SUMPRODUCT((Events!$B$6:$B$158&lt;=$A65)*(Events!$C$6:$C$158&gt;=$A65)*(Events!$E$6:$E$158="Receipt")*Events!$H$6:$H$158)</x:f>
        <x:v>1.55</x:v>
      </x:c>
      <x:c r="H65" s="69" t="n">
        <x:f>Loans!Y65</x:f>
        <x:v>8.911509600279253</x:v>
      </x:c>
      <x:c r="I65" s="53" t="n">
        <x:f>'Debt &amp; cash'!S64*fund_yield</x:f>
        <x:v>1.168328339003442</x:v>
      </x:c>
      <x:c r="J65" s="69" t="n">
        <x:f>Labour!Q65</x:f>
        <x:v>52.01408107925097</x:v>
      </x:c>
      <x:c r="K65" s="69" t="n">
        <x:f>Champions!BD65</x:f>
        <x:v>17.96132254729606</x:v>
      </x:c>
      <x:c r="L65" s="69" t="n">
        <x:f>Abroad!N65</x:f>
        <x:v>18.06003945237283</x:v>
      </x:c>
      <x:c r="M65" s="53" t="n">
        <x:f>SUM(B65:L65)</x:f>
        <x:v>650.7660759145173</x:v>
      </x:c>
      <x:c r="N65" s="53" t="n">
        <x:f>(Paths!W65*army_cost+Paths!X65*res_cost)*Economy!H65/1000000</x:f>
        <x:v>20.3606</x:v>
      </x:c>
      <x:c r="O65" s="69" t="n">
        <x:f>Navy!Y65</x:f>
        <x:v>28.711684</x:v>
      </x:c>
      <x:c r="P65" s="53" t="n">
        <x:f>SUMPRODUCT((Events!$B$6:$B$158&lt;=$A65)*(Events!$C$6:$C$158&gt;=$A65)*(Events!$E$6:$E$158="War &amp; operations")*Events!$H$6:$H$158)</x:f>
        <x:v>3</x:v>
      </x:c>
      <x:c r="Q65" s="53" t="n">
        <x:f>Economy!O65*Paths!T65</x:f>
        <x:v>237.68142711675387</x:v>
      </x:c>
      <x:c r="R65" s="53" t="n">
        <x:f>Economy!O65*Paths!U65</x:f>
        <x:v>126.76342779560208</x:v>
      </x:c>
      <x:c r="S65" s="53" t="n">
        <x:f>Economy!O65*Paths!V65+SUMPRODUCT((Events!$B$6:$B$158&lt;=$A65)*(Events!$C$6:$C$158&gt;=$A65)*(Events!$E$6:$E$158="Programme")*Events!$H$6:$H$158)+SUMPRODUCT((Events!$B$6:$B$158&lt;=$A65)*(Events!$C$6:$C$158&gt;=$A65)*(Events!$E$6:$E$158="Investment")*Events!$H$6:$H$158)</x:f>
        <x:v>57.30827395210889</x:v>
      </x:c>
      <x:c r="T65" s="53" t="n">
        <x:f>(People!T65*assist_cost+Labour!AD65*talent_cost+Labour!L65*gw_admin)*Economy!H65/1000000</x:f>
        <x:v>20.31224899971993</x:v>
      </x:c>
      <x:c r="U65" s="53" t="n">
        <x:f>SUMPRODUCT((Events!$B$6:$B$158&lt;=$A65)*(Events!$C$6:$C$158&gt;=$A65)*(Events!$E$6:$E$158="Purchase")*Events!$H$6:$H$158)</x:f>
        <x:v>0</x:v>
      </x:c>
      <x:c r="V65" s="53" t="n">
        <x:f>SUMPRODUCT((Events!$B$6:$B$158&lt;=$A65)*(Events!$C$6:$C$158&gt;=$A65)*(Events!$E$6:$E$158="Subsidy &amp; guarantee")*Events!$H$6:$H$158)+SUMPRODUCT((Events!$B$6:$B$158&lt;=$A65)*(Events!$C$6:$C$158&gt;=$A65)*(Events!$E$6:$E$158="Relief")*Events!$H$6:$H$158)</x:f>
        <x:v>0.5</x:v>
      </x:c>
      <x:c r="W65" s="53" t="n">
        <x:f>SUMPRODUCT((Events!$B$6:$B$158&lt;=$A65)*(Events!$C$6:$C$158&gt;=$A65)*(Events!$E$6:$E$158="Bank rescue &amp; capital")*Events!$H$6:$H$158)</x:f>
        <x:v>0</x:v>
      </x:c>
      <x:c r="X65" s="53" t="n">
        <x:f>'Debt &amp; cash'!R64*Paths!Y65</x:f>
        <x:v>11.600922878544097</x:v>
      </x:c>
      <x:c r="Y65" s="53" t="n">
        <x:f>SUM(N65:X65)</x:f>
        <x:v>506.2385847427289</x:v>
      </x:c>
      <x:c r="Z65" s="53" t="n">
        <x:f>M65-Y65</x:f>
        <x:v>144.52749117178837</x:v>
      </x:c>
      <x:c r="AA65" s="63" t="n">
        <x:f>M65/Economy!O65</x:f>
        <x:v>0.10267410517863812</x:v>
      </x:c>
      <x:c r="AB65" s="63" t="n">
        <x:f>Y65/Economy!O65</x:f>
        <x:v>0.07987139406785469</x:v>
      </x:c>
      <x:c r="AC65" s="63" t="n">
        <x:f>(N65+O65+P65)/Economy!O65</x:f>
        <x:v>0.008215663603537643</x:v>
      </x:c>
    </x:row>
    <x:row r="66">
      <x:c r="A66" s="58" t="n">
        <x:v>1906</x:v>
      </x:c>
      <x:c r="B66" s="53" t="n">
        <x:f>Economy!O66*Paths!N66*Paths!O66*cust_coll</x:f>
        <x:v>145.28032427300906</x:v>
      </x:c>
      <x:c r="C66" s="53" t="n">
        <x:f>(Economy!J66+Economy!L66+Economy!M66+Economy!N66)*Paths!P66*Paths!Q66</x:f>
        <x:v>432.7930597921264</x:v>
      </x:c>
      <x:c r="D66" s="53" t="n">
        <x:f>Resources!P66+Resources!Q66</x:f>
        <x:v>10.447</x:v>
      </x:c>
      <x:c r="E66" s="53" t="n">
        <x:f>Paths!S66*(1-canal_opcost)*canal_share</x:f>
        <x:v>6.48</x:v>
      </x:c>
      <x:c r="F66" s="53" t="n">
        <x:f>Economy!O66*Paths!R66</x:f>
        <x:v>14.034305557778266</x:v>
      </x:c>
      <x:c r="G66" s="53" t="n">
        <x:f>SUMPRODUCT((Events!$B$6:$B$158&lt;=$A66)*(Events!$C$6:$C$158&gt;=$A66)*(Events!$E$6:$E$158="Receipt")*Events!$H$6:$H$158)</x:f>
        <x:v>1.55</x:v>
      </x:c>
      <x:c r="H66" s="69" t="n">
        <x:f>Loans!Y66</x:f>
        <x:v>10.207265238420137</x:v>
      </x:c>
      <x:c r="I66" s="53" t="n">
        <x:f>'Debt &amp; cash'!S65*fund_yield</x:f>
        <x:v>1.4118601567219125</x:v>
      </x:c>
      <x:c r="J66" s="69" t="n">
        <x:f>Labour!Q66</x:f>
        <x:v>57.837616438849594</x:v>
      </x:c>
      <x:c r="K66" s="69" t="n">
        <x:f>Champions!BD66</x:f>
        <x:v>19.833781985661986</x:v>
      </x:c>
      <x:c r="L66" s="69" t="n">
        <x:f>Abroad!N66</x:f>
        <x:v>19.880083466376522</x:v>
      </x:c>
      <x:c r="M66" s="53" t="n">
        <x:f>SUM(B66:L66)</x:f>
        <x:v>719.7552969089439</x:v>
      </x:c>
      <x:c r="N66" s="53" t="n">
        <x:f>(Paths!W66*army_cost+Paths!X66*res_cost)*Economy!H66/1000000</x:f>
        <x:v>21.27724</x:v>
      </x:c>
      <x:c r="O66" s="69" t="n">
        <x:f>Navy!Y66</x:f>
        <x:v>34.497606499999996</x:v>
      </x:c>
      <x:c r="P66" s="53" t="n">
        <x:f>SUMPRODUCT((Events!$B$6:$B$158&lt;=$A66)*(Events!$C$6:$C$158&gt;=$A66)*(Events!$E$6:$E$158="War &amp; operations")*Events!$H$6:$H$158)</x:f>
        <x:v>0</x:v>
      </x:c>
      <x:c r="Q66" s="53" t="n">
        <x:f>Economy!O66*Paths!T66</x:f>
        <x:v>265.24837504200923</x:v>
      </x:c>
      <x:c r="R66" s="53" t="n">
        <x:f>Economy!O66*Paths!U66</x:f>
        <x:v>140.34305557778265</x:v>
      </x:c>
      <x:c r="S66" s="53" t="n">
        <x:f>Economy!O66*Paths!V66+SUMPRODUCT((Events!$B$6:$B$158&lt;=$A66)*(Events!$C$6:$C$158&gt;=$A66)*(Events!$E$6:$E$158="Programme")*Events!$H$6:$H$158)+SUMPRODUCT((Events!$B$6:$B$158&lt;=$A66)*(Events!$C$6:$C$158&gt;=$A66)*(Events!$E$6:$E$158="Investment")*Events!$H$6:$H$158)</x:f>
        <x:v>65.24579862055764</x:v>
      </x:c>
      <x:c r="T66" s="53" t="n">
        <x:f>(People!T66*assist_cost+Labour!AD66*talent_cost+Labour!L66*gw_admin)*Economy!H66/1000000</x:f>
        <x:v>21.945008509947122</x:v>
      </x:c>
      <x:c r="U66" s="53" t="n">
        <x:f>SUMPRODUCT((Events!$B$6:$B$158&lt;=$A66)*(Events!$C$6:$C$158&gt;=$A66)*(Events!$E$6:$E$158="Purchase")*Events!$H$6:$H$158)</x:f>
        <x:v>0</x:v>
      </x:c>
      <x:c r="V66" s="53" t="n">
        <x:f>SUMPRODUCT((Events!$B$6:$B$158&lt;=$A66)*(Events!$C$6:$C$158&gt;=$A66)*(Events!$E$6:$E$158="Subsidy &amp; guarantee")*Events!$H$6:$H$158)+SUMPRODUCT((Events!$B$6:$B$158&lt;=$A66)*(Events!$C$6:$C$158&gt;=$A66)*(Events!$E$6:$E$158="Relief")*Events!$H$6:$H$158)</x:f>
        <x:v>0.5</x:v>
      </x:c>
      <x:c r="W66" s="53" t="n">
        <x:f>SUMPRODUCT((Events!$B$6:$B$158&lt;=$A66)*(Events!$C$6:$C$158&gt;=$A66)*(Events!$E$6:$E$158="Bank rescue &amp; capital")*Events!$H$6:$H$158)</x:f>
        <x:v>0</x:v>
      </x:c>
      <x:c r="X66" s="53" t="n">
        <x:f>'Debt &amp; cash'!R65*Paths!Y66</x:f>
        <x:v>13.024942205998114</x:v>
      </x:c>
      <x:c r="Y66" s="53" t="n">
        <x:f>SUM(N66:X66)</x:f>
        <x:v>562.0820264562947</x:v>
      </x:c>
      <x:c r="Z66" s="53" t="n">
        <x:f>M66-Y66</x:f>
        <x:v>157.67327045264926</x:v>
      </x:c>
      <x:c r="AA66" s="63" t="n">
        <x:f>M66/Economy!O66</x:f>
        <x:v>0.10257084598105139</x:v>
      </x:c>
      <x:c r="AB66" s="63" t="n">
        <x:f>Y66/Economy!O66</x:f>
        <x:v>0.08010115272782709</x:v>
      </x:c>
      <x:c r="AC66" s="63" t="n">
        <x:f>(N66+O66+P66)/Economy!O66</x:f>
        <x:v>0.007948358580391286</x:v>
      </x:c>
    </x:row>
    <x:row r="67">
      <x:c r="A67" s="58" t="n">
        <x:v>1907</x:v>
      </x:c>
      <x:c r="B67" s="53" t="n">
        <x:f>Economy!O67*Paths!N67*Paths!O67*cust_coll</x:f>
        <x:v>157.1000499182163</x:v>
      </x:c>
      <x:c r="C67" s="53" t="n">
        <x:f>(Economy!J67+Economy!L67+Economy!M67+Economy!N67)*Paths!P67*Paths!Q67</x:f>
        <x:v>471.804633041212</x:v>
      </x:c>
      <x:c r="D67" s="53" t="n">
        <x:f>Resources!P67+Resources!Q67</x:f>
        <x:v>11.161499999999998</x:v>
      </x:c>
      <x:c r="E67" s="53" t="n">
        <x:f>Paths!S67*(1-canal_opcost)*canal_share</x:f>
        <x:v>6.96</x:v>
      </x:c>
      <x:c r="F67" s="53" t="n">
        <x:f>Economy!O67*Paths!R67</x:f>
        <x:v>15.287757139625185</x:v>
      </x:c>
      <x:c r="G67" s="53" t="n">
        <x:f>SUMPRODUCT((Events!$B$6:$B$158&lt;=$A67)*(Events!$C$6:$C$158&gt;=$A67)*(Events!$E$6:$E$158="Receipt")*Events!$H$6:$H$158)</x:f>
        <x:v>1.55</x:v>
      </x:c>
      <x:c r="H67" s="69" t="n">
        <x:f>Loans!Y67</x:f>
        <x:v>9.801124170370823</x:v>
      </x:c>
      <x:c r="I67" s="53" t="n">
        <x:f>'Debt &amp; cash'!S66*fund_yield</x:f>
        <x:v>1.7520199625293902</x:v>
      </x:c>
      <x:c r="J67" s="69" t="n">
        <x:f>Labour!Q67</x:f>
        <x:v>61.5540289411743</x:v>
      </x:c>
      <x:c r="K67" s="69" t="n">
        <x:f>Champions!BD67</x:f>
        <x:v>21.86303313499673</x:v>
      </x:c>
      <x:c r="L67" s="69" t="n">
        <x:f>Abroad!N67</x:f>
        <x:v>21.8729837744647</x:v>
      </x:c>
      <x:c r="M67" s="53" t="n">
        <x:f>SUM(B67:L67)</x:f>
        <x:v>780.7071300825896</x:v>
      </x:c>
      <x:c r="N67" s="53" t="n">
        <x:f>(Paths!W67*army_cost+Paths!X67*res_cost)*Economy!H67/1000000</x:f>
        <x:v>22.21212</x:v>
      </x:c>
      <x:c r="O67" s="69" t="n">
        <x:f>Navy!Y67</x:f>
        <x:v>34.5010179</x:v>
      </x:c>
      <x:c r="P67" s="53" t="n">
        <x:f>SUMPRODUCT((Events!$B$6:$B$158&lt;=$A67)*(Events!$C$6:$C$158&gt;=$A67)*(Events!$E$6:$E$158="War &amp; operations")*Events!$H$6:$H$158)</x:f>
        <x:v>0</x:v>
      </x:c>
      <x:c r="Q67" s="53" t="n">
        <x:f>Economy!O67*Paths!T67</x:f>
        <x:v>291.996161366841</x:v>
      </x:c>
      <x:c r="R67" s="53" t="n">
        <x:f>Economy!O67*Paths!U67</x:f>
        <x:v>152.87757139625185</x:v>
      </x:c>
      <x:c r="S67" s="53" t="n">
        <x:f>Economy!O67*Paths!V67+SUMPRODUCT((Events!$B$6:$B$158&lt;=$A67)*(Events!$C$6:$C$158&gt;=$A67)*(Events!$E$6:$E$158="Programme")*Events!$H$6:$H$158)+SUMPRODUCT((Events!$B$6:$B$158&lt;=$A67)*(Events!$C$6:$C$158&gt;=$A67)*(Events!$E$6:$E$158="Investment")*Events!$H$6:$H$158)</x:f>
        <x:v>70.57296784340704</x:v>
      </x:c>
      <x:c r="T67" s="53" t="n">
        <x:f>(People!T67*assist_cost+Labour!AD67*talent_cost+Labour!L67*gw_admin)*Economy!H67/1000000</x:f>
        <x:v>22.86352314572012</x:v>
      </x:c>
      <x:c r="U67" s="53" t="n">
        <x:f>SUMPRODUCT((Events!$B$6:$B$158&lt;=$A67)*(Events!$C$6:$C$158&gt;=$A67)*(Events!$E$6:$E$158="Purchase")*Events!$H$6:$H$158)</x:f>
        <x:v>0</x:v>
      </x:c>
      <x:c r="V67" s="53" t="n">
        <x:f>SUMPRODUCT((Events!$B$6:$B$158&lt;=$A67)*(Events!$C$6:$C$158&gt;=$A67)*(Events!$E$6:$E$158="Subsidy &amp; guarantee")*Events!$H$6:$H$158)+SUMPRODUCT((Events!$B$6:$B$158&lt;=$A67)*(Events!$C$6:$C$158&gt;=$A67)*(Events!$E$6:$E$158="Relief")*Events!$H$6:$H$158)</x:f>
        <x:v>0.5</x:v>
      </x:c>
      <x:c r="W67" s="53" t="n">
        <x:f>SUMPRODUCT((Events!$B$6:$B$158&lt;=$A67)*(Events!$C$6:$C$158&gt;=$A67)*(Events!$E$6:$E$158="Bank rescue &amp; capital")*Events!$H$6:$H$158)</x:f>
        <x:v>0</x:v>
      </x:c>
      <x:c r="X67" s="53" t="n">
        <x:f>'Debt &amp; cash'!R66*Paths!Y67</x:f>
        <x:v>14.806192363456072</x:v>
      </x:c>
      <x:c r="Y67" s="53" t="n">
        <x:f>SUM(N67:X67)</x:f>
        <x:v>610.3295540156761</x:v>
      </x:c>
      <x:c r="Z67" s="53" t="n">
        <x:f>M67-Y67</x:f>
        <x:v>170.37757606691355</x:v>
      </x:c>
      <x:c r="AA67" s="63" t="n">
        <x:f>M67/Economy!O67</x:f>
        <x:v>0.10213494667036953</x:v>
      </x:c>
      <x:c r="AB67" s="63" t="n">
        <x:f>Y67/Economy!O67</x:f>
        <x:v>0.0798455324010517</x:v>
      </x:c>
      <x:c r="AC67" s="63" t="n">
        <x:f>(N67+O67+P67)/Economy!O67</x:f>
        <x:v>0.007419419000711632</x:v>
      </x:c>
    </x:row>
    <x:row r="68">
      <x:c r="A68" s="58" t="n">
        <x:v>1908</x:v>
      </x:c>
      <x:c r="B68" s="53" t="n">
        <x:f>Economy!O68*Paths!N68*Paths!O68*cust_coll</x:f>
        <x:v>165.39416434473992</x:v>
      </x:c>
      <x:c r="C68" s="53" t="n">
        <x:f>(Economy!J68+Economy!L68+Economy!M68+Economy!N68)*Paths!P68*Paths!Q68</x:f>
        <x:v>500.32824147266996</x:v>
      </x:c>
      <x:c r="D68" s="53" t="n">
        <x:f>Resources!P68+Resources!Q68</x:f>
        <x:v>11.831</x:v>
      </x:c>
      <x:c r="E68" s="53" t="n">
        <x:f>Paths!S68*(1-canal_opcost)*canal_share</x:f>
        <x:v>7.4399999999999995</x:v>
      </x:c>
      <x:c r="F68" s="53" t="n">
        <x:f>Economy!O68*Paths!R68</x:f>
        <x:v>16.205581456470693</x:v>
      </x:c>
      <x:c r="G68" s="53" t="n">
        <x:f>SUMPRODUCT((Events!$B$6:$B$158&lt;=$A68)*(Events!$C$6:$C$158&gt;=$A68)*(Events!$E$6:$E$158="Receipt")*Events!$H$6:$H$158)</x:f>
        <x:v>1.55</x:v>
      </x:c>
      <x:c r="H68" s="69" t="n">
        <x:f>Loans!Y68</x:f>
        <x:v>9.41116425879886</x:v>
      </x:c>
      <x:c r="I68" s="53" t="n">
        <x:f>'Debt &amp; cash'!S67*fund_yield</x:f>
        <x:v>2.125132110483321</x:v>
      </x:c>
      <x:c r="J68" s="69" t="n">
        <x:f>Labour!Q68</x:f>
        <x:v>61.098719798973015</x:v>
      </x:c>
      <x:c r="K68" s="69" t="n">
        <x:f>Champions!BD68</x:f>
        <x:v>23.800110396347545</x:v>
      </x:c>
      <x:c r="L68" s="69" t="n">
        <x:f>Abroad!N68</x:f>
        <x:v>23.844637567679037</x:v>
      </x:c>
      <x:c r="M68" s="53" t="n">
        <x:f>SUM(B68:L68)</x:f>
        <x:v>823.0287514061623</x:v>
      </x:c>
      <x:c r="N68" s="53" t="n">
        <x:f>(Paths!W68*army_cost+Paths!X68*res_cost)*Economy!H68/1000000</x:f>
        <x:v>23.16524</x:v>
      </x:c>
      <x:c r="O68" s="69" t="n">
        <x:f>Navy!Y68</x:f>
        <x:v>37.42067159999999</x:v>
      </x:c>
      <x:c r="P68" s="53" t="n">
        <x:f>SUMPRODUCT((Events!$B$6:$B$158&lt;=$A68)*(Events!$C$6:$C$158&gt;=$A68)*(Events!$E$6:$E$158="War &amp; operations")*Events!$H$6:$H$158)</x:f>
        <x:v>0</x:v>
      </x:c>
      <x:c r="Q68" s="53" t="n">
        <x:f>Economy!O68*Paths!T68</x:f>
        <x:v>311.95744303706084</x:v>
      </x:c>
      <x:c r="R68" s="53" t="n">
        <x:f>Economy!O68*Paths!U68</x:f>
        <x:v>162.05581456470694</x:v>
      </x:c>
      <x:c r="S68" s="53" t="n">
        <x:f>Economy!O68*Paths!V68+SUMPRODUCT((Events!$B$6:$B$158&lt;=$A68)*(Events!$C$6:$C$158&gt;=$A68)*(Events!$E$6:$E$158="Programme")*Events!$H$6:$H$158)+SUMPRODUCT((Events!$B$6:$B$158&lt;=$A68)*(Events!$C$6:$C$158&gt;=$A68)*(Events!$E$6:$E$158="Investment")*Events!$H$6:$H$158)</x:f>
        <x:v>73.66344211717691</x:v>
      </x:c>
      <x:c r="T68" s="53" t="n">
        <x:f>(People!T68*assist_cost+Labour!AD68*talent_cost+Labour!L68*gw_admin)*Economy!H68/1000000</x:f>
        <x:v>22.353766653382305</x:v>
      </x:c>
      <x:c r="U68" s="53" t="n">
        <x:f>SUMPRODUCT((Events!$B$6:$B$158&lt;=$A68)*(Events!$C$6:$C$158&gt;=$A68)*(Events!$E$6:$E$158="Purchase")*Events!$H$6:$H$158)</x:f>
        <x:v>0</x:v>
      </x:c>
      <x:c r="V68" s="53" t="n">
        <x:f>SUMPRODUCT((Events!$B$6:$B$158&lt;=$A68)*(Events!$C$6:$C$158&gt;=$A68)*(Events!$E$6:$E$158="Subsidy &amp; guarantee")*Events!$H$6:$H$158)+SUMPRODUCT((Events!$B$6:$B$158&lt;=$A68)*(Events!$C$6:$C$158&gt;=$A68)*(Events!$E$6:$E$158="Relief")*Events!$H$6:$H$158)</x:f>
        <x:v>0.5</x:v>
      </x:c>
      <x:c r="W68" s="53" t="n">
        <x:f>SUMPRODUCT((Events!$B$6:$B$158&lt;=$A68)*(Events!$C$6:$C$158&gt;=$A68)*(Events!$E$6:$E$158="Bank rescue &amp; capital")*Events!$H$6:$H$158)</x:f>
        <x:v>0</x:v>
      </x:c>
      <x:c r="X68" s="53" t="n">
        <x:f>'Debt &amp; cash'!R67*Paths!Y68</x:f>
        <x:v>16.54899710364426</x:v>
      </x:c>
      <x:c r="Y68" s="53" t="n">
        <x:f>SUM(N68:X68)</x:f>
        <x:v>647.6653750759713</x:v>
      </x:c>
      <x:c r="Z68" s="53" t="n">
        <x:f>M68-Y68</x:f>
        <x:v>175.36337633019104</x:v>
      </x:c>
      <x:c r="AA68" s="63" t="n">
        <x:f>M68/Economy!O68</x:f>
        <x:v>0.10157349227078019</x:v>
      </x:c>
      <x:c r="AB68" s="63" t="n">
        <x:f>Y68/Economy!O68</x:f>
        <x:v>0.07993114925442757</x:v>
      </x:c>
      <x:c r="AC68" s="63" t="n">
        <x:f>(N68+O68+P68)/Economy!O68</x:f>
        <x:v>0.007477166032300404</x:v>
      </x:c>
    </x:row>
    <x:row r="69">
      <x:c r="A69" s="58" t="n">
        <x:v>1909</x:v>
      </x:c>
      <x:c r="B69" s="53" t="n">
        <x:f>Economy!O69*Paths!N69*Paths!O69*cust_coll</x:f>
        <x:v>189.22663312776794</x:v>
      </x:c>
      <x:c r="C69" s="53" t="n">
        <x:f>(Economy!J69+Economy!L69+Economy!M69+Economy!N69)*Paths!P69*Paths!Q69</x:f>
        <x:v>577.7131118465314</x:v>
      </x:c>
      <x:c r="D69" s="53" t="n">
        <x:f>Resources!P69+Resources!Q69</x:f>
        <x:v>12.684875000000002</x:v>
      </x:c>
      <x:c r="E69" s="53" t="n">
        <x:f>Paths!S69*(1-canal_opcost)*canal_share</x:f>
        <x:v>7.919999999999999</x:v>
      </x:c>
      <x:c r="F69" s="53" t="n">
        <x:f>Economy!O69*Paths!R69</x:f>
        <x:v>18.67908800518913</x:v>
      </x:c>
      <x:c r="G69" s="53" t="n">
        <x:f>SUMPRODUCT((Events!$B$6:$B$158&lt;=$A69)*(Events!$C$6:$C$158&gt;=$A69)*(Events!$E$6:$E$158="Receipt")*Events!$H$6:$H$158)</x:f>
        <x:v>1.55</x:v>
      </x:c>
      <x:c r="H69" s="69" t="n">
        <x:f>Loans!Y69</x:f>
        <x:v>9.036740192032488</x:v>
      </x:c>
      <x:c r="I69" s="53" t="n">
        <x:f>'Debt &amp; cash'!S68*fund_yield</x:f>
        <x:v>2.5191824374818204</x:v>
      </x:c>
      <x:c r="J69" s="69" t="n">
        <x:f>Labour!Q69</x:f>
        <x:v>74.48207738042433</x:v>
      </x:c>
      <x:c r="K69" s="69" t="n">
        <x:f>Champions!BD69</x:f>
        <x:v>25.7549643256555</x:v>
      </x:c>
      <x:c r="L69" s="69" t="n">
        <x:f>Abroad!N69</x:f>
        <x:v>25.858682680519326</x:v>
      </x:c>
      <x:c r="M69" s="53" t="n">
        <x:f>SUM(B69:L69)</x:f>
        <x:v>945.425354995602</x:v>
      </x:c>
      <x:c r="N69" s="53" t="n">
        <x:f>(Paths!W69*army_cost+Paths!X69*res_cost)*Economy!H69/1000000</x:f>
        <x:v>24.15034</x:v>
      </x:c>
      <x:c r="O69" s="69" t="n">
        <x:f>Navy!Y69</x:f>
        <x:v>47.79561819999999</x:v>
      </x:c>
      <x:c r="P69" s="53" t="n">
        <x:f>SUMPRODUCT((Events!$B$6:$B$158&lt;=$A69)*(Events!$C$6:$C$158&gt;=$A69)*(Events!$E$6:$E$158="War &amp; operations")*Events!$H$6:$H$158)</x:f>
        <x:v>0</x:v>
      </x:c>
      <x:c r="Q69" s="53" t="n">
        <x:f>Economy!O69*Paths!T69</x:f>
        <x:v>362.3743073006691</x:v>
      </x:c>
      <x:c r="R69" s="53" t="n">
        <x:f>Economy!O69*Paths!U69</x:f>
        <x:v>186.7908800518913</x:v>
      </x:c>
      <x:c r="S69" s="53" t="n">
        <x:f>Economy!O69*Paths!V69+SUMPRODUCT((Events!$B$6:$B$158&lt;=$A69)*(Events!$C$6:$C$158&gt;=$A69)*(Events!$E$6:$E$158="Programme")*Events!$H$6:$H$158)+SUMPRODUCT((Events!$B$6:$B$158&lt;=$A69)*(Events!$C$6:$C$158&gt;=$A69)*(Events!$E$6:$E$158="Investment")*Events!$H$6:$H$158)</x:f>
        <x:v>83.1182152215349</x:v>
      </x:c>
      <x:c r="T69" s="53" t="n">
        <x:f>(People!T69*assist_cost+Labour!AD69*talent_cost+Labour!L69*gw_admin)*Economy!H69/1000000</x:f>
        <x:v>22.113520588161137</x:v>
      </x:c>
      <x:c r="U69" s="53" t="n">
        <x:f>SUMPRODUCT((Events!$B$6:$B$158&lt;=$A69)*(Events!$C$6:$C$158&gt;=$A69)*(Events!$E$6:$E$158="Purchase")*Events!$H$6:$H$158)</x:f>
        <x:v>0</x:v>
      </x:c>
      <x:c r="V69" s="53" t="n">
        <x:f>SUMPRODUCT((Events!$B$6:$B$158&lt;=$A69)*(Events!$C$6:$C$158&gt;=$A69)*(Events!$E$6:$E$158="Subsidy &amp; guarantee")*Events!$H$6:$H$158)+SUMPRODUCT((Events!$B$6:$B$158&lt;=$A69)*(Events!$C$6:$C$158&gt;=$A69)*(Events!$E$6:$E$158="Relief")*Events!$H$6:$H$158)</x:f>
        <x:v>0.5</x:v>
      </x:c>
      <x:c r="W69" s="53" t="n">
        <x:f>SUMPRODUCT((Events!$B$6:$B$158&lt;=$A69)*(Events!$C$6:$C$158&gt;=$A69)*(Events!$E$6:$E$158="Bank rescue &amp; capital")*Events!$H$6:$H$158)</x:f>
        <x:v>0</x:v>
      </x:c>
      <x:c r="X69" s="53" t="n">
        <x:f>'Debt &amp; cash'!R68*Paths!Y69</x:f>
        <x:v>17.98819541668247</x:v>
      </x:c>
      <x:c r="Y69" s="53" t="n">
        <x:f>SUM(N69:X69)</x:f>
        <x:v>744.831076778939</x:v>
      </x:c>
      <x:c r="Z69" s="53" t="n">
        <x:f>M69-Y69</x:f>
        <x:v>200.59427821666304</x:v>
      </x:c>
      <x:c r="AA69" s="63" t="n">
        <x:f>M69/Economy!O69</x:f>
        <x:v>0.10122821357584041</x:v>
      </x:c>
      <x:c r="AB69" s="63" t="n">
        <x:f>Y69/Economy!O69</x:f>
        <x:v>0.07975026153011558</x:v>
      </x:c>
      <x:c r="AC69" s="63" t="n">
        <x:f>(N69+O69+P69)/Economy!O69</x:f>
        <x:v>0.007703369477140758</x:v>
      </x:c>
    </x:row>
    <x:row r="70">
      <x:c r="A70" s="58" t="n">
        <x:v>1910</x:v>
      </x:c>
      <x:c r="B70" s="53" t="n">
        <x:f>Economy!O70*Paths!N70*Paths!O70*cust_coll</x:f>
        <x:v>205.6937572961449</x:v>
      </x:c>
      <x:c r="C70" s="53" t="n">
        <x:f>(Economy!J70+Economy!L70+Economy!M70+Economy!N70)*Paths!P70*Paths!Q70</x:f>
        <x:v>633.2102080598079</x:v>
      </x:c>
      <x:c r="D70" s="53" t="n">
        <x:f>Resources!P70+Resources!Q70</x:f>
        <x:v>13.595</x:v>
      </x:c>
      <x:c r="E70" s="53" t="n">
        <x:f>Paths!S70*(1-canal_opcost)*canal_share</x:f>
        <x:v>8.4</x:v>
      </x:c>
      <x:c r="F70" s="53" t="n">
        <x:f>Economy!O70*Paths!R70</x:f>
        <x:v>20.457269890613926</x:v>
      </x:c>
      <x:c r="G70" s="53" t="n">
        <x:f>SUMPRODUCT((Events!$B$6:$B$158&lt;=$A70)*(Events!$C$6:$C$158&gt;=$A70)*(Events!$E$6:$E$158="Receipt")*Events!$H$6:$H$158)</x:f>
        <x:v>1.55</x:v>
      </x:c>
      <x:c r="H70" s="69" t="n">
        <x:f>Loans!Y70</x:f>
        <x:v>8.677232412829204</x:v>
      </x:c>
      <x:c r="I70" s="53" t="n">
        <x:f>'Debt &amp; cash'!S69*fund_yield</x:f>
        <x:v>2.923966802666572</x:v>
      </x:c>
      <x:c r="J70" s="69" t="n">
        <x:f>Labour!Q70</x:f>
        <x:v>83.19951017442888</x:v>
      </x:c>
      <x:c r="K70" s="69" t="n">
        <x:f>Champions!BD70</x:f>
        <x:v>27.754697590840788</x:v>
      </x:c>
      <x:c r="L70" s="69" t="n">
        <x:f>Abroad!N70</x:f>
        <x:v>27.96097097498661</x:v>
      </x:c>
      <x:c r="M70" s="53" t="n">
        <x:f>SUM(B70:L70)</x:f>
        <x:v>1033.4226132023186</x:v>
      </x:c>
      <x:c r="N70" s="53" t="n">
        <x:f>(Paths!W70*army_cost+Paths!X70*res_cost)*Economy!H70/1000000</x:f>
        <x:v>25.1403</x:v>
      </x:c>
      <x:c r="O70" s="69" t="n">
        <x:f>Navy!Y70</x:f>
        <x:v>52.99911</x:v>
      </x:c>
      <x:c r="P70" s="53" t="n">
        <x:f>SUMPRODUCT((Events!$B$6:$B$158&lt;=$A70)*(Events!$C$6:$C$158&gt;=$A70)*(Events!$E$6:$E$158="War &amp; operations")*Events!$H$6:$H$158)</x:f>
        <x:v>0</x:v>
      </x:c>
      <x:c r="Q70" s="53" t="n">
        <x:f>Economy!O70*Paths!T70</x:f>
        <x:v>399.9396263615023</x:v>
      </x:c>
      <x:c r="R70" s="53" t="n">
        <x:f>Economy!O70*Paths!U70</x:f>
        <x:v>204.57269890613927</x:v>
      </x:c>
      <x:c r="S70" s="53" t="n">
        <x:f>Economy!O70*Paths!V70+SUMPRODUCT((Events!$B$6:$B$158&lt;=$A70)*(Events!$C$6:$C$158&gt;=$A70)*(Events!$E$6:$E$158="Programme")*Events!$H$6:$H$158)+SUMPRODUCT((Events!$B$6:$B$158&lt;=$A70)*(Events!$C$6:$C$158&gt;=$A70)*(Events!$E$6:$E$158="Investment")*Events!$H$6:$H$158)</x:f>
        <x:v>89.47480655151712</x:v>
      </x:c>
      <x:c r="T70" s="53" t="n">
        <x:f>(People!T70*assist_cost+Labour!AD70*talent_cost+Labour!L70*gw_admin)*Economy!H70/1000000</x:f>
        <x:v>24.817288602546235</x:v>
      </x:c>
      <x:c r="U70" s="53" t="n">
        <x:f>SUMPRODUCT((Events!$B$6:$B$158&lt;=$A70)*(Events!$C$6:$C$158&gt;=$A70)*(Events!$E$6:$E$158="Purchase")*Events!$H$6:$H$158)</x:f>
        <x:v>0</x:v>
      </x:c>
      <x:c r="V70" s="53" t="n">
        <x:f>SUMPRODUCT((Events!$B$6:$B$158&lt;=$A70)*(Events!$C$6:$C$158&gt;=$A70)*(Events!$E$6:$E$158="Subsidy &amp; guarantee")*Events!$H$6:$H$158)+SUMPRODUCT((Events!$B$6:$B$158&lt;=$A70)*(Events!$C$6:$C$158&gt;=$A70)*(Events!$E$6:$E$158="Relief")*Events!$H$6:$H$158)</x:f>
        <x:v>0.5</x:v>
      </x:c>
      <x:c r="W70" s="53" t="n">
        <x:f>SUMPRODUCT((Events!$B$6:$B$158&lt;=$A70)*(Events!$C$6:$C$158&gt;=$A70)*(Events!$E$6:$E$158="Bank rescue &amp; capital")*Events!$H$6:$H$158)</x:f>
        <x:v>0</x:v>
      </x:c>
      <x:c r="X70" s="53" t="n">
        <x:f>'Debt &amp; cash'!R69*Paths!Y70</x:f>
        <x:v>21.29416032591561</x:v>
      </x:c>
      <x:c r="Y70" s="53" t="n">
        <x:f>SUM(N70:X70)</x:f>
        <x:v>818.7379907476205</x:v>
      </x:c>
      <x:c r="Z70" s="53" t="n">
        <x:f>M70-Y70</x:f>
        <x:v>214.68462245469811</x:v>
      </x:c>
      <x:c r="AA70" s="63" t="n">
        <x:f>M70/Economy!O70</x:f>
        <x:v>0.10103230966087678</x:v>
      </x:c>
      <x:c r="AB70" s="63" t="n">
        <x:f>Y70/Economy!O70</x:f>
        <x:v>0.08004371992210639</x:v>
      </x:c>
      <x:c r="AC70" s="63" t="n">
        <x:f>(N70+O70+P70)/Economy!O70</x:f>
        <x:v>0.007639280355376396</x:v>
      </x:c>
    </x:row>
    <x:row r="71">
      <x:c r="A71" s="58" t="n">
        <x:v>1911</x:v>
      </x:c>
      <x:c r="B71" s="53" t="n">
        <x:f>Economy!O71*Paths!N71*Paths!O71*cust_coll</x:f>
        <x:v>222.50047583712882</x:v>
      </x:c>
      <x:c r="C71" s="53" t="n">
        <x:f>(Economy!J71+Economy!L71+Economy!M71+Economy!N71)*Paths!P71*Paths!Q71</x:f>
        <x:v>690.6699382700341</x:v>
      </x:c>
      <x:c r="D71" s="53" t="n">
        <x:f>Resources!P71+Resources!Q71</x:f>
        <x:v>14.4598875</x:v>
      </x:c>
      <x:c r="E71" s="53" t="n">
        <x:f>Paths!S71*(1-canal_opcost)*canal_share</x:f>
        <x:v>8.819999999999999</x:v>
      </x:c>
      <x:c r="F71" s="53" t="n">
        <x:f>Economy!O71*Paths!R71</x:f>
        <x:v>22.29642414593643</x:v>
      </x:c>
      <x:c r="G71" s="53" t="n">
        <x:f>SUMPRODUCT((Events!$B$6:$B$158&lt;=$A71)*(Events!$C$6:$C$158&gt;=$A71)*(Events!$E$6:$E$158="Receipt")*Events!$H$6:$H$158)</x:f>
        <x:v>1.55</x:v>
      </x:c>
      <x:c r="H71" s="69" t="n">
        <x:f>Loans!Y71</x:f>
        <x:v>8.332046089939707</x:v>
      </x:c>
      <x:c r="I71" s="53" t="n">
        <x:f>'Debt &amp; cash'!S70*fund_yield</x:f>
        <x:v>3.37959250813214</x:v>
      </x:c>
      <x:c r="J71" s="69" t="n">
        <x:f>Labour!Q71</x:f>
        <x:v>91.63147791443579</x:v>
      </x:c>
      <x:c r="K71" s="69" t="n">
        <x:f>Champions!BD71</x:f>
        <x:v>29.984073690859724</x:v>
      </x:c>
      <x:c r="L71" s="69" t="n">
        <x:f>Abroad!N71</x:f>
        <x:v>30.39302086533961</x:v>
      </x:c>
      <x:c r="M71" s="53" t="n">
        <x:f>SUM(B71:L71)</x:f>
        <x:v>1124.0169368218064</x:v>
      </x:c>
      <x:c r="N71" s="53" t="n">
        <x:f>(Paths!W71*army_cost+Paths!X71*res_cost)*Economy!H71/1000000</x:f>
        <x:v>26.04</x:v>
      </x:c>
      <x:c r="O71" s="69" t="n">
        <x:f>Navy!Y71</x:f>
        <x:v>60.08991850000001</x:v>
      </x:c>
      <x:c r="P71" s="53" t="n">
        <x:f>SUMPRODUCT((Events!$B$6:$B$158&lt;=$A71)*(Events!$C$6:$C$158&gt;=$A71)*(Events!$E$6:$E$158="War &amp; operations")*Events!$H$6:$H$158)</x:f>
        <x:v>0</x:v>
      </x:c>
      <x:c r="Q71" s="53" t="n">
        <x:f>Economy!O71*Paths!T71</x:f>
        <x:v>439.23955567494767</x:v>
      </x:c>
      <x:c r="R71" s="53" t="n">
        <x:f>Economy!O71*Paths!U71</x:f>
        <x:v>222.9642414593643</x:v>
      </x:c>
      <x:c r="S71" s="53" t="n">
        <x:f>Economy!O71*Paths!V71+SUMPRODUCT((Events!$B$6:$B$158&lt;=$A71)*(Events!$C$6:$C$158&gt;=$A71)*(Events!$E$6:$E$158="Programme")*Events!$H$6:$H$158)+SUMPRODUCT((Events!$B$6:$B$158&lt;=$A71)*(Events!$C$6:$C$158&gt;=$A71)*(Events!$E$6:$E$158="Investment")*Events!$H$6:$H$158)</x:f>
        <x:v>98.71533899833938</x:v>
      </x:c>
      <x:c r="T71" s="53" t="n">
        <x:f>(People!T71*assist_cost+Labour!AD71*talent_cost+Labour!L71*gw_admin)*Economy!H71/1000000</x:f>
        <x:v>26.609741452726116</x:v>
      </x:c>
      <x:c r="U71" s="53" t="n">
        <x:f>SUMPRODUCT((Events!$B$6:$B$158&lt;=$A71)*(Events!$C$6:$C$158&gt;=$A71)*(Events!$E$6:$E$158="Purchase")*Events!$H$6:$H$158)</x:f>
        <x:v>0</x:v>
      </x:c>
      <x:c r="V71" s="53" t="n">
        <x:f>SUMPRODUCT((Events!$B$6:$B$158&lt;=$A71)*(Events!$C$6:$C$158&gt;=$A71)*(Events!$E$6:$E$158="Subsidy &amp; guarantee")*Events!$H$6:$H$158)+SUMPRODUCT((Events!$B$6:$B$158&lt;=$A71)*(Events!$C$6:$C$158&gt;=$A71)*(Events!$E$6:$E$158="Relief")*Events!$H$6:$H$158)</x:f>
        <x:v>2.5</x:v>
      </x:c>
      <x:c r="W71" s="53" t="n">
        <x:f>SUMPRODUCT((Events!$B$6:$B$158&lt;=$A71)*(Events!$C$6:$C$158&gt;=$A71)*(Events!$E$6:$E$158="Bank rescue &amp; capital")*Events!$H$6:$H$158)</x:f>
        <x:v>0</x:v>
      </x:c>
      <x:c r="X71" s="53" t="n">
        <x:f>'Debt &amp; cash'!R70*Paths!Y71</x:f>
        <x:v>23.88386259729176</x:v>
      </x:c>
      <x:c r="Y71" s="53" t="n">
        <x:f>SUM(N71:X71)</x:f>
        <x:v>900.0426586826692</x:v>
      </x:c>
      <x:c r="Z71" s="53" t="n">
        <x:f>M71-Y71</x:f>
        <x:v>223.97427813913725</x:v>
      </x:c>
      <x:c r="AA71" s="63" t="n">
        <x:f>M71/Economy!O71</x:f>
        <x:v>0.10082486137371591</x:v>
      </x:c>
      <x:c r="AB71" s="63" t="n">
        <x:f>Y71/Economy!O71</x:f>
        <x:v>0.08073426059637494</x:v>
      </x:c>
      <x:c r="AC71" s="63" t="n">
        <x:f>(N71+O71+P71)/Economy!O71</x:f>
        <x:v>0.007725895232011663</x:v>
      </x:c>
    </x:row>
    <x:row r="72">
      <x:c r="A72" s="58" t="n">
        <x:v>1912</x:v>
      </x:c>
      <x:c r="B72" s="53" t="n">
        <x:f>Economy!O72*Paths!N72*Paths!O72*cust_coll</x:f>
        <x:v>240.84072343462157</x:v>
      </x:c>
      <x:c r="C72" s="53" t="n">
        <x:f>(Economy!J72+Economy!L72+Economy!M72+Economy!N72)*Paths!P72*Paths!Q72</x:f>
        <x:v>753.8241705400371</x:v>
      </x:c>
      <x:c r="D72" s="53" t="n">
        <x:f>Resources!P72+Resources!Q72</x:f>
        <x:v>15.490762500000002</x:v>
      </x:c>
      <x:c r="E72" s="53" t="n">
        <x:f>Paths!S72*(1-canal_opcost)*canal_share</x:f>
        <x:v>9.18</x:v>
      </x:c>
      <x:c r="F72" s="53" t="n">
        <x:f>Economy!O72*Paths!R72</x:f>
        <x:v>24.318502709582532</x:v>
      </x:c>
      <x:c r="G72" s="53" t="n">
        <x:f>SUMPRODUCT((Events!$B$6:$B$158&lt;=$A72)*(Events!$C$6:$C$158&gt;=$A72)*(Events!$E$6:$E$158="Receipt")*Events!$H$6:$H$158)</x:f>
        <x:v>1.55</x:v>
      </x:c>
      <x:c r="H72" s="69" t="n">
        <x:f>Loans!Y72</x:f>
        <x:v>8.000610130757083</x:v>
      </x:c>
      <x:c r="I72" s="53" t="n">
        <x:f>'Debt &amp; cash'!S71*fund_yield</x:f>
        <x:v>3.8532002351280257</x:v>
      </x:c>
      <x:c r="J72" s="69" t="n">
        <x:f>Labour!Q72</x:f>
        <x:v>100.38342652942129</x:v>
      </x:c>
      <x:c r="K72" s="69" t="n">
        <x:f>Champions!BD72</x:f>
        <x:v>32.38793509382431</x:v>
      </x:c>
      <x:c r="L72" s="69" t="n">
        <x:f>Abroad!N72</x:f>
        <x:v>32.85472665538611</x:v>
      </x:c>
      <x:c r="M72" s="53" t="n">
        <x:f>SUM(B72:L72)</x:f>
        <x:v>1222.6840578287581</x:v>
      </x:c>
      <x:c r="N72" s="53" t="n">
        <x:f>(Paths!W72*army_cost+Paths!X72*res_cost)*Economy!H72/1000000</x:f>
        <x:v>26.9696</x:v>
      </x:c>
      <x:c r="O72" s="69" t="n">
        <x:f>Navy!Y72</x:f>
        <x:v>64.86945250000001</x:v>
      </x:c>
      <x:c r="P72" s="53" t="n">
        <x:f>SUMPRODUCT((Events!$B$6:$B$158&lt;=$A72)*(Events!$C$6:$C$158&gt;=$A72)*(Events!$E$6:$E$158="War &amp; operations")*Events!$H$6:$H$158)</x:f>
        <x:v>0</x:v>
      </x:c>
      <x:c r="Q72" s="53" t="n">
        <x:f>Economy!O72*Paths!T72</x:f>
        <x:v>482.72227878521323</x:v>
      </x:c>
      <x:c r="R72" s="53" t="n">
        <x:f>Economy!O72*Paths!U72</x:f>
        <x:v>243.18502709582532</x:v>
      </x:c>
      <x:c r="S72" s="53" t="n">
        <x:f>Economy!O72*Paths!V72+SUMPRODUCT((Events!$B$6:$B$158&lt;=$A72)*(Events!$C$6:$C$158&gt;=$A72)*(Events!$E$6:$E$158="Programme")*Events!$H$6:$H$158)+SUMPRODUCT((Events!$B$6:$B$158&lt;=$A72)*(Events!$C$6:$C$158&gt;=$A72)*(Events!$E$6:$E$158="Investment")*Events!$H$6:$H$158)</x:f>
        <x:v>105.78993597380925</x:v>
      </x:c>
      <x:c r="T72" s="53" t="n">
        <x:f>(People!T72*assist_cost+Labour!AD72*talent_cost+Labour!L72*gw_admin)*Economy!H72/1000000</x:f>
        <x:v>28.477774590794496</x:v>
      </x:c>
      <x:c r="U72" s="53" t="n">
        <x:f>SUMPRODUCT((Events!$B$6:$B$158&lt;=$A72)*(Events!$C$6:$C$158&gt;=$A72)*(Events!$E$6:$E$158="Purchase")*Events!$H$6:$H$158)</x:f>
        <x:v>0</x:v>
      </x:c>
      <x:c r="V72" s="53" t="n">
        <x:f>SUMPRODUCT((Events!$B$6:$B$158&lt;=$A72)*(Events!$C$6:$C$158&gt;=$A72)*(Events!$E$6:$E$158="Subsidy &amp; guarantee")*Events!$H$6:$H$158)+SUMPRODUCT((Events!$B$6:$B$158&lt;=$A72)*(Events!$C$6:$C$158&gt;=$A72)*(Events!$E$6:$E$158="Relief")*Events!$H$6:$H$158)</x:f>
        <x:v>2.5</x:v>
      </x:c>
      <x:c r="W72" s="53" t="n">
        <x:f>SUMPRODUCT((Events!$B$6:$B$158&lt;=$A72)*(Events!$C$6:$C$158&gt;=$A72)*(Events!$E$6:$E$158="Bank rescue &amp; capital")*Events!$H$6:$H$158)</x:f>
        <x:v>0</x:v>
      </x:c>
      <x:c r="X72" s="53" t="n">
        <x:f>'Debt &amp; cash'!R71*Paths!Y72</x:f>
        <x:v>26.644226854394034</x:v>
      </x:c>
      <x:c r="Y72" s="53" t="n">
        <x:f>SUM(N72:X72)</x:f>
        <x:v>981.1582958000364</x:v>
      </x:c>
      <x:c r="Z72" s="53" t="n">
        <x:f>M72-Y72</x:f>
        <x:v>241.52576202872172</x:v>
      </x:c>
      <x:c r="AA72" s="63" t="n">
        <x:f>M72/Economy!O72</x:f>
        <x:v>0.1005558666526758</x:v>
      </x:c>
      <x:c r="AB72" s="63" t="n">
        <x:f>Y72/Economy!O72</x:f>
        <x:v>0.08069232777340506</x:v>
      </x:c>
      <x:c r="AC72" s="63" t="n">
        <x:f>(N72+O72+P72)/Economy!O72</x:f>
        <x:v>0.007553018670332157</x:v>
      </x:c>
    </x:row>
    <x:row r="73">
      <x:c r="A73" s="58" t="n">
        <x:v>1913</x:v>
      </x:c>
      <x:c r="B73" s="53" t="n">
        <x:f>Economy!O73*Paths!N73*Paths!O73*cust_coll</x:f>
        <x:v>260.3169894514991</x:v>
      </x:c>
      <x:c r="C73" s="53" t="n">
        <x:f>(Economy!J73+Economy!L73+Economy!M73+Economy!N73)*Paths!P73*Paths!Q73</x:f>
        <x:v>821.1549304829708</x:v>
      </x:c>
      <x:c r="D73" s="53" t="n">
        <x:f>Resources!P73+Resources!Q73</x:f>
        <x:v>16.464</x:v>
      </x:c>
      <x:c r="E73" s="53" t="n">
        <x:f>Paths!S73*(1-canal_opcost)*canal_share</x:f>
        <x:v>9.6</x:v>
      </x:c>
      <x:c r="F73" s="53" t="n">
        <x:f>Economy!O73*Paths!R73</x:f>
        <x:v>26.47273470534089</x:v>
      </x:c>
      <x:c r="G73" s="53" t="n">
        <x:f>SUMPRODUCT((Events!$B$6:$B$158&lt;=$A73)*(Events!$C$6:$C$158&gt;=$A73)*(Events!$E$6:$E$158="Receipt")*Events!$H$6:$H$158)</x:f>
        <x:v>1.55</x:v>
      </x:c>
      <x:c r="H73" s="69" t="n">
        <x:f>Loans!Y73</x:f>
        <x:v>7.682376233409316</x:v>
      </x:c>
      <x:c r="I73" s="53" t="n">
        <x:f>'Debt &amp; cash'!S72*fund_yield</x:f>
        <x:v>4.3612845268935105</x:v>
      </x:c>
      <x:c r="J73" s="69" t="n">
        <x:f>Labour!Q73</x:f>
        <x:v>110.15827763939268</x:v>
      </x:c>
      <x:c r="K73" s="69" t="n">
        <x:f>Champions!BD73</x:f>
        <x:v>34.84663775398178</x:v>
      </x:c>
      <x:c r="L73" s="69" t="n">
        <x:f>Abroad!N73</x:f>
        <x:v>35.505588804281686</x:v>
      </x:c>
      <x:c r="M73" s="53" t="n">
        <x:f>SUM(B73:L73)</x:f>
        <x:v>1328.1128195977694</x:v>
      </x:c>
      <x:c r="N73" s="53" t="n">
        <x:f>(Paths!W73*army_cost+Paths!X73*res_cost)*Economy!H73/1000000</x:f>
        <x:v>27.9</x:v>
      </x:c>
      <x:c r="O73" s="69" t="n">
        <x:f>Navy!Y73</x:f>
        <x:v>74.37585</x:v>
      </x:c>
      <x:c r="P73" s="53" t="n">
        <x:f>SUMPRODUCT((Events!$B$6:$B$158&lt;=$A73)*(Events!$C$6:$C$158&gt;=$A73)*(Events!$E$6:$E$158="War &amp; operations")*Events!$H$6:$H$158)</x:f>
        <x:v>0</x:v>
      </x:c>
      <x:c r="Q73" s="53" t="n">
        <x:f>Economy!O73*Paths!T73</x:f>
        <x:v>529.4546941068178</x:v>
      </x:c>
      <x:c r="R73" s="53" t="n">
        <x:f>Economy!O73*Paths!U73</x:f>
        <x:v>264.7273470534089</x:v>
      </x:c>
      <x:c r="S73" s="53" t="n">
        <x:f>Economy!O73*Paths!V73+SUMPRODUCT((Events!$B$6:$B$158&lt;=$A73)*(Events!$C$6:$C$158&gt;=$A73)*(Events!$E$6:$E$158="Programme")*Events!$H$6:$H$158)+SUMPRODUCT((Events!$B$6:$B$158&lt;=$A73)*(Events!$C$6:$C$158&gt;=$A73)*(Events!$E$6:$E$158="Investment")*Events!$H$6:$H$158)</x:f>
        <x:v>113.19093882136356</x:v>
      </x:c>
      <x:c r="T73" s="53" t="n">
        <x:f>(People!T73*assist_cost+Labour!AD73*talent_cost+Labour!L73*gw_admin)*Economy!H73/1000000</x:f>
        <x:v>30.44842089597313</x:v>
      </x:c>
      <x:c r="U73" s="53" t="n">
        <x:f>SUMPRODUCT((Events!$B$6:$B$158&lt;=$A73)*(Events!$C$6:$C$158&gt;=$A73)*(Events!$E$6:$E$158="Purchase")*Events!$H$6:$H$158)</x:f>
        <x:v>0</x:v>
      </x:c>
      <x:c r="V73" s="53" t="n">
        <x:f>SUMPRODUCT((Events!$B$6:$B$158&lt;=$A73)*(Events!$C$6:$C$158&gt;=$A73)*(Events!$E$6:$E$158="Subsidy &amp; guarantee")*Events!$H$6:$H$158)+SUMPRODUCT((Events!$B$6:$B$158&lt;=$A73)*(Events!$C$6:$C$158&gt;=$A73)*(Events!$E$6:$E$158="Relief")*Events!$H$6:$H$158)</x:f>
        <x:v>2.5</x:v>
      </x:c>
      <x:c r="W73" s="53" t="n">
        <x:f>SUMPRODUCT((Events!$B$6:$B$158&lt;=$A73)*(Events!$C$6:$C$158&gt;=$A73)*(Events!$E$6:$E$158="Bank rescue &amp; capital")*Events!$H$6:$H$158)</x:f>
        <x:v>0</x:v>
      </x:c>
      <x:c r="X73" s="53" t="n">
        <x:f>'Debt &amp; cash'!R72*Paths!Y73</x:f>
        <x:v>29.729369562464644</x:v>
      </x:c>
      <x:c r="Y73" s="53" t="n">
        <x:f>SUM(N73:X73)</x:f>
        <x:v>1072.326620440028</x:v>
      </x:c>
      <x:c r="Z73" s="53" t="n">
        <x:f>M73-Y73</x:f>
        <x:v>255.78619915774152</x:v>
      </x:c>
      <x:c r="AA73" s="63" t="n">
        <x:f>M73/Economy!O73</x:f>
        <x:v>0.10033816561685423</x:v>
      </x:c>
      <x:c r="AB73" s="63" t="n">
        <x:f>Y73/Economy!O73</x:f>
        <x:v>0.08101366423799695</x:v>
      </x:c>
      <x:c r="AC73" s="63" t="n">
        <x:f>(N73+O73+P73)/Economy!O73</x:f>
        <x:v>0.007726882102540452</x:v>
      </x:c>
    </x:row>
    <x:row r="74">
      <x:c r="A74" s="61" t="n">
        <x:v>1914</x:v>
      </x:c>
      <x:c r="B74" s="53" t="n">
        <x:f>Economy!O74*Paths!N74*Paths!O74*cust_coll</x:f>
        <x:v>269.2197159135871</x:v>
      </x:c>
      <x:c r="C74" s="53" t="n">
        <x:f>(Economy!J74+Economy!L74+Economy!M74+Economy!N74)*Paths!P74*Paths!Q74</x:f>
        <x:v>854.0692954695128</x:v>
      </x:c>
      <x:c r="D74" s="53" t="n">
        <x:f>Resources!P74+Resources!Q74</x:f>
        <x:v>19.68325</x:v>
      </x:c>
      <x:c r="E74" s="53" t="n">
        <x:f>Paths!S74*(1-canal_opcost)*canal_share</x:f>
        <x:v>8.4</x:v>
      </x:c>
      <x:c r="F74" s="53" t="n">
        <x:f>Economy!O74*Paths!R74</x:f>
        <x:v>27.590206390127598</x:v>
      </x:c>
      <x:c r="G74" s="53" t="n">
        <x:f>SUMPRODUCT((Events!$B$6:$B$158&lt;=$A74)*(Events!$C$6:$C$158&gt;=$A74)*(Events!$E$6:$E$158="Receipt")*Events!$H$6:$H$158)</x:f>
        <x:v>1.55</x:v>
      </x:c>
      <x:c r="H74" s="69" t="n">
        <x:f>Loans!Y74</x:f>
        <x:v>7.376817976718983</x:v>
      </x:c>
      <x:c r="I74" s="53" t="n">
        <x:f>'Debt &amp; cash'!S73*fund_yield</x:f>
        <x:v>4.896537829587349</x:v>
      </x:c>
      <x:c r="J74" s="69" t="n">
        <x:f>Labour!Q74</x:f>
        <x:v>109.51816659739971</x:v>
      </x:c>
      <x:c r="K74" s="69" t="n">
        <x:f>Champions!BD74</x:f>
        <x:v>40.24174475069534</x:v>
      </x:c>
      <x:c r="L74" s="69" t="n">
        <x:f>Abroad!N74</x:f>
        <x:v>39.640116188403475</x:v>
      </x:c>
      <x:c r="M74" s="53" t="n">
        <x:f>SUM(B74:L74)</x:f>
        <x:v>1382.1858511160322</x:v>
      </x:c>
      <x:c r="N74" s="53" t="n">
        <x:f>(Paths!W74*army_cost+Paths!X74*res_cost)*Economy!H74/1000000</x:f>
        <x:v>31.0373</x:v>
      </x:c>
      <x:c r="O74" s="69" t="n">
        <x:f>Navy!Y74</x:f>
        <x:v>90.80560050000001</x:v>
      </x:c>
      <x:c r="P74" s="53" t="n">
        <x:f>SUMPRODUCT((Events!$B$6:$B$158&lt;=$A74)*(Events!$C$6:$C$158&gt;=$A74)*(Events!$E$6:$E$158="War &amp; operations")*Events!$H$6:$H$158)</x:f>
        <x:v>25</x:v>
      </x:c>
      <x:c r="Q74" s="53" t="n">
        <x:f>Economy!O74*Paths!T74</x:f>
        <x:v>555.9426587610711</x:v>
      </x:c>
      <x:c r="R74" s="53" t="n">
        <x:f>Economy!O74*Paths!U74</x:f>
        <x:v>275.902063901276</x:v>
      </x:c>
      <x:c r="S74" s="53" t="n">
        <x:f>Economy!O74*Paths!V74+SUMPRODUCT((Events!$B$6:$B$158&lt;=$A74)*(Events!$C$6:$C$158&gt;=$A74)*(Events!$E$6:$E$158="Programme")*Events!$H$6:$H$158)+SUMPRODUCT((Events!$B$6:$B$158&lt;=$A74)*(Events!$C$6:$C$158&gt;=$A74)*(Events!$E$6:$E$158="Investment")*Events!$H$6:$H$158)</x:f>
        <x:v>117.9608255605104</x:v>
      </x:c>
      <x:c r="T74" s="53" t="n">
        <x:f>(People!T74*assist_cost+Labour!AD74*talent_cost+Labour!L74*gw_admin)*Economy!H74/1000000</x:f>
        <x:v>25.131210832004854</x:v>
      </x:c>
      <x:c r="U74" s="53" t="n">
        <x:f>SUMPRODUCT((Events!$B$6:$B$158&lt;=$A74)*(Events!$C$6:$C$158&gt;=$A74)*(Events!$E$6:$E$158="Purchase")*Events!$H$6:$H$158)</x:f>
        <x:v>0</x:v>
      </x:c>
      <x:c r="V74" s="53" t="n">
        <x:f>SUMPRODUCT((Events!$B$6:$B$158&lt;=$A74)*(Events!$C$6:$C$158&gt;=$A74)*(Events!$E$6:$E$158="Subsidy &amp; guarantee")*Events!$H$6:$H$158)+SUMPRODUCT((Events!$B$6:$B$158&lt;=$A74)*(Events!$C$6:$C$158&gt;=$A74)*(Events!$E$6:$E$158="Relief")*Events!$H$6:$H$158)</x:f>
        <x:v>0.5</x:v>
      </x:c>
      <x:c r="W74" s="53" t="n">
        <x:f>SUMPRODUCT((Events!$B$6:$B$158&lt;=$A74)*(Events!$C$6:$C$158&gt;=$A74)*(Events!$E$6:$E$158="Bank rescue &amp; capital")*Events!$H$6:$H$158)</x:f>
        <x:v>0</x:v>
      </x:c>
      <x:c r="X74" s="53" t="n">
        <x:f>'Debt &amp; cash'!R73*Paths!Y74</x:f>
        <x:v>33.09091838167611</x:v>
      </x:c>
      <x:c r="Y74" s="53" t="n">
        <x:f>SUM(N74:X74)</x:f>
        <x:v>1155.3705779365384</x:v>
      </x:c>
      <x:c r="Z74" s="53" t="n">
        <x:f>M74-Y74</x:f>
        <x:v>226.81527317949372</x:v>
      </x:c>
      <x:c r="AA74" s="63" t="n">
        <x:f>M74/Economy!O74</x:f>
        <x:v>0.10019394792281146</x:v>
      </x:c>
      <x:c r="AB74" s="63" t="n">
        <x:f>Y74/Economy!O74</x:f>
        <x:v>0.0837522243653789</x:v>
      </x:c>
      <x:c r="AC74" s="63" t="n">
        <x:f>(N74+O74+P74)/Economy!O74</x:f>
        <x:v>0.010644567019443808</x:v>
      </x:c>
    </x:row>
    <x:row r="75">
      <x:c r="A75" s="61" t="n">
        <x:v>1915</x:v>
      </x:c>
      <x:c r="B75" s="53" t="n">
        <x:f>Economy!O75*Paths!N75*Paths!O75*cust_coll</x:f>
        <x:v>298.9868974000046</x:v>
      </x:c>
      <x:c r="C75" s="53" t="n">
        <x:f>(Economy!J75+Economy!L75+Economy!M75+Economy!N75)*Paths!P75*Paths!Q75</x:f>
        <x:v>1226.3768160511231</x:v>
      </x:c>
      <x:c r="D75" s="53" t="n">
        <x:f>Resources!P75+Resources!Q75</x:f>
        <x:v>22.965000000000003</x:v>
      </x:c>
      <x:c r="E75" s="53" t="n">
        <x:f>Paths!S75*(1-canal_opcost)*canal_share</x:f>
        <x:v>7.199999999999999</x:v>
      </x:c>
      <x:c r="F75" s="53" t="n">
        <x:f>Economy!O75*Paths!R75</x:f>
        <x:v>30.88005798269036</x:v>
      </x:c>
      <x:c r="G75" s="53" t="n">
        <x:f>SUMPRODUCT((Events!$B$6:$B$158&lt;=$A75)*(Events!$C$6:$C$158&gt;=$A75)*(Events!$E$6:$E$158="Receipt")*Events!$H$6:$H$158)</x:f>
        <x:v>1.55</x:v>
      </x:c>
      <x:c r="H75" s="69" t="n">
        <x:f>Loans!Y75</x:f>
        <x:v>11.338484013116858</x:v>
      </x:c>
      <x:c r="I75" s="53" t="n">
        <x:f>'Debt &amp; cash'!S74*fund_yield</x:f>
        <x:v>5.185696940072416</x:v>
      </x:c>
      <x:c r="J75" s="69" t="n">
        <x:f>Labour!Q75</x:f>
        <x:v>129.04260830584937</x:v>
      </x:c>
      <x:c r="K75" s="69" t="n">
        <x:f>Champions!BD75</x:f>
        <x:v>46.00631673949437</x:v>
      </x:c>
      <x:c r="L75" s="69" t="n">
        <x:f>Abroad!N75</x:f>
        <x:v>43.932628993030534</x:v>
      </x:c>
      <x:c r="M75" s="53" t="n">
        <x:f>SUM(B75:L75)</x:f>
        <x:v>1823.4645064253816</x:v>
      </x:c>
      <x:c r="N75" s="53" t="n">
        <x:f>(Paths!W75*army_cost+Paths!X75*res_cost)*Economy!H75/1000000</x:f>
        <x:v>32.8796</x:v>
      </x:c>
      <x:c r="O75" s="69" t="n">
        <x:f>Navy!Y75</x:f>
        <x:v>118.76921100000001</x:v>
      </x:c>
      <x:c r="P75" s="53" t="n">
        <x:f>SUMPRODUCT((Events!$B$6:$B$158&lt;=$A75)*(Events!$C$6:$C$158&gt;=$A75)*(Events!$E$6:$E$158="War &amp; operations")*Events!$H$6:$H$158)</x:f>
        <x:v>40</x:v>
      </x:c>
      <x:c r="Q75" s="53" t="n">
        <x:f>Economy!O75*Paths!T75</x:f>
        <x:v>626.8651770486142</x:v>
      </x:c>
      <x:c r="R75" s="53" t="n">
        <x:f>Economy!O75*Paths!U75</x:f>
        <x:v>308.80057982690363</x:v>
      </x:c>
      <x:c r="S75" s="53" t="n">
        <x:f>Economy!O75*Paths!V75+SUMPRODUCT((Events!$B$6:$B$158&lt;=$A75)*(Events!$C$6:$C$158&gt;=$A75)*(Events!$E$6:$E$158="Programme")*Events!$H$6:$H$158)+SUMPRODUCT((Events!$B$6:$B$158&lt;=$A75)*(Events!$C$6:$C$158&gt;=$A75)*(Events!$E$6:$E$158="Investment")*Events!$H$6:$H$158)</x:f>
        <x:v>131.12023193076143</x:v>
      </x:c>
      <x:c r="T75" s="53" t="n">
        <x:f>(People!T75*assist_cost+Labour!AD75*talent_cost+Labour!L75*gw_admin)*Economy!H75/1000000</x:f>
        <x:v>29.470904439938245</x:v>
      </x:c>
      <x:c r="U75" s="53" t="n">
        <x:f>SUMPRODUCT((Events!$B$6:$B$158&lt;=$A75)*(Events!$C$6:$C$158&gt;=$A75)*(Events!$E$6:$E$158="Purchase")*Events!$H$6:$H$158)</x:f>
        <x:v>0</x:v>
      </x:c>
      <x:c r="V75" s="53" t="n">
        <x:f>SUMPRODUCT((Events!$B$6:$B$158&lt;=$A75)*(Events!$C$6:$C$158&gt;=$A75)*(Events!$E$6:$E$158="Subsidy &amp; guarantee")*Events!$H$6:$H$158)+SUMPRODUCT((Events!$B$6:$B$158&lt;=$A75)*(Events!$C$6:$C$158&gt;=$A75)*(Events!$E$6:$E$158="Relief")*Events!$H$6:$H$158)</x:f>
        <x:v>25.5</x:v>
      </x:c>
      <x:c r="W75" s="53" t="n">
        <x:f>SUMPRODUCT((Events!$B$6:$B$158&lt;=$A75)*(Events!$C$6:$C$158&gt;=$A75)*(Events!$E$6:$E$158="Bank rescue &amp; capital")*Events!$H$6:$H$158)</x:f>
        <x:v>0</x:v>
      </x:c>
      <x:c r="X75" s="53" t="n">
        <x:f>'Debt &amp; cash'!R74*Paths!Y75</x:f>
        <x:v>34.349806955708864</x:v>
      </x:c>
      <x:c r="Y75" s="53" t="n">
        <x:f>SUM(N75:X75)</x:f>
        <x:v>1347.7555112019265</x:v>
      </x:c>
      <x:c r="Z75" s="53" t="n">
        <x:f>M75-Y75</x:f>
        <x:v>475.7089952234551</x:v>
      </x:c>
      <x:c r="AA75" s="63" t="n">
        <x:f>M75/Economy!O75</x:f>
        <x:v>0.11809981104617837</x:v>
      </x:c>
      <x:c r="AB75" s="63" t="n">
        <x:f>Y75/Economy!O75</x:f>
        <x:v>0.08728970081321759</x:v>
      </x:c>
      <x:c r="AC75" s="63" t="n">
        <x:f>(N75+O75+P75)/Economy!O75</x:f>
        <x:v>0.012412464452458456</x:v>
      </x:c>
    </x:row>
    <x:row r="76">
      <x:c r="A76" s="61" t="n">
        <x:v>1916</x:v>
      </x:c>
      <x:c r="B76" s="53" t="n">
        <x:f>Economy!O76*Paths!N76*Paths!O76*cust_coll</x:f>
        <x:v>351.8800196578692</x:v>
      </x:c>
      <x:c r="C76" s="53" t="n">
        <x:f>(Economy!J76+Economy!L76+Economy!M76+Economy!N76)*Paths!P76*Paths!Q76</x:f>
        <x:v>1449.7566838089404</x:v>
      </x:c>
      <x:c r="D76" s="53" t="n">
        <x:f>Resources!P76+Resources!Q76</x:f>
        <x:v>30.7575</x:v>
      </x:c>
      <x:c r="E76" s="53" t="n">
        <x:f>Paths!S76*(1-canal_opcost)*canal_share</x:f>
        <x:v>7.619999999999999</x:v>
      </x:c>
      <x:c r="F76" s="53" t="n">
        <x:f>Economy!O76*Paths!R76</x:f>
        <x:v>36.628986286289546</x:v>
      </x:c>
      <x:c r="G76" s="53" t="n">
        <x:f>SUMPRODUCT((Events!$B$6:$B$158&lt;=$A76)*(Events!$C$6:$C$158&gt;=$A76)*(Events!$E$6:$E$158="Receipt")*Events!$H$6:$H$158)</x:f>
        <x:v>1.55</x:v>
      </x:c>
      <x:c r="H76" s="69" t="n">
        <x:f>Loans!Y76</x:f>
        <x:v>22.39218340805882</x:v>
      </x:c>
      <x:c r="I76" s="53" t="n">
        <x:f>'Debt &amp; cash'!S75*fund_yield</x:f>
        <x:v>5.498152100950128</x:v>
      </x:c>
      <x:c r="J76" s="69" t="n">
        <x:f>Labour!Q76</x:f>
        <x:v>159.62363835348137</x:v>
      </x:c>
      <x:c r="K76" s="69" t="n">
        <x:f>Champions!BD76</x:f>
        <x:v>52.557840796300546</x:v>
      </x:c>
      <x:c r="L76" s="69" t="n">
        <x:f>Abroad!N76</x:f>
        <x:v>49.81901201105375</x:v>
      </x:c>
      <x:c r="M76" s="53" t="n">
        <x:f>SUM(B76:L76)</x:f>
        <x:v>2168.084016422944</x:v>
      </x:c>
      <x:c r="N76" s="53" t="n">
        <x:f>(Paths!W76*army_cost+Paths!X76*res_cost)*Economy!H76/1000000</x:f>
        <x:v>38.1069</x:v>
      </x:c>
      <x:c r="O76" s="69" t="n">
        <x:f>Navy!Y76</x:f>
        <x:v>142.88168199999998</x:v>
      </x:c>
      <x:c r="P76" s="53" t="n">
        <x:f>SUMPRODUCT((Events!$B$6:$B$158&lt;=$A76)*(Events!$C$6:$C$158&gt;=$A76)*(Events!$E$6:$E$158="War &amp; operations")*Events!$H$6:$H$158)</x:f>
        <x:v>40</x:v>
      </x:c>
      <x:c r="Q76" s="53" t="n">
        <x:f>Economy!O76*Paths!T76</x:f>
        <x:v>749.0627695546212</x:v>
      </x:c>
      <x:c r="R76" s="53" t="n">
        <x:f>Economy!O76*Paths!U76</x:f>
        <x:v>366.28986286289546</x:v>
      </x:c>
      <x:c r="S76" s="53" t="n">
        <x:f>Economy!O76*Paths!V76+SUMPRODUCT((Events!$B$6:$B$158&lt;=$A76)*(Events!$C$6:$C$158&gt;=$A76)*(Events!$E$6:$E$158="Programme")*Events!$H$6:$H$158)+SUMPRODUCT((Events!$B$6:$B$158&lt;=$A76)*(Events!$C$6:$C$158&gt;=$A76)*(Events!$E$6:$E$158="Investment")*Events!$H$6:$H$158)</x:f>
        <x:v>154.11594514515818</x:v>
      </x:c>
      <x:c r="T76" s="53" t="n">
        <x:f>(People!T76*assist_cost+Labour!AD76*talent_cost+Labour!L76*gw_admin)*Economy!H76/1000000</x:f>
        <x:v>33.034407860627574</x:v>
      </x:c>
      <x:c r="U76" s="53" t="n">
        <x:f>SUMPRODUCT((Events!$B$6:$B$158&lt;=$A76)*(Events!$C$6:$C$158&gt;=$A76)*(Events!$E$6:$E$158="Purchase")*Events!$H$6:$H$158)</x:f>
        <x:v>0</x:v>
      </x:c>
      <x:c r="V76" s="53" t="n">
        <x:f>SUMPRODUCT((Events!$B$6:$B$158&lt;=$A76)*(Events!$C$6:$C$158&gt;=$A76)*(Events!$E$6:$E$158="Subsidy &amp; guarantee")*Events!$H$6:$H$158)+SUMPRODUCT((Events!$B$6:$B$158&lt;=$A76)*(Events!$C$6:$C$158&gt;=$A76)*(Events!$E$6:$E$158="Relief")*Events!$H$6:$H$158)</x:f>
        <x:v>25.5</x:v>
      </x:c>
      <x:c r="W76" s="53" t="n">
        <x:f>SUMPRODUCT((Events!$B$6:$B$158&lt;=$A76)*(Events!$C$6:$C$158&gt;=$A76)*(Events!$E$6:$E$158="Bank rescue &amp; capital")*Events!$H$6:$H$158)</x:f>
        <x:v>0</x:v>
      </x:c>
      <x:c r="X76" s="53" t="n">
        <x:f>'Debt &amp; cash'!R75*Paths!Y76</x:f>
        <x:v>38.291271898536046</x:v>
      </x:c>
      <x:c r="Y76" s="53" t="n">
        <x:f>SUM(N76:X76)</x:f>
        <x:v>1587.2828393218385</x:v>
      </x:c>
      <x:c r="Z76" s="53" t="n">
        <x:f>M76-Y76</x:f>
        <x:v>580.8011771011054</x:v>
      </x:c>
      <x:c r="AA76" s="63" t="n">
        <x:f>M76/Economy!O76</x:f>
        <x:v>0.11838078179272306</x:v>
      </x:c>
      <x:c r="AB76" s="63" t="n">
        <x:f>Y76/Economy!O76</x:f>
        <x:v>0.08666812818218604</x:v>
      </x:c>
      <x:c r="AC76" s="63" t="n">
        <x:f>(N76+O76+P76)/Economy!O76</x:f>
        <x:v>0.012066322571570448</x:v>
      </x:c>
    </x:row>
    <x:row r="77">
      <x:c r="A77" s="61" t="n">
        <x:v>1917</x:v>
      </x:c>
      <x:c r="B77" s="53" t="n">
        <x:f>Economy!O77*Paths!N77*Paths!O77*cust_coll</x:f>
        <x:v>439.3177915201788</x:v>
      </x:c>
      <x:c r="C77" s="53" t="n">
        <x:f>(Economy!J77+Economy!L77+Economy!M77+Economy!N77)*Paths!P77*Paths!Q77</x:f>
        <x:v>1828.8852268284904</x:v>
      </x:c>
      <x:c r="D77" s="53" t="n">
        <x:f>Resources!P77+Resources!Q77</x:f>
        <x:v>33.150000000000006</x:v>
      </x:c>
      <x:c r="E77" s="53" t="n">
        <x:f>Paths!S77*(1-canal_opcost)*canal_share</x:f>
        <x:v>7.98</x:v>
      </x:c>
      <x:c r="F77" s="53" t="n">
        <x:f>Economy!O77*Paths!R77</x:f>
        <x:v>46.06746691835271</x:v>
      </x:c>
      <x:c r="G77" s="53" t="n">
        <x:f>SUMPRODUCT((Events!$B$6:$B$158&lt;=$A77)*(Events!$C$6:$C$158&gt;=$A77)*(Events!$E$6:$E$158="Receipt")*Events!$H$6:$H$158)</x:f>
        <x:v>1.55</x:v>
      </x:c>
      <x:c r="H77" s="69" t="n">
        <x:f>Loans!Y77</x:f>
        <x:v>41.956954827203106</x:v>
      </x:c>
      <x:c r="I77" s="53" t="n">
        <x:f>'Debt &amp; cash'!S76*fund_yield</x:f>
        <x:v>5.7083764430823924</x:v>
      </x:c>
      <x:c r="J77" s="69" t="n">
        <x:f>Labour!Q77</x:f>
        <x:v>209.0412183824392</x:v>
      </x:c>
      <x:c r="K77" s="69" t="n">
        <x:f>Champions!BD77</x:f>
        <x:v>58.943583872079465</x:v>
      </x:c>
      <x:c r="L77" s="69" t="n">
        <x:f>Abroad!N77</x:f>
        <x:v>57.474968913268505</x:v>
      </x:c>
      <x:c r="M77" s="53" t="n">
        <x:f>SUM(B77:L77)</x:f>
        <x:v>2730.0755877050947</x:v>
      </x:c>
      <x:c r="N77" s="53" t="n">
        <x:f>(Paths!W77*army_cost+Paths!X77*res_cost)*Economy!H77/1000000</x:f>
        <x:v>47.5842</x:v>
      </x:c>
      <x:c r="O77" s="69" t="n">
        <x:f>Navy!Y77</x:f>
        <x:v>164.12919599999998</x:v>
      </x:c>
      <x:c r="P77" s="53" t="n">
        <x:f>SUMPRODUCT((Events!$B$6:$B$158&lt;=$A77)*(Events!$C$6:$C$158&gt;=$A77)*(Events!$E$6:$E$158="War &amp; operations")*Events!$H$6:$H$158)</x:f>
        <x:v>40</x:v>
      </x:c>
      <x:c r="Q77" s="53" t="n">
        <x:f>Economy!O77*Paths!T77</x:f>
        <x:v>946.6864451721481</x:v>
      </x:c>
      <x:c r="R77" s="53" t="n">
        <x:f>Economy!O77*Paths!U77</x:f>
        <x:v>460.6746691835271</x:v>
      </x:c>
      <x:c r="S77" s="53" t="n">
        <x:f>Economy!O77*Paths!V77+SUMPRODUCT((Events!$B$6:$B$158&lt;=$A77)*(Events!$C$6:$C$158&gt;=$A77)*(Events!$E$6:$E$158="Programme")*Events!$H$6:$H$158)+SUMPRODUCT((Events!$B$6:$B$158&lt;=$A77)*(Events!$C$6:$C$158&gt;=$A77)*(Events!$E$6:$E$158="Investment")*Events!$H$6:$H$158)</x:f>
        <x:v>191.86986767341082</x:v>
      </x:c>
      <x:c r="T77" s="53" t="n">
        <x:f>(People!T77*assist_cost+Labour!AD77*talent_cost+Labour!L77*gw_admin)*Economy!H77/1000000</x:f>
        <x:v>42.91528138717357</x:v>
      </x:c>
      <x:c r="U77" s="53" t="n">
        <x:f>SUMPRODUCT((Events!$B$6:$B$158&lt;=$A77)*(Events!$C$6:$C$158&gt;=$A77)*(Events!$E$6:$E$158="Purchase")*Events!$H$6:$H$158)</x:f>
        <x:v>0</x:v>
      </x:c>
      <x:c r="V77" s="53" t="n">
        <x:f>SUMPRODUCT((Events!$B$6:$B$158&lt;=$A77)*(Events!$C$6:$C$158&gt;=$A77)*(Events!$E$6:$E$158="Subsidy &amp; guarantee")*Events!$H$6:$H$158)+SUMPRODUCT((Events!$B$6:$B$158&lt;=$A77)*(Events!$C$6:$C$158&gt;=$A77)*(Events!$E$6:$E$158="Relief")*Events!$H$6:$H$158)</x:f>
        <x:v>25.5</x:v>
      </x:c>
      <x:c r="W77" s="53" t="n">
        <x:f>SUMPRODUCT((Events!$B$6:$B$158&lt;=$A77)*(Events!$C$6:$C$158&gt;=$A77)*(Events!$E$6:$E$158="Bank rescue &amp; capital")*Events!$H$6:$H$158)</x:f>
        <x:v>0</x:v>
      </x:c>
      <x:c r="X77" s="53" t="n">
        <x:f>'Debt &amp; cash'!R76*Paths!Y77</x:f>
        <x:v>45.14522559785186</x:v>
      </x:c>
      <x:c r="Y77" s="53" t="n">
        <x:f>SUM(N77:X77)</x:f>
        <x:v>1964.5048850141116</x:v>
      </x:c>
      <x:c r="Z77" s="53" t="n">
        <x:f>M77-Y77</x:f>
        <x:v>765.5707026909831</x:v>
      </x:c>
      <x:c r="AA77" s="63" t="n">
        <x:f>M77/Economy!O77</x:f>
        <x:v>0.11852510113237706</x:v>
      </x:c>
      <x:c r="AB77" s="63" t="n">
        <x:f>Y77/Economy!O77</x:f>
        <x:v>0.08528816609325994</x:v>
      </x:c>
      <x:c r="AC77" s="63" t="n">
        <x:f>(N77+O77+P77)/Economy!O77</x:f>
        <x:v>0.010928032854340445</x:v>
      </x:c>
    </x:row>
    <x:row r="78">
      <x:c r="A78" s="61" t="n">
        <x:v>1918</x:v>
      </x:c>
      <x:c r="B78" s="53" t="n">
        <x:f>Economy!O78*Paths!N78*Paths!O78*cust_coll</x:f>
        <x:v>524.2703214137252</x:v>
      </x:c>
      <x:c r="C78" s="53" t="n">
        <x:f>(Economy!J78+Economy!L78+Economy!M78+Economy!N78)*Paths!P78*Paths!Q78</x:f>
        <x:v>2208.0925778328638</x:v>
      </x:c>
      <x:c r="D78" s="53" t="n">
        <x:f>Resources!P78+Resources!Q78</x:f>
        <x:v>33.64875000000001</x:v>
      </x:c>
      <x:c r="E78" s="53" t="n">
        <x:f>Paths!S78*(1-canal_opcost)*canal_share</x:f>
        <x:v>8.4</x:v>
      </x:c>
      <x:c r="F78" s="53" t="n">
        <x:f>Economy!O78*Paths!R78</x:f>
        <x:v>55.41500945096877</x:v>
      </x:c>
      <x:c r="G78" s="53" t="n">
        <x:f>SUMPRODUCT((Events!$B$6:$B$158&lt;=$A78)*(Events!$C$6:$C$158&gt;=$A78)*(Events!$E$6:$E$158="Receipt")*Events!$H$6:$H$158)</x:f>
        <x:v>1.55</x:v>
      </x:c>
      <x:c r="H78" s="69" t="n">
        <x:f>Loans!Y78</x:f>
        <x:v>67.20185538958162</x:v>
      </x:c>
      <x:c r="I78" s="53" t="n">
        <x:f>'Debt &amp; cash'!S77*fund_yield</x:f>
        <x:v>5.952109964188595</x:v>
      </x:c>
      <x:c r="J78" s="69" t="n">
        <x:f>Labour!Q78</x:f>
        <x:v>256.30806207800373</x:v>
      </x:c>
      <x:c r="K78" s="69" t="n">
        <x:f>Champions!BD78</x:f>
        <x:v>66.73189721608327</x:v>
      </x:c>
      <x:c r="L78" s="69" t="n">
        <x:f>Abroad!N78</x:f>
        <x:v>67.4045681824087</x:v>
      </x:c>
      <x:c r="M78" s="53" t="n">
        <x:f>SUM(B78:L78)</x:f>
        <x:v>3294.975151527824</x:v>
      </x:c>
      <x:c r="N78" s="53" t="n">
        <x:f>(Paths!W78*army_cost+Paths!X78*res_cost)*Economy!H78/1000000</x:f>
        <x:v>57.0708</x:v>
      </x:c>
      <x:c r="O78" s="69" t="n">
        <x:f>Navy!Y78</x:f>
        <x:v>152.3803925</x:v>
      </x:c>
      <x:c r="P78" s="53" t="n">
        <x:f>SUMPRODUCT((Events!$B$6:$B$158&lt;=$A78)*(Events!$C$6:$C$158&gt;=$A78)*(Events!$E$6:$E$158="War &amp; operations")*Events!$H$6:$H$158)</x:f>
        <x:v>201.6</x:v>
      </x:c>
      <x:c r="Q78" s="53" t="n">
        <x:f>Economy!O78*Paths!T78</x:f>
        <x:v>1147.0906956350534</x:v>
      </x:c>
      <x:c r="R78" s="53" t="n">
        <x:f>Economy!O78*Paths!U78</x:f>
        <x:v>554.1500945096877</x:v>
      </x:c>
      <x:c r="S78" s="53" t="n">
        <x:f>Economy!O78*Paths!V78+SUMPRODUCT((Events!$B$6:$B$158&lt;=$A78)*(Events!$C$6:$C$158&gt;=$A78)*(Events!$E$6:$E$158="Programme")*Events!$H$6:$H$158)+SUMPRODUCT((Events!$B$6:$B$158&lt;=$A78)*(Events!$C$6:$C$158&gt;=$A78)*(Events!$E$6:$E$158="Investment")*Events!$H$6:$H$158)</x:f>
        <x:v>229.26003780387506</x:v>
      </x:c>
      <x:c r="T78" s="53" t="n">
        <x:f>(People!T78*assist_cost+Labour!AD78*talent_cost+Labour!L78*gw_admin)*Economy!H78/1000000</x:f>
        <x:v>51.75429729628835</x:v>
      </x:c>
      <x:c r="U78" s="53" t="n">
        <x:f>SUMPRODUCT((Events!$B$6:$B$158&lt;=$A78)*(Events!$C$6:$C$158&gt;=$A78)*(Events!$E$6:$E$158="Purchase")*Events!$H$6:$H$158)</x:f>
        <x:v>0</x:v>
      </x:c>
      <x:c r="V78" s="53" t="n">
        <x:f>SUMPRODUCT((Events!$B$6:$B$158&lt;=$A78)*(Events!$C$6:$C$158&gt;=$A78)*(Events!$E$6:$E$158="Subsidy &amp; guarantee")*Events!$H$6:$H$158)+SUMPRODUCT((Events!$B$6:$B$158&lt;=$A78)*(Events!$C$6:$C$158&gt;=$A78)*(Events!$E$6:$E$158="Relief")*Events!$H$6:$H$158)</x:f>
        <x:v>85.5</x:v>
      </x:c>
      <x:c r="W78" s="53" t="n">
        <x:f>SUMPRODUCT((Events!$B$6:$B$158&lt;=$A78)*(Events!$C$6:$C$158&gt;=$A78)*(Events!$E$6:$E$158="Bank rescue &amp; capital")*Events!$H$6:$H$158)</x:f>
        <x:v>0</x:v>
      </x:c>
      <x:c r="X78" s="53" t="n">
        <x:f>'Debt &amp; cash'!R77*Paths!Y78</x:f>
        <x:v>56.54781564227795</x:v>
      </x:c>
      <x:c r="Y78" s="53" t="n">
        <x:f>SUM(N78:X78)</x:f>
        <x:v>2535.354133387182</x:v>
      </x:c>
      <x:c r="Z78" s="53" t="n">
        <x:f>M78-Y78</x:f>
        <x:v>759.6210181406418</x:v>
      </x:c>
      <x:c r="AA78" s="63" t="n">
        <x:f>M78/Economy!O78</x:f>
        <x:v>0.11891995270498762</x:v>
      </x:c>
      <x:c r="AB78" s="63" t="n">
        <x:f>Y78/Economy!O78</x:f>
        <x:v>0.09150423896004077</x:v>
      </x:c>
      <x:c r="AC78" s="63" t="n">
        <x:f>(N78+O78+P78)/Economy!O78</x:f>
        <x:v>0.014835373902216809</x:v>
      </x:c>
    </x:row>
    <x:row r="79">
      <x:c r="A79" s="61" t="n">
        <x:v>1919</x:v>
      </x:c>
      <x:c r="B79" s="53" t="n">
        <x:f>Economy!O79*Paths!N79*Paths!O79*cust_coll</x:f>
        <x:v>590.3989863984112</x:v>
      </x:c>
      <x:c r="C79" s="53" t="n">
        <x:f>(Economy!J79+Economy!L79+Economy!M79+Economy!N79)*Paths!P79*Paths!Q79</x:f>
        <x:v>2516.4473188546704</x:v>
      </x:c>
      <x:c r="D79" s="53" t="n">
        <x:f>Resources!P79+Resources!Q79</x:f>
        <x:v>31.597499999999997</x:v>
      </x:c>
      <x:c r="E79" s="53" t="n">
        <x:f>Paths!S79*(1-canal_opcost)*canal_share</x:f>
        <x:v>10.2</x:v>
      </x:c>
      <x:c r="F79" s="53" t="n">
        <x:f>Economy!O79*Paths!R79</x:f>
        <x:v>62.90744857844385</x:v>
      </x:c>
      <x:c r="G79" s="53" t="n">
        <x:f>SUMPRODUCT((Events!$B$6:$B$158&lt;=$A79)*(Events!$C$6:$C$158&gt;=$A79)*(Events!$E$6:$E$158="Receipt")*Events!$H$6:$H$158)</x:f>
        <x:v>1.55</x:v>
      </x:c>
      <x:c r="H79" s="69" t="n">
        <x:f>Loans!Y79</x:f>
        <x:v>81.76074366306509</x:v>
      </x:c>
      <x:c r="I79" s="53" t="n">
        <x:f>'Debt &amp; cash'!S78*fund_yield</x:f>
        <x:v>6.194960727652728</x:v>
      </x:c>
      <x:c r="J79" s="69" t="n">
        <x:f>Labour!Q79</x:f>
        <x:v>291.99432273065054</x:v>
      </x:c>
      <x:c r="K79" s="69" t="n">
        <x:f>Champions!BD79</x:f>
        <x:v>73.31804386877214</x:v>
      </x:c>
      <x:c r="L79" s="69" t="n">
        <x:f>Abroad!N79</x:f>
        <x:v>75.9138990354718</x:v>
      </x:c>
      <x:c r="M79" s="53" t="n">
        <x:f>SUM(B79:L79)</x:f>
        <x:v>3742.2832238571377</x:v>
      </x:c>
      <x:c r="N79" s="53" t="n">
        <x:f>(Paths!W79*army_cost+Paths!X79*res_cost)*Economy!H79/1000000</x:f>
        <x:v>62.99775</x:v>
      </x:c>
      <x:c r="O79" s="69" t="n">
        <x:f>Navy!Y79</x:f>
        <x:v>136.04413</x:v>
      </x:c>
      <x:c r="P79" s="53" t="n">
        <x:f>SUMPRODUCT((Events!$B$6:$B$158&lt;=$A79)*(Events!$C$6:$C$158&gt;=$A79)*(Events!$E$6:$E$158="War &amp; operations")*Events!$H$6:$H$158)</x:f>
        <x:v>161.6</x:v>
      </x:c>
      <x:c r="Q79" s="53" t="n">
        <x:f>Economy!O79*Paths!T79</x:f>
        <x:v>1311.6203028605541</x:v>
      </x:c>
      <x:c r="R79" s="53" t="n">
        <x:f>Economy!O79*Paths!U79</x:f>
        <x:v>629.0744857844385</x:v>
      </x:c>
      <x:c r="S79" s="53" t="n">
        <x:f>Economy!O79*Paths!V79+SUMPRODUCT((Events!$B$6:$B$158&lt;=$A79)*(Events!$C$6:$C$158&gt;=$A79)*(Events!$E$6:$E$158="Programme")*Events!$H$6:$H$158)+SUMPRODUCT((Events!$B$6:$B$158&lt;=$A79)*(Events!$C$6:$C$158&gt;=$A79)*(Events!$E$6:$E$158="Investment")*Events!$H$6:$H$158)</x:f>
        <x:v>262.02979431377537</x:v>
      </x:c>
      <x:c r="T79" s="53" t="n">
        <x:f>(People!T79*assist_cost+Labour!AD79*talent_cost+Labour!L79*gw_admin)*Economy!H79/1000000</x:f>
        <x:v>70.40335707160337</x:v>
      </x:c>
      <x:c r="U79" s="53" t="n">
        <x:f>SUMPRODUCT((Events!$B$6:$B$158&lt;=$A79)*(Events!$C$6:$C$158&gt;=$A79)*(Events!$E$6:$E$158="Purchase")*Events!$H$6:$H$158)</x:f>
        <x:v>0</x:v>
      </x:c>
      <x:c r="V79" s="53" t="n">
        <x:f>SUMPRODUCT((Events!$B$6:$B$158&lt;=$A79)*(Events!$C$6:$C$158&gt;=$A79)*(Events!$E$6:$E$158="Subsidy &amp; guarantee")*Events!$H$6:$H$158)+SUMPRODUCT((Events!$B$6:$B$158&lt;=$A79)*(Events!$C$6:$C$158&gt;=$A79)*(Events!$E$6:$E$158="Relief")*Events!$H$6:$H$158)</x:f>
        <x:v>60.5</x:v>
      </x:c>
      <x:c r="W79" s="53" t="n">
        <x:f>SUMPRODUCT((Events!$B$6:$B$158&lt;=$A79)*(Events!$C$6:$C$158&gt;=$A79)*(Events!$E$6:$E$158="Bank rescue &amp; capital")*Events!$H$6:$H$158)</x:f>
        <x:v>0</x:v>
      </x:c>
      <x:c r="X79" s="53" t="n">
        <x:f>'Debt &amp; cash'!R78*Paths!Y79</x:f>
        <x:v>67.74484905380932</x:v>
      </x:c>
      <x:c r="Y79" s="53" t="n">
        <x:f>SUM(N79:X79)</x:f>
        <x:v>2762.0146690841807</x:v>
      </x:c>
      <x:c r="Z79" s="53" t="n">
        <x:f>M79-Y79</x:f>
        <x:v>980.268554772957</x:v>
      </x:c>
      <x:c r="AA79" s="63" t="n">
        <x:f>M79/Economy!O79</x:f>
        <x:v>0.11897742821950931</x:v>
      </x:c>
      <x:c r="AB79" s="63" t="n">
        <x:f>Y79/Economy!O79</x:f>
        <x:v>0.08781200736952556</x:v>
      </x:c>
      <x:c r="AC79" s="63" t="n">
        <x:f>(N79+O79+P79)/Economy!O79</x:f>
        <x:v>0.011465792625504104</x:v>
      </x:c>
    </x:row>
    <x:row r="80">
      <x:c r="A80" s="61" t="n">
        <x:v>1920</x:v>
      </x:c>
      <x:c r="B80" s="53" t="n">
        <x:f>Economy!O80*Paths!N80*Paths!O80*cust_coll</x:f>
        <x:v>687.0657521846842</x:v>
      </x:c>
      <x:c r="C80" s="53" t="n">
        <x:f>(Economy!J80+Economy!L80+Economy!M80+Economy!N80)*Paths!P80*Paths!Q80</x:f>
        <x:v>2955.3028456009524</x:v>
      </x:c>
      <x:c r="D80" s="53" t="n">
        <x:f>Resources!P80+Resources!Q80</x:f>
        <x:v>35.1025</x:v>
      </x:c>
      <x:c r="E80" s="53" t="n">
        <x:f>Paths!S80*(1-canal_opcost)*canal_share</x:f>
        <x:v>12</x:v>
      </x:c>
      <x:c r="F80" s="53" t="n">
        <x:f>Economy!O80*Paths!R80</x:f>
        <x:v>73.80185530900191</x:v>
      </x:c>
      <x:c r="G80" s="53" t="n">
        <x:f>SUMPRODUCT((Events!$B$6:$B$158&lt;=$A80)*(Events!$C$6:$C$158&gt;=$A80)*(Events!$E$6:$E$158="Receipt")*Events!$H$6:$H$158)</x:f>
        <x:v>1.55</x:v>
      </x:c>
      <x:c r="H80" s="69" t="n">
        <x:f>Loans!Y80</x:f>
        <x:v>82.42324402135313</x:v>
      </x:c>
      <x:c r="I80" s="53" t="n">
        <x:f>'Debt &amp; cash'!S79*fund_yield</x:f>
        <x:v>8.184165302150438</x:v>
      </x:c>
      <x:c r="J80" s="69" t="n">
        <x:f>Labour!Q80</x:f>
        <x:v>337.32535762824836</x:v>
      </x:c>
      <x:c r="K80" s="69" t="n">
        <x:f>Champions!BD80</x:f>
        <x:v>80.53806600384524</x:v>
      </x:c>
      <x:c r="L80" s="69" t="n">
        <x:f>Abroad!N80</x:f>
        <x:v>87.17767535206679</x:v>
      </x:c>
      <x:c r="M80" s="53" t="n">
        <x:f>SUM(B80:L80)</x:f>
        <x:v>4360.471461402303</x:v>
      </x:c>
      <x:c r="N80" s="53" t="n">
        <x:f>(Paths!W80*army_cost+Paths!X80*res_cost)*Economy!H80/1000000</x:f>
        <x:v>70.6635</x:v>
      </x:c>
      <x:c r="O80" s="69" t="n">
        <x:f>Navy!Y80</x:f>
        <x:v>152.492015</x:v>
      </x:c>
      <x:c r="P80" s="53" t="n">
        <x:f>SUMPRODUCT((Events!$B$6:$B$158&lt;=$A80)*(Events!$C$6:$C$158&gt;=$A80)*(Events!$E$6:$E$158="War &amp; operations")*Events!$H$6:$H$158)</x:f>
        <x:v>161.6</x:v>
      </x:c>
      <x:c r="Q80" s="53" t="n">
        <x:f>Economy!O80*Paths!T80</x:f>
        <x:v>1549.8389614890402</x:v>
      </x:c>
      <x:c r="R80" s="53" t="n">
        <x:f>Economy!O80*Paths!U80</x:f>
        <x:v>738.0185530900192</x:v>
      </x:c>
      <x:c r="S80" s="53" t="n">
        <x:f>Economy!O80*Paths!V80+SUMPRODUCT((Events!$B$6:$B$158&lt;=$A80)*(Events!$C$6:$C$158&gt;=$A80)*(Events!$E$6:$E$158="Programme")*Events!$H$6:$H$158)+SUMPRODUCT((Events!$B$6:$B$158&lt;=$A80)*(Events!$C$6:$C$158&gt;=$A80)*(Events!$E$6:$E$158="Investment")*Events!$H$6:$H$158)</x:f>
        <x:v>304.6074212360076</x:v>
      </x:c>
      <x:c r="T80" s="53" t="n">
        <x:f>(People!T80*assist_cost+Labour!AD80*talent_cost+Labour!L80*gw_admin)*Economy!H80/1000000</x:f>
        <x:v>81.38053505149509</x:v>
      </x:c>
      <x:c r="U80" s="53" t="n">
        <x:f>SUMPRODUCT((Events!$B$6:$B$158&lt;=$A80)*(Events!$C$6:$C$158&gt;=$A80)*(Events!$E$6:$E$158="Purchase")*Events!$H$6:$H$158)</x:f>
        <x:v>0</x:v>
      </x:c>
      <x:c r="V80" s="53" t="n">
        <x:f>SUMPRODUCT((Events!$B$6:$B$158&lt;=$A80)*(Events!$C$6:$C$158&gt;=$A80)*(Events!$E$6:$E$158="Subsidy &amp; guarantee")*Events!$H$6:$H$158)+SUMPRODUCT((Events!$B$6:$B$158&lt;=$A80)*(Events!$C$6:$C$158&gt;=$A80)*(Events!$E$6:$E$158="Relief")*Events!$H$6:$H$158)</x:f>
        <x:v>0.5</x:v>
      </x:c>
      <x:c r="W80" s="53" t="n">
        <x:f>SUMPRODUCT((Events!$B$6:$B$158&lt;=$A80)*(Events!$C$6:$C$158&gt;=$A80)*(Events!$E$6:$E$158="Bank rescue &amp; capital")*Events!$H$6:$H$158)</x:f>
        <x:v>0</x:v>
      </x:c>
      <x:c r="X80" s="53" t="n">
        <x:f>'Debt &amp; cash'!R79*Paths!Y80</x:f>
        <x:v>76.58981864425539</x:v>
      </x:c>
      <x:c r="Y80" s="53" t="n">
        <x:f>SUM(N80:X80)</x:f>
        <x:v>3135.6908045108175</x:v>
      </x:c>
      <x:c r="Z80" s="53" t="n">
        <x:f>M80-Y80</x:f>
        <x:v>1224.7806568914857</x:v>
      </x:c>
      <x:c r="AA80" s="63" t="n">
        <x:f>M80/Economy!O80</x:f>
        <x:v>0.11816698762234068</x:v>
      </x:c>
      <x:c r="AB80" s="63" t="n">
        <x:f>Y80/Economy!O80</x:f>
        <x:v>0.08497593431444113</x:v>
      </x:c>
      <x:c r="AC80" s="63" t="n">
        <x:f>(N80+O80+P80)/Economy!O80</x:f>
        <x:v>0.01042671660188114</x:v>
      </x:c>
    </x:row>
    <x:row r="81">
      <x:c r="A81" s="61" t="n">
        <x:v>1921</x:v>
      </x:c>
      <x:c r="B81" s="53" t="n">
        <x:f>Economy!O81*Paths!N81*Paths!O81*cust_coll</x:f>
        <x:v>557.5261045113749</x:v>
      </x:c>
      <x:c r="C81" s="53" t="n">
        <x:f>(Economy!J81+Economy!L81+Economy!M81+Economy!N81)*Paths!P81*Paths!Q81</x:f>
        <x:v>2037.558640130685</x:v>
      </x:c>
      <x:c r="D81" s="53" t="n">
        <x:f>Resources!P81+Resources!Q81</x:f>
        <x:v>30.872875</x:v>
      </x:c>
      <x:c r="E81" s="53" t="n">
        <x:f>Paths!S81*(1-canal_opcost)*canal_share</x:f>
        <x:v>12.719999999999999</x:v>
      </x:c>
      <x:c r="F81" s="53" t="n">
        <x:f>Economy!O81*Paths!R81</x:f>
        <x:v>60.37752918685022</x:v>
      </x:c>
      <x:c r="G81" s="53" t="n">
        <x:f>SUMPRODUCT((Events!$B$6:$B$158&lt;=$A81)*(Events!$C$6:$C$158&gt;=$A81)*(Events!$E$6:$E$158="Receipt")*Events!$H$6:$H$158)</x:f>
        <x:v>1.55</x:v>
      </x:c>
      <x:c r="H81" s="69" t="n">
        <x:f>Loans!Y81</x:f>
        <x:v>83.05924436530964</x:v>
      </x:c>
      <x:c r="I81" s="53" t="n">
        <x:f>'Debt &amp; cash'!S80*fund_yield</x:f>
        <x:v>10.64982217973888</x:v>
      </x:c>
      <x:c r="J81" s="69" t="n">
        <x:f>Labour!Q81</x:f>
        <x:v>239.17714877593286</x:v>
      </x:c>
      <x:c r="K81" s="69" t="n">
        <x:f>Champions!BD81</x:f>
        <x:v>85.04972406990888</x:v>
      </x:c>
      <x:c r="L81" s="69" t="n">
        <x:f>Abroad!N81</x:f>
        <x:v>98.34027701911413</x:v>
      </x:c>
      <x:c r="M81" s="53" t="n">
        <x:f>SUM(B81:L81)</x:f>
        <x:v>3216.881365238914</x:v>
      </x:c>
      <x:c r="N81" s="53" t="n">
        <x:f>(Paths!W81*army_cost+Paths!X81*res_cost)*Economy!H81/1000000</x:f>
        <x:v>55.675</x:v>
      </x:c>
      <x:c r="O81" s="69" t="n">
        <x:f>Navy!Y81</x:f>
        <x:v>144.2009425</x:v>
      </x:c>
      <x:c r="P81" s="53" t="n">
        <x:f>SUMPRODUCT((Events!$B$6:$B$158&lt;=$A81)*(Events!$C$6:$C$158&gt;=$A81)*(Events!$E$6:$E$158="War &amp; operations")*Events!$H$6:$H$158)</x:f>
        <x:v>161.6</x:v>
      </x:c>
      <x:c r="Q81" s="53" t="n">
        <x:f>Economy!O81*Paths!T81</x:f>
        <x:v>1276.984742301882</x:v>
      </x:c>
      <x:c r="R81" s="53" t="n">
        <x:f>Economy!O81*Paths!U81</x:f>
        <x:v>603.7752918685022</x:v>
      </x:c>
      <x:c r="S81" s="53" t="n">
        <x:f>Economy!O81*Paths!V81+SUMPRODUCT((Events!$B$6:$B$158&lt;=$A81)*(Events!$C$6:$C$158&gt;=$A81)*(Events!$E$6:$E$158="Programme")*Events!$H$6:$H$158)+SUMPRODUCT((Events!$B$6:$B$158&lt;=$A81)*(Events!$C$6:$C$158&gt;=$A81)*(Events!$E$6:$E$158="Investment")*Events!$H$6:$H$158)</x:f>
        <x:v>250.91011674740085</x:v>
      </x:c>
      <x:c r="T81" s="53" t="n">
        <x:f>(People!T81*assist_cost+Labour!AD81*talent_cost+Labour!L81*gw_admin)*Economy!H81/1000000</x:f>
        <x:v>68.7373009525959</x:v>
      </x:c>
      <x:c r="U81" s="53" t="n">
        <x:f>SUMPRODUCT((Events!$B$6:$B$158&lt;=$A81)*(Events!$C$6:$C$158&gt;=$A81)*(Events!$E$6:$E$158="Purchase")*Events!$H$6:$H$158)</x:f>
        <x:v>0</x:v>
      </x:c>
      <x:c r="V81" s="53" t="n">
        <x:f>SUMPRODUCT((Events!$B$6:$B$158&lt;=$A81)*(Events!$C$6:$C$158&gt;=$A81)*(Events!$E$6:$E$158="Subsidy &amp; guarantee")*Events!$H$6:$H$158)+SUMPRODUCT((Events!$B$6:$B$158&lt;=$A81)*(Events!$C$6:$C$158&gt;=$A81)*(Events!$E$6:$E$158="Relief")*Events!$H$6:$H$158)</x:f>
        <x:v>0.5</x:v>
      </x:c>
      <x:c r="W81" s="53" t="n">
        <x:f>SUMPRODUCT((Events!$B$6:$B$158&lt;=$A81)*(Events!$C$6:$C$158&gt;=$A81)*(Events!$E$6:$E$158="Bank rescue &amp; capital")*Events!$H$6:$H$158)</x:f>
        <x:v>0</x:v>
      </x:c>
      <x:c r="X81" s="53" t="n">
        <x:f>'Debt &amp; cash'!R80*Paths!Y81</x:f>
        <x:v>89.30024492389231</x:v>
      </x:c>
      <x:c r="Y81" s="53" t="n">
        <x:f>SUM(N81:X81)</x:f>
        <x:v>2651.6836392942737</x:v>
      </x:c>
      <x:c r="Z81" s="53" t="n">
        <x:f>M81-Y81</x:f>
        <x:v>565.1977259446403</x:v>
      </x:c>
      <x:c r="AA81" s="63" t="n">
        <x:f>M81/Economy!O81</x:f>
        <x:v>0.10655889396479401</x:v>
      </x:c>
      <x:c r="AB81" s="63" t="n">
        <x:f>Y81/Economy!O81</x:f>
        <x:v>0.08783677222325921</x:v>
      </x:c>
      <x:c r="AC81" s="63" t="n">
        <x:f>(N81+O81+P81)/Economy!O81</x:f>
        <x:v>0.011973856743337116</x:v>
      </x:c>
    </x:row>
    <x:row r="82">
      <x:c r="A82" s="61" t="n">
        <x:v>1922</x:v>
      </x:c>
      <x:c r="B82" s="53" t="n">
        <x:f>Economy!O82*Paths!N82*Paths!O82*cust_coll</x:f>
        <x:v>574.0105178241903</x:v>
      </x:c>
      <x:c r="C82" s="53" t="n">
        <x:f>(Economy!J82+Economy!L82+Economy!M82+Economy!N82)*Paths!P82*Paths!Q82</x:f>
        <x:v>2111.913411472803</x:v>
      </x:c>
      <x:c r="D82" s="53" t="n">
        <x:f>Resources!P82+Resources!Q82</x:f>
        <x:v>33.637</x:v>
      </x:c>
      <x:c r="E82" s="53" t="n">
        <x:f>Paths!S82*(1-canal_opcost)*canal_share</x:f>
        <x:v>13.44</x:v>
      </x:c>
      <x:c r="F82" s="53" t="n">
        <x:f>Economy!O82*Paths!R82</x:f>
        <x:v>62.63891811521316</x:v>
      </x:c>
      <x:c r="G82" s="53" t="n">
        <x:f>SUMPRODUCT((Events!$B$6:$B$158&lt;=$A82)*(Events!$C$6:$C$158&gt;=$A82)*(Events!$E$6:$E$158="Receipt")*Events!$H$6:$H$158)</x:f>
        <x:v>4.55</x:v>
      </x:c>
      <x:c r="H82" s="69" t="n">
        <x:f>Loans!Y82</x:f>
        <x:v>83.66980469550789</x:v>
      </x:c>
      <x:c r="I82" s="53" t="n">
        <x:f>'Debt &amp; cash'!S81*fund_yield</x:f>
        <x:v>12.577570327928552</x:v>
      </x:c>
      <x:c r="J82" s="69" t="n">
        <x:f>Labour!Q82</x:f>
        <x:v>246.30856602679094</x:v>
      </x:c>
      <x:c r="K82" s="69" t="n">
        <x:f>Champions!BD82</x:f>
        <x:v>94.13509256121955</x:v>
      </x:c>
      <x:c r="L82" s="69" t="n">
        <x:f>Abroad!N82</x:f>
        <x:v>108.78650549337827</x:v>
      </x:c>
      <x:c r="M82" s="53" t="n">
        <x:f>SUM(B82:L82)</x:f>
        <x:v>3345.6673865170324</x:v>
      </x:c>
      <x:c r="N82" s="53" t="n">
        <x:f>(Paths!W82*army_cost+Paths!X82*res_cost)*Economy!H82/1000000</x:f>
        <x:v>49.0274</x:v>
      </x:c>
      <x:c r="O82" s="69" t="n">
        <x:f>Navy!Y82</x:f>
        <x:v>145.28468049999998</x:v>
      </x:c>
      <x:c r="P82" s="53" t="n">
        <x:f>SUMPRODUCT((Events!$B$6:$B$158&lt;=$A82)*(Events!$C$6:$C$158&gt;=$A82)*(Events!$E$6:$E$158="War &amp; operations")*Events!$H$6:$H$158)</x:f>
        <x:v>161.6</x:v>
      </x:c>
      <x:c r="Q82" s="53" t="n">
        <x:f>Economy!O82*Paths!T82</x:f>
        <x:v>1337.340901759801</x:v>
      </x:c>
      <x:c r="R82" s="53" t="n">
        <x:f>Economy!O82*Paths!U82</x:f>
        <x:v>626.3891811521315</x:v>
      </x:c>
      <x:c r="S82" s="53" t="n">
        <x:f>Economy!O82*Paths!V82+SUMPRODUCT((Events!$B$6:$B$158&lt;=$A82)*(Events!$C$6:$C$158&gt;=$A82)*(Events!$E$6:$E$158="Programme")*Events!$H$6:$H$158)+SUMPRODUCT((Events!$B$6:$B$158&lt;=$A82)*(Events!$C$6:$C$158&gt;=$A82)*(Events!$E$6:$E$158="Investment")*Events!$H$6:$H$158)</x:f>
        <x:v>259.9556724608526</x:v>
      </x:c>
      <x:c r="T82" s="53" t="n">
        <x:f>(People!T82*assist_cost+Labour!AD82*talent_cost+Labour!L82*gw_admin)*Economy!H82/1000000</x:f>
        <x:v>70.1314587302538</x:v>
      </x:c>
      <x:c r="U82" s="53" t="n">
        <x:f>SUMPRODUCT((Events!$B$6:$B$158&lt;=$A82)*(Events!$C$6:$C$158&gt;=$A82)*(Events!$E$6:$E$158="Purchase")*Events!$H$6:$H$158)</x:f>
        <x:v>0</x:v>
      </x:c>
      <x:c r="V82" s="53" t="n">
        <x:f>SUMPRODUCT((Events!$B$6:$B$158&lt;=$A82)*(Events!$C$6:$C$158&gt;=$A82)*(Events!$E$6:$E$158="Subsidy &amp; guarantee")*Events!$H$6:$H$158)+SUMPRODUCT((Events!$B$6:$B$158&lt;=$A82)*(Events!$C$6:$C$158&gt;=$A82)*(Events!$E$6:$E$158="Relief")*Events!$H$6:$H$158)</x:f>
        <x:v>0.5</x:v>
      </x:c>
      <x:c r="W82" s="53" t="n">
        <x:f>SUMPRODUCT((Events!$B$6:$B$158&lt;=$A82)*(Events!$C$6:$C$158&gt;=$A82)*(Events!$E$6:$E$158="Bank rescue &amp; capital")*Events!$H$6:$H$158)</x:f>
        <x:v>0</x:v>
      </x:c>
      <x:c r="X82" s="53" t="n">
        <x:f>'Debt &amp; cash'!R81*Paths!Y82</x:f>
        <x:v>77.86086486012613</x:v>
      </x:c>
      <x:c r="Y82" s="53" t="n">
        <x:f>SUM(N82:X82)</x:f>
        <x:v>2728.090159463165</x:v>
      </x:c>
      <x:c r="Z82" s="53" t="n">
        <x:f>M82-Y82</x:f>
        <x:v>617.5772270538673</x:v>
      </x:c>
      <x:c r="AA82" s="63" t="n">
        <x:f>M82/Economy!O82</x:f>
        <x:v>0.10682391992669069</x:v>
      </x:c>
      <x:c r="AB82" s="63" t="n">
        <x:f>Y82/Economy!O82</x:f>
        <x:v>0.08710527708813004</x:v>
      </x:c>
      <x:c r="AC82" s="63" t="n">
        <x:f>(N82+O82+P82)/Economy!O82</x:f>
        <x:v>0.01136392808845654</x:v>
      </x:c>
    </x:row>
    <x:row r="83">
      <x:c r="A83" s="58" t="n">
        <x:v>1923</x:v>
      </x:c>
      <x:c r="B83" s="53" t="n">
        <x:f>Economy!O83*Paths!N83*Paths!O83*cust_coll</x:f>
        <x:v>643.6863569798716</x:v>
      </x:c>
      <x:c r="C83" s="53" t="n">
        <x:f>(Economy!J83+Economy!L83+Economy!M83+Economy!N83)*Paths!P83*Paths!Q83</x:f>
        <x:v>2386.6988702726208</x:v>
      </x:c>
      <x:c r="D83" s="53" t="n">
        <x:f>Resources!P83+Resources!Q83</x:f>
        <x:v>41.060500000000005</x:v>
      </x:c>
      <x:c r="E83" s="53" t="n">
        <x:f>Paths!S83*(1-canal_opcost)*canal_share</x:f>
        <x:v>14.16</x:v>
      </x:c>
      <x:c r="F83" s="53" t="n">
        <x:f>Economy!O83*Paths!R83</x:f>
        <x:v>70.82660559625354</x:v>
      </x:c>
      <x:c r="G83" s="53" t="n">
        <x:f>SUMPRODUCT((Events!$B$6:$B$158&lt;=$A83)*(Events!$C$6:$C$158&gt;=$A83)*(Events!$E$6:$E$158="Receipt")*Events!$H$6:$H$158)</x:f>
        <x:v>4.55</x:v>
      </x:c>
      <x:c r="H83" s="69" t="n">
        <x:f>Loans!Y83</x:f>
        <x:v>58.77353672160778</x:v>
      </x:c>
      <x:c r="I83" s="53" t="n">
        <x:f>'Debt &amp; cash'!S82*fund_yield</x:f>
        <x:v>13.879680772970378</x:v>
      </x:c>
      <x:c r="J83" s="69" t="n">
        <x:f>Labour!Q83</x:f>
        <x:v>297.1771354252931</x:v>
      </x:c>
      <x:c r="K83" s="69" t="n">
        <x:f>Champions!BD83</x:f>
        <x:v>103.89887935548926</x:v>
      </x:c>
      <x:c r="L83" s="69" t="n">
        <x:f>Abroad!N83</x:f>
        <x:v>119.42021030557899</x:v>
      </x:c>
      <x:c r="M83" s="53" t="n">
        <x:f>SUM(B83:L83)</x:f>
        <x:v>3754.1317754296856</x:v>
      </x:c>
      <x:c r="N83" s="53" t="n">
        <x:f>(Paths!W83*army_cost+Paths!X83*res_cost)*Economy!H83/1000000</x:f>
        <x:v>49.5477</x:v>
      </x:c>
      <x:c r="O83" s="69" t="n">
        <x:f>Navy!Y83</x:f>
        <x:v>137.19383200000001</x:v>
      </x:c>
      <x:c r="P83" s="53" t="n">
        <x:f>SUMPRODUCT((Events!$B$6:$B$158&lt;=$A83)*(Events!$C$6:$C$158&gt;=$A83)*(Events!$E$6:$E$158="War &amp; operations")*Events!$H$6:$H$158)</x:f>
        <x:v>52</x:v>
      </x:c>
      <x:c r="Q83" s="53" t="n">
        <x:f>Economy!O83*Paths!T83</x:f>
        <x:v>1522.772020319451</x:v>
      </x:c>
      <x:c r="R83" s="53" t="n">
        <x:f>Economy!O83*Paths!U83</x:f>
        <x:v>708.2660559625355</x:v>
      </x:c>
      <x:c r="S83" s="53" t="n">
        <x:f>Economy!O83*Paths!V83+SUMPRODUCT((Events!$B$6:$B$158&lt;=$A83)*(Events!$C$6:$C$158&gt;=$A83)*(Events!$E$6:$E$158="Programme")*Events!$H$6:$H$158)+SUMPRODUCT((Events!$B$6:$B$158&lt;=$A83)*(Events!$C$6:$C$158&gt;=$A83)*(Events!$E$6:$E$158="Investment")*Events!$H$6:$H$158)</x:f>
        <x:v>293.70642238501415</x:v>
      </x:c>
      <x:c r="T83" s="53" t="n">
        <x:f>(People!T83*assist_cost+Labour!AD83*talent_cost+Labour!L83*gw_admin)*Economy!H83/1000000</x:f>
        <x:v>69.74108586096463</x:v>
      </x:c>
      <x:c r="U83" s="53" t="n">
        <x:f>SUMPRODUCT((Events!$B$6:$B$158&lt;=$A83)*(Events!$C$6:$C$158&gt;=$A83)*(Events!$E$6:$E$158="Purchase")*Events!$H$6:$H$158)</x:f>
        <x:v>0</x:v>
      </x:c>
      <x:c r="V83" s="53" t="n">
        <x:f>SUMPRODUCT((Events!$B$6:$B$158&lt;=$A83)*(Events!$C$6:$C$158&gt;=$A83)*(Events!$E$6:$E$158="Subsidy &amp; guarantee")*Events!$H$6:$H$158)+SUMPRODUCT((Events!$B$6:$B$158&lt;=$A83)*(Events!$C$6:$C$158&gt;=$A83)*(Events!$E$6:$E$158="Relief")*Events!$H$6:$H$158)</x:f>
        <x:v>0.5</x:v>
      </x:c>
      <x:c r="W83" s="53" t="n">
        <x:f>SUMPRODUCT((Events!$B$6:$B$158&lt;=$A83)*(Events!$C$6:$C$158&gt;=$A83)*(Events!$E$6:$E$158="Bank rescue &amp; capital")*Events!$H$6:$H$158)</x:f>
        <x:v>0</x:v>
      </x:c>
      <x:c r="X83" s="53" t="n">
        <x:f>'Debt &amp; cash'!R82*Paths!Y83</x:f>
        <x:v>75.1667017382558</x:v>
      </x:c>
      <x:c r="Y83" s="53" t="n">
        <x:f>SUM(N83:X83)</x:f>
        <x:v>2908.893818266221</x:v>
      </x:c>
      <x:c r="Z83" s="53" t="n">
        <x:f>M83-Y83</x:f>
        <x:v>845.2379571634647</x:v>
      </x:c>
      <x:c r="AA83" s="63" t="n">
        <x:f>M83/Economy!O83</x:f>
        <x:v>0.10600908355908177</x:v>
      </x:c>
      <x:c r="AB83" s="63" t="n">
        <x:f>Y83/Economy!O83</x:f>
        <x:v>0.08214127427900032</x:v>
      </x:c>
      <x:c r="AC83" s="63" t="n">
        <x:f>(N83+O83+P83)/Economy!O83</x:f>
        <x:v>0.0067415776879367634</x:v>
      </x:c>
    </x:row>
    <x:row r="84">
      <x:c r="A84" s="58" t="n">
        <x:v>1924</x:v>
      </x:c>
      <x:c r="B84" s="53" t="n">
        <x:f>Economy!O84*Paths!N84*Paths!O84*cust_coll</x:f>
        <x:v>682.634657593368</x:v>
      </x:c>
      <x:c r="C84" s="53" t="n">
        <x:f>(Economy!J84+Economy!L84+Economy!M84+Economy!N84)*Paths!P84*Paths!Q84</x:f>
        <x:v>2550.4587928498454</x:v>
      </x:c>
      <x:c r="D84" s="53" t="n">
        <x:f>Resources!P84+Resources!Q84</x:f>
        <x:v>47.8965</x:v>
      </x:c>
      <x:c r="E84" s="53" t="n">
        <x:f>Paths!S84*(1-canal_opcost)*canal_share</x:f>
        <x:v>14.879999999999999</x:v>
      </x:c>
      <x:c r="F84" s="53" t="n">
        <x:f>Economy!O84*Paths!R84</x:f>
        <x:v>75.7422561295706</x:v>
      </x:c>
      <x:c r="G84" s="53" t="n">
        <x:f>SUMPRODUCT((Events!$B$6:$B$158&lt;=$A84)*(Events!$C$6:$C$158&gt;=$A84)*(Events!$E$6:$E$158="Receipt")*Events!$H$6:$H$158)</x:f>
        <x:v>4.55</x:v>
      </x:c>
      <x:c r="H84" s="69" t="n">
        <x:f>Loans!Y84</x:f>
        <x:v>60.35977557424848</x:v>
      </x:c>
      <x:c r="I84" s="53" t="n">
        <x:f>'Debt &amp; cash'!S83*fund_yield</x:f>
        <x:v>15.542111916556241</x:v>
      </x:c>
      <x:c r="J84" s="69" t="n">
        <x:f>Labour!Q84</x:f>
        <x:v>330.3491780994564</x:v>
      </x:c>
      <x:c r="K84" s="69" t="n">
        <x:f>Champions!BD84</x:f>
        <x:v>112.64286047130526</x:v>
      </x:c>
      <x:c r="L84" s="69" t="n">
        <x:f>Abroad!N84</x:f>
        <x:v>130.41271931049187</x:v>
      </x:c>
      <x:c r="M84" s="53" t="n">
        <x:f>SUM(B84:L84)</x:f>
        <x:v>4025.4688519448423</x:v>
      </x:c>
      <x:c r="N84" s="53" t="n">
        <x:f>(Paths!W84*army_cost+Paths!X84*res_cost)*Economy!H84/1000000</x:f>
        <x:v>48.9402</x:v>
      </x:c>
      <x:c r="O84" s="69" t="n">
        <x:f>Navy!Y84</x:f>
        <x:v>162.33887700000002</x:v>
      </x:c>
      <x:c r="P84" s="53" t="n">
        <x:f>SUMPRODUCT((Events!$B$6:$B$158&lt;=$A84)*(Events!$C$6:$C$158&gt;=$A84)*(Events!$E$6:$E$158="War &amp; operations")*Events!$H$6:$H$158)</x:f>
        <x:v>52</x:v>
      </x:c>
      <x:c r="Q84" s="53" t="n">
        <x:f>Economy!O84*Paths!T84</x:f>
        <x:v>1639.8198452052036</x:v>
      </x:c>
      <x:c r="R84" s="53" t="n">
        <x:f>Economy!O84*Paths!U84</x:f>
        <x:v>757.4225612957061</x:v>
      </x:c>
      <x:c r="S84" s="53" t="n">
        <x:f>Economy!O84*Paths!V84+SUMPRODUCT((Events!$B$6:$B$158&lt;=$A84)*(Events!$C$6:$C$158&gt;=$A84)*(Events!$E$6:$E$158="Programme")*Events!$H$6:$H$158)+SUMPRODUCT((Events!$B$6:$B$158&lt;=$A84)*(Events!$C$6:$C$158&gt;=$A84)*(Events!$E$6:$E$158="Investment")*Events!$H$6:$H$158)</x:f>
        <x:v>311.5690245182824</x:v>
      </x:c>
      <x:c r="T84" s="53" t="n">
        <x:f>(People!T84*assist_cost+Labour!AD84*talent_cost+Labour!L84*gw_admin)*Economy!H84/1000000</x:f>
        <x:v>68.8389435233782</x:v>
      </x:c>
      <x:c r="U84" s="53" t="n">
        <x:f>SUMPRODUCT((Events!$B$6:$B$158&lt;=$A84)*(Events!$C$6:$C$158&gt;=$A84)*(Events!$E$6:$E$158="Purchase")*Events!$H$6:$H$158)</x:f>
        <x:v>0</x:v>
      </x:c>
      <x:c r="V84" s="53" t="n">
        <x:f>SUMPRODUCT((Events!$B$6:$B$158&lt;=$A84)*(Events!$C$6:$C$158&gt;=$A84)*(Events!$E$6:$E$158="Subsidy &amp; guarantee")*Events!$H$6:$H$158)+SUMPRODUCT((Events!$B$6:$B$158&lt;=$A84)*(Events!$C$6:$C$158&gt;=$A84)*(Events!$E$6:$E$158="Relief")*Events!$H$6:$H$158)</x:f>
        <x:v>2.5</x:v>
      </x:c>
      <x:c r="W84" s="53" t="n">
        <x:f>SUMPRODUCT((Events!$B$6:$B$158&lt;=$A84)*(Events!$C$6:$C$158&gt;=$A84)*(Events!$E$6:$E$158="Bank rescue &amp; capital")*Events!$H$6:$H$158)</x:f>
        <x:v>0</x:v>
      </x:c>
      <x:c r="X84" s="53" t="n">
        <x:f>'Debt &amp; cash'!R83*Paths!Y84</x:f>
        <x:v>85.34605974348553</x:v>
      </x:c>
      <x:c r="Y84" s="53" t="n">
        <x:f>SUM(N84:X84)</x:f>
        <x:v>3128.7755112860555</x:v>
      </x:c>
      <x:c r="Z84" s="53" t="n">
        <x:f>M84-Y84</x:f>
        <x:v>896.6933406587868</x:v>
      </x:c>
      <x:c r="AA84" s="63" t="n">
        <x:f>M84/Economy!O84</x:f>
        <x:v>0.10629387234144601</x:v>
      </x:c>
      <x:c r="AB84" s="63" t="n">
        <x:f>Y84/Economy!O84</x:f>
        <x:v>0.08261638010712878</x:v>
      </x:c>
      <x:c r="AC84" s="63" t="n">
        <x:f>(N84+O84+P84)/Economy!O84</x:f>
        <x:v>0.0069519734545433745</x:v>
      </x:c>
    </x:row>
    <x:row r="85">
      <x:c r="A85" s="58" t="n">
        <x:v>1925</x:v>
      </x:c>
      <x:c r="B85" s="53" t="n">
        <x:f>Economy!O85*Paths!N85*Paths!O85*cust_coll</x:f>
        <x:v>732.3542779890054</x:v>
      </x:c>
      <x:c r="C85" s="53" t="n">
        <x:f>(Economy!J85+Economy!L85+Economy!M85+Economy!N85)*Paths!P85*Paths!Q85</x:f>
        <x:v>2760.523830326305</x:v>
      </x:c>
      <x:c r="D85" s="53" t="n">
        <x:f>Resources!P85+Resources!Q85</x:f>
        <x:v>48.17</x:v>
      </x:c>
      <x:c r="E85" s="53" t="n">
        <x:f>Paths!S85*(1-canal_opcost)*canal_share</x:f>
        <x:v>15.6</x:v>
      </x:c>
      <x:c r="F85" s="53" t="n">
        <x:f>Economy!O85*Paths!R85</x:f>
        <x:v>81.94632180698282</x:v>
      </x:c>
      <x:c r="G85" s="53" t="n">
        <x:f>SUMPRODUCT((Events!$B$6:$B$158&lt;=$A85)*(Events!$C$6:$C$158&gt;=$A85)*(Events!$E$6:$E$158="Receipt")*Events!$H$6:$H$158)</x:f>
        <x:v>4.55</x:v>
      </x:c>
      <x:c r="H85" s="69" t="n">
        <x:f>Loans!Y85</x:f>
        <x:v>59.11356998763947</x:v>
      </x:c>
      <x:c r="I85" s="53" t="n">
        <x:f>'Debt &amp; cash'!S84*fund_yield</x:f>
        <x:v>17.52370437392525</x:v>
      </x:c>
      <x:c r="J85" s="69" t="n">
        <x:f>Labour!Q85</x:f>
        <x:v>368.812458743436</x:v>
      </x:c>
      <x:c r="K85" s="69" t="n">
        <x:f>Champions!BD85</x:f>
        <x:v>120.00682825639427</x:v>
      </x:c>
      <x:c r="L85" s="69" t="n">
        <x:f>Abroad!N85</x:f>
        <x:v>141.5681003814701</x:v>
      </x:c>
      <x:c r="M85" s="53" t="n">
        <x:f>SUM(B85:L85)</x:f>
        <x:v>4350.1690918651575</x:v>
      </x:c>
      <x:c r="N85" s="53" t="n">
        <x:f>(Paths!W85*army_cost+Paths!X85*res_cost)*Economy!H85/1000000</x:f>
        <x:v>49.0875</x:v>
      </x:c>
      <x:c r="O85" s="69" t="n">
        <x:f>Navy!Y85</x:f>
        <x:v>167.308285</x:v>
      </x:c>
      <x:c r="P85" s="53" t="n">
        <x:f>SUMPRODUCT((Events!$B$6:$B$158&lt;=$A85)*(Events!$C$6:$C$158&gt;=$A85)*(Events!$E$6:$E$158="War &amp; operations")*Events!$H$6:$H$158)</x:f>
        <x:v>52</x:v>
      </x:c>
      <x:c r="Q85" s="53" t="n">
        <x:f>Economy!O85*Paths!T85</x:f>
        <x:v>1790.5271314825745</x:v>
      </x:c>
      <x:c r="R85" s="53" t="n">
        <x:f>Economy!O85*Paths!U85</x:f>
        <x:v>819.4632180698281</x:v>
      </x:c>
      <x:c r="S85" s="53" t="n">
        <x:f>Economy!O85*Paths!V85+SUMPRODUCT((Events!$B$6:$B$158&lt;=$A85)*(Events!$C$6:$C$158&gt;=$A85)*(Events!$E$6:$E$158="Programme")*Events!$H$6:$H$158)+SUMPRODUCT((Events!$B$6:$B$158&lt;=$A85)*(Events!$C$6:$C$158&gt;=$A85)*(Events!$E$6:$E$158="Investment")*Events!$H$6:$H$158)</x:f>
        <x:v>336.38528722793126</x:v>
      </x:c>
      <x:c r="T85" s="53" t="n">
        <x:f>(People!T85*assist_cost+Labour!AD85*talent_cost+Labour!L85*gw_admin)*Economy!H85/1000000</x:f>
        <x:v>76.51547007481504</x:v>
      </x:c>
      <x:c r="U85" s="53" t="n">
        <x:f>SUMPRODUCT((Events!$B$6:$B$158&lt;=$A85)*(Events!$C$6:$C$158&gt;=$A85)*(Events!$E$6:$E$158="Purchase")*Events!$H$6:$H$158)</x:f>
        <x:v>0</x:v>
      </x:c>
      <x:c r="V85" s="53" t="n">
        <x:f>SUMPRODUCT((Events!$B$6:$B$158&lt;=$A85)*(Events!$C$6:$C$158&gt;=$A85)*(Events!$E$6:$E$158="Subsidy &amp; guarantee")*Events!$H$6:$H$158)+SUMPRODUCT((Events!$B$6:$B$158&lt;=$A85)*(Events!$C$6:$C$158&gt;=$A85)*(Events!$E$6:$E$158="Relief")*Events!$H$6:$H$158)</x:f>
        <x:v>2.5</x:v>
      </x:c>
      <x:c r="W85" s="53" t="n">
        <x:f>SUMPRODUCT((Events!$B$6:$B$158&lt;=$A85)*(Events!$C$6:$C$158&gt;=$A85)*(Events!$E$6:$E$158="Bank rescue &amp; capital")*Events!$H$6:$H$158)</x:f>
        <x:v>0</x:v>
      </x:c>
      <x:c r="X85" s="53" t="n">
        <x:f>'Debt &amp; cash'!R84*Paths!Y85</x:f>
        <x:v>91.64812991678045</x:v>
      </x:c>
      <x:c r="Y85" s="53" t="n">
        <x:f>SUM(N85:X85)</x:f>
        <x:v>3385.4350217719293</x:v>
      </x:c>
      <x:c r="Z85" s="53" t="n">
        <x:f>M85-Y85</x:f>
        <x:v>964.7340700932282</x:v>
      </x:c>
      <x:c r="AA85" s="63" t="n">
        <x:f>M85/Economy!O85</x:f>
        <x:v>0.10617118611160094</x:v>
      </x:c>
      <x:c r="AB85" s="63" t="n">
        <x:f>Y85/Economy!O85</x:f>
        <x:v>0.08262567366345049</x:v>
      </x:c>
      <x:c r="AC85" s="63" t="n">
        <x:f>(N85+O85+P85)/Economy!O85</x:f>
        <x:v>0.006550526712649341</x:v>
      </x:c>
    </x:row>
    <x:row r="86">
      <x:c r="A86" s="58" t="n">
        <x:v>1926</x:v>
      </x:c>
      <x:c r="B86" s="53" t="n">
        <x:f>Economy!O86*Paths!N86*Paths!O86*cust_coll</x:f>
        <x:v>758.1948073590227</x:v>
      </x:c>
      <x:c r="C86" s="53" t="n">
        <x:f>(Economy!J86+Economy!L86+Economy!M86+Economy!N86)*Paths!P86*Paths!Q86</x:f>
        <x:v>2882.8750102898834</x:v>
      </x:c>
      <x:c r="D86" s="53" t="n">
        <x:f>Resources!P86+Resources!Q86</x:f>
        <x:v>48.1525</x:v>
      </x:c>
      <x:c r="E86" s="53" t="n">
        <x:f>Paths!S86*(1-canal_opcost)*canal_share</x:f>
        <x:v>16.2</x:v>
      </x:c>
      <x:c r="F86" s="53" t="n">
        <x:f>Economy!O86*Paths!R86</x:f>
        <x:v>85.56151481244756</x:v>
      </x:c>
      <x:c r="G86" s="53" t="n">
        <x:f>SUMPRODUCT((Events!$B$6:$B$158&lt;=$A86)*(Events!$C$6:$C$158&gt;=$A86)*(Events!$E$6:$E$158="Receipt")*Events!$H$6:$H$158)</x:f>
        <x:v>4.55</x:v>
      </x:c>
      <x:c r="H86" s="69" t="n">
        <x:f>Loans!Y86</x:f>
        <x:v>57.89852165751306</x:v>
      </x:c>
      <x:c r="I86" s="53" t="n">
        <x:f>'Debt &amp; cash'!S85*fund_yield</x:f>
        <x:v>19.628944341810556</x:v>
      </x:c>
      <x:c r="J86" s="69" t="n">
        <x:f>Labour!Q86</x:f>
        <x:v>391.9173877743029</x:v>
      </x:c>
      <x:c r="K86" s="69" t="n">
        <x:f>Champions!BD86</x:f>
        <x:v>129.28532404592653</x:v>
      </x:c>
      <x:c r="L86" s="69" t="n">
        <x:f>Abroad!N86</x:f>
        <x:v>154.68918597302573</x:v>
      </x:c>
      <x:c r="M86" s="53" t="n">
        <x:f>SUM(B86:L86)</x:f>
        <x:v>4548.953196253932</x:v>
      </x:c>
      <x:c r="N86" s="53" t="n">
        <x:f>(Paths!W86*army_cost+Paths!X86*res_cost)*Economy!H86/1000000</x:f>
        <x:v>48.8106</x:v>
      </x:c>
      <x:c r="O86" s="69" t="n">
        <x:f>Navy!Y86</x:f>
        <x:v>153.77925050000002</x:v>
      </x:c>
      <x:c r="P86" s="53" t="n">
        <x:f>SUMPRODUCT((Events!$B$6:$B$158&lt;=$A86)*(Events!$C$6:$C$158&gt;=$A86)*(Events!$E$6:$E$158="War &amp; operations")*Events!$H$6:$H$158)</x:f>
        <x:v>52</x:v>
      </x:c>
      <x:c r="Q86" s="53" t="n">
        <x:f>Economy!O86*Paths!T86</x:f>
        <x:v>1882.353325873846</x:v>
      </x:c>
      <x:c r="R86" s="53" t="n">
        <x:f>Economy!O86*Paths!U86</x:f>
        <x:v>855.6151481244756</x:v>
      </x:c>
      <x:c r="S86" s="53" t="n">
        <x:f>Economy!O86*Paths!V86+SUMPRODUCT((Events!$B$6:$B$158&lt;=$A86)*(Events!$C$6:$C$158&gt;=$A86)*(Events!$E$6:$E$158="Programme")*Events!$H$6:$H$158)+SUMPRODUCT((Events!$B$6:$B$158&lt;=$A86)*(Events!$C$6:$C$158&gt;=$A86)*(Events!$E$6:$E$158="Investment")*Events!$H$6:$H$158)</x:f>
        <x:v>350.8460592497902</x:v>
      </x:c>
      <x:c r="T86" s="53" t="n">
        <x:f>(People!T86*assist_cost+Labour!AD86*talent_cost+Labour!L86*gw_admin)*Economy!H86/1000000</x:f>
        <x:v>77.94890020147403</x:v>
      </x:c>
      <x:c r="U86" s="53" t="n">
        <x:f>SUMPRODUCT((Events!$B$6:$B$158&lt;=$A86)*(Events!$C$6:$C$158&gt;=$A86)*(Events!$E$6:$E$158="Purchase")*Events!$H$6:$H$158)</x:f>
        <x:v>0</x:v>
      </x:c>
      <x:c r="V86" s="53" t="n">
        <x:f>SUMPRODUCT((Events!$B$6:$B$158&lt;=$A86)*(Events!$C$6:$C$158&gt;=$A86)*(Events!$E$6:$E$158="Subsidy &amp; guarantee")*Events!$H$6:$H$158)+SUMPRODUCT((Events!$B$6:$B$158&lt;=$A86)*(Events!$C$6:$C$158&gt;=$A86)*(Events!$E$6:$E$158="Relief")*Events!$H$6:$H$158)</x:f>
        <x:v>2.5</x:v>
      </x:c>
      <x:c r="W86" s="53" t="n">
        <x:f>SUMPRODUCT((Events!$B$6:$B$158&lt;=$A86)*(Events!$C$6:$C$158&gt;=$A86)*(Events!$E$6:$E$158="Bank rescue &amp; capital")*Events!$H$6:$H$158)</x:f>
        <x:v>0</x:v>
      </x:c>
      <x:c r="X86" s="53" t="n">
        <x:f>'Debt &amp; cash'!R85*Paths!Y86</x:f>
        <x:v>99.76964680000158</x:v>
      </x:c>
      <x:c r="Y86" s="53" t="n">
        <x:f>SUM(N86:X86)</x:f>
        <x:v>3523.622930749587</x:v>
      </x:c>
      <x:c r="Z86" s="53" t="n">
        <x:f>M86-Y86</x:f>
        <x:v>1025.3302655043453</x:v>
      </x:c>
      <x:c r="AA86" s="63" t="n">
        <x:f>M86/Economy!O86</x:f>
        <x:v>0.10633175923136291</x:v>
      </x:c>
      <x:c r="AB86" s="63" t="n">
        <x:f>Y86/Economy!O86</x:f>
        <x:v>0.08236466917336456</x:v>
      </x:c>
      <x:c r="AC86" s="63" t="n">
        <x:f>(N86+O86+P86)/Economy!O86</x:f>
        <x:v>0.005951036539221302</x:v>
      </x:c>
    </x:row>
    <x:row r="87">
      <x:c r="A87" s="58" t="n">
        <x:v>1927</x:v>
      </x:c>
      <x:c r="B87" s="53" t="n">
        <x:f>Economy!O87*Paths!N87*Paths!O87*cust_coll</x:f>
        <x:v>780.4297365665345</x:v>
      </x:c>
      <x:c r="C87" s="53" t="n">
        <x:f>(Economy!J87+Economy!L87+Economy!M87+Economy!N87)*Paths!P87*Paths!Q87</x:f>
        <x:v>3176.9127548012</x:v>
      </x:c>
      <x:c r="D87" s="53" t="n">
        <x:f>Resources!P87+Resources!Q87</x:f>
        <x:v>52.0678125</x:v>
      </x:c>
      <x:c r="E87" s="53" t="n">
        <x:f>Paths!S87*(1-canal_opcost)*canal_share</x:f>
        <x:v>16.8</x:v>
      </x:c>
      <x:c r="F87" s="53" t="n">
        <x:f>Economy!O87*Paths!R87</x:f>
        <x:v>88.7739713084146</x:v>
      </x:c>
      <x:c r="G87" s="53" t="n">
        <x:f>SUMPRODUCT((Events!$B$6:$B$158&lt;=$A87)*(Events!$C$6:$C$158&gt;=$A87)*(Events!$E$6:$E$158="Receipt")*Events!$H$6:$H$158)</x:f>
        <x:v>4.55</x:v>
      </x:c>
      <x:c r="H87" s="69" t="n">
        <x:f>Loans!Y87</x:f>
        <x:v>62.02724752438185</x:v>
      </x:c>
      <x:c r="I87" s="53" t="n">
        <x:f>'Debt &amp; cash'!S86*fund_yield</x:f>
        <x:v>21.946034012714176</x:v>
      </x:c>
      <x:c r="J87" s="69" t="n">
        <x:f>Labour!Q87</x:f>
        <x:v>412.33061269369017</x:v>
      </x:c>
      <x:c r="K87" s="69" t="n">
        <x:f>Champions!BD87</x:f>
        <x:v>142.96108602961</x:v>
      </x:c>
      <x:c r="L87" s="69" t="n">
        <x:f>Abroad!N87</x:f>
        <x:v>171.9933483140525</x:v>
      </x:c>
      <x:c r="M87" s="53" t="n">
        <x:f>SUM(B87:L87)</x:f>
        <x:v>4930.792603750598</x:v>
      </x:c>
      <x:c r="N87" s="53" t="n">
        <x:f>(Paths!W87*army_cost+Paths!X87*res_cost)*Economy!H87/1000000</x:f>
        <x:v>48.2295</x:v>
      </x:c>
      <x:c r="O87" s="69" t="n">
        <x:f>Navy!Y87</x:f>
        <x:v>192.79763490000002</x:v>
      </x:c>
      <x:c r="P87" s="53" t="n">
        <x:f>SUMPRODUCT((Events!$B$6:$B$158&lt;=$A87)*(Events!$C$6:$C$158&gt;=$A87)*(Events!$E$6:$E$158="War &amp; operations")*Events!$H$6:$H$158)</x:f>
        <x:v>52</x:v>
      </x:c>
      <x:c r="Q87" s="53" t="n">
        <x:f>Economy!O87*Paths!T87</x:f>
        <x:v>1966.3434644813835</x:v>
      </x:c>
      <x:c r="R87" s="53" t="n">
        <x:f>Economy!O87*Paths!U87</x:f>
        <x:v>887.739713084146</x:v>
      </x:c>
      <x:c r="S87" s="53" t="n">
        <x:f>Economy!O87*Paths!V87+SUMPRODUCT((Events!$B$6:$B$158&lt;=$A87)*(Events!$C$6:$C$158&gt;=$A87)*(Events!$E$6:$E$158="Programme")*Events!$H$6:$H$158)+SUMPRODUCT((Events!$B$6:$B$158&lt;=$A87)*(Events!$C$6:$C$158&gt;=$A87)*(Events!$E$6:$E$158="Investment")*Events!$H$6:$H$158)</x:f>
        <x:v>370.1958852336584</x:v>
      </x:c>
      <x:c r="T87" s="53" t="n">
        <x:f>(People!T87*assist_cost+Labour!AD87*talent_cost+Labour!L87*gw_admin)*Economy!H87/1000000</x:f>
        <x:v>75.13714248021422</x:v>
      </x:c>
      <x:c r="U87" s="53" t="n">
        <x:f>SUMPRODUCT((Events!$B$6:$B$158&lt;=$A87)*(Events!$C$6:$C$158&gt;=$A87)*(Events!$E$6:$E$158="Purchase")*Events!$H$6:$H$158)</x:f>
        <x:v>0</x:v>
      </x:c>
      <x:c r="V87" s="53" t="n">
        <x:f>SUMPRODUCT((Events!$B$6:$B$158&lt;=$A87)*(Events!$C$6:$C$158&gt;=$A87)*(Events!$E$6:$E$158="Subsidy &amp; guarantee")*Events!$H$6:$H$158)+SUMPRODUCT((Events!$B$6:$B$158&lt;=$A87)*(Events!$C$6:$C$158&gt;=$A87)*(Events!$E$6:$E$158="Relief")*Events!$H$6:$H$158)</x:f>
        <x:v>3</x:v>
      </x:c>
      <x:c r="W87" s="53" t="n">
        <x:f>SUMPRODUCT((Events!$B$6:$B$158&lt;=$A87)*(Events!$C$6:$C$158&gt;=$A87)*(Events!$E$6:$E$158="Bank rescue &amp; capital")*Events!$H$6:$H$158)</x:f>
        <x:v>0</x:v>
      </x:c>
      <x:c r="X87" s="53" t="n">
        <x:f>'Debt &amp; cash'!R86*Paths!Y87</x:f>
        <x:v>104.59895185821712</x:v>
      </x:c>
      <x:c r="Y87" s="53" t="n">
        <x:f>SUM(N87:X87)</x:f>
        <x:v>3700.0422920376195</x:v>
      </x:c>
      <x:c r="Z87" s="53" t="n">
        <x:f>M87-Y87</x:f>
        <x:v>1230.7503117129781</x:v>
      </x:c>
      <x:c r="AA87" s="63" t="n">
        <x:f>M87/Economy!O87</x:f>
        <x:v>0.11108644867582314</x:v>
      </x:c>
      <x:c r="AB87" s="63" t="n">
        <x:f>Y87/Economy!O87</x:f>
        <x:v>0.08335871962251404</x:v>
      </x:c>
      <x:c r="AC87" s="63" t="n">
        <x:f>(N87+O87+P87)/Economy!O87</x:f>
        <x:v>0.0066016452926720625</x:v>
      </x:c>
    </x:row>
    <x:row r="88">
      <x:c r="A88" s="58" t="n">
        <x:v>1928</x:v>
      </x:c>
      <x:c r="B88" s="53" t="n">
        <x:f>Economy!O88*Paths!N88*Paths!O88*cust_coll</x:f>
        <x:v>830.3540164314405</x:v>
      </x:c>
      <x:c r="C88" s="53" t="n">
        <x:f>(Economy!J88+Economy!L88+Economy!M88+Economy!N88)*Paths!P88*Paths!Q88</x:f>
        <x:v>3409.514373114848</x:v>
      </x:c>
      <x:c r="D88" s="53" t="n">
        <x:f>Resources!P88+Resources!Q88</x:f>
        <x:v>55.8680125</x:v>
      </x:c>
      <x:c r="E88" s="53" t="n">
        <x:f>Paths!S88*(1-canal_opcost)*canal_share</x:f>
        <x:v>17.4</x:v>
      </x:c>
      <x:c r="F88" s="53" t="n">
        <x:f>Economy!O88*Paths!R88</x:f>
        <x:v>95.27215756017264</x:v>
      </x:c>
      <x:c r="G88" s="53" t="n">
        <x:f>SUMPRODUCT((Events!$B$6:$B$158&lt;=$A88)*(Events!$C$6:$C$158&gt;=$A88)*(Events!$E$6:$E$158="Receipt")*Events!$H$6:$H$158)</x:f>
        <x:v>11.55</x:v>
      </x:c>
      <x:c r="H88" s="69" t="n">
        <x:f>Loans!Y88</x:f>
        <x:v>64.66710808971906</x:v>
      </x:c>
      <x:c r="I88" s="53" t="n">
        <x:f>'Debt &amp; cash'!S87*fund_yield</x:f>
        <x:v>24.242838246571534</x:v>
      </x:c>
      <x:c r="J88" s="69" t="n">
        <x:f>Labour!Q88</x:f>
        <x:v>449.97054130984935</x:v>
      </x:c>
      <x:c r="K88" s="69" t="n">
        <x:f>Champions!BD88</x:f>
        <x:v>156.33060735124837</x:v>
      </x:c>
      <x:c r="L88" s="69" t="n">
        <x:f>Abroad!N88</x:f>
        <x:v>186.87262910045962</x:v>
      </x:c>
      <x:c r="M88" s="53" t="n">
        <x:f>SUM(B88:L88)</x:f>
        <x:v>5302.042283704309</x:v>
      </x:c>
      <x:c r="N88" s="53" t="n">
        <x:f>(Paths!W88*army_cost+Paths!X88*res_cost)*Economy!H88/1000000</x:f>
        <x:v>49.472</x:v>
      </x:c>
      <x:c r="O88" s="69" t="n">
        <x:f>Navy!Y88</x:f>
        <x:v>195.49754412500002</x:v>
      </x:c>
      <x:c r="P88" s="53" t="n">
        <x:f>SUMPRODUCT((Events!$B$6:$B$158&lt;=$A88)*(Events!$C$6:$C$158&gt;=$A88)*(Events!$E$6:$E$158="War &amp; operations")*Events!$H$6:$H$158)</x:f>
        <x:v>52</x:v>
      </x:c>
      <x:c r="Q88" s="53" t="n">
        <x:f>Economy!O88*Paths!T88</x:f>
        <x:v>2129.3327214698584</x:v>
      </x:c>
      <x:c r="R88" s="53" t="n">
        <x:f>Economy!O88*Paths!U88</x:f>
        <x:v>952.7215756017264</x:v>
      </x:c>
      <x:c r="S88" s="53" t="n">
        <x:f>Economy!O88*Paths!V88+SUMPRODUCT((Events!$B$6:$B$158&lt;=$A88)*(Events!$C$6:$C$158&gt;=$A88)*(Events!$E$6:$E$158="Programme")*Events!$H$6:$H$158)+SUMPRODUCT((Events!$B$6:$B$158&lt;=$A88)*(Events!$C$6:$C$158&gt;=$A88)*(Events!$E$6:$E$158="Investment")*Events!$H$6:$H$158)</x:f>
        <x:v>413.18863024069054</x:v>
      </x:c>
      <x:c r="T88" s="53" t="n">
        <x:f>(People!T88*assist_cost+Labour!AD88*talent_cost+Labour!L88*gw_admin)*Economy!H88/1000000</x:f>
        <x:v>80.28430360603345</x:v>
      </x:c>
      <x:c r="U88" s="53" t="n">
        <x:f>SUMPRODUCT((Events!$B$6:$B$158&lt;=$A88)*(Events!$C$6:$C$158&gt;=$A88)*(Events!$E$6:$E$158="Purchase")*Events!$H$6:$H$158)</x:f>
        <x:v>0</x:v>
      </x:c>
      <x:c r="V88" s="53" t="n">
        <x:f>SUMPRODUCT((Events!$B$6:$B$158&lt;=$A88)*(Events!$C$6:$C$158&gt;=$A88)*(Events!$E$6:$E$158="Subsidy &amp; guarantee")*Events!$H$6:$H$158)+SUMPRODUCT((Events!$B$6:$B$158&lt;=$A88)*(Events!$C$6:$C$158&gt;=$A88)*(Events!$E$6:$E$158="Relief")*Events!$H$6:$H$158)</x:f>
        <x:v>3</x:v>
      </x:c>
      <x:c r="W88" s="53" t="n">
        <x:f>SUMPRODUCT((Events!$B$6:$B$158&lt;=$A88)*(Events!$C$6:$C$158&gt;=$A88)*(Events!$E$6:$E$158="Bank rescue &amp; capital")*Events!$H$6:$H$158)</x:f>
        <x:v>0</x:v>
      </x:c>
      <x:c r="X88" s="53" t="n">
        <x:f>'Debt &amp; cash'!R87*Paths!Y88</x:f>
        <x:v>108.97004978107891</x:v>
      </x:c>
      <x:c r="Y88" s="53" t="n">
        <x:f>SUM(N88:X88)</x:f>
        <x:v>3984.466824824388</x:v>
      </x:c>
      <x:c r="Z88" s="53" t="n">
        <x:f>M88-Y88</x:f>
        <x:v>1317.575458879921</x:v>
      </x:c>
      <x:c r="AA88" s="63" t="n">
        <x:f>M88/Economy!O88</x:f>
        <x:v>0.11130307992354659</x:v>
      </x:c>
      <x:c r="AB88" s="63" t="n">
        <x:f>Y88/Economy!O88</x:f>
        <x:v>0.08364388771835783</x:v>
      </x:c>
      <x:c r="AC88" s="63" t="n">
        <x:f>(N88+O88+P88)/Economy!O88</x:f>
        <x:v>0.00623413076244102</x:v>
      </x:c>
    </x:row>
    <x:row r="89">
      <x:c r="A89" s="58" t="n">
        <x:v>1929</x:v>
      </x:c>
      <x:c r="B89" s="53" t="n">
        <x:f>Economy!O89*Paths!N89*Paths!O89*cust_coll</x:f>
        <x:v>873.473603742841</x:v>
      </x:c>
      <x:c r="C89" s="53" t="n">
        <x:f>(Economy!J89+Economy!L89+Economy!M89+Economy!N89)*Paths!P89*Paths!Q89</x:f>
        <x:v>3617.9722841678395</x:v>
      </x:c>
      <x:c r="D89" s="53" t="n">
        <x:f>Resources!P89+Resources!Q89</x:f>
        <x:v>59.175</x:v>
      </x:c>
      <x:c r="E89" s="53" t="n">
        <x:f>Paths!S89*(1-canal_opcost)*canal_share</x:f>
        <x:v>18</x:v>
      </x:c>
      <x:c r="F89" s="53" t="n">
        <x:f>Economy!O89*Paths!R89</x:f>
        <x:v>101.09648191468067</x:v>
      </x:c>
      <x:c r="G89" s="53" t="n">
        <x:f>SUMPRODUCT((Events!$B$6:$B$158&lt;=$A89)*(Events!$C$6:$C$158&gt;=$A89)*(Events!$E$6:$E$158="Receipt")*Events!$H$6:$H$158)</x:f>
        <x:v>11.325</x:v>
      </x:c>
      <x:c r="H89" s="69" t="n">
        <x:f>Loans!Y89</x:f>
        <x:v>63.53997929070871</x:v>
      </x:c>
      <x:c r="I89" s="53" t="n">
        <x:f>'Debt &amp; cash'!S88*fund_yield</x:f>
        <x:v>27.146408532547166</x:v>
      </x:c>
      <x:c r="J89" s="69" t="n">
        <x:f>Labour!Q89</x:f>
        <x:v>482.4290740289572</x:v>
      </x:c>
      <x:c r="K89" s="69" t="n">
        <x:f>Champions!BD89</x:f>
        <x:v>169.81800971179146</x:v>
      </x:c>
      <x:c r="L89" s="69" t="n">
        <x:f>Abroad!N89</x:f>
        <x:v>203.66297621211734</x:v>
      </x:c>
      <x:c r="M89" s="53" t="n">
        <x:f>SUM(B89:L89)</x:f>
        <x:v>5627.638817601482</x:v>
      </x:c>
      <x:c r="N89" s="53" t="n">
        <x:f>(Paths!W89*army_cost+Paths!X89*res_cost)*Economy!H89/1000000</x:f>
        <x:v>50.08</x:v>
      </x:c>
      <x:c r="O89" s="69" t="n">
        <x:f>Navy!Y89</x:f>
        <x:v>183.352537875</x:v>
      </x:c>
      <x:c r="P89" s="53" t="n">
        <x:f>SUMPRODUCT((Events!$B$6:$B$158&lt;=$A89)*(Events!$C$6:$C$158&gt;=$A89)*(Events!$E$6:$E$158="War &amp; operations")*Events!$H$6:$H$158)</x:f>
        <x:v>62</x:v>
      </x:c>
      <x:c r="Q89" s="53" t="n">
        <x:f>Economy!O89*Paths!T89</x:f>
        <x:v>2274.670843080315</x:v>
      </x:c>
      <x:c r="R89" s="53" t="n">
        <x:f>Economy!O89*Paths!U89</x:f>
        <x:v>1010.9648191468067</x:v>
      </x:c>
      <x:c r="S89" s="53" t="n">
        <x:f>Economy!O89*Paths!V89+SUMPRODUCT((Events!$B$6:$B$158&lt;=$A89)*(Events!$C$6:$C$158&gt;=$A89)*(Events!$E$6:$E$158="Programme")*Events!$H$6:$H$158)+SUMPRODUCT((Events!$B$6:$B$158&lt;=$A89)*(Events!$C$6:$C$158&gt;=$A89)*(Events!$E$6:$E$158="Investment")*Events!$H$6:$H$158)</x:f>
        <x:v>436.48592765872263</x:v>
      </x:c>
      <x:c r="T89" s="53" t="n">
        <x:f>(People!T89*assist_cost+Labour!AD89*talent_cost+Labour!L89*gw_admin)*Economy!H89/1000000</x:f>
        <x:v>84.39456068968538</x:v>
      </x:c>
      <x:c r="U89" s="53" t="n">
        <x:f>SUMPRODUCT((Events!$B$6:$B$158&lt;=$A89)*(Events!$C$6:$C$158&gt;=$A89)*(Events!$E$6:$E$158="Purchase")*Events!$H$6:$H$158)</x:f>
        <x:v>0</x:v>
      </x:c>
      <x:c r="V89" s="53" t="n">
        <x:f>SUMPRODUCT((Events!$B$6:$B$158&lt;=$A89)*(Events!$C$6:$C$158&gt;=$A89)*(Events!$E$6:$E$158="Subsidy &amp; guarantee")*Events!$H$6:$H$158)+SUMPRODUCT((Events!$B$6:$B$158&lt;=$A89)*(Events!$C$6:$C$158&gt;=$A89)*(Events!$E$6:$E$158="Relief")*Events!$H$6:$H$158)</x:f>
        <x:v>1</x:v>
      </x:c>
      <x:c r="W89" s="53" t="n">
        <x:f>SUMPRODUCT((Events!$B$6:$B$158&lt;=$A89)*(Events!$C$6:$C$158&gt;=$A89)*(Events!$E$6:$E$158="Bank rescue &amp; capital")*Events!$H$6:$H$158)</x:f>
        <x:v>0</x:v>
      </x:c>
      <x:c r="X89" s="53" t="n">
        <x:f>'Debt &amp; cash'!R88*Paths!Y89</x:f>
        <x:v>117.42293419291276</x:v>
      </x:c>
      <x:c r="Y89" s="53" t="n">
        <x:f>SUM(N89:X89)</x:f>
        <x:v>4220.371622643443</x:v>
      </x:c>
      <x:c r="Z89" s="53" t="n">
        <x:f>M89-Y89</x:f>
        <x:v>1407.267194958039</x:v>
      </x:c>
      <x:c r="AA89" s="63" t="n">
        <x:f>M89/Economy!O89</x:f>
        <x:v>0.11133204066093752</x:v>
      </x:c>
      <x:c r="AB89" s="63" t="n">
        <x:f>Y89/Economy!O89</x:f>
        <x:v>0.08349195823065696</x:v>
      </x:c>
      <x:c r="AC89" s="63" t="n">
        <x:f>(N89+O89+P89)/Economy!O89</x:f>
        <x:v>0.005844566146709778</x:v>
      </x:c>
    </x:row>
    <x:row r="90">
      <x:c r="A90" s="58" t="n">
        <x:v>1930</x:v>
      </x:c>
      <x:c r="B90" s="53" t="n">
        <x:f>Economy!O90*Paths!N90*Paths!O90*cust_coll</x:f>
        <x:v>767.7876162806076</x:v>
      </x:c>
      <x:c r="C90" s="53" t="n">
        <x:f>(Economy!J90+Economy!L90+Economy!M90+Economy!N90)*Paths!P90*Paths!Q90</x:f>
        <x:v>3400.4677300169074</x:v>
      </x:c>
      <x:c r="D90" s="53" t="n">
        <x:f>Resources!P90+Resources!Q90</x:f>
        <x:v>44.03</x:v>
      </x:c>
      <x:c r="E90" s="53" t="n">
        <x:f>Paths!S90*(1-canal_opcost)*canal_share</x:f>
        <x:v>16.5</x:v>
      </x:c>
      <x:c r="F90" s="53" t="n">
        <x:f>Economy!O90*Paths!R90</x:f>
        <x:v>94.78859460254415</x:v>
      </x:c>
      <x:c r="G90" s="53" t="n">
        <x:f>SUMPRODUCT((Events!$B$6:$B$158&lt;=$A90)*(Events!$C$6:$C$158&gt;=$A90)*(Events!$E$6:$E$158="Receipt")*Events!$H$6:$H$158)</x:f>
        <x:v>11.325</x:v>
      </x:c>
      <x:c r="H90" s="69" t="n">
        <x:f>Loans!Y90</x:f>
        <x:v>60.61861906271489</x:v>
      </x:c>
      <x:c r="I90" s="53" t="n">
        <x:f>'Debt &amp; cash'!S89*fund_yield</x:f>
        <x:v>30.36277719042885</x:v>
      </x:c>
      <x:c r="J90" s="69" t="n">
        <x:f>Labour!Q90</x:f>
        <x:v>419.6359236322676</x:v>
      </x:c>
      <x:c r="K90" s="69" t="n">
        <x:f>Champions!BD90</x:f>
        <x:v>152.56683352239315</x:v>
      </x:c>
      <x:c r="L90" s="69" t="n">
        <x:f>Abroad!N90</x:f>
        <x:v>202.27480270513888</x:v>
      </x:c>
      <x:c r="M90" s="53" t="n">
        <x:f>SUM(B90:L90)</x:f>
        <x:v>5200.357897013002</x:v>
      </x:c>
      <x:c r="N90" s="53" t="n">
        <x:f>(Paths!W90*army_cost+Paths!X90*res_cost)*Economy!H90/1000000</x:f>
        <x:v>49.52882</x:v>
      </x:c>
      <x:c r="O90" s="69" t="n">
        <x:f>Navy!Y90</x:f>
        <x:v>188.07754238</x:v>
      </x:c>
      <x:c r="P90" s="53" t="n">
        <x:f>SUMPRODUCT((Events!$B$6:$B$158&lt;=$A90)*(Events!$C$6:$C$158&gt;=$A90)*(Events!$E$6:$E$158="War &amp; operations")*Events!$H$6:$H$158)</x:f>
        <x:v>52</x:v>
      </x:c>
      <x:c r="Q90" s="53" t="n">
        <x:f>Economy!O90*Paths!T90</x:f>
        <x:v>2165.919386668134</x:v>
      </x:c>
      <x:c r="R90" s="53" t="n">
        <x:f>Economy!O90*Paths!U90</x:f>
        <x:v>1137.4631352305298</x:v>
      </x:c>
      <x:c r="S90" s="53" t="n">
        <x:f>Economy!O90*Paths!V90+SUMPRODUCT((Events!$B$6:$B$158&lt;=$A90)*(Events!$C$6:$C$158&gt;=$A90)*(Events!$E$6:$E$158="Programme")*Events!$H$6:$H$158)+SUMPRODUCT((Events!$B$6:$B$158&lt;=$A90)*(Events!$C$6:$C$158&gt;=$A90)*(Events!$E$6:$E$158="Investment")*Events!$H$6:$H$158)</x:f>
        <x:v>411.25437841017657</x:v>
      </x:c>
      <x:c r="T90" s="53" t="n">
        <x:f>(People!T90*assist_cost+Labour!AD90*talent_cost+Labour!L90*gw_admin)*Economy!H90/1000000</x:f>
        <x:v>73.08556099939227</x:v>
      </x:c>
      <x:c r="U90" s="53" t="n">
        <x:f>SUMPRODUCT((Events!$B$6:$B$158&lt;=$A90)*(Events!$C$6:$C$158&gt;=$A90)*(Events!$E$6:$E$158="Purchase")*Events!$H$6:$H$158)</x:f>
        <x:v>0</x:v>
      </x:c>
      <x:c r="V90" s="53" t="n">
        <x:f>SUMPRODUCT((Events!$B$6:$B$158&lt;=$A90)*(Events!$C$6:$C$158&gt;=$A90)*(Events!$E$6:$E$158="Subsidy &amp; guarantee")*Events!$H$6:$H$158)+SUMPRODUCT((Events!$B$6:$B$158&lt;=$A90)*(Events!$C$6:$C$158&gt;=$A90)*(Events!$E$6:$E$158="Relief")*Events!$H$6:$H$158)</x:f>
        <x:v>1</x:v>
      </x:c>
      <x:c r="W90" s="53" t="n">
        <x:f>SUMPRODUCT((Events!$B$6:$B$158&lt;=$A90)*(Events!$C$6:$C$158&gt;=$A90)*(Events!$E$6:$E$158="Bank rescue &amp; capital")*Events!$H$6:$H$158)</x:f>
        <x:v>0</x:v>
      </x:c>
      <x:c r="X90" s="53" t="n">
        <x:f>'Debt &amp; cash'!R89*Paths!Y90</x:f>
        <x:v>125.35963757420404</x:v>
      </x:c>
      <x:c r="Y90" s="53" t="n">
        <x:f>SUM(N90:X90)</x:f>
        <x:v>4203.688461262437</x:v>
      </x:c>
      <x:c r="Z90" s="53" t="n">
        <x:f>M90-Y90</x:f>
        <x:v>996.6694357505648</x:v>
      </x:c>
      <x:c r="AA90" s="63" t="n">
        <x:f>M90/Economy!O90</x:f>
        <x:v>0.10972539299308111</x:v>
      </x:c>
      <x:c r="AB90" s="63" t="n">
        <x:f>Y90/Economy!O90</x:f>
        <x:v>0.08869608160958237</x:v>
      </x:c>
      <x:c r="AC90" s="63" t="n">
        <x:f>(N90+O90+P90)/Economy!O90</x:f>
        <x:v>0.006110574032547728</x:v>
      </x:c>
    </x:row>
    <x:row r="91">
      <x:c r="A91" s="58" t="n">
        <x:v>1931</x:v>
      </x:c>
      <x:c r="B91" s="53" t="n">
        <x:f>Economy!O91*Paths!N91*Paths!O91*cust_coll</x:f>
        <x:v>646.4168972808519</x:v>
      </x:c>
      <x:c r="C91" s="53" t="n">
        <x:f>(Economy!J91+Economy!L91+Economy!M91+Economy!N91)*Paths!P91*Paths!Q91</x:f>
        <x:v>2966.8181586557785</x:v>
      </x:c>
      <x:c r="D91" s="53" t="n">
        <x:f>Resources!P91+Resources!Q91</x:f>
        <x:v>24.335</x:v>
      </x:c>
      <x:c r="E91" s="53" t="n">
        <x:f>Paths!S91*(1-canal_opcost)*canal_share</x:f>
        <x:v>15</x:v>
      </x:c>
      <x:c r="F91" s="53" t="n">
        <x:f>Economy!O91*Paths!R91</x:f>
        <x:v>85.50488059270526</x:v>
      </x:c>
      <x:c r="G91" s="53" t="n">
        <x:f>SUMPRODUCT((Events!$B$6:$B$158&lt;=$A91)*(Events!$C$6:$C$158&gt;=$A91)*(Events!$E$6:$E$158="Receipt")*Events!$H$6:$H$158)</x:f>
        <x:v>11.325</x:v>
      </x:c>
      <x:c r="H91" s="69" t="n">
        <x:f>Loans!Y91</x:f>
        <x:v>14.246331424200417</x:v>
      </x:c>
      <x:c r="I91" s="53" t="n">
        <x:f>'Debt &amp; cash'!S90*fund_yield</x:f>
        <x:v>33.0369379116213</x:v>
      </x:c>
      <x:c r="J91" s="69" t="n">
        <x:f>Labour!Q91</x:f>
        <x:v>329.40111721710707</x:v>
      </x:c>
      <x:c r="K91" s="69" t="n">
        <x:f>Champions!BD91</x:f>
        <x:v>120.39911420970154</x:v>
      </x:c>
      <x:c r="L91" s="69" t="n">
        <x:f>Abroad!N91</x:f>
        <x:v>146.13648647135975</x:v>
      </x:c>
      <x:c r="M91" s="53" t="n">
        <x:f>SUM(B91:L91)</x:f>
        <x:v>4392.6199237633255</x:v>
      </x:c>
      <x:c r="N91" s="53" t="n">
        <x:f>(Paths!W91*army_cost+Paths!X91*res_cost)*Economy!H91/1000000</x:f>
        <x:v>47.09102000000001</x:v>
      </x:c>
      <x:c r="O91" s="69" t="n">
        <x:f>Navy!Y91</x:f>
        <x:v>187.19199414499997</x:v>
      </x:c>
      <x:c r="P91" s="53" t="n">
        <x:f>SUMPRODUCT((Events!$B$6:$B$158&lt;=$A91)*(Events!$C$6:$C$158&gt;=$A91)*(Events!$E$6:$E$158="War &amp; operations")*Events!$H$6:$H$158)</x:f>
        <x:v>57</x:v>
      </x:c>
      <x:c r="Q91" s="53" t="n">
        <x:f>Economy!O91*Paths!T91</x:f>
        <x:v>1979.4379857211268</x:v>
      </x:c>
      <x:c r="R91" s="53" t="n">
        <x:f>Economy!O91*Paths!U91</x:f>
        <x:v>1111.5634477051683</x:v>
      </x:c>
      <x:c r="S91" s="53" t="n">
        <x:f>Economy!O91*Paths!V91+SUMPRODUCT((Events!$B$6:$B$158&lt;=$A91)*(Events!$C$6:$C$158&gt;=$A91)*(Events!$E$6:$E$158="Programme")*Events!$H$6:$H$158)+SUMPRODUCT((Events!$B$6:$B$158&lt;=$A91)*(Events!$C$6:$C$158&gt;=$A91)*(Events!$E$6:$E$158="Investment")*Events!$H$6:$H$158)</x:f>
        <x:v>374.619522370821</x:v>
      </x:c>
      <x:c r="T91" s="53" t="n">
        <x:f>(People!T91*assist_cost+Labour!AD91*talent_cost+Labour!L91*gw_admin)*Economy!H91/1000000</x:f>
        <x:v>67.21968881611691</x:v>
      </x:c>
      <x:c r="U91" s="53" t="n">
        <x:f>SUMPRODUCT((Events!$B$6:$B$158&lt;=$A91)*(Events!$C$6:$C$158&gt;=$A91)*(Events!$E$6:$E$158="Purchase")*Events!$H$6:$H$158)</x:f>
        <x:v>0</x:v>
      </x:c>
      <x:c r="V91" s="53" t="n">
        <x:f>SUMPRODUCT((Events!$B$6:$B$158&lt;=$A91)*(Events!$C$6:$C$158&gt;=$A91)*(Events!$E$6:$E$158="Subsidy &amp; guarantee")*Events!$H$6:$H$158)+SUMPRODUCT((Events!$B$6:$B$158&lt;=$A91)*(Events!$C$6:$C$158&gt;=$A91)*(Events!$E$6:$E$158="Relief")*Events!$H$6:$H$158)</x:f>
        <x:v>1</x:v>
      </x:c>
      <x:c r="W91" s="53" t="n">
        <x:f>SUMPRODUCT((Events!$B$6:$B$158&lt;=$A91)*(Events!$C$6:$C$158&gt;=$A91)*(Events!$E$6:$E$158="Bank rescue &amp; capital")*Events!$H$6:$H$158)</x:f>
        <x:v>75</x:v>
      </x:c>
      <x:c r="X91" s="53" t="n">
        <x:f>'Debt &amp; cash'!R90*Paths!Y91</x:f>
        <x:v>118.01180028016748</x:v>
      </x:c>
      <x:c r="Y91" s="53" t="n">
        <x:f>SUM(N91:X91)</x:f>
        <x:v>4018.1354590384008</x:v>
      </x:c>
      <x:c r="Z91" s="53" t="n">
        <x:f>M91-Y91</x:f>
        <x:v>374.4844647249247</x:v>
      </x:c>
      <x:c r="AA91" s="63" t="n">
        <x:f>M91/Economy!O91</x:f>
        <x:v>0.10274547823035206</x:v>
      </x:c>
      <x:c r="AB91" s="63" t="n">
        <x:f>Y91/Economy!O91</x:f>
        <x:v>0.09398610772122878</x:v>
      </x:c>
      <x:c r="AC91" s="63" t="n">
        <x:f>(N91+O91+P91)/Economy!O91</x:f>
        <x:v>0.006813248837396784</x:v>
      </x:c>
    </x:row>
    <x:row r="92">
      <x:c r="A92" s="58" t="n">
        <x:v>1932</x:v>
      </x:c>
      <x:c r="B92" s="53" t="n">
        <x:f>Economy!O92*Paths!N92*Paths!O92*cust_coll</x:f>
        <x:v>551.8500979805643</x:v>
      </x:c>
      <x:c r="C92" s="53" t="n">
        <x:f>(Economy!J92+Economy!L92+Economy!M92+Economy!N92)*Paths!P92*Paths!Q92</x:f>
        <x:v>2662.4323923275206</x:v>
      </x:c>
      <x:c r="D92" s="53" t="n">
        <x:f>Resources!P92+Resources!Q92</x:f>
        <x:v>21.408749999999998</x:v>
      </x:c>
      <x:c r="E92" s="53" t="n">
        <x:f>Paths!S92*(1-canal_opcost)*canal_share</x:f>
        <x:v>13.2</x:v>
      </x:c>
      <x:c r="F92" s="53" t="n">
        <x:f>Economy!O92*Paths!R92</x:f>
        <x:v>78.61112506845647</x:v>
      </x:c>
      <x:c r="G92" s="53" t="n">
        <x:f>SUMPRODUCT((Events!$B$6:$B$158&lt;=$A92)*(Events!$C$6:$C$158&gt;=$A92)*(Events!$E$6:$E$158="Receipt")*Events!$H$6:$H$158)</x:f>
        <x:v>11.325</x:v>
      </x:c>
      <x:c r="H92" s="69" t="n">
        <x:f>Loans!Y92</x:f>
        <x:v>21.673299947484676</x:v>
      </x:c>
      <x:c r="I92" s="53" t="n">
        <x:f>'Debt &amp; cash'!S91*fund_yield</x:f>
        <x:v>33.82563596558356</x:v>
      </x:c>
      <x:c r="J92" s="69" t="n">
        <x:f>Labour!Q92</x:f>
        <x:v>263.3510132299662</x:v>
      </x:c>
      <x:c r="K92" s="69" t="n">
        <x:f>Champions!BD92</x:f>
        <x:v>104.1544293089892</x:v>
      </x:c>
      <x:c r="L92" s="69" t="n">
        <x:f>Abroad!N92</x:f>
        <x:v>133.12996074008535</x:v>
      </x:c>
      <x:c r="M92" s="53" t="n">
        <x:f>SUM(B92:L92)</x:f>
        <x:v>3894.96170456865</x:v>
      </x:c>
      <x:c r="N92" s="53" t="n">
        <x:f>(Paths!W92*army_cost+Paths!X92*res_cost)*Economy!H92/1000000</x:f>
        <x:v>44.8644</x:v>
      </x:c>
      <x:c r="O92" s="69" t="n">
        <x:f>Navy!Y92</x:f>
        <x:v>163.22577063</x:v>
      </x:c>
      <x:c r="P92" s="53" t="n">
        <x:f>SUMPRODUCT((Events!$B$6:$B$158&lt;=$A92)*(Events!$C$6:$C$158&gt;=$A92)*(Events!$E$6:$E$158="War &amp; operations")*Events!$H$6:$H$158)</x:f>
        <x:v>52</x:v>
      </x:c>
      <x:c r="Q92" s="53" t="n">
        <x:f>Economy!O92*Paths!T92</x:f>
        <x:v>1847.3614391087272</x:v>
      </x:c>
      <x:c r="R92" s="53" t="n">
        <x:f>Economy!O92*Paths!U92</x:f>
        <x:v>1021.9446258899341</x:v>
      </x:c>
      <x:c r="S92" s="53" t="n">
        <x:f>Economy!O92*Paths!V92+SUMPRODUCT((Events!$B$6:$B$158&lt;=$A92)*(Events!$C$6:$C$158&gt;=$A92)*(Events!$E$6:$E$158="Programme")*Events!$H$6:$H$158)+SUMPRODUCT((Events!$B$6:$B$158&lt;=$A92)*(Events!$C$6:$C$158&gt;=$A92)*(Events!$E$6:$E$158="Investment")*Events!$H$6:$H$158)</x:f>
        <x:v>351.04450027382586</x:v>
      </x:c>
      <x:c r="T92" s="53" t="n">
        <x:f>(People!T92*assist_cost+Labour!AD92*talent_cost+Labour!L92*gw_admin)*Economy!H92/1000000</x:f>
        <x:v>67.46570080716636</x:v>
      </x:c>
      <x:c r="U92" s="53" t="n">
        <x:f>SUMPRODUCT((Events!$B$6:$B$158&lt;=$A92)*(Events!$C$6:$C$158&gt;=$A92)*(Events!$E$6:$E$158="Purchase")*Events!$H$6:$H$158)</x:f>
        <x:v>0</x:v>
      </x:c>
      <x:c r="V92" s="53" t="n">
        <x:f>SUMPRODUCT((Events!$B$6:$B$158&lt;=$A92)*(Events!$C$6:$C$158&gt;=$A92)*(Events!$E$6:$E$158="Subsidy &amp; guarantee")*Events!$H$6:$H$158)+SUMPRODUCT((Events!$B$6:$B$158&lt;=$A92)*(Events!$C$6:$C$158&gt;=$A92)*(Events!$E$6:$E$158="Relief")*Events!$H$6:$H$158)</x:f>
        <x:v>1</x:v>
      </x:c>
      <x:c r="W92" s="53" t="n">
        <x:f>SUMPRODUCT((Events!$B$6:$B$158&lt;=$A92)*(Events!$C$6:$C$158&gt;=$A92)*(Events!$E$6:$E$158="Bank rescue &amp; capital")*Events!$H$6:$H$158)</x:f>
        <x:v>75</x:v>
      </x:c>
      <x:c r="X92" s="53" t="n">
        <x:f>'Debt &amp; cash'!R91*Paths!Y92</x:f>
        <x:v>112.17253811830531</x:v>
      </x:c>
      <x:c r="Y92" s="53" t="n">
        <x:f>SUM(N92:X92)</x:f>
        <x:v>3736.078974827959</x:v>
      </x:c>
      <x:c r="Z92" s="53" t="n">
        <x:f>M92-Y92</x:f>
        <x:v>158.88272974069105</x:v>
      </x:c>
      <x:c r="AA92" s="63" t="n">
        <x:f>M92/Economy!O92</x:f>
        <x:v>0.0990944144655562</x:v>
      </x:c>
      <x:c r="AB92" s="63" t="n">
        <x:f>Y92/Economy!O92</x:f>
        <x:v>0.09505216905557555</x:v>
      </x:c>
      <x:c r="AC92" s="63" t="n">
        <x:f>(N92+O92+P92)/Economy!O92</x:f>
        <x:v>0.006617133908298785</x:v>
      </x:c>
    </x:row>
  </x:sheetData>
  <x:mergeCells>
    <x:mergeCell ref="B4:M4"/>
    <x:mergeCell ref="N4:Y4"/>
    <x:mergeCell ref="Z4:AC4"/>
  </x:mergeCells>
  <x:pageMargins left="0.7" right="0.7" top="0.75" bottom="0.75" header="0.3" footer="0.3"/>
  <x:legacyDrawing xmlns:r="http://schemas.openxmlformats.org/officeDocument/2006/relationships" r:id="Rc42490613f5a4b79"/>
</x:worksheet>
</file>

<file path=xl/worksheets/sheet10.xml><?xml version="1.0" encoding="utf-8"?>
<x:worksheet xmlns:x="http://schemas.openxmlformats.org/spreadsheetml/2006/main">
  <x:sheetPr>
    <x:tabColor rgb="FFBF8F00"/>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2.5" customWidth="1"/>
    <x:col min="20" max="20" width="12.5" customWidth="1"/>
    <x:col min="21" max="21" width="12.5" customWidth="1"/>
    <x:col min="22" max="22" width="12.5" customWidth="1"/>
    <x:col min="23" max="23" width="12.5" customWidth="1"/>
    <x:col min="24" max="24" width="12.5" customWidth="1"/>
    <x:col min="25" max="25" width="12.5" customWidth="1"/>
  </x:cols>
  <x:sheetData>
    <x:row r="1">
      <x:c r="A1" s="18" t="inlineStr">
        <x:is>
          <x:t xml:space="preserve">Debt and cash</x:t>
        </x:is>
      </x:c>
    </x:row>
    <x:row r="2">
      <x:c r="A2" s="2" t="inlineStr">
        <x:is>
          <x:t xml:space="preserve">How each year's balance is financed: cash target, Reserve Fund, bonds. Closing cash always equals the target.</x:t>
        </x:is>
      </x:c>
    </x:row>
    <x:row r="3">
      <x:c r="A3" s="19" t="inlineStr">
        <x:is>
          <x:t xml:space="preserve">Years run down the page. Blue = input you can change · black = formula · green = link to another sheet. Hover a column heading for its definition.</x:t>
        </x:is>
      </x:c>
    </x:row>
    <x:row r="4">
      <x:c r="B4" s="56" t="inlineStr">
        <x:is>
          <x:t xml:space="preserve">Cash flow, $m</x:t>
        </x:is>
      </x:c>
      <x:c r="F4" s="56" t="inlineStr">
        <x:is>
          <x:t xml:space="preserve">Financing, $m</x:t>
        </x:is>
      </x:c>
      <x:c r="P4" s="56" t="inlineStr">
        <x:is>
          <x:t xml:space="preserve">Debt and assets, $m</x:t>
        </x:is>
      </x:c>
      <x:c r="V4" s="56" t="inlineStr">
        <x:is>
          <x:t xml:space="preserve">Ratios</x:t>
        </x:is>
      </x:c>
    </x:row>
    <x:row r="5" ht="54" customHeight="1">
      <x:c r="A5" s="57" t="inlineStr">
        <x:is>
          <x:t xml:space="preserve">Year</x:t>
        </x:is>
      </x:c>
      <x:c r="B5" s="6" t="inlineStr">
        <x:is>
          <x:t xml:space="preserve">Net lending abroad</x:t>
        </x:is>
      </x:c>
      <x:c r="C5" s="6" t="inlineStr">
        <x:is>
          <x:t xml:space="preserve">Scheduled debt repayment</x:t>
        </x:is>
      </x:c>
      <x:c r="D5" s="6" t="inlineStr">
        <x:is>
          <x:t xml:space="preserve">Cash before financing</x:t>
        </x:is>
      </x:c>
      <x:c r="E5" s="6" t="inlineStr">
        <x:is>
          <x:t xml:space="preserve">Cash target</x:t>
        </x:is>
      </x:c>
      <x:c r="F5" s="6" t="inlineStr">
        <x:is>
          <x:t xml:space="preserve">Drawn from Reserve Fund</x:t>
        </x:is>
      </x:c>
      <x:c r="G5" s="6" t="inlineStr">
        <x:is>
          <x:t xml:space="preserve">Borrowed (cash raised)</x:t>
        </x:is>
      </x:c>
      <x:c r="H5" s="6" t="inlineStr">
        <x:is>
          <x:t xml:space="preserve">New bonds (face value)</x:t>
        </x:is>
      </x:c>
      <x:c r="I5" s="6" t="inlineStr">
        <x:is>
          <x:t xml:space="preserve">Invested by the Development Fund</x:t>
        </x:is>
      </x:c>
      <x:c r="J5" s="6" t="inlineStr">
        <x:is>
          <x:t xml:space="preserve">Reserve above the buffer, invested</x:t>
        </x:is>
      </x:c>
      <x:c r="K5" s="6" t="inlineStr">
        <x:is>
          <x:t xml:space="preserve">Extra debt repaid from surplus</x:t>
        </x:is>
      </x:c>
      <x:c r="L5" s="6" t="inlineStr">
        <x:is>
          <x:t xml:space="preserve">Put into Reserve Fund</x:t>
        </x:is>
      </x:c>
      <x:c r="M5" s="6" t="inlineStr">
        <x:is>
          <x:t xml:space="preserve">Closing cash</x:t>
        </x:is>
      </x:c>
      <x:c r="N5" s="6" t="inlineStr">
        <x:is>
          <x:t xml:space="preserve">Development investment, all sources</x:t>
        </x:is>
      </x:c>
      <x:c r="O5" s="6" t="inlineStr">
        <x:is>
          <x:t xml:space="preserve">Development stock (memo)</x:t>
        </x:is>
      </x:c>
      <x:c r="P5" s="6" t="inlineStr">
        <x:is>
          <x:t xml:space="preserve">Debt taken over (no cash)</x:t>
        </x:is>
      </x:c>
      <x:c r="Q5" s="6" t="inlineStr">
        <x:is>
          <x:t xml:space="preserve">Bonds kept in issue (standing debt)</x:t>
        </x:is>
      </x:c>
      <x:c r="R5" s="6" t="inlineStr">
        <x:is>
          <x:t xml:space="preserve">Public debt</x:t>
        </x:is>
      </x:c>
      <x:c r="S5" s="6" t="inlineStr">
        <x:is>
          <x:t xml:space="preserve">Treasury Reserve Fund</x:t>
        </x:is>
      </x:c>
      <x:c r="T5" s="6" t="inlineStr">
        <x:is>
          <x:t xml:space="preserve">Loans abroad outstanding</x:t>
        </x:is>
      </x:c>
      <x:c r="U5" s="6" t="inlineStr">
        <x:is>
          <x:t xml:space="preserve">Net debt</x:t>
        </x:is>
      </x:c>
      <x:c r="V5" s="6" t="inlineStr">
        <x:is>
          <x:t xml:space="preserve">Debt / GDP</x:t>
        </x:is>
      </x:c>
      <x:c r="W5" s="6" t="inlineStr">
        <x:is>
          <x:t xml:space="preserve">Interest / receipts</x:t>
        </x:is>
      </x:c>
      <x:c r="X5" s="6" t="inlineStr">
        <x:is>
          <x:t xml:space="preserve">Reserve Fund / GDP</x:t>
        </x:is>
      </x:c>
      <x:c r="Y5" s="6" t="inlineStr">
        <x:is>
          <x:t xml:space="preserve">Bonds placed in the market</x:t>
        </x:is>
      </x:c>
    </x:row>
    <x:row r="6">
      <x:c r="A6" s="58" t="n">
        <x:v>1846</x:v>
      </x:c>
      <x:c r="B6" s="53" t="n">
        <x:f>Loans!V6-Loans!W6</x:f>
        <x:v>0</x:v>
      </x:c>
      <x:c r="C6" s="53" t="n">
        <x:f>0</x:f>
        <x:v>0</x:v>
      </x:c>
      <x:c r="D6" s="53" t="n">
        <x:f>opening_cash+Budget!Z6-B6-C6</x:f>
        <x:v>0.13805620749999997</x:v>
      </x:c>
      <x:c r="E6" s="53" t="n">
        <x:f>MAX(0.1,Budget!M6*cash_target)</x:f>
        <x:v>0.224906326875</x:v>
      </x:c>
      <x:c r="F6" s="53" t="n">
        <x:f>0</x:f>
        <x:v>0</x:v>
      </x:c>
      <x:c r="G6" s="53" t="n">
        <x:f>MAX(0,E6-D6)</x:f>
        <x:v>0.08685011937500003</x:v>
      </x:c>
      <x:c r="H6" s="53" t="n">
        <x:f>G6/issue_price</x:f>
        <x:v>0.08953620554123715</x:v>
      </x:c>
      <x:c r="I6" s="53" t="n">
        <x:f>0</x:f>
        <x:v>0</x:v>
      </x:c>
      <x:c r="J6" s="53" t="n">
        <x:f>0</x:f>
        <x:v>0</x:v>
      </x:c>
      <x:c r="K6" s="53" t="n">
        <x:f>0</x:f>
        <x:v>0</x:v>
      </x:c>
      <x:c r="L6" s="53" t="n">
        <x:f>IF(D6&gt;E6,D6-E6-I6-K6,0)</x:f>
        <x:v>0</x:v>
      </x:c>
      <x:c r="M6" s="53" t="n">
        <x:f>D6+F6+G6-I6-K6-L6</x:f>
        <x:v>0.224906326875</x:v>
      </x:c>
      <x:c r="N6" s="53" t="n">
        <x:f>I6+J6+Q6*dev_bonds+SUMPRODUCT((Events!$B$6:$B$158&lt;=$A6)*(Events!$C$6:$C$158&gt;=$A6)*(Events!$E$6:$E$158="Investment")*Events!$H$6:$H$158)</x:f>
        <x:v>0</x:v>
      </x:c>
      <x:c r="O6" s="53" t="n">
        <x:f>0</x:f>
        <x:v>0</x:v>
      </x:c>
      <x:c r="P6" s="53" t="n">
        <x:f>SUMPRODUCT((Events!$B$6:$B$158&lt;=$A6)*(Events!$C$6:$C$158&gt;=$A6)*(Events!$E$6:$E$158="Debt assumed")*Events!$H$6:$H$158)</x:f>
        <x:v>0</x:v>
      </x:c>
      <x:c r="Q6" s="53" t="n">
        <x:f>0</x:f>
        <x:v>0</x:v>
      </x:c>
      <x:c r="R6" s="53" t="n">
        <x:f>P6+H6</x:f>
        <x:v>0.08953620554123715</x:v>
      </x:c>
      <x:c r="S6" s="53" t="n">
        <x:f>L6</x:f>
        <x:v>0</x:v>
      </x:c>
      <x:c r="T6" s="69" t="n">
        <x:f>Loans!X6</x:f>
        <x:v>0</x:v>
      </x:c>
      <x:c r="U6" s="53" t="n">
        <x:f>R6-M6-S6-T6</x:f>
        <x:v>-0.13537012133376286</x:v>
      </x:c>
      <x:c r="V6" s="63" t="n">
        <x:f>R6/Economy!O6</x:f>
        <x:v>0.0046876796882376155</x:v>
      </x:c>
      <x:c r="W6" s="63" t="n">
        <x:f>Budget!X6/Budget!M6</x:f>
        <x:v>0</x:v>
      </x:c>
      <x:c r="X6" s="63" t="n">
        <x:f>S6/Economy!O6</x:f>
        <x:v>0</x:v>
      </x:c>
      <x:c r="Y6" s="53" t="n">
        <x:f>MAX(0,H6+Q6-'Gold &amp; money'!G6)</x:f>
        <x:v>0.08953620554123715</x:v>
      </x:c>
    </x:row>
    <x:row r="7">
      <x:c r="A7" s="58" t="n">
        <x:v>1847</x:v>
      </x:c>
      <x:c r="B7" s="53" t="n">
        <x:f>Loans!V7-Loans!W7</x:f>
        <x:v>0</x:v>
      </x:c>
      <x:c r="C7" s="53" t="n">
        <x:f>R6*debt_amort</x:f>
        <x:v>0.0017907241108247429</x:v>
      </x:c>
      <x:c r="D7" s="53" t="n">
        <x:f>M6+Budget!Z7-B7-C7</x:f>
        <x:v>-0.24842971605499323</x:v>
      </x:c>
      <x:c r="E7" s="53" t="n">
        <x:f>MAX(0.1,Budget!M7*cash_target)</x:f>
        <x:v>0.239077642465242</x:v>
      </x:c>
      <x:c r="F7" s="53" t="n">
        <x:f>IF(D7&lt;E7,MIN(E7-D7,S6),0)</x:f>
        <x:v>0</x:v>
      </x:c>
      <x:c r="G7" s="53" t="n">
        <x:f>MAX(0,E7-D7-F7)</x:f>
        <x:v>0.4875073585202352</x:v>
      </x:c>
      <x:c r="H7" s="53" t="n">
        <x:f>G7/issue_price</x:f>
        <x:v>0.5025849056909641</x:v>
      </x:c>
      <x:c r="I7" s="53" t="n">
        <x:f>IF(AND(D7&gt;E7,$A7&gt;=dev_start),(D7-E7)*dev_share,0)</x:f>
        <x:v>0</x:v>
      </x:c>
      <x:c r="J7" s="53" t="n">
        <x:f>IF($A7&gt;=dev_start,MAX(0,S6-F7-reserve_buffer*Economy!O7),0)</x:f>
        <x:v>0</x:v>
      </x:c>
      <x:c r="K7" s="53" t="n">
        <x:f>IF(D7&gt;E7,MIN((D7-E7-I7)*repay_share,R6-C7),0)</x:f>
        <x:v>0</x:v>
      </x:c>
      <x:c r="L7" s="53" t="n">
        <x:f>IF(D7&gt;E7,D7-E7-I7-K7,0)</x:f>
        <x:v>0</x:v>
      </x:c>
      <x:c r="M7" s="53" t="n">
        <x:f>D7+F7+G7-I7-K7-L7</x:f>
        <x:v>0.23907764246524196</x:v>
      </x:c>
      <x:c r="N7" s="53" t="n">
        <x:f>I7+J7+Q7*dev_bonds+SUMPRODUCT((Events!$B$6:$B$158&lt;=$A7)*(Events!$C$6:$C$158&gt;=$A7)*(Events!$E$6:$E$158="Investment")*Events!$H$6:$H$158)</x:f>
        <x:v>0</x:v>
      </x:c>
      <x:c r="O7" s="53" t="n">
        <x:f>O6*(1-dev_dep)+N7</x:f>
        <x:v>0</x:v>
      </x:c>
      <x:c r="P7" s="53" t="n">
        <x:f>SUMPRODUCT((Events!$B$6:$B$158&lt;=$A7)*(Events!$C$6:$C$158&gt;=$A7)*(Events!$E$6:$E$158="Debt assumed")*Events!$H$6:$H$158)</x:f>
        <x:v>0</x:v>
      </x:c>
      <x:c r="Q7" s="53" t="n">
        <x:f>IF($A7&lt;1887,0,MAX(0,debt_floor*Economy!O7-(R6+P7+H7-C7-K7)))</x:f>
        <x:v>0</x:v>
      </x:c>
      <x:c r="R7" s="53" t="n">
        <x:f>R6+P7+H7-C7-K7+Q7</x:f>
        <x:v>0.5903303871213766</x:v>
      </x:c>
      <x:c r="S7" s="53" t="n">
        <x:f>S6+L7-F7-J7+Q7*(1-dev_bonds)</x:f>
        <x:v>0</x:v>
      </x:c>
      <x:c r="T7" s="69" t="n">
        <x:f>Loans!X7</x:f>
        <x:v>0</x:v>
      </x:c>
      <x:c r="U7" s="53" t="n">
        <x:f>R7-M7-S7-T7</x:f>
        <x:v>0.35125274465613465</x:v>
      </x:c>
      <x:c r="V7" s="63" t="n">
        <x:f>R7/Economy!O7</x:f>
        <x:v>0.028947437243860168</x:v>
      </x:c>
      <x:c r="W7" s="63" t="n">
        <x:f>Budget!X7/Budget!M7</x:f>
        <x:v>0.005645690180880811</x:v>
      </x:c>
      <x:c r="X7" s="63" t="n">
        <x:f>S7/Economy!O7</x:f>
        <x:v>0</x:v>
      </x:c>
      <x:c r="Y7" s="53" t="n">
        <x:f>MAX(0,H7+Q7-'Gold &amp; money'!G7)</x:f>
        <x:v>0.5025849056909641</x:v>
      </x:c>
    </x:row>
    <x:row r="8">
      <x:c r="A8" s="58" t="n">
        <x:v>1848</x:v>
      </x:c>
      <x:c r="B8" s="53" t="n">
        <x:f>Loans!V8-Loans!W8</x:f>
        <x:v>0</x:v>
      </x:c>
      <x:c r="C8" s="53" t="n">
        <x:f>R7*debt_amort</x:f>
        <x:v>0.011806607742427533</x:v>
      </x:c>
      <x:c r="D8" s="53" t="n">
        <x:f>M7+Budget!Z8-B8-C8</x:f>
        <x:v>0.22862270405155297</x:v>
      </x:c>
      <x:c r="E8" s="53" t="n">
        <x:f>MAX(0.1,Budget!M8*cash_target)</x:f>
        <x:v>0.40994734738621097</x:v>
      </x:c>
      <x:c r="F8" s="53" t="n">
        <x:f>IF(D8&lt;E8,MIN(E8-D8,S7),0)</x:f>
        <x:v>0</x:v>
      </x:c>
      <x:c r="G8" s="53" t="n">
        <x:f>MAX(0,E8-D8-F8)</x:f>
        <x:v>0.181324643334658</x:v>
      </x:c>
      <x:c r="H8" s="53" t="n">
        <x:f>G8/issue_price</x:f>
        <x:v>0.1869326219944928</x:v>
      </x:c>
      <x:c r="I8" s="53" t="n">
        <x:f>IF(AND(D8&gt;E8,$A8&gt;=dev_start),(D8-E8)*dev_share,0)</x:f>
        <x:v>0</x:v>
      </x:c>
      <x:c r="J8" s="53" t="n">
        <x:f>IF($A8&gt;=dev_start,MAX(0,S7-F8-reserve_buffer*Economy!O8),0)</x:f>
        <x:v>0</x:v>
      </x:c>
      <x:c r="K8" s="53" t="n">
        <x:f>IF(D8&gt;E8,MIN((D8-E8-I8)*repay_share,R7-C8),0)</x:f>
        <x:v>0</x:v>
      </x:c>
      <x:c r="L8" s="53" t="n">
        <x:f>IF(D8&gt;E8,D8-E8-I8-K8,0)</x:f>
        <x:v>0</x:v>
      </x:c>
      <x:c r="M8" s="53" t="n">
        <x:f>D8+F8+G8-I8-K8-L8</x:f>
        <x:v>0.40994734738621097</x:v>
      </x:c>
      <x:c r="N8" s="53" t="n">
        <x:f>I8+J8+Q8*dev_bonds+SUMPRODUCT((Events!$B$6:$B$158&lt;=$A8)*(Events!$C$6:$C$158&gt;=$A8)*(Events!$E$6:$E$158="Investment")*Events!$H$6:$H$158)</x:f>
        <x:v>0</x:v>
      </x:c>
      <x:c r="O8" s="53" t="n">
        <x:f>O7*(1-dev_dep)+N8</x:f>
        <x:v>0</x:v>
      </x:c>
      <x:c r="P8" s="53" t="n">
        <x:f>SUMPRODUCT((Events!$B$6:$B$158&lt;=$A8)*(Events!$C$6:$C$158&gt;=$A8)*(Events!$E$6:$E$158="Debt assumed")*Events!$H$6:$H$158)</x:f>
        <x:v>14.6</x:v>
      </x:c>
      <x:c r="Q8" s="53" t="n">
        <x:f>IF($A8&lt;1887,0,MAX(0,debt_floor*Economy!O8-(R7+P8+H8-C8-K8)))</x:f>
        <x:v>0</x:v>
      </x:c>
      <x:c r="R8" s="53" t="n">
        <x:f>R7+P8+H8-C8-K8+Q8</x:f>
        <x:v>15.365456401373441</x:v>
      </x:c>
      <x:c r="S8" s="53" t="n">
        <x:f>S7+L8-F8-J8+Q8*(1-dev_bonds)</x:f>
        <x:v>0</x:v>
      </x:c>
      <x:c r="T8" s="69" t="n">
        <x:f>Loans!X8</x:f>
        <x:v>0</x:v>
      </x:c>
      <x:c r="U8" s="53" t="n">
        <x:f>R8-M8-S8-T8</x:f>
        <x:v>14.95550905398723</x:v>
      </x:c>
      <x:c r="V8" s="63" t="n">
        <x:f>R8/Economy!O8</x:f>
        <x:v>0.5241289718401585</x:v>
      </x:c>
      <x:c r="W8" s="63" t="n">
        <x:f>Budget!X8/Budget!M8</x:f>
        <x:v>0.0217802290029189</x:v>
      </x:c>
      <x:c r="X8" s="63" t="n">
        <x:f>S8/Economy!O8</x:f>
        <x:v>0</x:v>
      </x:c>
      <x:c r="Y8" s="53" t="n">
        <x:f>MAX(0,H8+Q8-'Gold &amp; money'!G8)</x:f>
        <x:v>0.1869326219944928</x:v>
      </x:c>
    </x:row>
    <x:row r="9">
      <x:c r="A9" s="58" t="n">
        <x:v>1849</x:v>
      </x:c>
      <x:c r="B9" s="53" t="n">
        <x:f>Loans!V9-Loans!W9</x:f>
        <x:v>0</x:v>
      </x:c>
      <x:c r="C9" s="53" t="n">
        <x:f>R8*debt_amort</x:f>
        <x:v>0.30730912802746885</x:v>
      </x:c>
      <x:c r="D9" s="53" t="n">
        <x:f>M8+Budget!Z9-B9-C9</x:f>
        <x:v>1.3493784253511003</x:v>
      </x:c>
      <x:c r="E9" s="53" t="n">
        <x:f>MAX(0.1,Budget!M9*cash_target)</x:f>
        <x:v>1.609404686105129</x:v>
      </x:c>
      <x:c r="F9" s="53" t="n">
        <x:f>IF(D9&lt;E9,MIN(E9-D9,S8),0)</x:f>
        <x:v>0</x:v>
      </x:c>
      <x:c r="G9" s="53" t="n">
        <x:f>MAX(0,E9-D9-F9)</x:f>
        <x:v>0.2600262607540287</x:v>
      </x:c>
      <x:c r="H9" s="53" t="n">
        <x:f>G9/issue_price</x:f>
        <x:v>0.2680683100556997</x:v>
      </x:c>
      <x:c r="I9" s="53" t="n">
        <x:f>IF(AND(D9&gt;E9,$A9&gt;=dev_start),(D9-E9)*dev_share,0)</x:f>
        <x:v>0</x:v>
      </x:c>
      <x:c r="J9" s="53" t="n">
        <x:f>IF($A9&gt;=dev_start,MAX(0,S8-F9-reserve_buffer*Economy!O9),0)</x:f>
        <x:v>0</x:v>
      </x:c>
      <x:c r="K9" s="53" t="n">
        <x:f>IF(D9&gt;E9,MIN((D9-E9-I9)*repay_share,R8-C9),0)</x:f>
        <x:v>0</x:v>
      </x:c>
      <x:c r="L9" s="53" t="n">
        <x:f>IF(D9&gt;E9,D9-E9-I9-K9,0)</x:f>
        <x:v>0</x:v>
      </x:c>
      <x:c r="M9" s="53" t="n">
        <x:f>D9+F9+G9-I9-K9-L9</x:f>
        <x:v>1.609404686105129</x:v>
      </x:c>
      <x:c r="N9" s="53" t="n">
        <x:f>I9+J9+Q9*dev_bonds+SUMPRODUCT((Events!$B$6:$B$158&lt;=$A9)*(Events!$C$6:$C$158&gt;=$A9)*(Events!$E$6:$E$158="Investment")*Events!$H$6:$H$158)</x:f>
        <x:v>0</x:v>
      </x:c>
      <x:c r="O9" s="53" t="n">
        <x:f>O8*(1-dev_dep)+N9</x:f>
        <x:v>0</x:v>
      </x:c>
      <x:c r="P9" s="53" t="n">
        <x:f>SUMPRODUCT((Events!$B$6:$B$158&lt;=$A9)*(Events!$C$6:$C$158&gt;=$A9)*(Events!$E$6:$E$158="Debt assumed")*Events!$H$6:$H$158)</x:f>
        <x:v>0</x:v>
      </x:c>
      <x:c r="Q9" s="53" t="n">
        <x:f>IF($A9&lt;1887,0,MAX(0,debt_floor*Economy!O9-(R8+P9+H9-C9-K9)))</x:f>
        <x:v>0</x:v>
      </x:c>
      <x:c r="R9" s="53" t="n">
        <x:f>R8+P9+H9-C9-K9+Q9</x:f>
        <x:v>15.326215583401671</x:v>
      </x:c>
      <x:c r="S9" s="53" t="n">
        <x:f>S8+L9-F9-J9+Q9*(1-dev_bonds)</x:f>
        <x:v>0</x:v>
      </x:c>
      <x:c r="T9" s="69" t="n">
        <x:f>Loans!X9</x:f>
        <x:v>0</x:v>
      </x:c>
      <x:c r="U9" s="53" t="n">
        <x:f>R9-M9-S9-T9</x:f>
        <x:v>13.716810897296542</x:v>
      </x:c>
      <x:c r="V9" s="63" t="n">
        <x:f>R9/Economy!O9</x:f>
        <x:v>0.21769169952058715</x:v>
      </x:c>
      <x:c r="W9" s="63" t="n">
        <x:f>Budget!X9/Budget!M9</x:f>
        <x:v>0.14511883761572453</x:v>
      </x:c>
      <x:c r="X9" s="63" t="n">
        <x:f>S9/Economy!O9</x:f>
        <x:v>0</x:v>
      </x:c>
      <x:c r="Y9" s="53" t="n">
        <x:f>MAX(0,H9+Q9-'Gold &amp; money'!G9)</x:f>
        <x:v>0.2680683100556997</x:v>
      </x:c>
    </x:row>
    <x:row r="10">
      <x:c r="A10" s="58" t="n">
        <x:v>1850</x:v>
      </x:c>
      <x:c r="B10" s="53" t="n">
        <x:f>Loans!V10-Loans!W10</x:f>
        <x:v>0</x:v>
      </x:c>
      <x:c r="C10" s="53" t="n">
        <x:f>R9*debt_amort</x:f>
        <x:v>0.30652431166803346</x:v>
      </x:c>
      <x:c r="D10" s="53" t="n">
        <x:f>M9+Budget!Z10-B10-C10</x:f>
        <x:v>2.13241088266</x:v>
      </x:c>
      <x:c r="E10" s="53" t="n">
        <x:f>MAX(0.1,Budget!M10*cash_target)</x:f>
        <x:v>1.7324487073702315</x:v>
      </x:c>
      <x:c r="F10" s="53" t="n">
        <x:f>IF(D10&lt;E10,MIN(E10-D10,S9),0)</x:f>
        <x:v>0</x:v>
      </x:c>
      <x:c r="G10" s="53" t="n">
        <x:f>MAX(0,E10-D10-F10)</x:f>
        <x:v>0</x:v>
      </x:c>
      <x:c r="H10" s="53" t="n">
        <x:f>G10/issue_price</x:f>
        <x:v>0</x:v>
      </x:c>
      <x:c r="I10" s="53" t="n">
        <x:f>IF(AND(D10&gt;E10,$A10&gt;=dev_start),(D10-E10)*dev_share,0)</x:f>
        <x:v>0</x:v>
      </x:c>
      <x:c r="J10" s="53" t="n">
        <x:f>IF($A10&gt;=dev_start,MAX(0,S9-F10-reserve_buffer*Economy!O10),0)</x:f>
        <x:v>0</x:v>
      </x:c>
      <x:c r="K10" s="53" t="n">
        <x:f>IF(D10&gt;E10,MIN((D10-E10-I10)*repay_share,R9-C10),0)</x:f>
        <x:v>0.31996974023181474</x:v>
      </x:c>
      <x:c r="L10" s="53" t="n">
        <x:f>IF(D10&gt;E10,D10-E10-I10-K10,0)</x:f>
        <x:v>0.07999243505795367</x:v>
      </x:c>
      <x:c r="M10" s="53" t="n">
        <x:f>D10+F10+G10-I10-K10-L10</x:f>
        <x:v>1.7324487073702315</x:v>
      </x:c>
      <x:c r="N10" s="53" t="n">
        <x:f>I10+J10+Q10*dev_bonds+SUMPRODUCT((Events!$B$6:$B$158&lt;=$A10)*(Events!$C$6:$C$158&gt;=$A10)*(Events!$E$6:$E$158="Investment")*Events!$H$6:$H$158)</x:f>
        <x:v>0</x:v>
      </x:c>
      <x:c r="O10" s="53" t="n">
        <x:f>O9*(1-dev_dep)+N10</x:f>
        <x:v>0</x:v>
      </x:c>
      <x:c r="P10" s="53" t="n">
        <x:f>SUMPRODUCT((Events!$B$6:$B$158&lt;=$A10)*(Events!$C$6:$C$158&gt;=$A10)*(Events!$E$6:$E$158="Debt assumed")*Events!$H$6:$H$158)</x:f>
        <x:v>0</x:v>
      </x:c>
      <x:c r="Q10" s="53" t="n">
        <x:f>IF($A10&lt;1887,0,MAX(0,debt_floor*Economy!O10-(R9+P10+H10-C10-K10)))</x:f>
        <x:v>0</x:v>
      </x:c>
      <x:c r="R10" s="53" t="n">
        <x:f>R9+P10+H10-C10-K10+Q10</x:f>
        <x:v>14.699721531501824</x:v>
      </x:c>
      <x:c r="S10" s="53" t="n">
        <x:f>S9+L10-F10-J10+Q10*(1-dev_bonds)</x:f>
        <x:v>0.07999243505795367</x:v>
      </x:c>
      <x:c r="T10" s="69" t="n">
        <x:f>Loans!X10</x:f>
        <x:v>0</x:v>
      </x:c>
      <x:c r="U10" s="53" t="n">
        <x:f>R10-M10-S10-T10</x:f>
        <x:v>12.88728038907364</x:v>
      </x:c>
      <x:c r="V10" s="63" t="n">
        <x:f>R10/Economy!O10</x:f>
        <x:v>0.1900710561970272</x:v>
      </x:c>
      <x:c r="W10" s="63" t="n">
        <x:f>Budget!X10/Budget!M10</x:f>
        <x:v>0.13513124056170436</x:v>
      </x:c>
      <x:c r="X10" s="63" t="n">
        <x:f>S10/Economy!O10</x:f>
        <x:v>0.001034322084718022</x:v>
      </x:c>
      <x:c r="Y10" s="53" t="n">
        <x:f>MAX(0,H10+Q10-'Gold &amp; money'!G10)</x:f>
        <x:v>0</x:v>
      </x:c>
    </x:row>
    <x:row r="11">
      <x:c r="A11" s="58" t="n">
        <x:v>1851</x:v>
      </x:c>
      <x:c r="B11" s="53" t="n">
        <x:f>Loans!V11-Loans!W11</x:f>
        <x:v>0</x:v>
      </x:c>
      <x:c r="C11" s="53" t="n">
        <x:f>R10*debt_amort</x:f>
        <x:v>0.2939944306300365</x:v>
      </x:c>
      <x:c r="D11" s="53" t="n">
        <x:f>M10+Budget!Z11-B11-C11</x:f>
        <x:v>2.966693187143471</x:v>
      </x:c>
      <x:c r="E11" s="53" t="n">
        <x:f>MAX(0.1,Budget!M11*cash_target)</x:f>
        <x:v>2.315016290820227</x:v>
      </x:c>
      <x:c r="F11" s="53" t="n">
        <x:f>IF(D11&lt;E11,MIN(E11-D11,S10),0)</x:f>
        <x:v>0</x:v>
      </x:c>
      <x:c r="G11" s="53" t="n">
        <x:f>MAX(0,E11-D11-F11)</x:f>
        <x:v>0</x:v>
      </x:c>
      <x:c r="H11" s="53" t="n">
        <x:f>G11/issue_price</x:f>
        <x:v>0</x:v>
      </x:c>
      <x:c r="I11" s="53" t="n">
        <x:f>IF(AND(D11&gt;E11,$A11&gt;=dev_start),(D11-E11)*dev_share,0)</x:f>
        <x:v>0</x:v>
      </x:c>
      <x:c r="J11" s="53" t="n">
        <x:f>IF($A11&gt;=dev_start,MAX(0,S10-F11-reserve_buffer*Economy!O11),0)</x:f>
        <x:v>0</x:v>
      </x:c>
      <x:c r="K11" s="53" t="n">
        <x:f>IF(D11&gt;E11,MIN((D11-E11-I11)*repay_share,R10-C11),0)</x:f>
        <x:v>0.5213415170585954</x:v>
      </x:c>
      <x:c r="L11" s="53" t="n">
        <x:f>IF(D11&gt;E11,D11-E11-I11-K11,0)</x:f>
        <x:v>0.13033537926464878</x:v>
      </x:c>
      <x:c r="M11" s="53" t="n">
        <x:f>D11+F11+G11-I11-K11-L11</x:f>
        <x:v>2.315016290820227</x:v>
      </x:c>
      <x:c r="N11" s="53" t="n">
        <x:f>I11+J11+Q11*dev_bonds+SUMPRODUCT((Events!$B$6:$B$158&lt;=$A11)*(Events!$C$6:$C$158&gt;=$A11)*(Events!$E$6:$E$158="Investment")*Events!$H$6:$H$158)</x:f>
        <x:v>0</x:v>
      </x:c>
      <x:c r="O11" s="53" t="n">
        <x:f>O10*(1-dev_dep)+N11</x:f>
        <x:v>0</x:v>
      </x:c>
      <x:c r="P11" s="53" t="n">
        <x:f>SUMPRODUCT((Events!$B$6:$B$158&lt;=$A11)*(Events!$C$6:$C$158&gt;=$A11)*(Events!$E$6:$E$158="Debt assumed")*Events!$H$6:$H$158)</x:f>
        <x:v>0</x:v>
      </x:c>
      <x:c r="Q11" s="53" t="n">
        <x:f>IF($A11&lt;1887,0,MAX(0,debt_floor*Economy!O11-(R10+P11+H11-C11-K11)))</x:f>
        <x:v>0</x:v>
      </x:c>
      <x:c r="R11" s="53" t="n">
        <x:f>R10+P11+H11-C11-K11+Q11</x:f>
        <x:v>13.884385583813193</x:v>
      </x:c>
      <x:c r="S11" s="53" t="n">
        <x:f>S10+L11-F11-J11+Q11*(1-dev_bonds)</x:f>
        <x:v>0.21032781432260245</x:v>
      </x:c>
      <x:c r="T11" s="69" t="n">
        <x:f>Loans!X11</x:f>
        <x:v>0</x:v>
      </x:c>
      <x:c r="U11" s="53" t="n">
        <x:f>R11-M11-S11-T11</x:f>
        <x:v>11.359041478670365</x:v>
      </x:c>
      <x:c r="V11" s="63" t="n">
        <x:f>R11/Economy!O11</x:f>
        <x:v>0.13136410640274473</x:v>
      </x:c>
      <x:c r="W11" s="63" t="n">
        <x:f>Budget!X11/Budget!M11</x:f>
        <x:v>0.0973095668326591</x:v>
      </x:c>
      <x:c r="X11" s="63" t="n">
        <x:f>S11/Economy!O11</x:f>
        <x:v>0.0019899710515344925</x:v>
      </x:c>
      <x:c r="Y11" s="53" t="n">
        <x:f>MAX(0,H11+Q11-'Gold &amp; money'!G11)</x:f>
        <x:v>0</x:v>
      </x:c>
    </x:row>
    <x:row r="12">
      <x:c r="A12" s="58" t="n">
        <x:v>1852</x:v>
      </x:c>
      <x:c r="B12" s="53" t="n">
        <x:f>Loans!V12-Loans!W12</x:f>
        <x:v>0</x:v>
      </x:c>
      <x:c r="C12" s="53" t="n">
        <x:f>R11*debt_amort</x:f>
        <x:v>0.2776877116762639</x:v>
      </x:c>
      <x:c r="D12" s="53" t="n">
        <x:f>M11+Budget!Z12-B12-C12</x:f>
        <x:v>4.21752232345895</x:v>
      </x:c>
      <x:c r="E12" s="53" t="n">
        <x:f>MAX(0.1,Budget!M12*cash_target)</x:f>
        <x:v>3.056040931684148</x:v>
      </x:c>
      <x:c r="F12" s="53" t="n">
        <x:f>IF(D12&lt;E12,MIN(E12-D12,S11),0)</x:f>
        <x:v>0</x:v>
      </x:c>
      <x:c r="G12" s="53" t="n">
        <x:f>MAX(0,E12-D12-F12)</x:f>
        <x:v>0</x:v>
      </x:c>
      <x:c r="H12" s="53" t="n">
        <x:f>G12/issue_price</x:f>
        <x:v>0</x:v>
      </x:c>
      <x:c r="I12" s="53" t="n">
        <x:f>IF(AND(D12&gt;E12,$A12&gt;=dev_start),(D12-E12)*dev_share,0)</x:f>
        <x:v>0</x:v>
      </x:c>
      <x:c r="J12" s="53" t="n">
        <x:f>IF($A12&gt;=dev_start,MAX(0,S11-F12-reserve_buffer*Economy!O12),0)</x:f>
        <x:v>0</x:v>
      </x:c>
      <x:c r="K12" s="53" t="n">
        <x:f>IF(D12&gt;E12,MIN((D12-E12-I12)*repay_share,R11-C12),0)</x:f>
        <x:v>0.9291851134198418</x:v>
      </x:c>
      <x:c r="L12" s="53" t="n">
        <x:f>IF(D12&gt;E12,D12-E12-I12-K12,0)</x:f>
        <x:v>0.23229627835496036</x:v>
      </x:c>
      <x:c r="M12" s="53" t="n">
        <x:f>D12+F12+G12-I12-K12-L12</x:f>
        <x:v>3.056040931684148</x:v>
      </x:c>
      <x:c r="N12" s="53" t="n">
        <x:f>I12+J12+Q12*dev_bonds+SUMPRODUCT((Events!$B$6:$B$158&lt;=$A12)*(Events!$C$6:$C$158&gt;=$A12)*(Events!$E$6:$E$158="Investment")*Events!$H$6:$H$158)</x:f>
        <x:v>0</x:v>
      </x:c>
      <x:c r="O12" s="53" t="n">
        <x:f>O11*(1-dev_dep)+N12</x:f>
        <x:v>0</x:v>
      </x:c>
      <x:c r="P12" s="53" t="n">
        <x:f>SUMPRODUCT((Events!$B$6:$B$158&lt;=$A12)*(Events!$C$6:$C$158&gt;=$A12)*(Events!$E$6:$E$158="Debt assumed")*Events!$H$6:$H$158)</x:f>
        <x:v>0</x:v>
      </x:c>
      <x:c r="Q12" s="53" t="n">
        <x:f>IF($A12&lt;1887,0,MAX(0,debt_floor*Economy!O12-(R11+P12+H12-C12-K12)))</x:f>
        <x:v>0</x:v>
      </x:c>
      <x:c r="R12" s="53" t="n">
        <x:f>R11+P12+H12-C12-K12+Q12</x:f>
        <x:v>12.67751275871709</x:v>
      </x:c>
      <x:c r="S12" s="53" t="n">
        <x:f>S11+L12-F12-J12+Q12*(1-dev_bonds)</x:f>
        <x:v>0.4426240926775628</x:v>
      </x:c>
      <x:c r="T12" s="69" t="n">
        <x:f>Loans!X12</x:f>
        <x:v>0</x:v>
      </x:c>
      <x:c r="U12" s="53" t="n">
        <x:f>R12-M12-S12-T12</x:f>
        <x:v>9.17884773435538</x:v>
      </x:c>
      <x:c r="V12" s="63" t="n">
        <x:f>R12/Economy!O12</x:f>
        <x:v>0.10671095533842447</x:v>
      </x:c>
      <x:c r="W12" s="63" t="n">
        <x:f>Budget!X12/Budget!M12</x:f>
        <x:v>0.06996618918742353</x:v>
      </x:c>
      <x:c r="X12" s="63" t="n">
        <x:f>S12/Economy!O12</x:f>
        <x:v>0.0037257181818214804</x:v>
      </x:c>
      <x:c r="Y12" s="53" t="n">
        <x:f>MAX(0,H12+Q12-'Gold &amp; money'!G12)</x:f>
        <x:v>0</x:v>
      </x:c>
    </x:row>
    <x:row r="13">
      <x:c r="A13" s="58" t="n">
        <x:v>1853</x:v>
      </x:c>
      <x:c r="B13" s="53" t="n">
        <x:f>Loans!V13-Loans!W13</x:f>
        <x:v>0</x:v>
      </x:c>
      <x:c r="C13" s="53" t="n">
        <x:f>R12*debt_amort</x:f>
        <x:v>0.25355025517434177</x:v>
      </x:c>
      <x:c r="D13" s="53" t="n">
        <x:f>M12+Budget!Z13-B13-C13</x:f>
        <x:v>5.025977434851112</x:v>
      </x:c>
      <x:c r="E13" s="53" t="n">
        <x:f>MAX(0.1,Budget!M13*cash_target)</x:f>
        <x:v>3.0622058849858806</x:v>
      </x:c>
      <x:c r="F13" s="53" t="n">
        <x:f>IF(D13&lt;E13,MIN(E13-D13,S12),0)</x:f>
        <x:v>0</x:v>
      </x:c>
      <x:c r="G13" s="53" t="n">
        <x:f>MAX(0,E13-D13-F13)</x:f>
        <x:v>0</x:v>
      </x:c>
      <x:c r="H13" s="53" t="n">
        <x:f>G13/issue_price</x:f>
        <x:v>0</x:v>
      </x:c>
      <x:c r="I13" s="53" t="n">
        <x:f>IF(AND(D13&gt;E13,$A13&gt;=dev_start),(D13-E13)*dev_share,0)</x:f>
        <x:v>0</x:v>
      </x:c>
      <x:c r="J13" s="53" t="n">
        <x:f>IF($A13&gt;=dev_start,MAX(0,S12-F13-reserve_buffer*Economy!O13),0)</x:f>
        <x:v>0</x:v>
      </x:c>
      <x:c r="K13" s="53" t="n">
        <x:f>IF(D13&gt;E13,MIN((D13-E13-I13)*repay_share,R12-C13),0)</x:f>
        <x:v>1.571017239892185</x:v>
      </x:c>
      <x:c r="L13" s="53" t="n">
        <x:f>IF(D13&gt;E13,D13-E13-I13-K13,0)</x:f>
        <x:v>0.39275430997304617</x:v>
      </x:c>
      <x:c r="M13" s="53" t="n">
        <x:f>D13+F13+G13-I13-K13-L13</x:f>
        <x:v>3.0622058849858806</x:v>
      </x:c>
      <x:c r="N13" s="53" t="n">
        <x:f>I13+J13+Q13*dev_bonds+SUMPRODUCT((Events!$B$6:$B$158&lt;=$A13)*(Events!$C$6:$C$158&gt;=$A13)*(Events!$E$6:$E$158="Investment")*Events!$H$6:$H$158)</x:f>
        <x:v>0</x:v>
      </x:c>
      <x:c r="O13" s="53" t="n">
        <x:f>O12*(1-dev_dep)+N13</x:f>
        <x:v>0</x:v>
      </x:c>
      <x:c r="P13" s="53" t="n">
        <x:f>SUMPRODUCT((Events!$B$6:$B$158&lt;=$A13)*(Events!$C$6:$C$158&gt;=$A13)*(Events!$E$6:$E$158="Debt assumed")*Events!$H$6:$H$158)</x:f>
        <x:v>0</x:v>
      </x:c>
      <x:c r="Q13" s="53" t="n">
        <x:f>IF($A13&lt;1887,0,MAX(0,debt_floor*Economy!O13-(R12+P13+H13-C13-K13)))</x:f>
        <x:v>0</x:v>
      </x:c>
      <x:c r="R13" s="53" t="n">
        <x:f>R12+P13+H13-C13-K13+Q13</x:f>
        <x:v>10.852945263650563</x:v>
      </x:c>
      <x:c r="S13" s="53" t="n">
        <x:f>S12+L13-F13-J13+Q13*(1-dev_bonds)</x:f>
        <x:v>0.835378402650609</x:v>
      </x:c>
      <x:c r="T13" s="69" t="n">
        <x:f>Loans!X13</x:f>
        <x:v>0</x:v>
      </x:c>
      <x:c r="U13" s="53" t="n">
        <x:f>R13-M13-S13-T13</x:f>
        <x:v>6.955360976014073</x:v>
      </x:c>
      <x:c r="V13" s="63" t="n">
        <x:f>R13/Economy!O13</x:f>
        <x:v>0.0910369972301805</x:v>
      </x:c>
      <x:c r="W13" s="63" t="n">
        <x:f>Budget!X13/Budget!M13</x:f>
        <x:v>0.06396290108464806</x:v>
      </x:c>
      <x:c r="X13" s="63" t="n">
        <x:f>S13/Economy!O13</x:f>
        <x:v>0.007007345884528615</x:v>
      </x:c>
      <x:c r="Y13" s="53" t="n">
        <x:f>MAX(0,H13+Q13-'Gold &amp; money'!G13)</x:f>
        <x:v>0</x:v>
      </x:c>
    </x:row>
    <x:row r="14">
      <x:c r="A14" s="58" t="n">
        <x:v>1854</x:v>
      </x:c>
      <x:c r="B14" s="53" t="n">
        <x:f>Loans!V14-Loans!W14</x:f>
        <x:v>0</x:v>
      </x:c>
      <x:c r="C14" s="53" t="n">
        <x:f>R13*debt_amort</x:f>
        <x:v>0.21705890527301125</x:v>
      </x:c>
      <x:c r="D14" s="53" t="n">
        <x:f>M13+Budget!Z14-B14-C14</x:f>
        <x:v>5.046182240316486</x:v>
      </x:c>
      <x:c r="E14" s="53" t="n">
        <x:f>MAX(0.1,Budget!M14*cash_target)</x:f>
        <x:v>3.2749436426439558</x:v>
      </x:c>
      <x:c r="F14" s="53" t="n">
        <x:f>IF(D14&lt;E14,MIN(E14-D14,S13),0)</x:f>
        <x:v>0</x:v>
      </x:c>
      <x:c r="G14" s="53" t="n">
        <x:f>MAX(0,E14-D14-F14)</x:f>
        <x:v>0</x:v>
      </x:c>
      <x:c r="H14" s="53" t="n">
        <x:f>G14/issue_price</x:f>
        <x:v>0</x:v>
      </x:c>
      <x:c r="I14" s="53" t="n">
        <x:f>IF(AND(D14&gt;E14,$A14&gt;=dev_start),(D14-E14)*dev_share,0)</x:f>
        <x:v>0</x:v>
      </x:c>
      <x:c r="J14" s="53" t="n">
        <x:f>IF($A14&gt;=dev_start,MAX(0,S13-F14-reserve_buffer*Economy!O14),0)</x:f>
        <x:v>0</x:v>
      </x:c>
      <x:c r="K14" s="53" t="n">
        <x:f>IF(D14&gt;E14,MIN((D14-E14-I14)*repay_share,R13-C14),0)</x:f>
        <x:v>1.416990878138024</x:v>
      </x:c>
      <x:c r="L14" s="53" t="n">
        <x:f>IF(D14&gt;E14,D14-E14-I14-K14,0)</x:f>
        <x:v>0.35424771953450596</x:v>
      </x:c>
      <x:c r="M14" s="53" t="n">
        <x:f>D14+F14+G14-I14-K14-L14</x:f>
        <x:v>3.274943642643956</x:v>
      </x:c>
      <x:c r="N14" s="53" t="n">
        <x:f>I14+J14+Q14*dev_bonds+SUMPRODUCT((Events!$B$6:$B$158&lt;=$A14)*(Events!$C$6:$C$158&gt;=$A14)*(Events!$E$6:$E$158="Investment")*Events!$H$6:$H$158)</x:f>
        <x:v>0</x:v>
      </x:c>
      <x:c r="O14" s="53" t="n">
        <x:f>O13*(1-dev_dep)+N14</x:f>
        <x:v>0</x:v>
      </x:c>
      <x:c r="P14" s="53" t="n">
        <x:f>SUMPRODUCT((Events!$B$6:$B$158&lt;=$A14)*(Events!$C$6:$C$158&gt;=$A14)*(Events!$E$6:$E$158="Debt assumed")*Events!$H$6:$H$158)</x:f>
        <x:v>0</x:v>
      </x:c>
      <x:c r="Q14" s="53" t="n">
        <x:f>IF($A14&lt;1887,0,MAX(0,debt_floor*Economy!O14-(R13+P14+H14-C14-K14)))</x:f>
        <x:v>0</x:v>
      </x:c>
      <x:c r="R14" s="53" t="n">
        <x:f>R13+P14+H14-C14-K14+Q14</x:f>
        <x:v>9.218895480239526</x:v>
      </x:c>
      <x:c r="S14" s="53" t="n">
        <x:f>S13+L14-F14-J14+Q14*(1-dev_bonds)</x:f>
        <x:v>1.189626122185115</x:v>
      </x:c>
      <x:c r="T14" s="69" t="n">
        <x:f>Loans!X14</x:f>
        <x:v>0</x:v>
      </x:c>
      <x:c r="U14" s="53" t="n">
        <x:f>R14-M14-S14-T14</x:f>
        <x:v>4.754325715410455</x:v>
      </x:c>
      <x:c r="V14" s="63" t="n">
        <x:f>R14/Economy!O14</x:f>
        <x:v>0.07185905095403451</x:v>
      </x:c>
      <x:c r="W14" s="63" t="n">
        <x:f>Budget!X14/Budget!M14</x:f>
        <x:v>0.051448816713727204</x:v>
      </x:c>
      <x:c r="X14" s="63" t="n">
        <x:f>S14/Economy!O14</x:f>
        <x:v>0.00927284665647707</x:v>
      </x:c>
      <x:c r="Y14" s="53" t="n">
        <x:f>MAX(0,H14+Q14-'Gold &amp; money'!G14)</x:f>
        <x:v>0</x:v>
      </x:c>
    </x:row>
    <x:row r="15">
      <x:c r="A15" s="58" t="n">
        <x:v>1855</x:v>
      </x:c>
      <x:c r="B15" s="53" t="n">
        <x:f>Loans!V15-Loans!W15</x:f>
        <x:v>0</x:v>
      </x:c>
      <x:c r="C15" s="53" t="n">
        <x:f>R14*debt_amort</x:f>
        <x:v>0.18437790960479053</x:v>
      </x:c>
      <x:c r="D15" s="53" t="n">
        <x:f>M14+Budget!Z15-B15-C15</x:f>
        <x:v>5.111950476162186</x:v>
      </x:c>
      <x:c r="E15" s="53" t="n">
        <x:f>MAX(0.1,Budget!M15*cash_target)</x:f>
        <x:v>3.399156355371617</x:v>
      </x:c>
      <x:c r="F15" s="53" t="n">
        <x:f>IF(D15&lt;E15,MIN(E15-D15,S14),0)</x:f>
        <x:v>0</x:v>
      </x:c>
      <x:c r="G15" s="53" t="n">
        <x:f>MAX(0,E15-D15-F15)</x:f>
        <x:v>0</x:v>
      </x:c>
      <x:c r="H15" s="53" t="n">
        <x:f>G15/issue_price</x:f>
        <x:v>0</x:v>
      </x:c>
      <x:c r="I15" s="53" t="n">
        <x:f>IF(AND(D15&gt;E15,$A15&gt;=dev_start),(D15-E15)*dev_share,0)</x:f>
        <x:v>0</x:v>
      </x:c>
      <x:c r="J15" s="53" t="n">
        <x:f>IF($A15&gt;=dev_start,MAX(0,S14-F15-reserve_buffer*Economy!O15),0)</x:f>
        <x:v>0</x:v>
      </x:c>
      <x:c r="K15" s="53" t="n">
        <x:f>IF(D15&gt;E15,MIN((D15-E15-I15)*repay_share,R14-C15),0)</x:f>
        <x:v>1.3702352966324556</x:v>
      </x:c>
      <x:c r="L15" s="53" t="n">
        <x:f>IF(D15&gt;E15,D15-E15-I15-K15,0)</x:f>
        <x:v>0.3425588241581137</x:v>
      </x:c>
      <x:c r="M15" s="53" t="n">
        <x:f>D15+F15+G15-I15-K15-L15</x:f>
        <x:v>3.399156355371617</x:v>
      </x:c>
      <x:c r="N15" s="53" t="n">
        <x:f>I15+J15+Q15*dev_bonds+SUMPRODUCT((Events!$B$6:$B$158&lt;=$A15)*(Events!$C$6:$C$158&gt;=$A15)*(Events!$E$6:$E$158="Investment")*Events!$H$6:$H$158)</x:f>
        <x:v>0</x:v>
      </x:c>
      <x:c r="O15" s="53" t="n">
        <x:f>O14*(1-dev_dep)+N15</x:f>
        <x:v>0</x:v>
      </x:c>
      <x:c r="P15" s="53" t="n">
        <x:f>SUMPRODUCT((Events!$B$6:$B$158&lt;=$A15)*(Events!$C$6:$C$158&gt;=$A15)*(Events!$E$6:$E$158="Debt assumed")*Events!$H$6:$H$158)</x:f>
        <x:v>0</x:v>
      </x:c>
      <x:c r="Q15" s="53" t="n">
        <x:f>IF($A15&lt;1887,0,MAX(0,debt_floor*Economy!O15-(R14+P15+H15-C15-K15)))</x:f>
        <x:v>0</x:v>
      </x:c>
      <x:c r="R15" s="53" t="n">
        <x:f>R14+P15+H15-C15-K15+Q15</x:f>
        <x:v>7.66428227400228</x:v>
      </x:c>
      <x:c r="S15" s="53" t="n">
        <x:f>S14+L15-F15-J15+Q15*(1-dev_bonds)</x:f>
        <x:v>1.5321849463432287</x:v>
      </x:c>
      <x:c r="T15" s="69" t="n">
        <x:f>Loans!X15</x:f>
        <x:v>0</x:v>
      </x:c>
      <x:c r="U15" s="53" t="n">
        <x:f>R15-M15-S15-T15</x:f>
        <x:v>2.732940972287434</x:v>
      </x:c>
      <x:c r="V15" s="63" t="n">
        <x:f>R15/Economy!O15</x:f>
        <x:v>0.060929986303922476</x:v>
      </x:c>
      <x:c r="W15" s="63" t="n">
        <x:f>Budget!X15/Budget!M15</x:f>
        <x:v>0.04230895977011151</x:v>
      </x:c>
      <x:c r="X15" s="63" t="n">
        <x:f>S15/Economy!O15</x:f>
        <x:v>0.01218065886122677</x:v>
      </x:c>
      <x:c r="Y15" s="53" t="n">
        <x:f>MAX(0,H15+Q15-'Gold &amp; money'!G15)</x:f>
        <x:v>0</x:v>
      </x:c>
    </x:row>
    <x:row r="16">
      <x:c r="A16" s="58" t="n">
        <x:v>1856</x:v>
      </x:c>
      <x:c r="B16" s="53" t="n">
        <x:f>Loans!V16-Loans!W16</x:f>
        <x:v>0</x:v>
      </x:c>
      <x:c r="C16" s="53" t="n">
        <x:f>R15*debt_amort</x:f>
        <x:v>0.15328564548004558</x:v>
      </x:c>
      <x:c r="D16" s="53" t="n">
        <x:f>M15+Budget!Z16-B16-C16</x:f>
        <x:v>5.339157462385701</x:v>
      </x:c>
      <x:c r="E16" s="53" t="n">
        <x:f>MAX(0.1,Budget!M16*cash_target)</x:f>
        <x:v>3.7954915633650876</x:v>
      </x:c>
      <x:c r="F16" s="53" t="n">
        <x:f>IF(D16&lt;E16,MIN(E16-D16,S15),0)</x:f>
        <x:v>0</x:v>
      </x:c>
      <x:c r="G16" s="53" t="n">
        <x:f>MAX(0,E16-D16-F16)</x:f>
        <x:v>0</x:v>
      </x:c>
      <x:c r="H16" s="53" t="n">
        <x:f>G16/issue_price</x:f>
        <x:v>0</x:v>
      </x:c>
      <x:c r="I16" s="53" t="n">
        <x:f>IF(AND(D16&gt;E16,$A16&gt;=dev_start),(D16-E16)*dev_share,0)</x:f>
        <x:v>0</x:v>
      </x:c>
      <x:c r="J16" s="53" t="n">
        <x:f>IF($A16&gt;=dev_start,MAX(0,S15-F16-reserve_buffer*Economy!O16),0)</x:f>
        <x:v>0</x:v>
      </x:c>
      <x:c r="K16" s="53" t="n">
        <x:f>IF(D16&gt;E16,MIN((D16-E16-I16)*repay_share,R15-C16),0)</x:f>
        <x:v>1.2349327192164912</x:v>
      </x:c>
      <x:c r="L16" s="53" t="n">
        <x:f>IF(D16&gt;E16,D16-E16-I16-K16,0)</x:f>
        <x:v>0.3087331798041226</x:v>
      </x:c>
      <x:c r="M16" s="53" t="n">
        <x:f>D16+F16+G16-I16-K16-L16</x:f>
        <x:v>3.795491563365087</x:v>
      </x:c>
      <x:c r="N16" s="53" t="n">
        <x:f>I16+J16+Q16*dev_bonds+SUMPRODUCT((Events!$B$6:$B$158&lt;=$A16)*(Events!$C$6:$C$158&gt;=$A16)*(Events!$E$6:$E$158="Investment")*Events!$H$6:$H$158)</x:f>
        <x:v>0</x:v>
      </x:c>
      <x:c r="O16" s="53" t="n">
        <x:f>O15*(1-dev_dep)+N16</x:f>
        <x:v>0</x:v>
      </x:c>
      <x:c r="P16" s="53" t="n">
        <x:f>SUMPRODUCT((Events!$B$6:$B$158&lt;=$A16)*(Events!$C$6:$C$158&gt;=$A16)*(Events!$E$6:$E$158="Debt assumed")*Events!$H$6:$H$158)</x:f>
        <x:v>0</x:v>
      </x:c>
      <x:c r="Q16" s="53" t="n">
        <x:f>IF($A16&lt;1887,0,MAX(0,debt_floor*Economy!O16-(R15+P16+H16-C16-K16)))</x:f>
        <x:v>0</x:v>
      </x:c>
      <x:c r="R16" s="53" t="n">
        <x:f>R15+P16+H16-C16-K16+Q16</x:f>
        <x:v>6.276063909305742</x:v>
      </x:c>
      <x:c r="S16" s="53" t="n">
        <x:f>S15+L16-F16-J16+Q16*(1-dev_bonds)</x:f>
        <x:v>1.8409181261473513</x:v>
      </x:c>
      <x:c r="T16" s="69" t="n">
        <x:f>Loans!X16</x:f>
        <x:v>0</x:v>
      </x:c>
      <x:c r="U16" s="53" t="n">
        <x:f>R16-M16-S16-T16</x:f>
        <x:v>0.639654219793304</x:v>
      </x:c>
      <x:c r="V16" s="63" t="n">
        <x:f>R16/Economy!O16</x:f>
        <x:v>0.044354209640869155</x:v>
      </x:c>
      <x:c r="W16" s="63" t="n">
        <x:f>Budget!X16/Budget!M16</x:f>
        <x:v>0.031602235332540536</x:v>
      </x:c>
      <x:c r="X16" s="63" t="n">
        <x:f>S16/Economy!O16</x:f>
        <x:v>0.01301013974343802</x:v>
      </x:c>
      <x:c r="Y16" s="53" t="n">
        <x:f>MAX(0,H16+Q16-'Gold &amp; money'!G16)</x:f>
        <x:v>0</x:v>
      </x:c>
    </x:row>
    <x:row r="17">
      <x:c r="A17" s="58" t="n">
        <x:v>1857</x:v>
      </x:c>
      <x:c r="B17" s="53" t="n">
        <x:f>Loans!V17-Loans!W17</x:f>
        <x:v>0</x:v>
      </x:c>
      <x:c r="C17" s="53" t="n">
        <x:f>R16*debt_amort</x:f>
        <x:v>0.12552127818611486</x:v>
      </x:c>
      <x:c r="D17" s="53" t="n">
        <x:f>M16+Budget!Z17-B17-C17</x:f>
        <x:v>4.431282011165307</x:v>
      </x:c>
      <x:c r="E17" s="53" t="n">
        <x:f>MAX(0.1,Budget!M17*cash_target)</x:f>
        <x:v>3.863026630505547</x:v>
      </x:c>
      <x:c r="F17" s="53" t="n">
        <x:f>IF(D17&lt;E17,MIN(E17-D17,S16),0)</x:f>
        <x:v>0</x:v>
      </x:c>
      <x:c r="G17" s="53" t="n">
        <x:f>MAX(0,E17-D17-F17)</x:f>
        <x:v>0</x:v>
      </x:c>
      <x:c r="H17" s="53" t="n">
        <x:f>G17/issue_price</x:f>
        <x:v>0</x:v>
      </x:c>
      <x:c r="I17" s="53" t="n">
        <x:f>IF(AND(D17&gt;E17,$A17&gt;=dev_start),(D17-E17)*dev_share,0)</x:f>
        <x:v>0</x:v>
      </x:c>
      <x:c r="J17" s="53" t="n">
        <x:f>IF($A17&gt;=dev_start,MAX(0,S16-F17-reserve_buffer*Economy!O17),0)</x:f>
        <x:v>0</x:v>
      </x:c>
      <x:c r="K17" s="53" t="n">
        <x:f>IF(D17&gt;E17,MIN((D17-E17-I17)*repay_share,R16-C17),0)</x:f>
        <x:v>0.4546043045278083</x:v>
      </x:c>
      <x:c r="L17" s="53" t="n">
        <x:f>IF(D17&gt;E17,D17-E17-I17-K17,0)</x:f>
        <x:v>0.11365107613195202</x:v>
      </x:c>
      <x:c r="M17" s="53" t="n">
        <x:f>D17+F17+G17-I17-K17-L17</x:f>
        <x:v>3.863026630505547</x:v>
      </x:c>
      <x:c r="N17" s="53" t="n">
        <x:f>I17+J17+Q17*dev_bonds+SUMPRODUCT((Events!$B$6:$B$158&lt;=$A17)*(Events!$C$6:$C$158&gt;=$A17)*(Events!$E$6:$E$158="Investment")*Events!$H$6:$H$158)</x:f>
        <x:v>0</x:v>
      </x:c>
      <x:c r="O17" s="53" t="n">
        <x:f>O16*(1-dev_dep)+N17</x:f>
        <x:v>0</x:v>
      </x:c>
      <x:c r="P17" s="53" t="n">
        <x:f>SUMPRODUCT((Events!$B$6:$B$158&lt;=$A17)*(Events!$C$6:$C$158&gt;=$A17)*(Events!$E$6:$E$158="Debt assumed")*Events!$H$6:$H$158)</x:f>
        <x:v>0</x:v>
      </x:c>
      <x:c r="Q17" s="53" t="n">
        <x:f>IF($A17&lt;1887,0,MAX(0,debt_floor*Economy!O17-(R16+P17+H17-C17-K17)))</x:f>
        <x:v>0</x:v>
      </x:c>
      <x:c r="R17" s="53" t="n">
        <x:f>R16+P17+H17-C17-K17+Q17</x:f>
        <x:v>5.695938326591819</x:v>
      </x:c>
      <x:c r="S17" s="53" t="n">
        <x:f>S16+L17-F17-J17+Q17*(1-dev_bonds)</x:f>
        <x:v>1.9545692022793033</x:v>
      </x:c>
      <x:c r="T17" s="69" t="n">
        <x:f>Loans!X17</x:f>
        <x:v>0</x:v>
      </x:c>
      <x:c r="U17" s="53" t="n">
        <x:f>R17-M17-S17-T17</x:f>
        <x:v>-0.12165750619303095</x:v>
      </x:c>
      <x:c r="V17" s="63" t="n">
        <x:f>R17/Economy!O17</x:f>
        <x:v>0.039703400006594725</x:v>
      </x:c>
      <x:c r="W17" s="63" t="n">
        <x:f>Budget!X17/Budget!M17</x:f>
        <x:v>0.025547611863322123</x:v>
      </x:c>
      <x:c r="X17" s="63" t="n">
        <x:f>S17/Economy!O17</x:f>
        <x:v>0.013624277235652573</x:v>
      </x:c>
      <x:c r="Y17" s="53" t="n">
        <x:f>MAX(0,H17+Q17-'Gold &amp; money'!G17)</x:f>
        <x:v>0</x:v>
      </x:c>
    </x:row>
    <x:row r="18">
      <x:c r="A18" s="58" t="n">
        <x:v>1858</x:v>
      </x:c>
      <x:c r="B18" s="53" t="n">
        <x:f>Loans!V18-Loans!W18</x:f>
        <x:v>0</x:v>
      </x:c>
      <x:c r="C18" s="53" t="n">
        <x:f>R17*debt_amort</x:f>
        <x:v>0.11391876653183639</x:v>
      </x:c>
      <x:c r="D18" s="53" t="n">
        <x:f>M17+Budget!Z18-B18-C18</x:f>
        <x:v>3.9311250267338362</x:v>
      </x:c>
      <x:c r="E18" s="53" t="n">
        <x:f>MAX(0.1,Budget!M18*cash_target)</x:f>
        <x:v>4.162960339924348</x:v>
      </x:c>
      <x:c r="F18" s="53" t="n">
        <x:f>IF(D18&lt;E18,MIN(E18-D18,S17),0)</x:f>
        <x:v>0.23183531319051198</x:v>
      </x:c>
      <x:c r="G18" s="53" t="n">
        <x:f>MAX(0,E18-D18-F18)</x:f>
        <x:v>0</x:v>
      </x:c>
      <x:c r="H18" s="53" t="n">
        <x:f>G18/issue_price</x:f>
        <x:v>0</x:v>
      </x:c>
      <x:c r="I18" s="53" t="n">
        <x:f>IF(AND(D18&gt;E18,$A18&gt;=dev_start),(D18-E18)*dev_share,0)</x:f>
        <x:v>0</x:v>
      </x:c>
      <x:c r="J18" s="53" t="n">
        <x:f>IF($A18&gt;=dev_start,MAX(0,S17-F18-reserve_buffer*Economy!O18),0)</x:f>
        <x:v>0</x:v>
      </x:c>
      <x:c r="K18" s="53" t="n">
        <x:f>IF(D18&gt;E18,MIN((D18-E18-I18)*repay_share,R17-C18),0)</x:f>
        <x:v>0</x:v>
      </x:c>
      <x:c r="L18" s="53" t="n">
        <x:f>IF(D18&gt;E18,D18-E18-I18-K18,0)</x:f>
        <x:v>0</x:v>
      </x:c>
      <x:c r="M18" s="53" t="n">
        <x:f>D18+F18+G18-I18-K18-L18</x:f>
        <x:v>4.162960339924348</x:v>
      </x:c>
      <x:c r="N18" s="53" t="n">
        <x:f>I18+J18+Q18*dev_bonds+SUMPRODUCT((Events!$B$6:$B$158&lt;=$A18)*(Events!$C$6:$C$158&gt;=$A18)*(Events!$E$6:$E$158="Investment")*Events!$H$6:$H$158)</x:f>
        <x:v>0</x:v>
      </x:c>
      <x:c r="O18" s="53" t="n">
        <x:f>O17*(1-dev_dep)+N18</x:f>
        <x:v>0</x:v>
      </x:c>
      <x:c r="P18" s="53" t="n">
        <x:f>SUMPRODUCT((Events!$B$6:$B$158&lt;=$A18)*(Events!$C$6:$C$158&gt;=$A18)*(Events!$E$6:$E$158="Debt assumed")*Events!$H$6:$H$158)</x:f>
        <x:v>0</x:v>
      </x:c>
      <x:c r="Q18" s="53" t="n">
        <x:f>IF($A18&lt;1887,0,MAX(0,debt_floor*Economy!O18-(R17+P18+H18-C18-K18)))</x:f>
        <x:v>0</x:v>
      </x:c>
      <x:c r="R18" s="53" t="n">
        <x:f>R17+P18+H18-C18-K18+Q18</x:f>
        <x:v>5.582019560059983</x:v>
      </x:c>
      <x:c r="S18" s="53" t="n">
        <x:f>S17+L18-F18-J18+Q18*(1-dev_bonds)</x:f>
        <x:v>1.7227338890887913</x:v>
      </x:c>
      <x:c r="T18" s="69" t="n">
        <x:f>Loans!X18</x:f>
        <x:v>0</x:v>
      </x:c>
      <x:c r="U18" s="53" t="n">
        <x:f>R18-M18-S18-T18</x:f>
        <x:v>-0.3036746689531564</x:v>
      </x:c>
      <x:c r="V18" s="63" t="n">
        <x:f>R18/Economy!O18</x:f>
        <x:v>0.03586141467380738</x:v>
      </x:c>
      <x:c r="W18" s="63" t="n">
        <x:f>Budget!X18/Budget!M18</x:f>
        <x:v>0.021618227946362374</x:v>
      </x:c>
      <x:c r="X18" s="63" t="n">
        <x:f>S18/Economy!O18</x:f>
        <x:v>0.011067620545666838</x:v>
      </x:c>
      <x:c r="Y18" s="53" t="n">
        <x:f>MAX(0,H18+Q18-'Gold &amp; money'!G18)</x:f>
        <x:v>0</x:v>
      </x:c>
    </x:row>
    <x:row r="19">
      <x:c r="A19" s="58" t="n">
        <x:v>1859</x:v>
      </x:c>
      <x:c r="B19" s="53" t="n">
        <x:f>Loans!V19-Loans!W19</x:f>
        <x:v>0</x:v>
      </x:c>
      <x:c r="C19" s="53" t="n">
        <x:f>R18*debt_amort</x:f>
        <x:v>0.11164039120119966</x:v>
      </x:c>
      <x:c r="D19" s="53" t="n">
        <x:f>M18+Budget!Z19-B19-C19</x:f>
        <x:v>3.352889295192246</x:v>
      </x:c>
      <x:c r="E19" s="53" t="n">
        <x:f>MAX(0.1,Budget!M19*cash_target)</x:f>
        <x:v>4.419747831675575</x:v>
      </x:c>
      <x:c r="F19" s="53" t="n">
        <x:f>IF(D19&lt;E19,MIN(E19-D19,S18),0)</x:f>
        <x:v>1.0668585364833287</x:v>
      </x:c>
      <x:c r="G19" s="53" t="n">
        <x:f>MAX(0,E19-D19-F19)</x:f>
        <x:v>0</x:v>
      </x:c>
      <x:c r="H19" s="53" t="n">
        <x:f>G19/issue_price</x:f>
        <x:v>0</x:v>
      </x:c>
      <x:c r="I19" s="53" t="n">
        <x:f>IF(AND(D19&gt;E19,$A19&gt;=dev_start),(D19-E19)*dev_share,0)</x:f>
        <x:v>0</x:v>
      </x:c>
      <x:c r="J19" s="53" t="n">
        <x:f>IF($A19&gt;=dev_start,MAX(0,S18-F19-reserve_buffer*Economy!O19),0)</x:f>
        <x:v>0</x:v>
      </x:c>
      <x:c r="K19" s="53" t="n">
        <x:f>IF(D19&gt;E19,MIN((D19-E19-I19)*repay_share,R18-C19),0)</x:f>
        <x:v>0</x:v>
      </x:c>
      <x:c r="L19" s="53" t="n">
        <x:f>IF(D19&gt;E19,D19-E19-I19-K19,0)</x:f>
        <x:v>0</x:v>
      </x:c>
      <x:c r="M19" s="53" t="n">
        <x:f>D19+F19+G19-I19-K19-L19</x:f>
        <x:v>4.419747831675575</x:v>
      </x:c>
      <x:c r="N19" s="53" t="n">
        <x:f>I19+J19+Q19*dev_bonds+SUMPRODUCT((Events!$B$6:$B$158&lt;=$A19)*(Events!$C$6:$C$158&gt;=$A19)*(Events!$E$6:$E$158="Investment")*Events!$H$6:$H$158)</x:f>
        <x:v>0</x:v>
      </x:c>
      <x:c r="O19" s="53" t="n">
        <x:f>O18*(1-dev_dep)+N19</x:f>
        <x:v>0</x:v>
      </x:c>
      <x:c r="P19" s="53" t="n">
        <x:f>SUMPRODUCT((Events!$B$6:$B$158&lt;=$A19)*(Events!$C$6:$C$158&gt;=$A19)*(Events!$E$6:$E$158="Debt assumed")*Events!$H$6:$H$158)</x:f>
        <x:v>0</x:v>
      </x:c>
      <x:c r="Q19" s="53" t="n">
        <x:f>IF($A19&lt;1887,0,MAX(0,debt_floor*Economy!O19-(R18+P19+H19-C19-K19)))</x:f>
        <x:v>0</x:v>
      </x:c>
      <x:c r="R19" s="53" t="n">
        <x:f>R18+P19+H19-C19-K19+Q19</x:f>
        <x:v>5.470379168858783</x:v>
      </x:c>
      <x:c r="S19" s="53" t="n">
        <x:f>S18+L19-F19-J19+Q19*(1-dev_bonds)</x:f>
        <x:v>0.6558753526054626</x:v>
      </x:c>
      <x:c r="T19" s="69" t="n">
        <x:f>Loans!X19</x:f>
        <x:v>0</x:v>
      </x:c>
      <x:c r="U19" s="53" t="n">
        <x:f>R19-M19-S19-T19</x:f>
        <x:v>0.39475598457774597</x:v>
      </x:c>
      <x:c r="V19" s="63" t="n">
        <x:f>R19/Economy!O19</x:f>
        <x:v>0.03294460846563949</x:v>
      </x:c>
      <x:c r="W19" s="63" t="n">
        <x:f>Budget!X19/Budget!M19</x:f>
        <x:v>0.020018112660832255</x:v>
      </x:c>
      <x:c r="X19" s="63" t="n">
        <x:f>S19/Economy!O19</x:f>
        <x:v>0.003949919379785501</x:v>
      </x:c>
      <x:c r="Y19" s="53" t="n">
        <x:f>MAX(0,H19+Q19-'Gold &amp; money'!G19)</x:f>
        <x:v>0</x:v>
      </x:c>
    </x:row>
    <x:row r="20">
      <x:c r="A20" s="58" t="n">
        <x:v>1860</x:v>
      </x:c>
      <x:c r="B20" s="53" t="n">
        <x:f>Loans!V20-Loans!W20</x:f>
        <x:v>0</x:v>
      </x:c>
      <x:c r="C20" s="53" t="n">
        <x:f>R19*debt_amort</x:f>
        <x:v>0.10940758337717567</x:v>
      </x:c>
      <x:c r="D20" s="53" t="n">
        <x:f>M19+Budget!Z20-B20-C20</x:f>
        <x:v>0.5449287278238801</x:v>
      </x:c>
      <x:c r="E20" s="53" t="n">
        <x:f>MAX(0.1,Budget!M20*cash_target)</x:f>
        <x:v>4.631476998203007</x:v>
      </x:c>
      <x:c r="F20" s="53" t="n">
        <x:f>IF(D20&lt;E20,MIN(E20-D20,S19),0)</x:f>
        <x:v>0.6558753526054626</x:v>
      </x:c>
      <x:c r="G20" s="53" t="n">
        <x:f>MAX(0,E20-D20-F20)</x:f>
        <x:v>3.430672917773664</x:v>
      </x:c>
      <x:c r="H20" s="53" t="n">
        <x:f>G20/issue_price</x:f>
        <x:v>3.5367762038903754</x:v>
      </x:c>
      <x:c r="I20" s="53" t="n">
        <x:f>IF(AND(D20&gt;E20,$A20&gt;=dev_start),(D20-E20)*dev_share,0)</x:f>
        <x:v>0</x:v>
      </x:c>
      <x:c r="J20" s="53" t="n">
        <x:f>IF($A20&gt;=dev_start,MAX(0,S19-F20-reserve_buffer*Economy!O20),0)</x:f>
        <x:v>0</x:v>
      </x:c>
      <x:c r="K20" s="53" t="n">
        <x:f>IF(D20&gt;E20,MIN((D20-E20-I20)*repay_share,R19-C20),0)</x:f>
        <x:v>0</x:v>
      </x:c>
      <x:c r="L20" s="53" t="n">
        <x:f>IF(D20&gt;E20,D20-E20-I20-K20,0)</x:f>
        <x:v>0</x:v>
      </x:c>
      <x:c r="M20" s="53" t="n">
        <x:f>D20+F20+G20-I20-K20-L20</x:f>
        <x:v>4.631476998203007</x:v>
      </x:c>
      <x:c r="N20" s="53" t="n">
        <x:f>I20+J20+Q20*dev_bonds+SUMPRODUCT((Events!$B$6:$B$158&lt;=$A20)*(Events!$C$6:$C$158&gt;=$A20)*(Events!$E$6:$E$158="Investment")*Events!$H$6:$H$158)</x:f>
        <x:v>0</x:v>
      </x:c>
      <x:c r="O20" s="53" t="n">
        <x:f>O19*(1-dev_dep)+N20</x:f>
        <x:v>0</x:v>
      </x:c>
      <x:c r="P20" s="53" t="n">
        <x:f>SUMPRODUCT((Events!$B$6:$B$158&lt;=$A20)*(Events!$C$6:$C$158&gt;=$A20)*(Events!$E$6:$E$158="Debt assumed")*Events!$H$6:$H$158)</x:f>
        <x:v>0</x:v>
      </x:c>
      <x:c r="Q20" s="53" t="n">
        <x:f>IF($A20&lt;1887,0,MAX(0,debt_floor*Economy!O20-(R19+P20+H20-C20-K20)))</x:f>
        <x:v>0</x:v>
      </x:c>
      <x:c r="R20" s="53" t="n">
        <x:f>R19+P20+H20-C20-K20+Q20</x:f>
        <x:v>8.897747789371984</x:v>
      </x:c>
      <x:c r="S20" s="53" t="n">
        <x:f>S19+L20-F20-J20+Q20*(1-dev_bonds)</x:f>
        <x:v>0</x:v>
      </x:c>
      <x:c r="T20" s="69" t="n">
        <x:f>Loans!X20</x:f>
        <x:v>0</x:v>
      </x:c>
      <x:c r="U20" s="53" t="n">
        <x:f>R20-M20-S20-T20</x:f>
        <x:v>4.266270791168977</x:v>
      </x:c>
      <x:c r="V20" s="63" t="n">
        <x:f>R20/Economy!O20</x:f>
        <x:v>0.050842713714225614</x:v>
      </x:c>
      <x:c r="W20" s="63" t="n">
        <x:f>Budget!X20/Budget!M20</x:f>
        <x:v>0.018809504678070667</x:v>
      </x:c>
      <x:c r="X20" s="63" t="n">
        <x:f>S20/Economy!O20</x:f>
        <x:v>0</x:v>
      </x:c>
      <x:c r="Y20" s="53" t="n">
        <x:f>MAX(0,H20+Q20-'Gold &amp; money'!G20)</x:f>
        <x:v>3.5367762038903754</x:v>
      </x:c>
    </x:row>
    <x:row r="21">
      <x:c r="A21" s="61" t="n">
        <x:v>1861</x:v>
      </x:c>
      <x:c r="B21" s="53" t="n">
        <x:f>Loans!V21-Loans!W21</x:f>
        <x:v>0</x:v>
      </x:c>
      <x:c r="C21" s="53" t="n">
        <x:f>R20*debt_amort</x:f>
        <x:v>0.17795495578743967</x:v>
      </x:c>
      <x:c r="D21" s="53" t="n">
        <x:f>M20+Budget!Z21-B21-C21</x:f>
        <x:v>-4.298035480573156</x:v>
      </x:c>
      <x:c r="E21" s="53" t="n">
        <x:f>MAX(0.1,Budget!M21*cash_target)</x:f>
        <x:v>5.890665522442974</x:v>
      </x:c>
      <x:c r="F21" s="53" t="n">
        <x:f>IF(D21&lt;E21,MIN(E21-D21,S20),0)</x:f>
        <x:v>0</x:v>
      </x:c>
      <x:c r="G21" s="53" t="n">
        <x:f>MAX(0,E21-D21-F21)</x:f>
        <x:v>10.18870100301613</x:v>
      </x:c>
      <x:c r="H21" s="53" t="n">
        <x:f>G21/issue_price</x:f>
        <x:v>10.503815467026937</x:v>
      </x:c>
      <x:c r="I21" s="53" t="n">
        <x:f>IF(AND(D21&gt;E21,$A21&gt;=dev_start),(D21-E21)*dev_share,0)</x:f>
        <x:v>0</x:v>
      </x:c>
      <x:c r="J21" s="53" t="n">
        <x:f>IF($A21&gt;=dev_start,MAX(0,S20-F21-reserve_buffer*Economy!O21),0)</x:f>
        <x:v>0</x:v>
      </x:c>
      <x:c r="K21" s="53" t="n">
        <x:f>IF(D21&gt;E21,MIN((D21-E21-I21)*repay_share,R20-C21),0)</x:f>
        <x:v>0</x:v>
      </x:c>
      <x:c r="L21" s="53" t="n">
        <x:f>IF(D21&gt;E21,D21-E21-I21-K21,0)</x:f>
        <x:v>0</x:v>
      </x:c>
      <x:c r="M21" s="53" t="n">
        <x:f>D21+F21+G21-I21-K21-L21</x:f>
        <x:v>5.890665522442974</x:v>
      </x:c>
      <x:c r="N21" s="53" t="n">
        <x:f>I21+J21+Q21*dev_bonds+SUMPRODUCT((Events!$B$6:$B$158&lt;=$A21)*(Events!$C$6:$C$158&gt;=$A21)*(Events!$E$6:$E$158="Investment")*Events!$H$6:$H$158)</x:f>
        <x:v>0</x:v>
      </x:c>
      <x:c r="O21" s="53" t="n">
        <x:f>O20*(1-dev_dep)+N21</x:f>
        <x:v>0</x:v>
      </x:c>
      <x:c r="P21" s="53" t="n">
        <x:f>SUMPRODUCT((Events!$B$6:$B$158&lt;=$A21)*(Events!$C$6:$C$158&gt;=$A21)*(Events!$E$6:$E$158="Debt assumed")*Events!$H$6:$H$158)</x:f>
        <x:v>0</x:v>
      </x:c>
      <x:c r="Q21" s="53" t="n">
        <x:f>IF($A21&lt;1887,0,MAX(0,debt_floor*Economy!O21-(R20+P21+H21-C21-K21)))</x:f>
        <x:v>0</x:v>
      </x:c>
      <x:c r="R21" s="53" t="n">
        <x:f>R20+P21+H21-C21-K21+Q21</x:f>
        <x:v>19.223608300611485</x:v>
      </x:c>
      <x:c r="S21" s="53" t="n">
        <x:f>S20+L21-F21-J21+Q21*(1-dev_bonds)</x:f>
        <x:v>0</x:v>
      </x:c>
      <x:c r="T21" s="69" t="n">
        <x:f>Loans!X21</x:f>
        <x:v>0</x:v>
      </x:c>
      <x:c r="U21" s="53" t="n">
        <x:f>R21-M21-S21-T21</x:f>
        <x:v>13.332942778168512</x:v>
      </x:c>
      <x:c r="V21" s="63" t="n">
        <x:f>R21/Economy!O21</x:f>
        <x:v>0.10652150540706054</x:v>
      </x:c>
      <x:c r="W21" s="63" t="n">
        <x:f>Budget!X21/Budget!M21</x:f>
        <x:v>0.02412995957649766</x:v>
      </x:c>
      <x:c r="X21" s="63" t="n">
        <x:f>S21/Economy!O21</x:f>
        <x:v>0</x:v>
      </x:c>
      <x:c r="Y21" s="53" t="n">
        <x:f>MAX(0,H21+Q21-'Gold &amp; money'!G21)</x:f>
        <x:v>10.503815467026937</x:v>
      </x:c>
    </x:row>
    <x:row r="22">
      <x:c r="A22" s="61" t="n">
        <x:v>1862</x:v>
      </x:c>
      <x:c r="B22" s="53" t="n">
        <x:f>Loans!V22-Loans!W22</x:f>
        <x:v>0</x:v>
      </x:c>
      <x:c r="C22" s="53" t="n">
        <x:f>R21*debt_amort</x:f>
        <x:v>0.3844721660122297</x:v>
      </x:c>
      <x:c r="D22" s="53" t="n">
        <x:f>M21+Budget!Z22-B22-C22</x:f>
        <x:v>-12.884333553558829</x:v>
      </x:c>
      <x:c r="E22" s="53" t="n">
        <x:f>MAX(0.1,Budget!M22*cash_target)</x:f>
        <x:v>6.8021712460558055</x:v>
      </x:c>
      <x:c r="F22" s="53" t="n">
        <x:f>IF(D22&lt;E22,MIN(E22-D22,S21),0)</x:f>
        <x:v>0</x:v>
      </x:c>
      <x:c r="G22" s="53" t="n">
        <x:f>MAX(0,E22-D22-F22)</x:f>
        <x:v>19.686504799614635</x:v>
      </x:c>
      <x:c r="H22" s="53" t="n">
        <x:f>G22/issue_price</x:f>
        <x:v>20.295365772798593</x:v>
      </x:c>
      <x:c r="I22" s="53" t="n">
        <x:f>IF(AND(D22&gt;E22,$A22&gt;=dev_start),(D22-E22)*dev_share,0)</x:f>
        <x:v>0</x:v>
      </x:c>
      <x:c r="J22" s="53" t="n">
        <x:f>IF($A22&gt;=dev_start,MAX(0,S21-F22-reserve_buffer*Economy!O22),0)</x:f>
        <x:v>0</x:v>
      </x:c>
      <x:c r="K22" s="53" t="n">
        <x:f>IF(D22&gt;E22,MIN((D22-E22-I22)*repay_share,R21-C22),0)</x:f>
        <x:v>0</x:v>
      </x:c>
      <x:c r="L22" s="53" t="n">
        <x:f>IF(D22&gt;E22,D22-E22-I22-K22,0)</x:f>
        <x:v>0</x:v>
      </x:c>
      <x:c r="M22" s="53" t="n">
        <x:f>D22+F22+G22-I22-K22-L22</x:f>
        <x:v>6.802171246055806</x:v>
      </x:c>
      <x:c r="N22" s="53" t="n">
        <x:f>I22+J22+Q22*dev_bonds+SUMPRODUCT((Events!$B$6:$B$158&lt;=$A22)*(Events!$C$6:$C$158&gt;=$A22)*(Events!$E$6:$E$158="Investment")*Events!$H$6:$H$158)</x:f>
        <x:v>0</x:v>
      </x:c>
      <x:c r="O22" s="53" t="n">
        <x:f>O21*(1-dev_dep)+N22</x:f>
        <x:v>0</x:v>
      </x:c>
      <x:c r="P22" s="53" t="n">
        <x:f>SUMPRODUCT((Events!$B$6:$B$158&lt;=$A22)*(Events!$C$6:$C$158&gt;=$A22)*(Events!$E$6:$E$158="Debt assumed")*Events!$H$6:$H$158)</x:f>
        <x:v>0</x:v>
      </x:c>
      <x:c r="Q22" s="53" t="n">
        <x:f>IF($A22&lt;1887,0,MAX(0,debt_floor*Economy!O22-(R21+P22+H22-C22-K22)))</x:f>
        <x:v>0</x:v>
      </x:c>
      <x:c r="R22" s="53" t="n">
        <x:f>R21+P22+H22-C22-K22+Q22</x:f>
        <x:v>39.13450190739785</x:v>
      </x:c>
      <x:c r="S22" s="53" t="n">
        <x:f>S21+L22-F22-J22+Q22*(1-dev_bonds)</x:f>
        <x:v>0</x:v>
      </x:c>
      <x:c r="T22" s="69" t="n">
        <x:f>Loans!X22</x:f>
        <x:v>0</x:v>
      </x:c>
      <x:c r="U22" s="53" t="n">
        <x:f>R22-M22-S22-T22</x:f>
        <x:v>32.33233066134204</x:v>
      </x:c>
      <x:c r="V22" s="63" t="n">
        <x:f>R22/Economy!O22</x:f>
        <x:v>0.18818624581280005</x:v>
      </x:c>
      <x:c r="W22" s="63" t="n">
        <x:f>Budget!X22/Budget!M22</x:f>
        <x:v>0.04535888645904329</x:v>
      </x:c>
      <x:c r="X22" s="63" t="n">
        <x:f>S22/Economy!O22</x:f>
        <x:v>0</x:v>
      </x:c>
      <x:c r="Y22" s="53" t="n">
        <x:f>MAX(0,H22+Q22-'Gold &amp; money'!G22)</x:f>
        <x:v>20.295365772798593</x:v>
      </x:c>
    </x:row>
    <x:row r="23">
      <x:c r="A23" s="61" t="n">
        <x:v>1863</x:v>
      </x:c>
      <x:c r="B23" s="53" t="n">
        <x:f>Loans!V23-Loans!W23</x:f>
        <x:v>0</x:v>
      </x:c>
      <x:c r="C23" s="53" t="n">
        <x:f>R22*debt_amort</x:f>
        <x:v>0.782690038147957</x:v>
      </x:c>
      <x:c r="D23" s="53" t="n">
        <x:f>M22+Budget!Z23-B23-C23</x:f>
        <x:v>-14.08940461708175</x:v>
      </x:c>
      <x:c r="E23" s="53" t="n">
        <x:f>MAX(0.1,Budget!M23*cash_target)</x:f>
        <x:v>8.46655244003825</x:v>
      </x:c>
      <x:c r="F23" s="53" t="n">
        <x:f>IF(D23&lt;E23,MIN(E23-D23,S22),0)</x:f>
        <x:v>0</x:v>
      </x:c>
      <x:c r="G23" s="53" t="n">
        <x:f>MAX(0,E23-D23-F23)</x:f>
        <x:v>22.555957057119997</x:v>
      </x:c>
      <x:c r="H23" s="53" t="n">
        <x:f>G23/issue_price</x:f>
        <x:v>23.25356397641237</x:v>
      </x:c>
      <x:c r="I23" s="53" t="n">
        <x:f>IF(AND(D23&gt;E23,$A23&gt;=dev_start),(D23-E23)*dev_share,0)</x:f>
        <x:v>0</x:v>
      </x:c>
      <x:c r="J23" s="53" t="n">
        <x:f>IF($A23&gt;=dev_start,MAX(0,S22-F23-reserve_buffer*Economy!O23),0)</x:f>
        <x:v>0</x:v>
      </x:c>
      <x:c r="K23" s="53" t="n">
        <x:f>IF(D23&gt;E23,MIN((D23-E23-I23)*repay_share,R22-C23),0)</x:f>
        <x:v>0</x:v>
      </x:c>
      <x:c r="L23" s="53" t="n">
        <x:f>IF(D23&gt;E23,D23-E23-I23-K23,0)</x:f>
        <x:v>0</x:v>
      </x:c>
      <x:c r="M23" s="53" t="n">
        <x:f>D23+F23+G23-I23-K23-L23</x:f>
        <x:v>8.466552440038248</x:v>
      </x:c>
      <x:c r="N23" s="53" t="n">
        <x:f>I23+J23+Q23*dev_bonds+SUMPRODUCT((Events!$B$6:$B$158&lt;=$A23)*(Events!$C$6:$C$158&gt;=$A23)*(Events!$E$6:$E$158="Investment")*Events!$H$6:$H$158)</x:f>
        <x:v>0</x:v>
      </x:c>
      <x:c r="O23" s="53" t="n">
        <x:f>O22*(1-dev_dep)+N23</x:f>
        <x:v>0</x:v>
      </x:c>
      <x:c r="P23" s="53" t="n">
        <x:f>SUMPRODUCT((Events!$B$6:$B$158&lt;=$A23)*(Events!$C$6:$C$158&gt;=$A23)*(Events!$E$6:$E$158="Debt assumed")*Events!$H$6:$H$158)</x:f>
        <x:v>0</x:v>
      </x:c>
      <x:c r="Q23" s="53" t="n">
        <x:f>IF($A23&lt;1887,0,MAX(0,debt_floor*Economy!O23-(R22+P23+H23-C23-K23)))</x:f>
        <x:v>0</x:v>
      </x:c>
      <x:c r="R23" s="53" t="n">
        <x:f>R22+P23+H23-C23-K23+Q23</x:f>
        <x:v>61.60537584566226</x:v>
      </x:c>
      <x:c r="S23" s="53" t="n">
        <x:f>S22+L23-F23-J23+Q23*(1-dev_bonds)</x:f>
        <x:v>0</x:v>
      </x:c>
      <x:c r="T23" s="69" t="n">
        <x:f>Loans!X23</x:f>
        <x:v>0</x:v>
      </x:c>
      <x:c r="U23" s="53" t="n">
        <x:f>R23-M23-S23-T23</x:f>
        <x:v>53.13882340562401</x:v>
      </x:c>
      <x:c r="V23" s="63" t="n">
        <x:f>R23/Economy!O23</x:f>
        <x:v>0.23771566372863834</x:v>
      </x:c>
      <x:c r="W23" s="63" t="n">
        <x:f>Budget!X23/Budget!M23</x:f>
        <x:v>0.07453374295215957</x:v>
      </x:c>
      <x:c r="X23" s="63" t="n">
        <x:f>S23/Economy!O23</x:f>
        <x:v>0</x:v>
      </x:c>
      <x:c r="Y23" s="53" t="n">
        <x:f>MAX(0,H23+Q23-'Gold &amp; money'!G23)</x:f>
        <x:v>23.25356397641237</x:v>
      </x:c>
    </x:row>
    <x:row r="24">
      <x:c r="A24" s="61" t="n">
        <x:v>1864</x:v>
      </x:c>
      <x:c r="B24" s="53" t="n">
        <x:f>Loans!V24-Loans!W24</x:f>
        <x:v>0</x:v>
      </x:c>
      <x:c r="C24" s="53" t="n">
        <x:f>R23*debt_amort</x:f>
        <x:v>1.2321075169132452</x:v>
      </x:c>
      <x:c r="D24" s="53" t="n">
        <x:f>M23+Budget!Z24-B24-C24</x:f>
        <x:v>-11.545628501572702</x:v>
      </x:c>
      <x:c r="E24" s="53" t="n">
        <x:f>MAX(0.1,Budget!M24*cash_target)</x:f>
        <x:v>10.123230262916929</x:v>
      </x:c>
      <x:c r="F24" s="53" t="n">
        <x:f>IF(D24&lt;E24,MIN(E24-D24,S23),0)</x:f>
        <x:v>0</x:v>
      </x:c>
      <x:c r="G24" s="53" t="n">
        <x:f>MAX(0,E24-D24-F24)</x:f>
        <x:v>21.66885876448963</x:v>
      </x:c>
      <x:c r="H24" s="53" t="n">
        <x:f>G24/issue_price</x:f>
        <x:v>22.339029654113023</x:v>
      </x:c>
      <x:c r="I24" s="53" t="n">
        <x:f>IF(AND(D24&gt;E24,$A24&gt;=dev_start),(D24-E24)*dev_share,0)</x:f>
        <x:v>0</x:v>
      </x:c>
      <x:c r="J24" s="53" t="n">
        <x:f>IF($A24&gt;=dev_start,MAX(0,S23-F24-reserve_buffer*Economy!O24),0)</x:f>
        <x:v>0</x:v>
      </x:c>
      <x:c r="K24" s="53" t="n">
        <x:f>IF(D24&gt;E24,MIN((D24-E24-I24)*repay_share,R23-C24),0)</x:f>
        <x:v>0</x:v>
      </x:c>
      <x:c r="L24" s="53" t="n">
        <x:f>IF(D24&gt;E24,D24-E24-I24-K24,0)</x:f>
        <x:v>0</x:v>
      </x:c>
      <x:c r="M24" s="53" t="n">
        <x:f>D24+F24+G24-I24-K24-L24</x:f>
        <x:v>10.123230262916929</x:v>
      </x:c>
      <x:c r="N24" s="53" t="n">
        <x:f>I24+J24+Q24*dev_bonds+SUMPRODUCT((Events!$B$6:$B$158&lt;=$A24)*(Events!$C$6:$C$158&gt;=$A24)*(Events!$E$6:$E$158="Investment")*Events!$H$6:$H$158)</x:f>
        <x:v>0</x:v>
      </x:c>
      <x:c r="O24" s="53" t="n">
        <x:f>O23*(1-dev_dep)+N24</x:f>
        <x:v>0</x:v>
      </x:c>
      <x:c r="P24" s="53" t="n">
        <x:f>SUMPRODUCT((Events!$B$6:$B$158&lt;=$A24)*(Events!$C$6:$C$158&gt;=$A24)*(Events!$E$6:$E$158="Debt assumed")*Events!$H$6:$H$158)</x:f>
        <x:v>0</x:v>
      </x:c>
      <x:c r="Q24" s="53" t="n">
        <x:f>IF($A24&lt;1887,0,MAX(0,debt_floor*Economy!O24-(R23+P24+H24-C24-K24)))</x:f>
        <x:v>0</x:v>
      </x:c>
      <x:c r="R24" s="53" t="n">
        <x:f>R23+P24+H24-C24-K24+Q24</x:f>
        <x:v>82.71229798286204</x:v>
      </x:c>
      <x:c r="S24" s="53" t="n">
        <x:f>S23+L24-F24-J24+Q24*(1-dev_bonds)</x:f>
        <x:v>0</x:v>
      </x:c>
      <x:c r="T24" s="69" t="n">
        <x:f>Loans!X24</x:f>
        <x:v>0</x:v>
      </x:c>
      <x:c r="U24" s="53" t="n">
        <x:f>R24-M24-S24-T24</x:f>
        <x:v>72.5890677199451</x:v>
      </x:c>
      <x:c r="V24" s="63" t="n">
        <x:f>R24/Economy!O24</x:f>
        <x:v>0.2630077265386212</x:v>
      </x:c>
      <x:c r="W24" s="63" t="n">
        <x:f>Budget!X24/Budget!M24</x:f>
        <x:v>0.09843369442595913</x:v>
      </x:c>
      <x:c r="X24" s="63" t="n">
        <x:f>S24/Economy!O24</x:f>
        <x:v>0</x:v>
      </x:c>
      <x:c r="Y24" s="53" t="n">
        <x:f>MAX(0,H24+Q24-'Gold &amp; money'!G24)</x:f>
        <x:v>22.339029654113023</x:v>
      </x:c>
    </x:row>
    <x:row r="25">
      <x:c r="A25" s="61" t="n">
        <x:v>1865</x:v>
      </x:c>
      <x:c r="B25" s="53" t="n">
        <x:f>Loans!V25-Loans!W25</x:f>
        <x:v>0</x:v>
      </x:c>
      <x:c r="C25" s="53" t="n">
        <x:f>R24*debt_amort</x:f>
        <x:v>1.6542459596572407</x:v>
      </x:c>
      <x:c r="D25" s="53" t="n">
        <x:f>M24+Budget!Z25-B25-C25</x:f>
        <x:v>1.2205392324545055</x:v>
      </x:c>
      <x:c r="E25" s="53" t="n">
        <x:f>MAX(0.1,Budget!M25*cash_target)</x:f>
        <x:v>11.05172579618922</x:v>
      </x:c>
      <x:c r="F25" s="53" t="n">
        <x:f>IF(D25&lt;E25,MIN(E25-D25,S24),0)</x:f>
        <x:v>0</x:v>
      </x:c>
      <x:c r="G25" s="53" t="n">
        <x:f>MAX(0,E25-D25-F25)</x:f>
        <x:v>9.831186563734715</x:v>
      </x:c>
      <x:c r="H25" s="53" t="n">
        <x:f>G25/issue_price</x:f>
        <x:v>10.135243880138882</x:v>
      </x:c>
      <x:c r="I25" s="53" t="n">
        <x:f>IF(AND(D25&gt;E25,$A25&gt;=dev_start),(D25-E25)*dev_share,0)</x:f>
        <x:v>0</x:v>
      </x:c>
      <x:c r="J25" s="53" t="n">
        <x:f>IF($A25&gt;=dev_start,MAX(0,S24-F25-reserve_buffer*Economy!O25),0)</x:f>
        <x:v>0</x:v>
      </x:c>
      <x:c r="K25" s="53" t="n">
        <x:f>IF(D25&gt;E25,MIN((D25-E25-I25)*repay_share,R24-C25),0)</x:f>
        <x:v>0</x:v>
      </x:c>
      <x:c r="L25" s="53" t="n">
        <x:f>IF(D25&gt;E25,D25-E25-I25-K25,0)</x:f>
        <x:v>0</x:v>
      </x:c>
      <x:c r="M25" s="53" t="n">
        <x:f>D25+F25+G25-I25-K25-L25</x:f>
        <x:v>11.05172579618922</x:v>
      </x:c>
      <x:c r="N25" s="53" t="n">
        <x:f>I25+J25+Q25*dev_bonds+SUMPRODUCT((Events!$B$6:$B$158&lt;=$A25)*(Events!$C$6:$C$158&gt;=$A25)*(Events!$E$6:$E$158="Investment")*Events!$H$6:$H$158)</x:f>
        <x:v>0</x:v>
      </x:c>
      <x:c r="O25" s="53" t="n">
        <x:f>O24*(1-dev_dep)+N25</x:f>
        <x:v>0</x:v>
      </x:c>
      <x:c r="P25" s="53" t="n">
        <x:f>SUMPRODUCT((Events!$B$6:$B$158&lt;=$A25)*(Events!$C$6:$C$158&gt;=$A25)*(Events!$E$6:$E$158="Debt assumed")*Events!$H$6:$H$158)</x:f>
        <x:v>0</x:v>
      </x:c>
      <x:c r="Q25" s="53" t="n">
        <x:f>IF($A25&lt;1887,0,MAX(0,debt_floor*Economy!O25-(R24+P25+H25-C25-K25)))</x:f>
        <x:v>0</x:v>
      </x:c>
      <x:c r="R25" s="53" t="n">
        <x:f>R24+P25+H25-C25-K25+Q25</x:f>
        <x:v>91.19329590334368</x:v>
      </x:c>
      <x:c r="S25" s="53" t="n">
        <x:f>S24+L25-F25-J25+Q25*(1-dev_bonds)</x:f>
        <x:v>0</x:v>
      </x:c>
      <x:c r="T25" s="69" t="n">
        <x:f>Loans!X25</x:f>
        <x:v>0</x:v>
      </x:c>
      <x:c r="U25" s="53" t="n">
        <x:f>R25-M25-S25-T25</x:f>
        <x:v>80.14157010715446</x:v>
      </x:c>
      <x:c r="V25" s="63" t="n">
        <x:f>R25/Economy!O25</x:f>
        <x:v>0.26574663352964273</x:v>
      </x:c>
      <x:c r="W25" s="63" t="n">
        <x:f>Budget!X25/Budget!M25</x:f>
        <x:v>0.12161673814644974</x:v>
      </x:c>
      <x:c r="X25" s="63" t="n">
        <x:f>S25/Economy!O25</x:f>
        <x:v>0</x:v>
      </x:c>
      <x:c r="Y25" s="53" t="n">
        <x:f>MAX(0,H25+Q25-'Gold &amp; money'!G25)</x:f>
        <x:v>10.135243880138882</x:v>
      </x:c>
    </x:row>
    <x:row r="26">
      <x:c r="A26" s="58" t="n">
        <x:v>1866</x:v>
      </x:c>
      <x:c r="B26" s="53" t="n">
        <x:f>Loans!V26-Loans!W26</x:f>
        <x:v>0</x:v>
      </x:c>
      <x:c r="C26" s="53" t="n">
        <x:f>R25*debt_amort</x:f>
        <x:v>1.8238659180668737</x:v>
      </x:c>
      <x:c r="D26" s="53" t="n">
        <x:f>M25+Budget!Z26-B26-C26</x:f>
        <x:v>3.7333799955023483</x:v>
      </x:c>
      <x:c r="E26" s="53" t="n">
        <x:f>MAX(0.1,Budget!M26*cash_target)</x:f>
        <x:v>11.472234852218904</x:v>
      </x:c>
      <x:c r="F26" s="53" t="n">
        <x:f>IF(D26&lt;E26,MIN(E26-D26,S25),0)</x:f>
        <x:v>0</x:v>
      </x:c>
      <x:c r="G26" s="53" t="n">
        <x:f>MAX(0,E26-D26-F26)</x:f>
        <x:v>7.738854856716555</x:v>
      </x:c>
      <x:c r="H26" s="53" t="n">
        <x:f>G26/issue_price</x:f>
        <x:v>7.978200883212944</x:v>
      </x:c>
      <x:c r="I26" s="53" t="n">
        <x:f>IF(AND(D26&gt;E26,$A26&gt;=dev_start),(D26-E26)*dev_share,0)</x:f>
        <x:v>0</x:v>
      </x:c>
      <x:c r="J26" s="53" t="n">
        <x:f>IF($A26&gt;=dev_start,MAX(0,S25-F26-reserve_buffer*Economy!O26),0)</x:f>
        <x:v>0</x:v>
      </x:c>
      <x:c r="K26" s="53" t="n">
        <x:f>IF(D26&gt;E26,MIN((D26-E26-I26)*repay_share,R25-C26),0)</x:f>
        <x:v>0</x:v>
      </x:c>
      <x:c r="L26" s="53" t="n">
        <x:f>IF(D26&gt;E26,D26-E26-I26-K26,0)</x:f>
        <x:v>0</x:v>
      </x:c>
      <x:c r="M26" s="53" t="n">
        <x:f>D26+F26+G26-I26-K26-L26</x:f>
        <x:v>11.472234852218904</x:v>
      </x:c>
      <x:c r="N26" s="53" t="n">
        <x:f>I26+J26+Q26*dev_bonds+SUMPRODUCT((Events!$B$6:$B$158&lt;=$A26)*(Events!$C$6:$C$158&gt;=$A26)*(Events!$E$6:$E$158="Investment")*Events!$H$6:$H$158)</x:f>
        <x:v>0</x:v>
      </x:c>
      <x:c r="O26" s="53" t="n">
        <x:f>O25*(1-dev_dep)+N26</x:f>
        <x:v>0</x:v>
      </x:c>
      <x:c r="P26" s="53" t="n">
        <x:f>SUMPRODUCT((Events!$B$6:$B$158&lt;=$A26)*(Events!$C$6:$C$158&gt;=$A26)*(Events!$E$6:$E$158="Debt assumed")*Events!$H$6:$H$158)</x:f>
        <x:v>0</x:v>
      </x:c>
      <x:c r="Q26" s="53" t="n">
        <x:f>IF($A26&lt;1887,0,MAX(0,debt_floor*Economy!O26-(R25+P26+H26-C26-K26)))</x:f>
        <x:v>0</x:v>
      </x:c>
      <x:c r="R26" s="53" t="n">
        <x:f>R25+P26+H26-C26-K26+Q26</x:f>
        <x:v>97.34763086848976</x:v>
      </x:c>
      <x:c r="S26" s="53" t="n">
        <x:f>S25+L26-F26-J26+Q26*(1-dev_bonds)</x:f>
        <x:v>0</x:v>
      </x:c>
      <x:c r="T26" s="69" t="n">
        <x:f>Loans!X26</x:f>
        <x:v>0</x:v>
      </x:c>
      <x:c r="U26" s="53" t="n">
        <x:f>R26-M26-S26-T26</x:f>
        <x:v>85.87539601627086</x:v>
      </x:c>
      <x:c r="V26" s="63" t="n">
        <x:f>R26/Economy!O26</x:f>
        <x:v>0.26543224022970535</x:v>
      </x:c>
      <x:c r="W26" s="63" t="n">
        <x:f>Budget!X26/Budget!M26</x:f>
        <x:v>0.12778087709411876</x:v>
      </x:c>
      <x:c r="X26" s="63" t="n">
        <x:f>S26/Economy!O26</x:f>
        <x:v>0</x:v>
      </x:c>
      <x:c r="Y26" s="53" t="n">
        <x:f>MAX(0,H26+Q26-'Gold &amp; money'!G26)</x:f>
        <x:v>7.978200883212944</x:v>
      </x:c>
    </x:row>
    <x:row r="27">
      <x:c r="A27" s="58" t="n">
        <x:v>1867</x:v>
      </x:c>
      <x:c r="B27" s="53" t="n">
        <x:f>Loans!V27-Loans!W27</x:f>
        <x:v>10</x:v>
      </x:c>
      <x:c r="C27" s="53" t="n">
        <x:f>R26*debt_amort</x:f>
        <x:v>1.9469526173697953</x:v>
      </x:c>
      <x:c r="D27" s="53" t="n">
        <x:f>M26+Budget!Z27-B27-C27</x:f>
        <x:v>-15.378398735290048</x:v>
      </x:c>
      <x:c r="E27" s="53" t="n">
        <x:f>MAX(0.1,Budget!M27*cash_target)</x:f>
        <x:v>12.50416130875015</x:v>
      </x:c>
      <x:c r="F27" s="53" t="n">
        <x:f>IF(D27&lt;E27,MIN(E27-D27,S26),0)</x:f>
        <x:v>0</x:v>
      </x:c>
      <x:c r="G27" s="53" t="n">
        <x:f>MAX(0,E27-D27-F27)</x:f>
        <x:v>27.882560044040197</x:v>
      </x:c>
      <x:c r="H27" s="53" t="n">
        <x:f>G27/issue_price</x:f>
        <x:v>28.74490726189711</x:v>
      </x:c>
      <x:c r="I27" s="53" t="n">
        <x:f>IF(AND(D27&gt;E27,$A27&gt;=dev_start),(D27-E27)*dev_share,0)</x:f>
        <x:v>0</x:v>
      </x:c>
      <x:c r="J27" s="53" t="n">
        <x:f>IF($A27&gt;=dev_start,MAX(0,S26-F27-reserve_buffer*Economy!O27),0)</x:f>
        <x:v>0</x:v>
      </x:c>
      <x:c r="K27" s="53" t="n">
        <x:f>IF(D27&gt;E27,MIN((D27-E27-I27)*repay_share,R26-C27),0)</x:f>
        <x:v>0</x:v>
      </x:c>
      <x:c r="L27" s="53" t="n">
        <x:f>IF(D27&gt;E27,D27-E27-I27-K27,0)</x:f>
        <x:v>0</x:v>
      </x:c>
      <x:c r="M27" s="53" t="n">
        <x:f>D27+F27+G27-I27-K27-L27</x:f>
        <x:v>12.504161308750149</x:v>
      </x:c>
      <x:c r="N27" s="53" t="n">
        <x:f>I27+J27+Q27*dev_bonds+SUMPRODUCT((Events!$B$6:$B$158&lt;=$A27)*(Events!$C$6:$C$158&gt;=$A27)*(Events!$E$6:$E$158="Investment")*Events!$H$6:$H$158)</x:f>
        <x:v>0</x:v>
      </x:c>
      <x:c r="O27" s="53" t="n">
        <x:f>O26*(1-dev_dep)+N27</x:f>
        <x:v>0</x:v>
      </x:c>
      <x:c r="P27" s="53" t="n">
        <x:f>SUMPRODUCT((Events!$B$6:$B$158&lt;=$A27)*(Events!$C$6:$C$158&gt;=$A27)*(Events!$E$6:$E$158="Debt assumed")*Events!$H$6:$H$158)</x:f>
        <x:v>0</x:v>
      </x:c>
      <x:c r="Q27" s="53" t="n">
        <x:f>IF($A27&lt;1887,0,MAX(0,debt_floor*Economy!O27-(R26+P27+H27-C27-K27)))</x:f>
        <x:v>0</x:v>
      </x:c>
      <x:c r="R27" s="53" t="n">
        <x:f>R26+P27+H27-C27-K27+Q27</x:f>
        <x:v>124.14558551301708</x:v>
      </x:c>
      <x:c r="S27" s="53" t="n">
        <x:f>S26+L27-F27-J27+Q27*(1-dev_bonds)</x:f>
        <x:v>0</x:v>
      </x:c>
      <x:c r="T27" s="69" t="n">
        <x:f>Loans!X27</x:f>
        <x:v>10</x:v>
      </x:c>
      <x:c r="U27" s="53" t="n">
        <x:f>R27-M27-S27-T27</x:f>
        <x:v>101.64142420426694</x:v>
      </x:c>
      <x:c r="V27" s="63" t="n">
        <x:f>R27/Economy!O27</x:f>
        <x:v>0.3112212070745807</x:v>
      </x:c>
      <x:c r="W27" s="63" t="n">
        <x:f>Budget!X27/Budget!M27</x:f>
        <x:v>0.12378497786379723</x:v>
      </x:c>
      <x:c r="X27" s="63" t="n">
        <x:f>S27/Economy!O27</x:f>
        <x:v>0</x:v>
      </x:c>
      <x:c r="Y27" s="53" t="n">
        <x:f>MAX(0,H27+Q27-'Gold &amp; money'!G27)</x:f>
        <x:v>28.74490726189711</x:v>
      </x:c>
    </x:row>
    <x:row r="28">
      <x:c r="A28" s="58" t="n">
        <x:v>1868</x:v>
      </x:c>
      <x:c r="B28" s="53" t="n">
        <x:f>Loans!V28-Loans!W28</x:f>
        <x:v>-0.4</x:v>
      </x:c>
      <x:c r="C28" s="53" t="n">
        <x:f>R27*debt_amort</x:f>
        <x:v>2.4829117102603417</x:v>
      </x:c>
      <x:c r="D28" s="53" t="n">
        <x:f>M27+Budget!Z28-B28-C28</x:f>
        <x:v>7.240229894509368</x:v>
      </x:c>
      <x:c r="E28" s="53" t="n">
        <x:f>MAX(0.1,Budget!M28*cash_target)</x:f>
        <x:v>13.766862819653724</x:v>
      </x:c>
      <x:c r="F28" s="53" t="n">
        <x:f>IF(D28&lt;E28,MIN(E28-D28,S27),0)</x:f>
        <x:v>0</x:v>
      </x:c>
      <x:c r="G28" s="53" t="n">
        <x:f>MAX(0,E28-D28-F28)</x:f>
        <x:v>6.526632925144356</x:v>
      </x:c>
      <x:c r="H28" s="53" t="n">
        <x:f>G28/issue_price</x:f>
        <x:v>6.7284875516952125</x:v>
      </x:c>
      <x:c r="I28" s="53" t="n">
        <x:f>IF(AND(D28&gt;E28,$A28&gt;=dev_start),(D28-E28)*dev_share,0)</x:f>
        <x:v>0</x:v>
      </x:c>
      <x:c r="J28" s="53" t="n">
        <x:f>IF($A28&gt;=dev_start,MAX(0,S27-F28-reserve_buffer*Economy!O28),0)</x:f>
        <x:v>0</x:v>
      </x:c>
      <x:c r="K28" s="53" t="n">
        <x:f>IF(D28&gt;E28,MIN((D28-E28-I28)*repay_share,R27-C28),0)</x:f>
        <x:v>0</x:v>
      </x:c>
      <x:c r="L28" s="53" t="n">
        <x:f>IF(D28&gt;E28,D28-E28-I28-K28,0)</x:f>
        <x:v>0</x:v>
      </x:c>
      <x:c r="M28" s="53" t="n">
        <x:f>D28+F28+G28-I28-K28-L28</x:f>
        <x:v>13.766862819653724</x:v>
      </x:c>
      <x:c r="N28" s="53" t="n">
        <x:f>I28+J28+Q28*dev_bonds+SUMPRODUCT((Events!$B$6:$B$158&lt;=$A28)*(Events!$C$6:$C$158&gt;=$A28)*(Events!$E$6:$E$158="Investment")*Events!$H$6:$H$158)</x:f>
        <x:v>0</x:v>
      </x:c>
      <x:c r="O28" s="53" t="n">
        <x:f>O27*(1-dev_dep)+N28</x:f>
        <x:v>0</x:v>
      </x:c>
      <x:c r="P28" s="53" t="n">
        <x:f>SUMPRODUCT((Events!$B$6:$B$158&lt;=$A28)*(Events!$C$6:$C$158&gt;=$A28)*(Events!$E$6:$E$158="Debt assumed")*Events!$H$6:$H$158)</x:f>
        <x:v>0</x:v>
      </x:c>
      <x:c r="Q28" s="53" t="n">
        <x:f>IF($A28&lt;1887,0,MAX(0,debt_floor*Economy!O28-(R27+P28+H28-C28-K28)))</x:f>
        <x:v>0</x:v>
      </x:c>
      <x:c r="R28" s="53" t="n">
        <x:f>R27+P28+H28-C28-K28+Q28</x:f>
        <x:v>128.39116135445195</x:v>
      </x:c>
      <x:c r="S28" s="53" t="n">
        <x:f>S27+L28-F28-J28+Q28*(1-dev_bonds)</x:f>
        <x:v>0</x:v>
      </x:c>
      <x:c r="T28" s="69" t="n">
        <x:f>Loans!X28</x:f>
        <x:v>9.6</x:v>
      </x:c>
      <x:c r="U28" s="53" t="n">
        <x:f>R28-M28-S28-T28</x:f>
        <x:v>105.02429853479823</x:v>
      </x:c>
      <x:c r="V28" s="63" t="n">
        <x:f>R28/Economy!O28</x:f>
        <x:v>0.2956545908094968</x:v>
      </x:c>
      <x:c r="W28" s="63" t="n">
        <x:f>Budget!X28/Budget!M28</x:f>
        <x:v>0.14180350002509115</x:v>
      </x:c>
      <x:c r="X28" s="63" t="n">
        <x:f>S28/Economy!O28</x:f>
        <x:v>0</x:v>
      </x:c>
      <x:c r="Y28" s="53" t="n">
        <x:f>MAX(0,H28+Q28-'Gold &amp; money'!G28)</x:f>
        <x:v>6.7284875516952125</x:v>
      </x:c>
    </x:row>
    <x:row r="29">
      <x:c r="A29" s="58" t="n">
        <x:v>1869</x:v>
      </x:c>
      <x:c r="B29" s="53" t="n">
        <x:f>Loans!V29-Loans!W29</x:f>
        <x:v>-0.384</x:v>
      </x:c>
      <x:c r="C29" s="53" t="n">
        <x:f>R28*debt_amort</x:f>
        <x:v>2.5678232270890393</x:v>
      </x:c>
      <x:c r="D29" s="53" t="n">
        <x:f>M28+Budget!Z29-B29-C29</x:f>
        <x:v>9.651559893858835</x:v>
      </x:c>
      <x:c r="E29" s="53" t="n">
        <x:f>MAX(0.1,Budget!M29*cash_target)</x:f>
        <x:v>14.919644200405918</x:v>
      </x:c>
      <x:c r="F29" s="53" t="n">
        <x:f>IF(D29&lt;E29,MIN(E29-D29,S28),0)</x:f>
        <x:v>0</x:v>
      </x:c>
      <x:c r="G29" s="53" t="n">
        <x:f>MAX(0,E29-D29-F29)</x:f>
        <x:v>5.268084306547083</x:v>
      </x:c>
      <x:c r="H29" s="53" t="n">
        <x:f>G29/issue_price</x:f>
        <x:v>5.431014749017612</x:v>
      </x:c>
      <x:c r="I29" s="53" t="n">
        <x:f>IF(AND(D29&gt;E29,$A29&gt;=dev_start),(D29-E29)*dev_share,0)</x:f>
        <x:v>0</x:v>
      </x:c>
      <x:c r="J29" s="53" t="n">
        <x:f>IF($A29&gt;=dev_start,MAX(0,S28-F29-reserve_buffer*Economy!O29),0)</x:f>
        <x:v>0</x:v>
      </x:c>
      <x:c r="K29" s="53" t="n">
        <x:f>IF(D29&gt;E29,MIN((D29-E29-I29)*repay_share,R28-C29),0)</x:f>
        <x:v>0</x:v>
      </x:c>
      <x:c r="L29" s="53" t="n">
        <x:f>IF(D29&gt;E29,D29-E29-I29-K29,0)</x:f>
        <x:v>0</x:v>
      </x:c>
      <x:c r="M29" s="53" t="n">
        <x:f>D29+F29+G29-I29-K29-L29</x:f>
        <x:v>14.919644200405918</x:v>
      </x:c>
      <x:c r="N29" s="53" t="n">
        <x:f>I29+J29+Q29*dev_bonds+SUMPRODUCT((Events!$B$6:$B$158&lt;=$A29)*(Events!$C$6:$C$158&gt;=$A29)*(Events!$E$6:$E$158="Investment")*Events!$H$6:$H$158)</x:f>
        <x:v>0</x:v>
      </x:c>
      <x:c r="O29" s="53" t="n">
        <x:f>O28*(1-dev_dep)+N29</x:f>
        <x:v>0</x:v>
      </x:c>
      <x:c r="P29" s="53" t="n">
        <x:f>SUMPRODUCT((Events!$B$6:$B$158&lt;=$A29)*(Events!$C$6:$C$158&gt;=$A29)*(Events!$E$6:$E$158="Debt assumed")*Events!$H$6:$H$158)</x:f>
        <x:v>0</x:v>
      </x:c>
      <x:c r="Q29" s="53" t="n">
        <x:f>IF($A29&lt;1887,0,MAX(0,debt_floor*Economy!O29-(R28+P29+H29-C29-K29)))</x:f>
        <x:v>0</x:v>
      </x:c>
      <x:c r="R29" s="53" t="n">
        <x:f>R28+P29+H29-C29-K29+Q29</x:f>
        <x:v>131.25435287638052</x:v>
      </x:c>
      <x:c r="S29" s="53" t="n">
        <x:f>S28+L29-F29-J29+Q29*(1-dev_bonds)</x:f>
        <x:v>0</x:v>
      </x:c>
      <x:c r="T29" s="69" t="n">
        <x:f>Loans!X29</x:f>
        <x:v>9.216</x:v>
      </x:c>
      <x:c r="U29" s="53" t="n">
        <x:f>R29-M29-S29-T29</x:f>
        <x:v>107.11870867597462</x:v>
      </x:c>
      <x:c r="V29" s="63" t="n">
        <x:f>R29/Economy!O29</x:f>
        <x:v>0.2783099986348225</x:v>
      </x:c>
      <x:c r="W29" s="63" t="n">
        <x:f>Budget!X29/Budget!M29</x:f>
        <x:v>0.13360055730911036</x:v>
      </x:c>
      <x:c r="X29" s="63" t="n">
        <x:f>S29/Economy!O29</x:f>
        <x:v>0</x:v>
      </x:c>
      <x:c r="Y29" s="53" t="n">
        <x:f>MAX(0,H29+Q29-'Gold &amp; money'!G29)</x:f>
        <x:v>5.431014749017612</x:v>
      </x:c>
    </x:row>
    <x:row r="30">
      <x:c r="A30" s="61" t="n">
        <x:v>1870</x:v>
      </x:c>
      <x:c r="B30" s="53" t="n">
        <x:f>Loans!V30-Loans!W30</x:f>
        <x:v>4.63136</x:v>
      </x:c>
      <x:c r="C30" s="53" t="n">
        <x:f>R29*debt_amort</x:f>
        <x:v>2.6250870575276104</x:v>
      </x:c>
      <x:c r="D30" s="53" t="n">
        <x:f>M29+Budget!Z30-B30-C30</x:f>
        <x:v>3.860324301123985</x:v>
      </x:c>
      <x:c r="E30" s="53" t="n">
        <x:f>MAX(0.1,Budget!M30*cash_target)</x:f>
        <x:v>16.24924247785498</x:v>
      </x:c>
      <x:c r="F30" s="53" t="n">
        <x:f>IF(D30&lt;E30,MIN(E30-D30,S29),0)</x:f>
        <x:v>0</x:v>
      </x:c>
      <x:c r="G30" s="53" t="n">
        <x:f>MAX(0,E30-D30-F30)</x:f>
        <x:v>12.388918176730996</x:v>
      </x:c>
      <x:c r="H30" s="53" t="n">
        <x:f>G30/issue_price</x:f>
        <x:v>12.772080594568038</x:v>
      </x:c>
      <x:c r="I30" s="53" t="n">
        <x:f>IF(AND(D30&gt;E30,$A30&gt;=dev_start),(D30-E30)*dev_share,0)</x:f>
        <x:v>0</x:v>
      </x:c>
      <x:c r="J30" s="53" t="n">
        <x:f>IF($A30&gt;=dev_start,MAX(0,S29-F30-reserve_buffer*Economy!O30),0)</x:f>
        <x:v>0</x:v>
      </x:c>
      <x:c r="K30" s="53" t="n">
        <x:f>IF(D30&gt;E30,MIN((D30-E30-I30)*repay_share,R29-C30),0)</x:f>
        <x:v>0</x:v>
      </x:c>
      <x:c r="L30" s="53" t="n">
        <x:f>IF(D30&gt;E30,D30-E30-I30-K30,0)</x:f>
        <x:v>0</x:v>
      </x:c>
      <x:c r="M30" s="53" t="n">
        <x:f>D30+F30+G30-I30-K30-L30</x:f>
        <x:v>16.24924247785498</x:v>
      </x:c>
      <x:c r="N30" s="53" t="n">
        <x:f>I30+J30+Q30*dev_bonds+SUMPRODUCT((Events!$B$6:$B$158&lt;=$A30)*(Events!$C$6:$C$158&gt;=$A30)*(Events!$E$6:$E$158="Investment")*Events!$H$6:$H$158)</x:f>
        <x:v>0</x:v>
      </x:c>
      <x:c r="O30" s="53" t="n">
        <x:f>O29*(1-dev_dep)+N30</x:f>
        <x:v>0</x:v>
      </x:c>
      <x:c r="P30" s="53" t="n">
        <x:f>SUMPRODUCT((Events!$B$6:$B$158&lt;=$A30)*(Events!$C$6:$C$158&gt;=$A30)*(Events!$E$6:$E$158="Debt assumed")*Events!$H$6:$H$158)</x:f>
        <x:v>0</x:v>
      </x:c>
      <x:c r="Q30" s="53" t="n">
        <x:f>IF($A30&lt;1887,0,MAX(0,debt_floor*Economy!O30-(R29+P30+H30-C30-K30)))</x:f>
        <x:v>0</x:v>
      </x:c>
      <x:c r="R30" s="53" t="n">
        <x:f>R29+P30+H30-C30-K30+Q30</x:f>
        <x:v>141.40134641342095</x:v>
      </x:c>
      <x:c r="S30" s="53" t="n">
        <x:f>S29+L30-F30-J30+Q30*(1-dev_bonds)</x:f>
        <x:v>0</x:v>
      </x:c>
      <x:c r="T30" s="69" t="n">
        <x:f>Loans!X30</x:f>
        <x:v>13.84736</x:v>
      </x:c>
      <x:c r="U30" s="53" t="n">
        <x:f>R30-M30-S30-T30</x:f>
        <x:v>111.30474393556598</x:v>
      </x:c>
      <x:c r="V30" s="63" t="n">
        <x:f>R30/Economy!O30</x:f>
        <x:v>0.2748448625223086</x:v>
      </x:c>
      <x:c r="W30" s="63" t="n">
        <x:f>Budget!X30/Budget!M30</x:f>
        <x:v>0.12399066106609072</x:v>
      </x:c>
      <x:c r="X30" s="63" t="n">
        <x:f>S30/Economy!O30</x:f>
        <x:v>0</x:v>
      </x:c>
      <x:c r="Y30" s="53" t="n">
        <x:f>MAX(0,H30+Q30-'Gold &amp; money'!G30)</x:f>
        <x:v>12.772080594568038</x:v>
      </x:c>
    </x:row>
    <x:row r="31">
      <x:c r="A31" s="61" t="n">
        <x:v>1871</x:v>
      </x:c>
      <x:c r="B31" s="53" t="n">
        <x:f>Loans!V31-Loans!W31</x:f>
        <x:v>11.9461056</x:v>
      </x:c>
      <x:c r="C31" s="53" t="n">
        <x:f>R30*debt_amort</x:f>
        <x:v>2.828026928268419</x:v>
      </x:c>
      <x:c r="D31" s="53" t="n">
        <x:f>M30+Budget!Z31-B31-C31</x:f>
        <x:v>-1.0525328238217257</x:v>
      </x:c>
      <x:c r="E31" s="53" t="n">
        <x:f>MAX(0.1,Budget!M31*cash_target)</x:f>
        <x:v>17.51021257296038</x:v>
      </x:c>
      <x:c r="F31" s="53" t="n">
        <x:f>IF(D31&lt;E31,MIN(E31-D31,S30),0)</x:f>
        <x:v>0</x:v>
      </x:c>
      <x:c r="G31" s="53" t="n">
        <x:f>MAX(0,E31-D31-F31)</x:f>
        <x:v>18.562745396782105</x:v>
      </x:c>
      <x:c r="H31" s="53" t="n">
        <x:f>G31/issue_price</x:f>
        <x:v>19.136850924517635</x:v>
      </x:c>
      <x:c r="I31" s="53" t="n">
        <x:f>IF(AND(D31&gt;E31,$A31&gt;=dev_start),(D31-E31)*dev_share,0)</x:f>
        <x:v>0</x:v>
      </x:c>
      <x:c r="J31" s="53" t="n">
        <x:f>IF($A31&gt;=dev_start,MAX(0,S30-F31-reserve_buffer*Economy!O31),0)</x:f>
        <x:v>0</x:v>
      </x:c>
      <x:c r="K31" s="53" t="n">
        <x:f>IF(D31&gt;E31,MIN((D31-E31-I31)*repay_share,R30-C31),0)</x:f>
        <x:v>0</x:v>
      </x:c>
      <x:c r="L31" s="53" t="n">
        <x:f>IF(D31&gt;E31,D31-E31-I31-K31,0)</x:f>
        <x:v>0</x:v>
      </x:c>
      <x:c r="M31" s="53" t="n">
        <x:f>D31+F31+G31-I31-K31-L31</x:f>
        <x:v>17.51021257296038</x:v>
      </x:c>
      <x:c r="N31" s="53" t="n">
        <x:f>I31+J31+Q31*dev_bonds+SUMPRODUCT((Events!$B$6:$B$158&lt;=$A31)*(Events!$C$6:$C$158&gt;=$A31)*(Events!$E$6:$E$158="Investment")*Events!$H$6:$H$158)</x:f>
        <x:v>0</x:v>
      </x:c>
      <x:c r="O31" s="53" t="n">
        <x:f>O30*(1-dev_dep)+N31</x:f>
        <x:v>0</x:v>
      </x:c>
      <x:c r="P31" s="53" t="n">
        <x:f>SUMPRODUCT((Events!$B$6:$B$158&lt;=$A31)*(Events!$C$6:$C$158&gt;=$A31)*(Events!$E$6:$E$158="Debt assumed")*Events!$H$6:$H$158)</x:f>
        <x:v>0</x:v>
      </x:c>
      <x:c r="Q31" s="53" t="n">
        <x:f>IF($A31&lt;1887,0,MAX(0,debt_floor*Economy!O31-(R30+P31+H31-C31-K31)))</x:f>
        <x:v>0</x:v>
      </x:c>
      <x:c r="R31" s="53" t="n">
        <x:f>R30+P31+H31-C31-K31+Q31</x:f>
        <x:v>157.71017040967016</x:v>
      </x:c>
      <x:c r="S31" s="53" t="n">
        <x:f>S30+L31-F31-J31+Q31*(1-dev_bonds)</x:f>
        <x:v>0</x:v>
      </x:c>
      <x:c r="T31" s="69" t="n">
        <x:f>Loans!X31</x:f>
        <x:v>25.7934656</x:v>
      </x:c>
      <x:c r="U31" s="53" t="n">
        <x:f>R31-M31-S31-T31</x:f>
        <x:v>114.40649223670978</x:v>
      </x:c>
      <x:c r="V31" s="63" t="n">
        <x:f>R31/Economy!O31</x:f>
        <x:v>0.285193488913735</x:v>
      </x:c>
      <x:c r="W31" s="63" t="n">
        <x:f>Budget!X31/Budget!M31</x:f>
        <x:v>0.12254365404662172</x:v>
      </x:c>
      <x:c r="X31" s="63" t="n">
        <x:f>S31/Economy!O31</x:f>
        <x:v>0</x:v>
      </x:c>
      <x:c r="Y31" s="53" t="n">
        <x:f>MAX(0,H31+Q31-'Gold &amp; money'!G31)</x:f>
        <x:v>19.136850924517635</x:v>
      </x:c>
    </x:row>
    <x:row r="32">
      <x:c r="A32" s="58" t="n">
        <x:v>1872</x:v>
      </x:c>
      <x:c r="B32" s="53" t="n">
        <x:f>Loans!V32-Loans!W32</x:f>
        <x:v>15.468261376000001</x:v>
      </x:c>
      <x:c r="C32" s="53" t="n">
        <x:f>R31*debt_amort</x:f>
        <x:v>3.1542034081934034</x:v>
      </x:c>
      <x:c r="D32" s="53" t="n">
        <x:f>M31+Budget!Z32-B32-C32</x:f>
        <x:v>4.3197058972024145</x:v>
      </x:c>
      <x:c r="E32" s="53" t="n">
        <x:f>MAX(0.1,Budget!M32*cash_target)</x:f>
        <x:v>18.890420928133704</x:v>
      </x:c>
      <x:c r="F32" s="53" t="n">
        <x:f>IF(D32&lt;E32,MIN(E32-D32,S31),0)</x:f>
        <x:v>0</x:v>
      </x:c>
      <x:c r="G32" s="53" t="n">
        <x:f>MAX(0,E32-D32-F32)</x:f>
        <x:v>14.57071503093129</x:v>
      </x:c>
      <x:c r="H32" s="53" t="n">
        <x:f>G32/issue_price</x:f>
        <x:v>15.02135570199102</x:v>
      </x:c>
      <x:c r="I32" s="53" t="n">
        <x:f>IF(AND(D32&gt;E32,$A32&gt;=dev_start),(D32-E32)*dev_share,0)</x:f>
        <x:v>0</x:v>
      </x:c>
      <x:c r="J32" s="53" t="n">
        <x:f>IF($A32&gt;=dev_start,MAX(0,S31-F32-reserve_buffer*Economy!O32),0)</x:f>
        <x:v>0</x:v>
      </x:c>
      <x:c r="K32" s="53" t="n">
        <x:f>IF(D32&gt;E32,MIN((D32-E32-I32)*repay_share,R31-C32),0)</x:f>
        <x:v>0</x:v>
      </x:c>
      <x:c r="L32" s="53" t="n">
        <x:f>IF(D32&gt;E32,D32-E32-I32-K32,0)</x:f>
        <x:v>0</x:v>
      </x:c>
      <x:c r="M32" s="53" t="n">
        <x:f>D32+F32+G32-I32-K32-L32</x:f>
        <x:v>18.890420928133704</x:v>
      </x:c>
      <x:c r="N32" s="53" t="n">
        <x:f>I32+J32+Q32*dev_bonds+SUMPRODUCT((Events!$B$6:$B$158&lt;=$A32)*(Events!$C$6:$C$158&gt;=$A32)*(Events!$E$6:$E$158="Investment")*Events!$H$6:$H$158)</x:f>
        <x:v>0</x:v>
      </x:c>
      <x:c r="O32" s="53" t="n">
        <x:f>O31*(1-dev_dep)+N32</x:f>
        <x:v>0</x:v>
      </x:c>
      <x:c r="P32" s="53" t="n">
        <x:f>SUMPRODUCT((Events!$B$6:$B$158&lt;=$A32)*(Events!$C$6:$C$158&gt;=$A32)*(Events!$E$6:$E$158="Debt assumed")*Events!$H$6:$H$158)</x:f>
        <x:v>0</x:v>
      </x:c>
      <x:c r="Q32" s="53" t="n">
        <x:f>IF($A32&lt;1887,0,MAX(0,debt_floor*Economy!O32-(R31+P32+H32-C32-K32)))</x:f>
        <x:v>0</x:v>
      </x:c>
      <x:c r="R32" s="53" t="n">
        <x:f>R31+P32+H32-C32-K32+Q32</x:f>
        <x:v>169.57732270346776</x:v>
      </x:c>
      <x:c r="S32" s="53" t="n">
        <x:f>S31+L32-F32-J32+Q32*(1-dev_bonds)</x:f>
        <x:v>0</x:v>
      </x:c>
      <x:c r="T32" s="69" t="n">
        <x:f>Loans!X32</x:f>
        <x:v>41.261726976000006</x:v>
      </x:c>
      <x:c r="U32" s="53" t="n">
        <x:f>R32-M32-S32-T32</x:f>
        <x:v>109.42517479933406</x:v>
      </x:c>
      <x:c r="V32" s="63" t="n">
        <x:f>R32/Economy!O32</x:f>
        <x:v>0.28615889305419806</x:v>
      </x:c>
      <x:c r="W32" s="63" t="n">
        <x:f>Budget!X32/Budget!M32</x:f>
        <x:v>0.12523027227105674</x:v>
      </x:c>
      <x:c r="X32" s="63" t="n">
        <x:f>S32/Economy!O32</x:f>
        <x:v>0</x:v>
      </x:c>
      <x:c r="Y32" s="53" t="n">
        <x:f>MAX(0,H32+Q32-'Gold &amp; money'!G32)</x:f>
        <x:v>15.02135570199102</x:v>
      </x:c>
    </x:row>
    <x:row r="33">
      <x:c r="A33" s="58" t="n">
        <x:v>1873</x:v>
      </x:c>
      <x:c r="B33" s="53" t="n">
        <x:f>Loans!V33-Loans!W33</x:f>
        <x:v>-1.65046907904</x:v>
      </x:c>
      <x:c r="C33" s="53" t="n">
        <x:f>R32*debt_amort</x:f>
        <x:v>3.3915464540693554</x:v>
      </x:c>
      <x:c r="D33" s="53" t="n">
        <x:f>M32+Budget!Z33-B33-C33</x:f>
        <x:v>25.184809590686474</x:v>
      </x:c>
      <x:c r="E33" s="53" t="n">
        <x:f>MAX(0.1,Budget!M33*cash_target)</x:f>
        <x:v>18.916458414438285</x:v>
      </x:c>
      <x:c r="F33" s="53" t="n">
        <x:f>IF(D33&lt;E33,MIN(E33-D33,S32),0)</x:f>
        <x:v>0</x:v>
      </x:c>
      <x:c r="G33" s="53" t="n">
        <x:f>MAX(0,E33-D33-F33)</x:f>
        <x:v>0</x:v>
      </x:c>
      <x:c r="H33" s="53" t="n">
        <x:f>G33/issue_price</x:f>
        <x:v>0</x:v>
      </x:c>
      <x:c r="I33" s="53" t="n">
        <x:f>IF(AND(D33&gt;E33,$A33&gt;=dev_start),(D33-E33)*dev_share,0)</x:f>
        <x:v>0</x:v>
      </x:c>
      <x:c r="J33" s="53" t="n">
        <x:f>IF($A33&gt;=dev_start,MAX(0,S32-F33-reserve_buffer*Economy!O33),0)</x:f>
        <x:v>0</x:v>
      </x:c>
      <x:c r="K33" s="53" t="n">
        <x:f>IF(D33&gt;E33,MIN((D33-E33-I33)*repay_share,R32-C33),0)</x:f>
        <x:v>5.014680940998551</x:v>
      </x:c>
      <x:c r="L33" s="53" t="n">
        <x:f>IF(D33&gt;E33,D33-E33-I33-K33,0)</x:f>
        <x:v>1.2536702352496372</x:v>
      </x:c>
      <x:c r="M33" s="53" t="n">
        <x:f>D33+F33+G33-I33-K33-L33</x:f>
        <x:v>18.916458414438285</x:v>
      </x:c>
      <x:c r="N33" s="53" t="n">
        <x:f>I33+J33+Q33*dev_bonds+SUMPRODUCT((Events!$B$6:$B$158&lt;=$A33)*(Events!$C$6:$C$158&gt;=$A33)*(Events!$E$6:$E$158="Investment")*Events!$H$6:$H$158)</x:f>
        <x:v>0</x:v>
      </x:c>
      <x:c r="O33" s="53" t="n">
        <x:f>O32*(1-dev_dep)+N33</x:f>
        <x:v>0</x:v>
      </x:c>
      <x:c r="P33" s="53" t="n">
        <x:f>SUMPRODUCT((Events!$B$6:$B$158&lt;=$A33)*(Events!$C$6:$C$158&gt;=$A33)*(Events!$E$6:$E$158="Debt assumed")*Events!$H$6:$H$158)</x:f>
        <x:v>0</x:v>
      </x:c>
      <x:c r="Q33" s="53" t="n">
        <x:f>IF($A33&lt;1887,0,MAX(0,debt_floor*Economy!O33-(R32+P33+H33-C33-K33)))</x:f>
        <x:v>0</x:v>
      </x:c>
      <x:c r="R33" s="53" t="n">
        <x:f>R32+P33+H33-C33-K33+Q33</x:f>
        <x:v>161.17109530839986</x:v>
      </x:c>
      <x:c r="S33" s="53" t="n">
        <x:f>S32+L33-F33-J33+Q33*(1-dev_bonds)</x:f>
        <x:v>1.2536702352496372</x:v>
      </x:c>
      <x:c r="T33" s="69" t="n">
        <x:f>Loans!X33</x:f>
        <x:v>39.61125789696</x:v>
      </x:c>
      <x:c r="U33" s="53" t="n">
        <x:f>R33-M33-S33-T33</x:f>
        <x:v>101.38970876175192</x:v>
      </x:c>
      <x:c r="V33" s="63" t="n">
        <x:f>R33/Economy!O33</x:f>
        <x:v>0.256407261737656</x:v>
      </x:c>
      <x:c r="W33" s="63" t="n">
        <x:f>Budget!X33/Budget!M33</x:f>
        <x:v>0.13289928558508984</x:v>
      </x:c>
      <x:c r="X33" s="63" t="n">
        <x:f>S33/Economy!O33</x:f>
        <x:v>0.0019944652701358746</x:v>
      </x:c>
      <x:c r="Y33" s="53" t="n">
        <x:f>MAX(0,H33+Q33-'Gold &amp; money'!G33)</x:f>
        <x:v>0</x:v>
      </x:c>
    </x:row>
    <x:row r="34">
      <x:c r="A34" s="58" t="n">
        <x:v>1874</x:v>
      </x:c>
      <x:c r="B34" s="53" t="n">
        <x:f>Loans!V34-Loans!W34</x:f>
        <x:v>1.4155496841216</x:v>
      </x:c>
      <x:c r="C34" s="53" t="n">
        <x:f>R33*debt_amort</x:f>
        <x:v>3.223421906167997</x:v>
      </x:c>
      <x:c r="D34" s="53" t="n">
        <x:f>M33+Budget!Z34-B34-C34</x:f>
        <x:v>23.884409409329386</x:v>
      </x:c>
      <x:c r="E34" s="53" t="n">
        <x:f>MAX(0.1,Budget!M34*cash_target)</x:f>
        <x:v>20.1166575297716</x:v>
      </x:c>
      <x:c r="F34" s="53" t="n">
        <x:f>IF(D34&lt;E34,MIN(E34-D34,S33),0)</x:f>
        <x:v>0</x:v>
      </x:c>
      <x:c r="G34" s="53" t="n">
        <x:f>MAX(0,E34-D34-F34)</x:f>
        <x:v>0</x:v>
      </x:c>
      <x:c r="H34" s="53" t="n">
        <x:f>G34/issue_price</x:f>
        <x:v>0</x:v>
      </x:c>
      <x:c r="I34" s="53" t="n">
        <x:f>IF(AND(D34&gt;E34,$A34&gt;=dev_start),(D34-E34)*dev_share,0)</x:f>
        <x:v>0</x:v>
      </x:c>
      <x:c r="J34" s="53" t="n">
        <x:f>IF($A34&gt;=dev_start,MAX(0,S33-F34-reserve_buffer*Economy!O34),0)</x:f>
        <x:v>0</x:v>
      </x:c>
      <x:c r="K34" s="53" t="n">
        <x:f>IF(D34&gt;E34,MIN((D34-E34-I34)*repay_share,R33-C34),0)</x:f>
        <x:v>3.0142015036462286</x:v>
      </x:c>
      <x:c r="L34" s="53" t="n">
        <x:f>IF(D34&gt;E34,D34-E34-I34-K34,0)</x:f>
        <x:v>0.7535503759115567</x:v>
      </x:c>
      <x:c r="M34" s="53" t="n">
        <x:f>D34+F34+G34-I34-K34-L34</x:f>
        <x:v>20.1166575297716</x:v>
      </x:c>
      <x:c r="N34" s="53" t="n">
        <x:f>I34+J34+Q34*dev_bonds+SUMPRODUCT((Events!$B$6:$B$158&lt;=$A34)*(Events!$C$6:$C$158&gt;=$A34)*(Events!$E$6:$E$158="Investment")*Events!$H$6:$H$158)</x:f>
        <x:v>0</x:v>
      </x:c>
      <x:c r="O34" s="53" t="n">
        <x:f>O33*(1-dev_dep)+N34</x:f>
        <x:v>0</x:v>
      </x:c>
      <x:c r="P34" s="53" t="n">
        <x:f>SUMPRODUCT((Events!$B$6:$B$158&lt;=$A34)*(Events!$C$6:$C$158&gt;=$A34)*(Events!$E$6:$E$158="Debt assumed")*Events!$H$6:$H$158)</x:f>
        <x:v>0</x:v>
      </x:c>
      <x:c r="Q34" s="53" t="n">
        <x:f>IF($A34&lt;1887,0,MAX(0,debt_floor*Economy!O34-(R33+P34+H34-C34-K34)))</x:f>
        <x:v>0</x:v>
      </x:c>
      <x:c r="R34" s="53" t="n">
        <x:f>R33+P34+H34-C34-K34+Q34</x:f>
        <x:v>154.93347189858562</x:v>
      </x:c>
      <x:c r="S34" s="53" t="n">
        <x:f>S33+L34-F34-J34+Q34*(1-dev_bonds)</x:f>
        <x:v>2.007220611161194</x:v>
      </x:c>
      <x:c r="T34" s="69" t="n">
        <x:f>Loans!X34</x:f>
        <x:v>41.0268075810816</x:v>
      </x:c>
      <x:c r="U34" s="53" t="n">
        <x:f>R34-M34-S34-T34</x:f>
        <x:v>91.78278617657124</x:v>
      </x:c>
      <x:c r="V34" s="63" t="n">
        <x:f>R34/Economy!O34</x:f>
        <x:v>0.2311190363107594</x:v>
      </x:c>
      <x:c r="W34" s="63" t="n">
        <x:f>Budget!X34/Budget!M34</x:f>
        <x:v>0.11757349948173133</x:v>
      </x:c>
      <x:c r="X34" s="63" t="n">
        <x:f>S34/Economy!O34</x:f>
        <x:v>0.0029942328641439525</x:v>
      </x:c>
      <x:c r="Y34" s="53" t="n">
        <x:f>MAX(0,H34+Q34-'Gold &amp; money'!G34)</x:f>
        <x:v>0</x:v>
      </x:c>
    </x:row>
    <x:row r="35">
      <x:c r="A35" s="58" t="n">
        <x:v>1875</x:v>
      </x:c>
      <x:c r="B35" s="53" t="n">
        <x:f>Loans!V35-Loans!W35</x:f>
        <x:v>1.3889276967567359</x:v>
      </x:c>
      <x:c r="C35" s="53" t="n">
        <x:f>R34*debt_amort</x:f>
        <x:v>3.0986694379717123</x:v>
      </x:c>
      <x:c r="D35" s="53" t="n">
        <x:f>M34+Budget!Z35-B35-C35</x:f>
        <x:v>28.98919177899776</x:v>
      </x:c>
      <x:c r="E35" s="53" t="n">
        <x:f>MAX(0.1,Budget!M35*cash_target)</x:f>
        <x:v>21.762096151074548</x:v>
      </x:c>
      <x:c r="F35" s="53" t="n">
        <x:f>IF(D35&lt;E35,MIN(E35-D35,S34),0)</x:f>
        <x:v>0</x:v>
      </x:c>
      <x:c r="G35" s="53" t="n">
        <x:f>MAX(0,E35-D35-F35)</x:f>
        <x:v>0</x:v>
      </x:c>
      <x:c r="H35" s="53" t="n">
        <x:f>G35/issue_price</x:f>
        <x:v>0</x:v>
      </x:c>
      <x:c r="I35" s="53" t="n">
        <x:f>IF(AND(D35&gt;E35,$A35&gt;=dev_start),(D35-E35)*dev_share,0)</x:f>
        <x:v>0</x:v>
      </x:c>
      <x:c r="J35" s="53" t="n">
        <x:f>IF($A35&gt;=dev_start,MAX(0,S34-F35-reserve_buffer*Economy!O35),0)</x:f>
        <x:v>0</x:v>
      </x:c>
      <x:c r="K35" s="53" t="n">
        <x:f>IF(D35&gt;E35,MIN((D35-E35-I35)*repay_share,R34-C35),0)</x:f>
        <x:v>5.78167650233857</x:v>
      </x:c>
      <x:c r="L35" s="53" t="n">
        <x:f>IF(D35&gt;E35,D35-E35-I35-K35,0)</x:f>
        <x:v>1.4454191255846425</x:v>
      </x:c>
      <x:c r="M35" s="53" t="n">
        <x:f>D35+F35+G35-I35-K35-L35</x:f>
        <x:v>21.762096151074548</x:v>
      </x:c>
      <x:c r="N35" s="53" t="n">
        <x:f>I35+J35+Q35*dev_bonds+SUMPRODUCT((Events!$B$6:$B$158&lt;=$A35)*(Events!$C$6:$C$158&gt;=$A35)*(Events!$E$6:$E$158="Investment")*Events!$H$6:$H$158)</x:f>
        <x:v>1.2</x:v>
      </x:c>
      <x:c r="O35" s="53" t="n">
        <x:f>O34*(1-dev_dep)+N35</x:f>
        <x:v>1.2</x:v>
      </x:c>
      <x:c r="P35" s="53" t="n">
        <x:f>SUMPRODUCT((Events!$B$6:$B$158&lt;=$A35)*(Events!$C$6:$C$158&gt;=$A35)*(Events!$E$6:$E$158="Debt assumed")*Events!$H$6:$H$158)</x:f>
        <x:v>0</x:v>
      </x:c>
      <x:c r="Q35" s="53" t="n">
        <x:f>IF($A35&lt;1887,0,MAX(0,debt_floor*Economy!O35-(R34+P35+H35-C35-K35)))</x:f>
        <x:v>0</x:v>
      </x:c>
      <x:c r="R35" s="53" t="n">
        <x:f>R34+P35+H35-C35-K35+Q35</x:f>
        <x:v>146.05312595827533</x:v>
      </x:c>
      <x:c r="S35" s="53" t="n">
        <x:f>S34+L35-F35-J35+Q35*(1-dev_bonds)</x:f>
        <x:v>3.4526397367458364</x:v>
      </x:c>
      <x:c r="T35" s="69" t="n">
        <x:f>Loans!X35</x:f>
        <x:v>42.41573527783834</x:v>
      </x:c>
      <x:c r="U35" s="53" t="n">
        <x:f>R35-M35-S35-T35</x:f>
        <x:v>78.42265479261661</x:v>
      </x:c>
      <x:c r="V35" s="63" t="n">
        <x:f>R35/Economy!O35</x:f>
        <x:v>0.20111509015413556</x:v>
      </x:c>
      <x:c r="W35" s="63" t="n">
        <x:f>Budget!X35/Budget!M35</x:f>
        <x:v>0.10323156955717082</x:v>
      </x:c>
      <x:c r="X35" s="63" t="n">
        <x:f>S35/Economy!O35</x:f>
        <x:v>0.0047542833976984555</x:v>
      </x:c>
      <x:c r="Y35" s="53" t="n">
        <x:f>MAX(0,H35+Q35-'Gold &amp; money'!G35)</x:f>
        <x:v>0</x:v>
      </x:c>
    </x:row>
    <x:row r="36">
      <x:c r="A36" s="58" t="n">
        <x:v>1876</x:v>
      </x:c>
      <x:c r="B36" s="53" t="n">
        <x:f>Loans!V36-Loans!W36</x:f>
        <x:v>-1.6375294111135335</x:v>
      </x:c>
      <x:c r="C36" s="53" t="n">
        <x:f>R35*debt_amort</x:f>
        <x:v>2.9210625191655066</x:v>
      </x:c>
      <x:c r="D36" s="53" t="n">
        <x:f>M35+Budget!Z36-B36-C36</x:f>
        <x:v>16.345121160568425</x:v>
      </x:c>
      <x:c r="E36" s="53" t="n">
        <x:f>MAX(0.1,Budget!M36*cash_target)</x:f>
        <x:v>23.682043064087775</x:v>
      </x:c>
      <x:c r="F36" s="53" t="n">
        <x:f>IF(D36&lt;E36,MIN(E36-D36,S35),0)</x:f>
        <x:v>3.4526397367458364</x:v>
      </x:c>
      <x:c r="G36" s="53" t="n">
        <x:f>MAX(0,E36-D36-F36)</x:f>
        <x:v>3.884282166773514</x:v>
      </x:c>
      <x:c r="H36" s="53" t="n">
        <x:f>G36/issue_price</x:f>
        <x:v>4.004414604921148</x:v>
      </x:c>
      <x:c r="I36" s="53" t="n">
        <x:f>IF(AND(D36&gt;E36,$A36&gt;=dev_start),(D36-E36)*dev_share,0)</x:f>
        <x:v>0</x:v>
      </x:c>
      <x:c r="J36" s="53" t="n">
        <x:f>IF($A36&gt;=dev_start,MAX(0,S35-F36-reserve_buffer*Economy!O36),0)</x:f>
        <x:v>0</x:v>
      </x:c>
      <x:c r="K36" s="53" t="n">
        <x:f>IF(D36&gt;E36,MIN((D36-E36-I36)*repay_share,R35-C36),0)</x:f>
        <x:v>0</x:v>
      </x:c>
      <x:c r="L36" s="53" t="n">
        <x:f>IF(D36&gt;E36,D36-E36-I36-K36,0)</x:f>
        <x:v>0</x:v>
      </x:c>
      <x:c r="M36" s="53" t="n">
        <x:f>D36+F36+G36-I36-K36-L36</x:f>
        <x:v>23.682043064087775</x:v>
      </x:c>
      <x:c r="N36" s="53" t="n">
        <x:f>I36+J36+Q36*dev_bonds+SUMPRODUCT((Events!$B$6:$B$158&lt;=$A36)*(Events!$C$6:$C$158&gt;=$A36)*(Events!$E$6:$E$158="Investment")*Events!$H$6:$H$158)</x:f>
        <x:v>2.2</x:v>
      </x:c>
      <x:c r="O36" s="53" t="n">
        <x:f>O35*(1-dev_dep)+N36</x:f>
        <x:v>3.364</x:v>
      </x:c>
      <x:c r="P36" s="53" t="n">
        <x:f>SUMPRODUCT((Events!$B$6:$B$158&lt;=$A36)*(Events!$C$6:$C$158&gt;=$A36)*(Events!$E$6:$E$158="Debt assumed")*Events!$H$6:$H$158)</x:f>
        <x:v>0</x:v>
      </x:c>
      <x:c r="Q36" s="53" t="n">
        <x:f>IF($A36&lt;1887,0,MAX(0,debt_floor*Economy!O36-(R35+P36+H36-C36-K36)))</x:f>
        <x:v>0</x:v>
      </x:c>
      <x:c r="R36" s="53" t="n">
        <x:f>R35+P36+H36-C36-K36+Q36</x:f>
        <x:v>147.13647804403098</x:v>
      </x:c>
      <x:c r="S36" s="53" t="n">
        <x:f>S35+L36-F36-J36+Q36*(1-dev_bonds)</x:f>
        <x:v>0</x:v>
      </x:c>
      <x:c r="T36" s="69" t="n">
        <x:f>Loans!X36</x:f>
        <x:v>40.778205866724804</x:v>
      </x:c>
      <x:c r="U36" s="53" t="n">
        <x:f>R36-M36-S36-T36</x:f>
        <x:v>82.6762291132184</x:v>
      </x:c>
      <x:c r="V36" s="63" t="n">
        <x:f>R36/Economy!O36</x:f>
        <x:v>0.18584406459400127</x:v>
      </x:c>
      <x:c r="W36" s="63" t="n">
        <x:f>Budget!X36/Budget!M36</x:f>
        <x:v>0.08850006529544258</x:v>
      </x:c>
      <x:c r="X36" s="63" t="n">
        <x:f>S36/Economy!O36</x:f>
        <x:v>0</x:v>
      </x:c>
      <x:c r="Y36" s="53" t="n">
        <x:f>MAX(0,H36+Q36-'Gold &amp; money'!G36)</x:f>
        <x:v>4.004414604921148</x:v>
      </x:c>
    </x:row>
    <x:row r="37">
      <x:c r="A37" s="58" t="n">
        <x:v>1877</x:v>
      </x:c>
      <x:c r="B37" s="53" t="n">
        <x:f>Loans!V37-Loans!W37</x:f>
        <x:v>-1.573801234668992</x:v>
      </x:c>
      <x:c r="C37" s="53" t="n">
        <x:f>R36*debt_amort</x:f>
        <x:v>2.9427295608806197</x:v>
      </x:c>
      <x:c r="D37" s="53" t="n">
        <x:f>M36+Budget!Z37-B37-C37</x:f>
        <x:v>37.42519934366412</x:v>
      </x:c>
      <x:c r="E37" s="53" t="n">
        <x:f>MAX(0.1,Budget!M37*cash_target)</x:f>
        <x:v>24.693687805307995</x:v>
      </x:c>
      <x:c r="F37" s="53" t="n">
        <x:f>IF(D37&lt;E37,MIN(E37-D37,S36),0)</x:f>
        <x:v>0</x:v>
      </x:c>
      <x:c r="G37" s="53" t="n">
        <x:f>MAX(0,E37-D37-F37)</x:f>
        <x:v>0</x:v>
      </x:c>
      <x:c r="H37" s="53" t="n">
        <x:f>G37/issue_price</x:f>
        <x:v>0</x:v>
      </x:c>
      <x:c r="I37" s="53" t="n">
        <x:f>IF(AND(D37&gt;E37,$A37&gt;=dev_start),(D37-E37)*dev_share,0)</x:f>
        <x:v>0</x:v>
      </x:c>
      <x:c r="J37" s="53" t="n">
        <x:f>IF($A37&gt;=dev_start,MAX(0,S36-F37-reserve_buffer*Economy!O37),0)</x:f>
        <x:v>0</x:v>
      </x:c>
      <x:c r="K37" s="53" t="n">
        <x:f>IF(D37&gt;E37,MIN((D37-E37-I37)*repay_share,R36-C37),0)</x:f>
        <x:v>10.1852092306849</x:v>
      </x:c>
      <x:c r="L37" s="53" t="n">
        <x:f>IF(D37&gt;E37,D37-E37-I37-K37,0)</x:f>
        <x:v>2.5463023076712243</x:v>
      </x:c>
      <x:c r="M37" s="53" t="n">
        <x:f>D37+F37+G37-I37-K37-L37</x:f>
        <x:v>24.693687805307995</x:v>
      </x:c>
      <x:c r="N37" s="53" t="n">
        <x:f>I37+J37+Q37*dev_bonds+SUMPRODUCT((Events!$B$6:$B$158&lt;=$A37)*(Events!$C$6:$C$158&gt;=$A37)*(Events!$E$6:$E$158="Investment")*Events!$H$6:$H$158)</x:f>
        <x:v>2.2</x:v>
      </x:c>
      <x:c r="O37" s="53" t="n">
        <x:f>O36*(1-dev_dep)+N37</x:f>
        <x:v>5.46308</x:v>
      </x:c>
      <x:c r="P37" s="53" t="n">
        <x:f>SUMPRODUCT((Events!$B$6:$B$158&lt;=$A37)*(Events!$C$6:$C$158&gt;=$A37)*(Events!$E$6:$E$158="Debt assumed")*Events!$H$6:$H$158)</x:f>
        <x:v>0</x:v>
      </x:c>
      <x:c r="Q37" s="53" t="n">
        <x:f>IF($A37&lt;1887,0,MAX(0,debt_floor*Economy!O37-(R36+P37+H37-C37-K37)))</x:f>
        <x:v>0</x:v>
      </x:c>
      <x:c r="R37" s="53" t="n">
        <x:f>R36+P37+H37-C37-K37+Q37</x:f>
        <x:v>134.00853925246545</x:v>
      </x:c>
      <x:c r="S37" s="53" t="n">
        <x:f>S36+L37-F37-J37+Q37*(1-dev_bonds)</x:f>
        <x:v>2.5463023076712243</x:v>
      </x:c>
      <x:c r="T37" s="69" t="n">
        <x:f>Loans!X37</x:f>
        <x:v>39.204404632055805</x:v>
      </x:c>
      <x:c r="U37" s="53" t="n">
        <x:f>R37-M37-S37-T37</x:f>
        <x:v>67.56414450743043</x:v>
      </x:c>
      <x:c r="V37" s="63" t="n">
        <x:f>R37/Economy!O37</x:f>
        <x:v>0.16164136625634268</x:v>
      </x:c>
      <x:c r="W37" s="63" t="n">
        <x:f>Budget!X37/Budget!M37</x:f>
        <x:v>0.08446124340430915</x:v>
      </x:c>
      <x:c r="X37" s="63" t="n">
        <x:f>S37/Economy!O37</x:f>
        <x:v>0.003071354901781624</x:v>
      </x:c>
      <x:c r="Y37" s="53" t="n">
        <x:f>MAX(0,H37+Q37-'Gold &amp; money'!G37)</x:f>
        <x:v>0</x:v>
      </x:c>
    </x:row>
    <x:row r="38">
      <x:c r="A38" s="58" t="n">
        <x:v>1878</x:v>
      </x:c>
      <x:c r="B38" s="53" t="n">
        <x:f>Loans!V38-Loans!W38</x:f>
        <x:v>-1.5125689952822325</x:v>
      </x:c>
      <x:c r="C38" s="53" t="n">
        <x:f>R37*debt_amort</x:f>
        <x:v>2.680170785049309</x:v>
      </x:c>
      <x:c r="D38" s="53" t="n">
        <x:f>M37+Budget!Z38-B38-C38</x:f>
        <x:v>34.51610870383282</x:v>
      </x:c>
      <x:c r="E38" s="53" t="n">
        <x:f>MAX(0.1,Budget!M38*cash_target)</x:f>
        <x:v>26.356691476671365</x:v>
      </x:c>
      <x:c r="F38" s="53" t="n">
        <x:f>IF(D38&lt;E38,MIN(E38-D38,S37),0)</x:f>
        <x:v>0</x:v>
      </x:c>
      <x:c r="G38" s="53" t="n">
        <x:f>MAX(0,E38-D38-F38)</x:f>
        <x:v>0</x:v>
      </x:c>
      <x:c r="H38" s="53" t="n">
        <x:f>G38/issue_price</x:f>
        <x:v>0</x:v>
      </x:c>
      <x:c r="I38" s="53" t="n">
        <x:f>IF(AND(D38&gt;E38,$A38&gt;=dev_start),(D38-E38)*dev_share,0)</x:f>
        <x:v>0</x:v>
      </x:c>
      <x:c r="J38" s="53" t="n">
        <x:f>IF($A38&gt;=dev_start,MAX(0,S37-F38-reserve_buffer*Economy!O38),0)</x:f>
        <x:v>0</x:v>
      </x:c>
      <x:c r="K38" s="53" t="n">
        <x:f>IF(D38&gt;E38,MIN((D38-E38-I38)*repay_share,R37-C38),0)</x:f>
        <x:v>6.527533781729165</x:v>
      </x:c>
      <x:c r="L38" s="53" t="n">
        <x:f>IF(D38&gt;E38,D38-E38-I38-K38,0)</x:f>
        <x:v>1.6318834454322904</x:v>
      </x:c>
      <x:c r="M38" s="53" t="n">
        <x:f>D38+F38+G38-I38-K38-L38</x:f>
        <x:v>26.356691476671365</x:v>
      </x:c>
      <x:c r="N38" s="53" t="n">
        <x:f>I38+J38+Q38*dev_bonds+SUMPRODUCT((Events!$B$6:$B$158&lt;=$A38)*(Events!$C$6:$C$158&gt;=$A38)*(Events!$E$6:$E$158="Investment")*Events!$H$6:$H$158)</x:f>
        <x:v>4.7</x:v>
      </x:c>
      <x:c r="O38" s="53" t="n">
        <x:f>O37*(1-dev_dep)+N38</x:f>
        <x:v>9.999187599999999</x:v>
      </x:c>
      <x:c r="P38" s="53" t="n">
        <x:f>SUMPRODUCT((Events!$B$6:$B$158&lt;=$A38)*(Events!$C$6:$C$158&gt;=$A38)*(Events!$E$6:$E$158="Debt assumed")*Events!$H$6:$H$158)</x:f>
        <x:v>0</x:v>
      </x:c>
      <x:c r="Q38" s="53" t="n">
        <x:f>IF($A38&lt;1887,0,MAX(0,debt_floor*Economy!O38-(R37+P38+H38-C38-K38)))</x:f>
        <x:v>0</x:v>
      </x:c>
      <x:c r="R38" s="53" t="n">
        <x:f>R37+P38+H38-C38-K38+Q38</x:f>
        <x:v>124.80083468568698</x:v>
      </x:c>
      <x:c r="S38" s="53" t="n">
        <x:f>S37+L38-F38-J38+Q38*(1-dev_bonds)</x:f>
        <x:v>4.178185753103515</x:v>
      </x:c>
      <x:c r="T38" s="69" t="n">
        <x:f>Loans!X38</x:f>
        <x:v>37.69183563677358</x:v>
      </x:c>
      <x:c r="U38" s="53" t="n">
        <x:f>R38-M38-S38-T38</x:f>
        <x:v>56.574121819138504</x:v>
      </x:c>
      <x:c r="V38" s="63" t="n">
        <x:f>R38/Economy!O38</x:f>
        <x:v>0.1412866844868997</x:v>
      </x:c>
      <x:c r="W38" s="63" t="n">
        <x:f>Budget!X38/Budget!M38</x:f>
        <x:v>0.07130901709265633</x:v>
      </x:c>
      <x:c r="X38" s="63" t="n">
        <x:f>S38/Economy!O38</x:f>
        <x:v>0.004730112692860843</x:v>
      </x:c>
      <x:c r="Y38" s="53" t="n">
        <x:f>MAX(0,H38+Q38-'Gold &amp; money'!G38)</x:f>
        <x:v>0</x:v>
      </x:c>
    </x:row>
    <x:row r="39">
      <x:c r="A39" s="58" t="n">
        <x:v>1879</x:v>
      </x:c>
      <x:c r="B39" s="53" t="n">
        <x:f>Loans!V39-Loans!W39</x:f>
        <x:v>-1.4537344511709431</x:v>
      </x:c>
      <x:c r="C39" s="53" t="n">
        <x:f>R38*debt_amort</x:f>
        <x:v>2.49601669371374</x:v>
      </x:c>
      <x:c r="D39" s="53" t="n">
        <x:f>M38+Budget!Z39-B39-C39</x:f>
        <x:v>47.124235022910845</x:v>
      </x:c>
      <x:c r="E39" s="53" t="n">
        <x:f>MAX(0.1,Budget!M39*cash_target)</x:f>
        <x:v>27.661735982823114</x:v>
      </x:c>
      <x:c r="F39" s="53" t="n">
        <x:f>IF(D39&lt;E39,MIN(E39-D39,S38),0)</x:f>
        <x:v>0</x:v>
      </x:c>
      <x:c r="G39" s="53" t="n">
        <x:f>MAX(0,E39-D39-F39)</x:f>
        <x:v>0</x:v>
      </x:c>
      <x:c r="H39" s="53" t="n">
        <x:f>G39/issue_price</x:f>
        <x:v>0</x:v>
      </x:c>
      <x:c r="I39" s="53" t="n">
        <x:f>IF(AND(D39&gt;E39,$A39&gt;=dev_start),(D39-E39)*dev_share,0)</x:f>
        <x:v>0</x:v>
      </x:c>
      <x:c r="J39" s="53" t="n">
        <x:f>IF($A39&gt;=dev_start,MAX(0,S38-F39-reserve_buffer*Economy!O39),0)</x:f>
        <x:v>0</x:v>
      </x:c>
      <x:c r="K39" s="53" t="n">
        <x:f>IF(D39&gt;E39,MIN((D39-E39-I39)*repay_share,R38-C39),0)</x:f>
        <x:v>15.569999232070186</x:v>
      </x:c>
      <x:c r="L39" s="53" t="n">
        <x:f>IF(D39&gt;E39,D39-E39-I39-K39,0)</x:f>
        <x:v>3.8924998080175452</x:v>
      </x:c>
      <x:c r="M39" s="53" t="n">
        <x:f>D39+F39+G39-I39-K39-L39</x:f>
        <x:v>27.66173598282311</x:v>
      </x:c>
      <x:c r="N39" s="53" t="n">
        <x:f>I39+J39+Q39*dev_bonds+SUMPRODUCT((Events!$B$6:$B$158&lt;=$A39)*(Events!$C$6:$C$158&gt;=$A39)*(Events!$E$6:$E$158="Investment")*Events!$H$6:$H$158)</x:f>
        <x:v>4.7</x:v>
      </x:c>
      <x:c r="O39" s="53" t="n">
        <x:f>O38*(1-dev_dep)+N39</x:f>
        <x:v>14.399211972</x:v>
      </x:c>
      <x:c r="P39" s="53" t="n">
        <x:f>SUMPRODUCT((Events!$B$6:$B$158&lt;=$A39)*(Events!$C$6:$C$158&gt;=$A39)*(Events!$E$6:$E$158="Debt assumed")*Events!$H$6:$H$158)</x:f>
        <x:v>0</x:v>
      </x:c>
      <x:c r="Q39" s="53" t="n">
        <x:f>IF($A39&lt;1887,0,MAX(0,debt_floor*Economy!O39-(R38+P39+H39-C39-K39)))</x:f>
        <x:v>0</x:v>
      </x:c>
      <x:c r="R39" s="53" t="n">
        <x:f>R38+P39+H39-C39-K39+Q39</x:f>
        <x:v>106.73481875990305</x:v>
      </x:c>
      <x:c r="S39" s="53" t="n">
        <x:f>S38+L39-F39-J39+Q39*(1-dev_bonds)</x:f>
        <x:v>8.07068556112106</x:v>
      </x:c>
      <x:c r="T39" s="69" t="n">
        <x:f>Loans!X39</x:f>
        <x:v>36.23810118560264</x:v>
      </x:c>
      <x:c r="U39" s="53" t="n">
        <x:f>R39-M39-S39-T39</x:f>
        <x:v>34.764296030356256</x:v>
      </x:c>
      <x:c r="V39" s="63" t="n">
        <x:f>R39/Economy!O39</x:f>
        <x:v>0.11523916547328727</x:v>
      </x:c>
      <x:c r="W39" s="63" t="n">
        <x:f>Budget!X39/Budget!M39</x:f>
        <x:v>0.06248673479748675</x:v>
      </x:c>
      <x:c r="X39" s="63" t="n">
        <x:f>S39/Economy!O39</x:f>
        <x:v>0.008713736338963968</x:v>
      </x:c>
      <x:c r="Y39" s="53" t="n">
        <x:f>MAX(0,H39+Q39-'Gold &amp; money'!G39)</x:f>
        <x:v>0</x:v>
      </x:c>
    </x:row>
    <x:row r="40">
      <x:c r="A40" s="58" t="n">
        <x:v>1880</x:v>
      </x:c>
      <x:c r="B40" s="53" t="n">
        <x:f>Loans!V40-Loans!W40</x:f>
        <x:v>-1.3972032423531056</x:v>
      </x:c>
      <x:c r="C40" s="53" t="n">
        <x:f>R39*debt_amort</x:f>
        <x:v>2.134696375198061</x:v>
      </x:c>
      <x:c r="D40" s="53" t="n">
        <x:f>M39+Budget!Z40-B40-C40</x:f>
        <x:v>44.19823126251998</x:v>
      </x:c>
      <x:c r="E40" s="53" t="n">
        <x:f>MAX(0.1,Budget!M40*cash_target)</x:f>
        <x:v>29.452776291466527</x:v>
      </x:c>
      <x:c r="F40" s="53" t="n">
        <x:f>IF(D40&lt;E40,MIN(E40-D40,S39),0)</x:f>
        <x:v>0</x:v>
      </x:c>
      <x:c r="G40" s="53" t="n">
        <x:f>MAX(0,E40-D40-F40)</x:f>
        <x:v>0</x:v>
      </x:c>
      <x:c r="H40" s="53" t="n">
        <x:f>G40/issue_price</x:f>
        <x:v>0</x:v>
      </x:c>
      <x:c r="I40" s="53" t="n">
        <x:f>IF(AND(D40&gt;E40,$A40&gt;=dev_start),(D40-E40)*dev_share,0)</x:f>
        <x:v>10.321818479737418</x:v>
      </x:c>
      <x:c r="J40" s="53" t="n">
        <x:f>IF($A40&gt;=dev_start,MAX(0,S39-F40-reserve_buffer*Economy!O40),0)</x:f>
        <x:v>0</x:v>
      </x:c>
      <x:c r="K40" s="53" t="n">
        <x:f>IF(D40&gt;E40,MIN((D40-E40-I40)*repay_share,R39-C40),0)</x:f>
        <x:v>3.5389091930528296</x:v>
      </x:c>
      <x:c r="L40" s="53" t="n">
        <x:f>IF(D40&gt;E40,D40-E40-I40-K40,0)</x:f>
        <x:v>0.8847272982632073</x:v>
      </x:c>
      <x:c r="M40" s="53" t="n">
        <x:f>D40+F40+G40-I40-K40-L40</x:f>
        <x:v>29.452776291466527</x:v>
      </x:c>
      <x:c r="N40" s="53" t="n">
        <x:f>I40+J40+Q40*dev_bonds+SUMPRODUCT((Events!$B$6:$B$158&lt;=$A40)*(Events!$C$6:$C$158&gt;=$A40)*(Events!$E$6:$E$158="Investment")*Events!$H$6:$H$158)</x:f>
        <x:v>12.821818479737418</x:v>
      </x:c>
      <x:c r="O40" s="53" t="n">
        <x:f>O39*(1-dev_dep)+N40</x:f>
        <x:v>26.789054092577416</x:v>
      </x:c>
      <x:c r="P40" s="53" t="n">
        <x:f>SUMPRODUCT((Events!$B$6:$B$158&lt;=$A40)*(Events!$C$6:$C$158&gt;=$A40)*(Events!$E$6:$E$158="Debt assumed")*Events!$H$6:$H$158)</x:f>
        <x:v>0</x:v>
      </x:c>
      <x:c r="Q40" s="53" t="n">
        <x:f>IF($A40&lt;1887,0,MAX(0,debt_floor*Economy!O40-(R39+P40+H40-C40-K40)))</x:f>
        <x:v>0</x:v>
      </x:c>
      <x:c r="R40" s="53" t="n">
        <x:f>R39+P40+H40-C40-K40+Q40</x:f>
        <x:v>101.06121319165216</x:v>
      </x:c>
      <x:c r="S40" s="53" t="n">
        <x:f>S39+L40-F40-J40+Q40*(1-dev_bonds)</x:f>
        <x:v>8.955412859384268</x:v>
      </x:c>
      <x:c r="T40" s="69" t="n">
        <x:f>Loans!X40</x:f>
        <x:v>34.84089794324953</x:v>
      </x:c>
      <x:c r="U40" s="53" t="n">
        <x:f>R40-M40-S40-T40</x:f>
        <x:v>27.81212609755184</x:v>
      </x:c>
      <x:c r="V40" s="63" t="n">
        <x:f>R40/Economy!O40</x:f>
        <x:v>0.10328416998626093</x:v>
      </x:c>
      <x:c r="W40" s="63" t="n">
        <x:f>Budget!X40/Budget!M40</x:f>
        <x:v>0.04964784991879833</x:v>
      </x:c>
      <x:c r="X40" s="63" t="n">
        <x:f>S40/Economy!O40</x:f>
        <x:v>0.009152397392179679</x:v>
      </x:c>
      <x:c r="Y40" s="53" t="n">
        <x:f>MAX(0,H40+Q40-'Gold &amp; money'!G40)</x:f>
        <x:v>0</x:v>
      </x:c>
    </x:row>
    <x:row r="41">
      <x:c r="A41" s="58" t="n">
        <x:v>1881</x:v>
      </x:c>
      <x:c r="B41" s="53" t="n">
        <x:f>Loans!V41-Loans!W41</x:f>
        <x:v>-1.3428847368111114</x:v>
      </x:c>
      <x:c r="C41" s="53" t="n">
        <x:f>R40*debt_amort</x:f>
        <x:v>2.021224263833043</x:v>
      </x:c>
      <x:c r="D41" s="53" t="n">
        <x:f>M40+Budget!Z41-B41-C41</x:f>
        <x:v>46.59113506803754</x:v>
      </x:c>
      <x:c r="E41" s="53" t="n">
        <x:f>MAX(0.1,Budget!M41*cash_target)</x:f>
        <x:v>28.005785741543946</x:v>
      </x:c>
      <x:c r="F41" s="53" t="n">
        <x:f>IF(D41&lt;E41,MIN(E41-D41,S40),0)</x:f>
        <x:v>0</x:v>
      </x:c>
      <x:c r="G41" s="53" t="n">
        <x:f>MAX(0,E41-D41-F41)</x:f>
        <x:v>0</x:v>
      </x:c>
      <x:c r="H41" s="53" t="n">
        <x:f>G41/issue_price</x:f>
        <x:v>0</x:v>
      </x:c>
      <x:c r="I41" s="53" t="n">
        <x:f>IF(AND(D41&gt;E41,$A41&gt;=dev_start),(D41-E41)*dev_share,0)</x:f>
        <x:v>13.009744528545514</x:v>
      </x:c>
      <x:c r="J41" s="53" t="n">
        <x:f>IF($A41&gt;=dev_start,MAX(0,S40-F41-reserve_buffer*Economy!O41),0)</x:f>
        <x:v>0</x:v>
      </x:c>
      <x:c r="K41" s="53" t="n">
        <x:f>IF(D41&gt;E41,MIN((D41-E41-I41)*repay_share,R40-C41),0)</x:f>
        <x:v>4.460483838358463</x:v>
      </x:c>
      <x:c r="L41" s="53" t="n">
        <x:f>IF(D41&gt;E41,D41-E41-I41-K41,0)</x:f>
        <x:v>1.115120959589615</x:v>
      </x:c>
      <x:c r="M41" s="53" t="n">
        <x:f>D41+F41+G41-I41-K41-L41</x:f>
        <x:v>28.005785741543942</x:v>
      </x:c>
      <x:c r="N41" s="53" t="n">
        <x:f>I41+J41+Q41*dev_bonds+SUMPRODUCT((Events!$B$6:$B$158&lt;=$A41)*(Events!$C$6:$C$158&gt;=$A41)*(Events!$E$6:$E$158="Investment")*Events!$H$6:$H$158)</x:f>
        <x:v>15.509744528545514</x:v>
      </x:c>
      <x:c r="O41" s="53" t="n">
        <x:f>O40*(1-dev_dep)+N41</x:f>
        <x:v>41.49512699834561</x:v>
      </x:c>
      <x:c r="P41" s="53" t="n">
        <x:f>SUMPRODUCT((Events!$B$6:$B$158&lt;=$A41)*(Events!$C$6:$C$158&gt;=$A41)*(Events!$E$6:$E$158="Debt assumed")*Events!$H$6:$H$158)</x:f>
        <x:v>0</x:v>
      </x:c>
      <x:c r="Q41" s="53" t="n">
        <x:f>IF($A41&lt;1887,0,MAX(0,debt_floor*Economy!O41-(R40+P41+H41-C41-K41)))</x:f>
        <x:v>0</x:v>
      </x:c>
      <x:c r="R41" s="53" t="n">
        <x:f>R40+P41+H41-C41-K41+Q41</x:f>
        <x:v>94.57950508946065</x:v>
      </x:c>
      <x:c r="S41" s="53" t="n">
        <x:f>S40+L41-F41-J41+Q41*(1-dev_bonds)</x:f>
        <x:v>10.070533818973882</x:v>
      </x:c>
      <x:c r="T41" s="69" t="n">
        <x:f>Loans!X41</x:f>
        <x:v>33.49801320643842</x:v>
      </x:c>
      <x:c r="U41" s="53" t="n">
        <x:f>R41-M41-S41-T41</x:f>
        <x:v>23.0051723225044</x:v>
      </x:c>
      <x:c r="V41" s="63" t="n">
        <x:f>R41/Economy!O41</x:f>
        <x:v>0.09100271218284446</x:v>
      </x:c>
      <x:c r="W41" s="63" t="n">
        <x:f>Budget!X41/Budget!M41</x:f>
        <x:v>0.04880609032116881</x:v>
      </x:c>
      <x:c r="X41" s="63" t="n">
        <x:f>S41/Economy!O41</x:f>
        <x:v>0.009689687948661138</x:v>
      </x:c>
      <x:c r="Y41" s="53" t="n">
        <x:f>MAX(0,H41+Q41-'Gold &amp; money'!G41)</x:f>
        <x:v>0</x:v>
      </x:c>
    </x:row>
    <x:row r="42">
      <x:c r="A42" s="58" t="n">
        <x:v>1882</x:v>
      </x:c>
      <x:c r="B42" s="53" t="n">
        <x:f>Loans!V42-Loans!W42</x:f>
        <x:v>-1.2906918827662328</x:v>
      </x:c>
      <x:c r="C42" s="53" t="n">
        <x:f>R41*debt_amort</x:f>
        <x:v>1.8915901017892132</x:v>
      </x:c>
      <x:c r="D42" s="53" t="n">
        <x:f>M41+Budget!Z42-B42-C42</x:f>
        <x:v>49.53009349153308</x:v>
      </x:c>
      <x:c r="E42" s="53" t="n">
        <x:f>MAX(0.1,Budget!M42*cash_target)</x:f>
        <x:v>29.588288086374398</x:v>
      </x:c>
      <x:c r="F42" s="53" t="n">
        <x:f>IF(D42&lt;E42,MIN(E42-D42,S41),0)</x:f>
        <x:v>0</x:v>
      </x:c>
      <x:c r="G42" s="53" t="n">
        <x:f>MAX(0,E42-D42-F42)</x:f>
        <x:v>0</x:v>
      </x:c>
      <x:c r="H42" s="53" t="n">
        <x:f>G42/issue_price</x:f>
        <x:v>0</x:v>
      </x:c>
      <x:c r="I42" s="53" t="n">
        <x:f>IF(AND(D42&gt;E42,$A42&gt;=dev_start),(D42-E42)*dev_share,0)</x:f>
        <x:v>13.959263783611076</x:v>
      </x:c>
      <x:c r="J42" s="53" t="n">
        <x:f>IF($A42&gt;=dev_start,MAX(0,S41-F42-reserve_buffer*Economy!O42),0)</x:f>
        <x:v>0</x:v>
      </x:c>
      <x:c r="K42" s="53" t="n">
        <x:f>IF(D42&gt;E42,MIN((D42-E42-I42)*repay_share,R41-C42),0)</x:f>
        <x:v>4.786033297238085</x:v>
      </x:c>
      <x:c r="L42" s="53" t="n">
        <x:f>IF(D42&gt;E42,D42-E42-I42-K42,0)</x:f>
        <x:v>1.1965083243095211</x:v>
      </x:c>
      <x:c r="M42" s="53" t="n">
        <x:f>D42+F42+G42-I42-K42-L42</x:f>
        <x:v>29.588288086374398</x:v>
      </x:c>
      <x:c r="N42" s="53" t="n">
        <x:f>I42+J42+Q42*dev_bonds+SUMPRODUCT((Events!$B$6:$B$158&lt;=$A42)*(Events!$C$6:$C$158&gt;=$A42)*(Events!$E$6:$E$158="Investment")*Events!$H$6:$H$158)</x:f>
        <x:v>16.159263783611078</x:v>
      </x:c>
      <x:c r="O42" s="53" t="n">
        <x:f>O41*(1-dev_dep)+N42</x:f>
        <x:v>56.40953697200632</x:v>
      </x:c>
      <x:c r="P42" s="53" t="n">
        <x:f>SUMPRODUCT((Events!$B$6:$B$158&lt;=$A42)*(Events!$C$6:$C$158&gt;=$A42)*(Events!$E$6:$E$158="Debt assumed")*Events!$H$6:$H$158)</x:f>
        <x:v>0</x:v>
      </x:c>
      <x:c r="Q42" s="53" t="n">
        <x:f>IF($A42&lt;1887,0,MAX(0,debt_floor*Economy!O42-(R41+P42+H42-C42-K42)))</x:f>
        <x:v>0</x:v>
      </x:c>
      <x:c r="R42" s="53" t="n">
        <x:f>R41+P42+H42-C42-K42+Q42</x:f>
        <x:v>87.90188169043336</x:v>
      </x:c>
      <x:c r="S42" s="53" t="n">
        <x:f>S41+L42-F42-J42+Q42*(1-dev_bonds)</x:f>
        <x:v>11.267042143283403</x:v>
      </x:c>
      <x:c r="T42" s="69" t="n">
        <x:f>Loans!X42</x:f>
        <x:v>32.20732132367219</x:v>
      </x:c>
      <x:c r="U42" s="53" t="n">
        <x:f>R42-M42-S42-T42</x:f>
        <x:v>14.839230137103364</x:v>
      </x:c>
      <x:c r="V42" s="63" t="n">
        <x:f>R42/Economy!O42</x:f>
        <x:v>0.07992326211949392</x:v>
      </x:c>
      <x:c r="W42" s="63" t="n">
        <x:f>Budget!X42/Budget!M42</x:f>
        <x:v>0.04275343260410113</x:v>
      </x:c>
      <x:c r="X42" s="63" t="n">
        <x:f>S42/Economy!O42</x:f>
        <x:v>0.01024436275096291</x:v>
      </x:c>
      <x:c r="Y42" s="53" t="n">
        <x:f>MAX(0,H42+Q42-'Gold &amp; money'!G42)</x:f>
        <x:v>0</x:v>
      </x:c>
    </x:row>
    <x:row r="43">
      <x:c r="A43" s="58" t="n">
        <x:v>1883</x:v>
      </x:c>
      <x:c r="B43" s="53" t="n">
        <x:f>Loans!V43-Loans!W43</x:f>
        <x:v>-1.2405410668203227</x:v>
      </x:c>
      <x:c r="C43" s="53" t="n">
        <x:f>R42*debt_amort</x:f>
        <x:v>1.7580376338086672</x:v>
      </x:c>
      <x:c r="D43" s="53" t="n">
        <x:f>M42+Budget!Z43-B43-C43</x:f>
        <x:v>52.60913702525242</x:v>
      </x:c>
      <x:c r="E43" s="53" t="n">
        <x:f>MAX(0.1,Budget!M43*cash_target)</x:f>
        <x:v>31.193498291018848</x:v>
      </x:c>
      <x:c r="F43" s="53" t="n">
        <x:f>IF(D43&lt;E43,MIN(E43-D43,S42),0)</x:f>
        <x:v>0</x:v>
      </x:c>
      <x:c r="G43" s="53" t="n">
        <x:f>MAX(0,E43-D43-F43)</x:f>
        <x:v>0</x:v>
      </x:c>
      <x:c r="H43" s="53" t="n">
        <x:f>G43/issue_price</x:f>
        <x:v>0</x:v>
      </x:c>
      <x:c r="I43" s="53" t="n">
        <x:f>IF(AND(D43&gt;E43,$A43&gt;=dev_start),(D43-E43)*dev_share,0)</x:f>
        <x:v>14.990947113963502</x:v>
      </x:c>
      <x:c r="J43" s="53" t="n">
        <x:f>IF($A43&gt;=dev_start,MAX(0,S42-F43-reserve_buffer*Economy!O43),0)</x:f>
        <x:v>0</x:v>
      </x:c>
      <x:c r="K43" s="53" t="n">
        <x:f>IF(D43&gt;E43,MIN((D43-E43-I43)*repay_share,R42-C43),0)</x:f>
        <x:v>5.139753296216059</x:v>
      </x:c>
      <x:c r="L43" s="53" t="n">
        <x:f>IF(D43&gt;E43,D43-E43-I43-K43,0)</x:f>
        <x:v>1.2849383240540142</x:v>
      </x:c>
      <x:c r="M43" s="53" t="n">
        <x:f>D43+F43+G43-I43-K43-L43</x:f>
        <x:v>31.19349829101885</x:v>
      </x:c>
      <x:c r="N43" s="53" t="n">
        <x:f>I43+J43+Q43*dev_bonds+SUMPRODUCT((Events!$B$6:$B$158&lt;=$A43)*(Events!$C$6:$C$158&gt;=$A43)*(Events!$E$6:$E$158="Investment")*Events!$H$6:$H$158)</x:f>
        <x:v>16.190947113963503</x:v>
      </x:c>
      <x:c r="O43" s="53" t="n">
        <x:f>O42*(1-dev_dep)+N43</x:f>
        <x:v>70.90819797680963</x:v>
      </x:c>
      <x:c r="P43" s="53" t="n">
        <x:f>SUMPRODUCT((Events!$B$6:$B$158&lt;=$A43)*(Events!$C$6:$C$158&gt;=$A43)*(Events!$E$6:$E$158="Debt assumed")*Events!$H$6:$H$158)</x:f>
        <x:v>0</x:v>
      </x:c>
      <x:c r="Q43" s="53" t="n">
        <x:f>IF($A43&lt;1887,0,MAX(0,debt_floor*Economy!O43-(R42+P43+H43-C43-K43)))</x:f>
        <x:v>0</x:v>
      </x:c>
      <x:c r="R43" s="53" t="n">
        <x:f>R42+P43+H43-C43-K43+Q43</x:f>
        <x:v>81.00409076040863</x:v>
      </x:c>
      <x:c r="S43" s="53" t="n">
        <x:f>S42+L43-F43-J43+Q43*(1-dev_bonds)</x:f>
        <x:v>12.551980467337417</x:v>
      </x:c>
      <x:c r="T43" s="69" t="n">
        <x:f>Loans!X43</x:f>
        <x:v>30.96678025685187</x:v>
      </x:c>
      <x:c r="U43" s="53" t="n">
        <x:f>R43-M43-S43-T43</x:f>
        <x:v>6.29183174520049</x:v>
      </x:c>
      <x:c r="V43" s="63" t="n">
        <x:f>R43/Economy!O43</x:f>
        <x:v>0.06968108444194383</x:v>
      </x:c>
      <x:c r="W43" s="63" t="n">
        <x:f>Budget!X43/Budget!M43</x:f>
        <x:v>0.03719700905261377</x:v>
      </x:c>
      <x:c r="X43" s="63" t="n">
        <x:f>S43/Economy!O43</x:f>
        <x:v>0.01079742519973637</x:v>
      </x:c>
      <x:c r="Y43" s="53" t="n">
        <x:f>MAX(0,H43+Q43-'Gold &amp; money'!G43)</x:f>
        <x:v>0</x:v>
      </x:c>
    </x:row>
    <x:row r="44">
      <x:c r="A44" s="58" t="n">
        <x:v>1884</x:v>
      </x:c>
      <x:c r="B44" s="53" t="n">
        <x:f>Loans!V44-Loans!W44</x:f>
        <x:v>-1.192351977731307</x:v>
      </x:c>
      <x:c r="C44" s="53" t="n">
        <x:f>R43*debt_amort</x:f>
        <x:v>1.6200818152081726</x:v>
      </x:c>
      <x:c r="D44" s="53" t="n">
        <x:f>M43+Budget!Z44-B44-C44</x:f>
        <x:v>53.96048942998264</x:v>
      </x:c>
      <x:c r="E44" s="53" t="n">
        <x:f>MAX(0.1,Budget!M44*cash_target)</x:f>
        <x:v>32.28170720645956</x:v>
      </x:c>
      <x:c r="F44" s="53" t="n">
        <x:f>IF(D44&lt;E44,MIN(E44-D44,S43),0)</x:f>
        <x:v>0</x:v>
      </x:c>
      <x:c r="G44" s="53" t="n">
        <x:f>MAX(0,E44-D44-F44)</x:f>
        <x:v>0</x:v>
      </x:c>
      <x:c r="H44" s="53" t="n">
        <x:f>G44/issue_price</x:f>
        <x:v>0</x:v>
      </x:c>
      <x:c r="I44" s="53" t="n">
        <x:f>IF(AND(D44&gt;E44,$A44&gt;=dev_start),(D44-E44)*dev_share,0)</x:f>
        <x:v>15.175147556466154</x:v>
      </x:c>
      <x:c r="J44" s="53" t="n">
        <x:f>IF($A44&gt;=dev_start,MAX(0,S43-F44-reserve_buffer*Economy!O44),0)</x:f>
        <x:v>0</x:v>
      </x:c>
      <x:c r="K44" s="53" t="n">
        <x:f>IF(D44&gt;E44,MIN((D44-E44-I44)*repay_share,R43-C44),0)</x:f>
        <x:v>5.2029077336455405</x:v>
      </x:c>
      <x:c r="L44" s="53" t="n">
        <x:f>IF(D44&gt;E44,D44-E44-I44-K44,0)</x:f>
        <x:v>1.3007269334113847</x:v>
      </x:c>
      <x:c r="M44" s="53" t="n">
        <x:f>D44+F44+G44-I44-K44-L44</x:f>
        <x:v>32.281707206459565</x:v>
      </x:c>
      <x:c r="N44" s="53" t="n">
        <x:f>I44+J44+Q44*dev_bonds+SUMPRODUCT((Events!$B$6:$B$158&lt;=$A44)*(Events!$C$6:$C$158&gt;=$A44)*(Events!$E$6:$E$158="Investment")*Events!$H$6:$H$158)</x:f>
        <x:v>16.375147556466153</x:v>
      </x:c>
      <x:c r="O44" s="53" t="n">
        <x:f>O43*(1-dev_dep)+N44</x:f>
        <x:v>85.1560995939715</x:v>
      </x:c>
      <x:c r="P44" s="53" t="n">
        <x:f>SUMPRODUCT((Events!$B$6:$B$158&lt;=$A44)*(Events!$C$6:$C$158&gt;=$A44)*(Events!$E$6:$E$158="Debt assumed")*Events!$H$6:$H$158)</x:f>
        <x:v>0</x:v>
      </x:c>
      <x:c r="Q44" s="53" t="n">
        <x:f>IF($A44&lt;1887,0,MAX(0,debt_floor*Economy!O44-(R43+P44+H44-C44-K44)))</x:f>
        <x:v>0</x:v>
      </x:c>
      <x:c r="R44" s="53" t="n">
        <x:f>R43+P44+H44-C44-K44+Q44</x:f>
        <x:v>74.18110121155492</x:v>
      </x:c>
      <x:c r="S44" s="53" t="n">
        <x:f>S43+L44-F44-J44+Q44*(1-dev_bonds)</x:f>
        <x:v>13.852707400748802</x:v>
      </x:c>
      <x:c r="T44" s="69" t="n">
        <x:f>Loans!X44</x:f>
        <x:v>29.774428279120563</x:v>
      </x:c>
      <x:c r="U44" s="53" t="n">
        <x:f>R44-M44-S44-T44</x:f>
        <x:v>-1.7277416747740126</x:v>
      </x:c>
      <x:c r="V44" s="63" t="n">
        <x:f>R44/Economy!O44</x:f>
        <x:v>0.0616246083026411</x:v>
      </x:c>
      <x:c r="W44" s="63" t="n">
        <x:f>Budget!X44/Budget!M44</x:f>
        <x:v>0.032746204457607085</x:v>
      </x:c>
      <x:c r="X44" s="63" t="n">
        <x:f>S44/Economy!O44</x:f>
        <x:v>0.011507886153748143</x:v>
      </x:c>
      <x:c r="Y44" s="53" t="n">
        <x:f>MAX(0,H44+Q44-'Gold &amp; money'!G44)</x:f>
        <x:v>0</x:v>
      </x:c>
    </x:row>
    <x:row r="45">
      <x:c r="A45" s="58" t="n">
        <x:v>1885</x:v>
      </x:c>
      <x:c r="B45" s="53" t="n">
        <x:f>Loans!V45-Loans!W45</x:f>
        <x:v>-0.5460474755983377</x:v>
      </x:c>
      <x:c r="C45" s="53" t="n">
        <x:f>R44*debt_amort</x:f>
        <x:v>1.4836220242310985</x:v>
      </x:c>
      <x:c r="D45" s="53" t="n">
        <x:f>M44+Budget!Z45-B45-C45</x:f>
        <x:v>56.46792909381696</x:v>
      </x:c>
      <x:c r="E45" s="53" t="n">
        <x:f>MAX(0.1,Budget!M45*cash_target)</x:f>
        <x:v>34.04456414206859</x:v>
      </x:c>
      <x:c r="F45" s="53" t="n">
        <x:f>IF(D45&lt;E45,MIN(E45-D45,S44),0)</x:f>
        <x:v>0</x:v>
      </x:c>
      <x:c r="G45" s="53" t="n">
        <x:f>MAX(0,E45-D45-F45)</x:f>
        <x:v>0</x:v>
      </x:c>
      <x:c r="H45" s="53" t="n">
        <x:f>G45/issue_price</x:f>
        <x:v>0</x:v>
      </x:c>
      <x:c r="I45" s="53" t="n">
        <x:f>IF(AND(D45&gt;E45,$A45&gt;=dev_start),(D45-E45)*dev_share,0)</x:f>
        <x:v>15.696355466223862</x:v>
      </x:c>
      <x:c r="J45" s="53" t="n">
        <x:f>IF($A45&gt;=dev_start,MAX(0,S44-F45-reserve_buffer*Economy!O45),0)</x:f>
        <x:v>0</x:v>
      </x:c>
      <x:c r="K45" s="53" t="n">
        <x:f>IF(D45&gt;E45,MIN((D45-E45-I45)*repay_share,R44-C45),0)</x:f>
        <x:v>5.3816075884196115</x:v>
      </x:c>
      <x:c r="L45" s="53" t="n">
        <x:f>IF(D45&gt;E45,D45-E45-I45-K45,0)</x:f>
        <x:v>1.3454018971049022</x:v>
      </x:c>
      <x:c r="M45" s="53" t="n">
        <x:f>D45+F45+G45-I45-K45-L45</x:f>
        <x:v>34.04456414206859</x:v>
      </x:c>
      <x:c r="N45" s="53" t="n">
        <x:f>I45+J45+Q45*dev_bonds+SUMPRODUCT((Events!$B$6:$B$158&lt;=$A45)*(Events!$C$6:$C$158&gt;=$A45)*(Events!$E$6:$E$158="Investment")*Events!$H$6:$H$158)</x:f>
        <x:v>16.896355466223863</x:v>
      </x:c>
      <x:c r="O45" s="53" t="n">
        <x:f>O44*(1-dev_dep)+N45</x:f>
        <x:v>99.49777207237622</x:v>
      </x:c>
      <x:c r="P45" s="53" t="n">
        <x:f>SUMPRODUCT((Events!$B$6:$B$158&lt;=$A45)*(Events!$C$6:$C$158&gt;=$A45)*(Events!$E$6:$E$158="Debt assumed")*Events!$H$6:$H$158)</x:f>
        <x:v>0</x:v>
      </x:c>
      <x:c r="Q45" s="53" t="n">
        <x:f>IF($A45&lt;1887,0,MAX(0,debt_floor*Economy!O45-(R44+P45+H45-C45-K45)))</x:f>
        <x:v>0</x:v>
      </x:c>
      <x:c r="R45" s="53" t="n">
        <x:f>R44+P45+H45-C45-K45+Q45</x:f>
        <x:v>67.31587159890421</x:v>
      </x:c>
      <x:c r="S45" s="53" t="n">
        <x:f>S44+L45-F45-J45+Q45*(1-dev_bonds)</x:f>
        <x:v>15.198109297853705</x:v>
      </x:c>
      <x:c r="T45" s="69" t="n">
        <x:f>Loans!X45</x:f>
        <x:v>29.22838080352222</x:v>
      </x:c>
      <x:c r="U45" s="53" t="n">
        <x:f>R45-M45-S45-T45</x:f>
        <x:v>-11.155182644540304</x:v>
      </x:c>
      <x:c r="V45" s="63" t="n">
        <x:f>R45/Economy!O45</x:f>
        <x:v>0.05293305314599403</x:v>
      </x:c>
      <x:c r="W45" s="63" t="n">
        <x:f>Budget!X45/Budget!M45</x:f>
        <x:v>0.0280538671052799</x:v>
      </x:c>
      <x:c r="X45" s="63" t="n">
        <x:f>S45/Economy!O45</x:f>
        <x:v>0.01195085658216467</x:v>
      </x:c>
      <x:c r="Y45" s="53" t="n">
        <x:f>MAX(0,H45+Q45-'Gold &amp; money'!G45)</x:f>
        <x:v>0</x:v>
      </x:c>
    </x:row>
    <x:row r="46">
      <x:c r="A46" s="58" t="n">
        <x:v>1886</x:v>
      </x:c>
      <x:c r="B46" s="53" t="n">
        <x:f>Loans!V46-Loans!W46</x:f>
        <x:v>-1.1255534662413986</x:v>
      </x:c>
      <x:c r="C46" s="53" t="n">
        <x:f>R45*debt_amort</x:f>
        <x:v>1.3463174319780842</x:v>
      </x:c>
      <x:c r="D46" s="53" t="n">
        <x:f>M45+Budget!Z46-B46-C46</x:f>
        <x:v>63.70144919054301</x:v>
      </x:c>
      <x:c r="E46" s="53" t="n">
        <x:f>MAX(0.1,Budget!M46*cash_target)</x:f>
        <x:v>37.019706133456964</x:v>
      </x:c>
      <x:c r="F46" s="53" t="n">
        <x:f>IF(D46&lt;E46,MIN(E46-D46,S45),0)</x:f>
        <x:v>0</x:v>
      </x:c>
      <x:c r="G46" s="53" t="n">
        <x:f>MAX(0,E46-D46-F46)</x:f>
        <x:v>0</x:v>
      </x:c>
      <x:c r="H46" s="53" t="n">
        <x:f>G46/issue_price</x:f>
        <x:v>0</x:v>
      </x:c>
      <x:c r="I46" s="53" t="n">
        <x:f>IF(AND(D46&gt;E46,$A46&gt;=dev_start),(D46-E46)*dev_share,0)</x:f>
        <x:v>18.67722013996023</x:v>
      </x:c>
      <x:c r="J46" s="53" t="n">
        <x:f>IF($A46&gt;=dev_start,MAX(0,S45-F46-reserve_buffer*Economy!O46),0)</x:f>
        <x:v>0</x:v>
      </x:c>
      <x:c r="K46" s="53" t="n">
        <x:f>IF(D46&gt;E46,MIN((D46-E46-I46)*repay_share,R45-C46),0)</x:f>
        <x:v>6.403618333700653</x:v>
      </x:c>
      <x:c r="L46" s="53" t="n">
        <x:f>IF(D46&gt;E46,D46-E46-I46-K46,0)</x:f>
        <x:v>1.6009045834251623</x:v>
      </x:c>
      <x:c r="M46" s="53" t="n">
        <x:f>D46+F46+G46-I46-K46-L46</x:f>
        <x:v>37.019706133456964</x:v>
      </x:c>
      <x:c r="N46" s="53" t="n">
        <x:f>I46+J46+Q46*dev_bonds+SUMPRODUCT((Events!$B$6:$B$158&lt;=$A46)*(Events!$C$6:$C$158&gt;=$A46)*(Events!$E$6:$E$158="Investment")*Events!$H$6:$H$158)</x:f>
        <x:v>18.67722013996023</x:v>
      </x:c>
      <x:c r="O46" s="53" t="n">
        <x:f>O45*(1-dev_dep)+N46</x:f>
        <x:v>115.19005905016516</x:v>
      </x:c>
      <x:c r="P46" s="53" t="n">
        <x:f>SUMPRODUCT((Events!$B$6:$B$158&lt;=$A46)*(Events!$C$6:$C$158&gt;=$A46)*(Events!$E$6:$E$158="Debt assumed")*Events!$H$6:$H$158)</x:f>
        <x:v>0</x:v>
      </x:c>
      <x:c r="Q46" s="53" t="n">
        <x:f>IF($A46&lt;1887,0,MAX(0,debt_floor*Economy!O46-(R45+P46+H46-C46-K46)))</x:f>
        <x:v>0</x:v>
      </x:c>
      <x:c r="R46" s="53" t="n">
        <x:f>R45+P46+H46-C46-K46+Q46</x:f>
        <x:v>59.56593583322548</x:v>
      </x:c>
      <x:c r="S46" s="53" t="n">
        <x:f>S45+L46-F46-J46+Q46*(1-dev_bonds)</x:f>
        <x:v>16.799013881278867</x:v>
      </x:c>
      <x:c r="T46" s="69" t="n">
        <x:f>Loans!X46</x:f>
        <x:v>28.10282733728083</x:v>
      </x:c>
      <x:c r="U46" s="53" t="n">
        <x:f>R46-M46-S46-T46</x:f>
        <x:v>-22.35561151879118</x:v>
      </x:c>
      <x:c r="V46" s="63" t="n">
        <x:f>R46/Economy!O46</x:f>
        <x:v>0.042960099253199206</x:v>
      </x:c>
      <x:c r="W46" s="63" t="n">
        <x:f>Budget!X46/Budget!M46</x:f>
        <x:v>0.023138878061538675</x:v>
      </x:c>
      <x:c r="X46" s="63" t="n">
        <x:f>S46/Economy!O46</x:f>
        <x:v>0.01211577210364349</x:v>
      </x:c>
      <x:c r="Y46" s="53" t="n">
        <x:f>MAX(0,H46+Q46-'Gold &amp; money'!G46)</x:f>
        <x:v>0</x:v>
      </x:c>
    </x:row>
    <x:row r="47">
      <x:c r="A47" s="58" t="n">
        <x:v>1887</x:v>
      </x:c>
      <x:c r="B47" s="53" t="n">
        <x:f>Loans!V47-Loans!W47</x:f>
        <x:v>-1.0818387805687273</x:v>
      </x:c>
      <x:c r="C47" s="53" t="n">
        <x:f>R46*debt_amort</x:f>
        <x:v>1.1913187166645096</x:v>
      </x:c>
      <x:c r="D47" s="53" t="n">
        <x:f>M46+Budget!Z47-B47-C47</x:f>
        <x:v>68.79567094507868</x:v>
      </x:c>
      <x:c r="E47" s="53" t="n">
        <x:f>MAX(0.1,Budget!M47*cash_target)</x:f>
        <x:v>39.523242003198995</x:v>
      </x:c>
      <x:c r="F47" s="53" t="n">
        <x:f>IF(D47&lt;E47,MIN(E47-D47,S46),0)</x:f>
        <x:v>0</x:v>
      </x:c>
      <x:c r="G47" s="53" t="n">
        <x:f>MAX(0,E47-D47-F47)</x:f>
        <x:v>0</x:v>
      </x:c>
      <x:c r="H47" s="53" t="n">
        <x:f>G47/issue_price</x:f>
        <x:v>0</x:v>
      </x:c>
      <x:c r="I47" s="53" t="n">
        <x:f>IF(AND(D47&gt;E47,$A47&gt;=dev_start),(D47-E47)*dev_share,0)</x:f>
        <x:v>20.49070025931578</x:v>
      </x:c>
      <x:c r="J47" s="53" t="n">
        <x:f>IF($A47&gt;=dev_start,MAX(0,S46-F47-reserve_buffer*Economy!O47),0)</x:f>
        <x:v>0</x:v>
      </x:c>
      <x:c r="K47" s="53" t="n">
        <x:f>IF(D47&gt;E47,MIN((D47-E47-I47)*repay_share,R46-C47),0)</x:f>
        <x:v>7.025382946051128</x:v>
      </x:c>
      <x:c r="L47" s="53" t="n">
        <x:f>IF(D47&gt;E47,D47-E47-I47-K47,0)</x:f>
        <x:v>1.756345736512781</x:v>
      </x:c>
      <x:c r="M47" s="53" t="n">
        <x:f>D47+F47+G47-I47-K47-L47</x:f>
        <x:v>39.52324200319899</x:v>
      </x:c>
      <x:c r="N47" s="53" t="n">
        <x:f>I47+J47+Q47*dev_bonds+SUMPRODUCT((Events!$B$6:$B$158&lt;=$A47)*(Events!$C$6:$C$158&gt;=$A47)*(Events!$E$6:$E$158="Investment")*Events!$H$6:$H$158)</x:f>
        <x:v>43.36632931950154</x:v>
      </x:c>
      <x:c r="O47" s="53" t="n">
        <x:f>O46*(1-dev_dep)+N47</x:f>
        <x:v>155.10068659816173</x:v>
      </x:c>
      <x:c r="P47" s="53" t="n">
        <x:f>SUMPRODUCT((Events!$B$6:$B$158&lt;=$A47)*(Events!$C$6:$C$158&gt;=$A47)*(Events!$E$6:$E$158="Debt assumed")*Events!$H$6:$H$158)</x:f>
        <x:v>0</x:v>
      </x:c>
      <x:c r="Q47" s="53" t="n">
        <x:f>IF($A47&lt;1887,0,MAX(0,debt_floor*Economy!O47-(R46+P47+H47-C47-K47)))</x:f>
        <x:v>22.87562906018576</x:v>
      </x:c>
      <x:c r="R47" s="53" t="n">
        <x:f>R46+P47+H47-C47-K47+Q47</x:f>
        <x:v>74.2248632306956</x:v>
      </x:c>
      <x:c r="S47" s="53" t="n">
        <x:f>S46+L47-F47-J47+Q47*(1-dev_bonds)</x:f>
        <x:v>18.555359617791648</x:v>
      </x:c>
      <x:c r="T47" s="69" t="n">
        <x:f>Loans!X47</x:f>
        <x:v>27.020988556712098</x:v>
      </x:c>
      <x:c r="U47" s="53" t="n">
        <x:f>R47-M47-S47-T47</x:f>
        <x:v>-10.87472694700713</x:v>
      </x:c>
      <x:c r="V47" s="63" t="n">
        <x:f>R47/Economy!O47</x:f>
        <x:v>0.05</x:v>
      </x:c>
      <x:c r="W47" s="63" t="n">
        <x:f>Budget!X47/Budget!M47</x:f>
        <x:v>0.018914250370616694</x:v>
      </x:c>
      <x:c r="X47" s="63" t="n">
        <x:f>S47/Economy!O47</x:f>
        <x:v>0.012499423245901047</x:v>
      </x:c>
      <x:c r="Y47" s="53" t="n">
        <x:f>MAX(0,H47+Q47-'Gold &amp; money'!G47)</x:f>
        <x:v>22.87562906018576</x:v>
      </x:c>
    </x:row>
    <x:row r="48">
      <x:c r="A48" s="58" t="n">
        <x:v>1888</x:v>
      </x:c>
      <x:c r="B48" s="53" t="n">
        <x:f>Loans!V48-Loans!W48</x:f>
        <x:v>1.9601665412663465</x:v>
      </x:c>
      <x:c r="C48" s="53" t="n">
        <x:f>R47*debt_amort</x:f>
        <x:v>1.484497264613912</x:v>
      </x:c>
      <x:c r="D48" s="53" t="n">
        <x:f>M47+Budget!Z48-B48-C48</x:f>
        <x:v>68.26411352264734</x:v>
      </x:c>
      <x:c r="E48" s="53" t="n">
        <x:f>MAX(0.1,Budget!M48*cash_target)</x:f>
        <x:v>40.67501860917824</x:v>
      </x:c>
      <x:c r="F48" s="53" t="n">
        <x:f>IF(D48&lt;E48,MIN(E48-D48,S47),0)</x:f>
        <x:v>0</x:v>
      </x:c>
      <x:c r="G48" s="53" t="n">
        <x:f>MAX(0,E48-D48-F48)</x:f>
        <x:v>0</x:v>
      </x:c>
      <x:c r="H48" s="53" t="n">
        <x:f>G48/issue_price</x:f>
        <x:v>0</x:v>
      </x:c>
      <x:c r="I48" s="53" t="n">
        <x:f>IF(AND(D48&gt;E48,$A48&gt;=dev_start),(D48-E48)*dev_share,0)</x:f>
        <x:v>19.312366439428367</x:v>
      </x:c>
      <x:c r="J48" s="53" t="n">
        <x:f>IF($A48&gt;=dev_start,MAX(0,S47-F48-reserve_buffer*Economy!O48),0)</x:f>
        <x:v>0</x:v>
      </x:c>
      <x:c r="K48" s="53" t="n">
        <x:f>IF(D48&gt;E48,MIN((D48-E48-I48)*repay_share,R47-C48),0)</x:f>
        <x:v>6.621382779232585</x:v>
      </x:c>
      <x:c r="L48" s="53" t="n">
        <x:f>IF(D48&gt;E48,D48-E48-I48-K48,0)</x:f>
        <x:v>1.6553456948081458</x:v>
      </x:c>
      <x:c r="M48" s="53" t="n">
        <x:f>D48+F48+G48-I48-K48-L48</x:f>
        <x:v>40.67501860917824</x:v>
      </x:c>
      <x:c r="N48" s="53" t="n">
        <x:f>I48+J48+Q48*dev_bonds+SUMPRODUCT((Events!$B$6:$B$158&lt;=$A48)*(Events!$C$6:$C$158&gt;=$A48)*(Events!$E$6:$E$158="Investment")*Events!$H$6:$H$158)</x:f>
        <x:v>32.83057718632643</x:v>
      </x:c>
      <x:c r="O48" s="53" t="n">
        <x:f>O47*(1-dev_dep)+N48</x:f>
        <x:v>183.2782431865433</x:v>
      </x:c>
      <x:c r="P48" s="53" t="n">
        <x:f>SUMPRODUCT((Events!$B$6:$B$158&lt;=$A48)*(Events!$C$6:$C$158&gt;=$A48)*(Events!$E$6:$E$158="Debt assumed")*Events!$H$6:$H$158)</x:f>
        <x:v>0</x:v>
      </x:c>
      <x:c r="Q48" s="53" t="n">
        <x:f>IF($A48&lt;1887,0,MAX(0,debt_floor*Economy!O48-(R47+P48+H48-C48-K48)))</x:f>
        <x:v>13.518210746898063</x:v>
      </x:c>
      <x:c r="R48" s="53" t="n">
        <x:f>R47+P48+H48-C48-K48+Q48</x:f>
        <x:v>79.63719393374717</x:v>
      </x:c>
      <x:c r="S48" s="53" t="n">
        <x:f>S47+L48-F48-J48+Q48*(1-dev_bonds)</x:f>
        <x:v>20.210705312599792</x:v>
      </x:c>
      <x:c r="T48" s="69" t="n">
        <x:f>Loans!X48</x:f>
        <x:v>28.98115509797844</x:v>
      </x:c>
      <x:c r="U48" s="53" t="n">
        <x:f>R48-M48-S48-T48</x:f>
        <x:v>-10.229685086009301</x:v>
      </x:c>
      <x:c r="V48" s="63" t="n">
        <x:f>R48/Economy!O48</x:f>
        <x:v>0.05</x:v>
      </x:c>
      <x:c r="W48" s="63" t="n">
        <x:f>Budget!X48/Budget!M48</x:f>
        <x:v>0.02262785207067961</x:v>
      </x:c>
      <x:c r="X48" s="63" t="n">
        <x:f>S48/Economy!O48</x:f>
        <x:v>0.01268923747452337</x:v>
      </x:c>
      <x:c r="Y48" s="53" t="n">
        <x:f>MAX(0,H48+Q48-'Gold &amp; money'!G48)</x:f>
        <x:v>13.518210746898063</x:v>
      </x:c>
    </x:row>
    <x:row r="49">
      <x:c r="A49" s="58" t="n">
        <x:v>1889</x:v>
      </x:c>
      <x:c r="B49" s="53" t="n">
        <x:f>Loans!V49-Loans!W49</x:f>
        <x:v>1.880529697109648</x:v>
      </x:c>
      <x:c r="C49" s="53" t="n">
        <x:f>R48*debt_amort</x:f>
        <x:v>1.5927438786749435</x:v>
      </x:c>
      <x:c r="D49" s="53" t="n">
        <x:f>M48+Budget!Z49-B49-C49</x:f>
        <x:v>42.41469436095681</x:v>
      </x:c>
      <x:c r="E49" s="53" t="n">
        <x:f>MAX(0.1,Budget!M49*cash_target)</x:f>
        <x:v>43.35152144858487</x:v>
      </x:c>
      <x:c r="F49" s="53" t="n">
        <x:f>IF(D49&lt;E49,MIN(E49-D49,S48),0)</x:f>
        <x:v>0.9368270876280604</x:v>
      </x:c>
      <x:c r="G49" s="53" t="n">
        <x:f>MAX(0,E49-D49-F49)</x:f>
        <x:v>0</x:v>
      </x:c>
      <x:c r="H49" s="53" t="n">
        <x:f>G49/issue_price</x:f>
        <x:v>0</x:v>
      </x:c>
      <x:c r="I49" s="53" t="n">
        <x:f>IF(AND(D49&gt;E49,$A49&gt;=dev_start),(D49-E49)*dev_share,0)</x:f>
        <x:v>0</x:v>
      </x:c>
      <x:c r="J49" s="53" t="n">
        <x:f>IF($A49&gt;=dev_start,MAX(0,S48-F49-reserve_buffer*Economy!O49),0)</x:f>
        <x:v>0</x:v>
      </x:c>
      <x:c r="K49" s="53" t="n">
        <x:f>IF(D49&gt;E49,MIN((D49-E49-I49)*repay_share,R48-C49),0)</x:f>
        <x:v>0</x:v>
      </x:c>
      <x:c r="L49" s="53" t="n">
        <x:f>IF(D49&gt;E49,D49-E49-I49-K49,0)</x:f>
        <x:v>0</x:v>
      </x:c>
      <x:c r="M49" s="53" t="n">
        <x:f>D49+F49+G49-I49-K49-L49</x:f>
        <x:v>43.35152144858487</x:v>
      </x:c>
      <x:c r="N49" s="53" t="n">
        <x:f>I49+J49+Q49*dev_bonds+SUMPRODUCT((Events!$B$6:$B$158&lt;=$A49)*(Events!$C$6:$C$158&gt;=$A49)*(Events!$E$6:$E$158="Investment")*Events!$H$6:$H$158)</x:f>
        <x:v>6.98673282643739</x:v>
      </x:c>
      <x:c r="O49" s="53" t="n">
        <x:f>O48*(1-dev_dep)+N49</x:f>
        <x:v>184.76662871738438</x:v>
      </x:c>
      <x:c r="P49" s="53" t="n">
        <x:f>SUMPRODUCT((Events!$B$6:$B$158&lt;=$A49)*(Events!$C$6:$C$158&gt;=$A49)*(Events!$E$6:$E$158="Debt assumed")*Events!$H$6:$H$158)</x:f>
        <x:v>0</x:v>
      </x:c>
      <x:c r="Q49" s="53" t="n">
        <x:f>IF($A49&lt;1887,0,MAX(0,debt_floor*Economy!O49-(R48+P49+H49-C49-K49)))</x:f>
        <x:v>6.98673282643739</x:v>
      </x:c>
      <x:c r="R49" s="53" t="n">
        <x:f>R48+P49+H49-C49-K49+Q49</x:f>
        <x:v>85.03118288150962</x:v>
      </x:c>
      <x:c r="S49" s="53" t="n">
        <x:f>S48+L49-F49-J49+Q49*(1-dev_bonds)</x:f>
        <x:v>19.27387822497173</x:v>
      </x:c>
      <x:c r="T49" s="69" t="n">
        <x:f>Loans!X49</x:f>
        <x:v>30.86168479508809</x:v>
      </x:c>
      <x:c r="U49" s="53" t="n">
        <x:f>R49-M49-S49-T49</x:f>
        <x:v>-8.45590158713507</x:v>
      </x:c>
      <x:c r="V49" s="63" t="n">
        <x:f>R49/Economy!O49</x:f>
        <x:v>0.05</x:v>
      </x:c>
      <x:c r="W49" s="63" t="n">
        <x:f>Budget!X49/Budget!M49</x:f>
        <x:v>0.02245745162588381</x:v>
      </x:c>
      <x:c r="X49" s="63" t="n">
        <x:f>S49/Economy!O49</x:f>
        <x:v>0.011333417677976885</x:v>
      </x:c>
      <x:c r="Y49" s="53" t="n">
        <x:f>MAX(0,H49+Q49-'Gold &amp; money'!G49)</x:f>
        <x:v>6.98673282643739</x:v>
      </x:c>
    </x:row>
    <x:row r="50">
      <x:c r="A50" s="58" t="n">
        <x:v>1890</x:v>
      </x:c>
      <x:c r="B50" s="53" t="n">
        <x:f>Loans!V50-Loans!W50</x:f>
        <x:v>0.3041152321943983</x:v>
      </x:c>
      <x:c r="C50" s="53" t="n">
        <x:f>R49*debt_amort</x:f>
        <x:v>1.7006236576301925</x:v>
      </x:c>
      <x:c r="D50" s="53" t="n">
        <x:f>M49+Budget!Z50-B50-C50</x:f>
        <x:v>67.01218884366926</x:v>
      </x:c>
      <x:c r="E50" s="53" t="n">
        <x:f>MAX(0.1,Budget!M50*cash_target)</x:f>
        <x:v>48.676138775263965</x:v>
      </x:c>
      <x:c r="F50" s="53" t="n">
        <x:f>IF(D50&lt;E50,MIN(E50-D50,S49),0)</x:f>
        <x:v>0</x:v>
      </x:c>
      <x:c r="G50" s="53" t="n">
        <x:f>MAX(0,E50-D50-F50)</x:f>
        <x:v>0</x:v>
      </x:c>
      <x:c r="H50" s="53" t="n">
        <x:f>G50/issue_price</x:f>
        <x:v>0</x:v>
      </x:c>
      <x:c r="I50" s="53" t="n">
        <x:f>IF(AND(D50&gt;E50,$A50&gt;=dev_start),(D50-E50)*dev_share,0)</x:f>
        <x:v>12.835235047883709</x:v>
      </x:c>
      <x:c r="J50" s="53" t="n">
        <x:f>IF($A50&gt;=dev_start,MAX(0,S49-F50-reserve_buffer*Economy!O50),0)</x:f>
        <x:v>0</x:v>
      </x:c>
      <x:c r="K50" s="53" t="n">
        <x:f>IF(D50&gt;E50,MIN((D50-E50-I50)*repay_share,R49-C50),0)</x:f>
        <x:v>4.400652016417273</x:v>
      </x:c>
      <x:c r="L50" s="53" t="n">
        <x:f>IF(D50&gt;E50,D50-E50-I50-K50,0)</x:f>
        <x:v>1.100163004104318</x:v>
      </x:c>
      <x:c r="M50" s="53" t="n">
        <x:f>D50+F50+G50-I50-K50-L50</x:f>
        <x:v>48.676138775263965</x:v>
      </x:c>
      <x:c r="N50" s="53" t="n">
        <x:f>I50+J50+Q50*dev_bonds+SUMPRODUCT((Events!$B$6:$B$158&lt;=$A50)*(Events!$C$6:$C$158&gt;=$A50)*(Events!$E$6:$E$158="Investment")*Events!$H$6:$H$158)</x:f>
        <x:v>26.43438623427206</x:v>
      </x:c>
      <x:c r="O50" s="53" t="n">
        <x:f>O49*(1-dev_dep)+N50</x:f>
        <x:v>205.6580160901349</x:v>
      </x:c>
      <x:c r="P50" s="53" t="n">
        <x:f>SUMPRODUCT((Events!$B$6:$B$158&lt;=$A50)*(Events!$C$6:$C$158&gt;=$A50)*(Events!$E$6:$E$158="Debt assumed")*Events!$H$6:$H$158)</x:f>
        <x:v>0</x:v>
      </x:c>
      <x:c r="Q50" s="53" t="n">
        <x:f>IF($A50&lt;1887,0,MAX(0,debt_floor*Economy!O50-(R49+P50+H50-C50-K50)))</x:f>
        <x:v>13.599151186388355</x:v>
      </x:c>
      <x:c r="R50" s="53" t="n">
        <x:f>R49+P50+H50-C50-K50+Q50</x:f>
        <x:v>92.52905839385052</x:v>
      </x:c>
      <x:c r="S50" s="53" t="n">
        <x:f>S49+L50-F50-J50+Q50*(1-dev_bonds)</x:f>
        <x:v>20.37404122907605</x:v>
      </x:c>
      <x:c r="T50" s="69" t="n">
        <x:f>Loans!X50</x:f>
        <x:v>31.16580002728249</x:v>
      </x:c>
      <x:c r="U50" s="53" t="n">
        <x:f>R50-M50-S50-T50</x:f>
        <x:v>-7.6869216377719845</x:v>
      </x:c>
      <x:c r="V50" s="63" t="n">
        <x:f>R50/Economy!O50</x:f>
        <x:v>0.05</x:v>
      </x:c>
      <x:c r="W50" s="63" t="n">
        <x:f>Budget!X50/Budget!M50</x:f>
        <x:v>0.021093528762310108</x:v>
      </x:c>
      <x:c r="X50" s="63" t="n">
        <x:f>S50/Economy!O50</x:f>
        <x:v>0.01100953667028244</x:v>
      </x:c>
      <x:c r="Y50" s="53" t="n">
        <x:f>MAX(0,H50+Q50-'Gold &amp; money'!G50)</x:f>
        <x:v>13.599151186388355</x:v>
      </x:c>
    </x:row>
    <x:row r="51">
      <x:c r="A51" s="58" t="n">
        <x:v>1891</x:v>
      </x:c>
      <x:c r="B51" s="53" t="n">
        <x:f>Loans!V51-Loans!W51</x:f>
        <x:v>0.3057931441866848</x:v>
      </x:c>
      <x:c r="C51" s="53" t="n">
        <x:f>R50*debt_amort</x:f>
        <x:v>1.8505811678770103</x:v>
      </x:c>
      <x:c r="D51" s="53" t="n">
        <x:f>M50+Budget!Z51-B51-C51</x:f>
        <x:v>79.59405353691419</x:v>
      </x:c>
      <x:c r="E51" s="53" t="n">
        <x:f>MAX(0.1,Budget!M51*cash_target)</x:f>
        <x:v>53.21382478757729</x:v>
      </x:c>
      <x:c r="F51" s="53" t="n">
        <x:f>IF(D51&lt;E51,MIN(E51-D51,S50),0)</x:f>
        <x:v>0</x:v>
      </x:c>
      <x:c r="G51" s="53" t="n">
        <x:f>MAX(0,E51-D51-F51)</x:f>
        <x:v>0</x:v>
      </x:c>
      <x:c r="H51" s="53" t="n">
        <x:f>G51/issue_price</x:f>
        <x:v>0</x:v>
      </x:c>
      <x:c r="I51" s="53" t="n">
        <x:f>IF(AND(D51&gt;E51,$A51&gt;=dev_start),(D51-E51)*dev_share,0)</x:f>
        <x:v>18.46616012453583</x:v>
      </x:c>
      <x:c r="J51" s="53" t="n">
        <x:f>IF($A51&gt;=dev_start,MAX(0,S50-F51-reserve_buffer*Economy!O51),0)</x:f>
        <x:v>0</x:v>
      </x:c>
      <x:c r="K51" s="53" t="n">
        <x:f>IF(D51&gt;E51,MIN((D51-E51-I51)*repay_share,R50-C51),0)</x:f>
        <x:v>6.331254899840857</x:v>
      </x:c>
      <x:c r="L51" s="53" t="n">
        <x:f>IF(D51&gt;E51,D51-E51-I51-K51,0)</x:f>
        <x:v>1.5828137249602143</x:v>
      </x:c>
      <x:c r="M51" s="53" t="n">
        <x:f>D51+F51+G51-I51-K51-L51</x:f>
        <x:v>53.21382478757728</x:v>
      </x:c>
      <x:c r="N51" s="53" t="n">
        <x:f>I51+J51+Q51*dev_bonds+SUMPRODUCT((Events!$B$6:$B$158&lt;=$A51)*(Events!$C$6:$C$158&gt;=$A51)*(Events!$E$6:$E$158="Investment")*Events!$H$6:$H$158)</x:f>
        <x:v>33.55839658779837</x:v>
      </x:c>
      <x:c r="O51" s="53" t="n">
        <x:f>O50*(1-dev_dep)+N51</x:f>
        <x:v>233.04667219522923</x:v>
      </x:c>
      <x:c r="P51" s="53" t="n">
        <x:f>SUMPRODUCT((Events!$B$6:$B$158&lt;=$A51)*(Events!$C$6:$C$158&gt;=$A51)*(Events!$E$6:$E$158="Debt assumed")*Events!$H$6:$H$158)</x:f>
        <x:v>0</x:v>
      </x:c>
      <x:c r="Q51" s="53" t="n">
        <x:f>IF($A51&lt;1887,0,MAX(0,debt_floor*Economy!O51-(R50+P51+H51-C51-K51)))</x:f>
        <x:v>15.092236463262537</x:v>
      </x:c>
      <x:c r="R51" s="53" t="n">
        <x:f>R50+P51+H51-C51-K51+Q51</x:f>
        <x:v>99.43945878939519</x:v>
      </x:c>
      <x:c r="S51" s="53" t="n">
        <x:f>S50+L51-F51-J51+Q51*(1-dev_bonds)</x:f>
        <x:v>21.956854954036263</x:v>
      </x:c>
      <x:c r="T51" s="69" t="n">
        <x:f>Loans!X51</x:f>
        <x:v>31.471593171469173</x:v>
      </x:c>
      <x:c r="U51" s="53" t="n">
        <x:f>R51-M51-S51-T51</x:f>
        <x:v>-7.202814123687528</x:v>
      </x:c>
      <x:c r="V51" s="63" t="n">
        <x:f>R51/Economy!O51</x:f>
        <x:v>0.05</x:v>
      </x:c>
      <x:c r="W51" s="63" t="n">
        <x:f>Budget!X51/Budget!M51</x:f>
        <x:v>0.020691912285618508</x:v>
      </x:c>
      <x:c r="X51" s="63" t="n">
        <x:f>S51/Economy!O51</x:f>
        <x:v>0.011040312981056706</x:v>
      </x:c>
      <x:c r="Y51" s="53" t="n">
        <x:f>MAX(0,H51+Q51-'Gold &amp; money'!G51)</x:f>
        <x:v>15.092236463262537</x:v>
      </x:c>
    </x:row>
    <x:row r="52">
      <x:c r="A52" s="58" t="n">
        <x:v>1892</x:v>
      </x:c>
      <x:c r="B52" s="53" t="n">
        <x:f>Loans!V52-Loans!W52</x:f>
        <x:v>-1.1930113359391221</x:v>
      </x:c>
      <x:c r="C52" s="53" t="n">
        <x:f>R51*debt_amort</x:f>
        <x:v>1.988789175787904</x:v>
      </x:c>
      <x:c r="D52" s="53" t="n">
        <x:f>M51+Budget!Z52-B52-C52</x:f>
        <x:v>91.56455810081482</x:v>
      </x:c>
      <x:c r="E52" s="53" t="n">
        <x:f>MAX(0.1,Budget!M52*cash_target)</x:f>
        <x:v>57.57793261165621</x:v>
      </x:c>
      <x:c r="F52" s="53" t="n">
        <x:f>IF(D52&lt;E52,MIN(E52-D52,S51),0)</x:f>
        <x:v>0</x:v>
      </x:c>
      <x:c r="G52" s="53" t="n">
        <x:f>MAX(0,E52-D52-F52)</x:f>
        <x:v>0</x:v>
      </x:c>
      <x:c r="H52" s="53" t="n">
        <x:f>G52/issue_price</x:f>
        <x:v>0</x:v>
      </x:c>
      <x:c r="I52" s="53" t="n">
        <x:f>IF(AND(D52&gt;E52,$A52&gt;=dev_start),(D52-E52)*dev_share,0)</x:f>
        <x:v>23.790637842411027</x:v>
      </x:c>
      <x:c r="J52" s="53" t="n">
        <x:f>IF($A52&gt;=dev_start,MAX(0,S51-F52-reserve_buffer*Economy!O52),0)</x:f>
        <x:v>0</x:v>
      </x:c>
      <x:c r="K52" s="53" t="n">
        <x:f>IF(D52&gt;E52,MIN((D52-E52-I52)*repay_share,R51-C52),0)</x:f>
        <x:v>8.156790117398069</x:v>
      </x:c>
      <x:c r="L52" s="53" t="n">
        <x:f>IF(D52&gt;E52,D52-E52-I52-K52,0)</x:f>
        <x:v>2.039197529349517</x:v>
      </x:c>
      <x:c r="M52" s="53" t="n">
        <x:f>D52+F52+G52-I52-K52-L52</x:f>
        <x:v>57.57793261165621</x:v>
      </x:c>
      <x:c r="N52" s="53" t="n">
        <x:f>I52+J52+Q52*dev_bonds+SUMPRODUCT((Events!$B$6:$B$158&lt;=$A52)*(Events!$C$6:$C$158&gt;=$A52)*(Events!$E$6:$E$158="Investment")*Events!$H$6:$H$158)</x:f>
        <x:v>41.09273700414904</x:v>
      </x:c>
      <x:c r="O52" s="53" t="n">
        <x:f>O51*(1-dev_dep)+N52</x:f>
        <x:v>267.1480090335214</x:v>
      </x:c>
      <x:c r="P52" s="53" t="n">
        <x:f>SUMPRODUCT((Events!$B$6:$B$158&lt;=$A52)*(Events!$C$6:$C$158&gt;=$A52)*(Events!$E$6:$E$158="Debt assumed")*Events!$H$6:$H$158)</x:f>
        <x:v>0</x:v>
      </x:c>
      <x:c r="Q52" s="53" t="n">
        <x:f>IF($A52&lt;1887,0,MAX(0,debt_floor*Economy!O52-(R51+P52+H52-C52-K52)))</x:f>
        <x:v>17.302099161738013</x:v>
      </x:c>
      <x:c r="R52" s="53" t="n">
        <x:f>R51+P52+H52-C52-K52+Q52</x:f>
        <x:v>106.59597865794723</x:v>
      </x:c>
      <x:c r="S52" s="53" t="n">
        <x:f>S51+L52-F52-J52+Q52*(1-dev_bonds)</x:f>
        <x:v>23.996052483385782</x:v>
      </x:c>
      <x:c r="T52" s="69" t="n">
        <x:f>Loans!X52</x:f>
        <x:v>30.278581835530048</x:v>
      </x:c>
      <x:c r="U52" s="53" t="n">
        <x:f>R52-M52-S52-T52</x:f>
        <x:v>-5.2565882726248105</x:v>
      </x:c>
      <x:c r="V52" s="63" t="n">
        <x:f>R52/Economy!O52</x:f>
        <x:v>0.05</x:v>
      </x:c>
      <x:c r="W52" s="63" t="n">
        <x:f>Budget!X52/Budget!M52</x:f>
        <x:v>0.02029273347926454</x:v>
      </x:c>
      <x:c r="X52" s="63" t="n">
        <x:f>S52/Economy!O52</x:f>
        <x:v>0.011255608694388944</x:v>
      </x:c>
      <x:c r="Y52" s="53" t="n">
        <x:f>MAX(0,H52+Q52-'Gold &amp; money'!G52)</x:f>
        <x:v>17.302099161738013</x:v>
      </x:c>
    </x:row>
    <x:row r="53">
      <x:c r="A53" s="58" t="n">
        <x:v>1893</x:v>
      </x:c>
      <x:c r="B53" s="53" t="n">
        <x:f>Loans!V53-Loans!W53</x:f>
        <x:v>-1.1472664542291466</x:v>
      </x:c>
      <x:c r="C53" s="53" t="n">
        <x:f>R52*debt_amort</x:f>
        <x:v>2.1319195731589446</x:v>
      </x:c>
      <x:c r="D53" s="53" t="n">
        <x:f>M52+Budget!Z53-B53-C53</x:f>
        <x:v>93.60672600314517</x:v>
      </x:c>
      <x:c r="E53" s="53" t="n">
        <x:f>MAX(0.1,Budget!M53*cash_target)</x:f>
        <x:v>58.72740502648178</x:v>
      </x:c>
      <x:c r="F53" s="53" t="n">
        <x:f>IF(D53&lt;E53,MIN(E53-D53,S52),0)</x:f>
        <x:v>0</x:v>
      </x:c>
      <x:c r="G53" s="53" t="n">
        <x:f>MAX(0,E53-D53-F53)</x:f>
        <x:v>0</x:v>
      </x:c>
      <x:c r="H53" s="53" t="n">
        <x:f>G53/issue_price</x:f>
        <x:v>0</x:v>
      </x:c>
      <x:c r="I53" s="53" t="n">
        <x:f>IF(AND(D53&gt;E53,$A53&gt;=dev_start),(D53-E53)*dev_share,0)</x:f>
        <x:v>24.41552468366437</x:v>
      </x:c>
      <x:c r="J53" s="53" t="n">
        <x:f>IF($A53&gt;=dev_start,MAX(0,S52-F53-reserve_buffer*Economy!O53),0)</x:f>
        <x:v>0</x:v>
      </x:c>
      <x:c r="K53" s="53" t="n">
        <x:f>IF(D53&gt;E53,MIN((D53-E53-I53)*repay_share,R52-C53),0)</x:f>
        <x:v>8.371037034399214</x:v>
      </x:c>
      <x:c r="L53" s="53" t="n">
        <x:f>IF(D53&gt;E53,D53-E53-I53-K53,0)</x:f>
        <x:v>2.092759258599804</x:v>
      </x:c>
      <x:c r="M53" s="53" t="n">
        <x:f>D53+F53+G53-I53-K53-L53</x:f>
        <x:v>58.727405026481776</x:v>
      </x:c>
      <x:c r="N53" s="53" t="n">
        <x:f>I53+J53+Q53*dev_bonds+SUMPRODUCT((Events!$B$6:$B$158&lt;=$A53)*(Events!$C$6:$C$158&gt;=$A53)*(Events!$E$6:$E$158="Investment")*Events!$H$6:$H$158)</x:f>
        <x:v>36.79365767856065</x:v>
      </x:c>
      <x:c r="O53" s="53" t="n">
        <x:f>O52*(1-dev_dep)+N53</x:f>
        <x:v>295.9272264410764</x:v>
      </x:c>
      <x:c r="P53" s="53" t="n">
        <x:f>SUMPRODUCT((Events!$B$6:$B$158&lt;=$A53)*(Events!$C$6:$C$158&gt;=$A53)*(Events!$E$6:$E$158="Debt assumed")*Events!$H$6:$H$158)</x:f>
        <x:v>0</x:v>
      </x:c>
      <x:c r="Q53" s="53" t="n">
        <x:f>IF($A53&lt;1887,0,MAX(0,debt_floor*Economy!O53-(R52+P53+H53-C53-K53)))</x:f>
        <x:v>12.378132994896276</x:v>
      </x:c>
      <x:c r="R53" s="53" t="n">
        <x:f>R52+P53+H53-C53-K53+Q53</x:f>
        <x:v>108.47115504528536</x:v>
      </x:c>
      <x:c r="S53" s="53" t="n">
        <x:f>S52+L53-F53-J53+Q53*(1-dev_bonds)</x:f>
        <x:v>26.088811741985587</x:v>
      </x:c>
      <x:c r="T53" s="69" t="n">
        <x:f>Loans!X53</x:f>
        <x:v>29.1313153813009</x:v>
      </x:c>
      <x:c r="U53" s="53" t="n">
        <x:f>R53-M53-S53-T53</x:f>
        <x:v>-5.476377104482907</x:v>
      </x:c>
      <x:c r="V53" s="63" t="n">
        <x:f>R53/Economy!O53</x:f>
        <x:v>0.05</x:v>
      </x:c>
      <x:c r="W53" s="63" t="n">
        <x:f>Budget!X53/Budget!M53</x:f>
        <x:v>0.021009756048464313</x:v>
      </x:c>
      <x:c r="X53" s="63" t="n">
        <x:f>S53/Economy!O53</x:f>
        <x:v>0.012025690945714478</x:v>
      </x:c>
      <x:c r="Y53" s="53" t="n">
        <x:f>MAX(0,H53+Q53-'Gold &amp; money'!G53)</x:f>
        <x:v>12.378132994896276</x:v>
      </x:c>
    </x:row>
    <x:row r="54">
      <x:c r="A54" s="58" t="n">
        <x:v>1894</x:v>
      </x:c>
      <x:c r="B54" s="53" t="n">
        <x:f>Loans!V54-Loans!W54</x:f>
        <x:v>8.896707899364257</x:v>
      </x:c>
      <x:c r="C54" s="53" t="n">
        <x:f>R53*debt_amort</x:f>
        <x:v>2.169423100905707</x:v>
      </x:c>
      <x:c r="D54" s="53" t="n">
        <x:f>M53+Budget!Z54-B54-C54</x:f>
        <x:v>85.2215261234415</x:v>
      </x:c>
      <x:c r="E54" s="53" t="n">
        <x:f>MAX(0.1,Budget!M54*cash_target)</x:f>
        <x:v>62.00157960418809</x:v>
      </x:c>
      <x:c r="F54" s="53" t="n">
        <x:f>IF(D54&lt;E54,MIN(E54-D54,S53),0)</x:f>
        <x:v>0</x:v>
      </x:c>
      <x:c r="G54" s="53" t="n">
        <x:f>MAX(0,E54-D54-F54)</x:f>
        <x:v>0</x:v>
      </x:c>
      <x:c r="H54" s="53" t="n">
        <x:f>G54/issue_price</x:f>
        <x:v>0</x:v>
      </x:c>
      <x:c r="I54" s="53" t="n">
        <x:f>IF(AND(D54&gt;E54,$A54&gt;=dev_start),(D54-E54)*dev_share,0)</x:f>
        <x:v>16.253962563477394</x:v>
      </x:c>
      <x:c r="J54" s="53" t="n">
        <x:f>IF($A54&gt;=dev_start,MAX(0,S53-F54-reserve_buffer*Economy!O54),0)</x:f>
        <x:v>0</x:v>
      </x:c>
      <x:c r="K54" s="53" t="n">
        <x:f>IF(D54&gt;E54,MIN((D54-E54-I54)*repay_share,R53-C54),0)</x:f>
        <x:v>5.57278716462082</x:v>
      </x:c>
      <x:c r="L54" s="53" t="n">
        <x:f>IF(D54&gt;E54,D54-E54-I54-K54,0)</x:f>
        <x:v>1.393196791155205</x:v>
      </x:c>
      <x:c r="M54" s="53" t="n">
        <x:f>D54+F54+G54-I54-K54-L54</x:f>
        <x:v>62.00157960418808</x:v>
      </x:c>
      <x:c r="N54" s="53" t="n">
        <x:f>I54+J54+Q54*dev_bonds+SUMPRODUCT((Events!$B$6:$B$158&lt;=$A54)*(Events!$C$6:$C$158&gt;=$A54)*(Events!$E$6:$E$158="Investment")*Events!$H$6:$H$158)</x:f>
        <x:v>33.04827696692673</x:v>
      </x:c>
      <x:c r="O54" s="53" t="n">
        <x:f>O53*(1-dev_dep)+N54</x:f>
        <x:v>320.09768661477085</x:v>
      </x:c>
      <x:c r="P54" s="53" t="n">
        <x:f>SUMPRODUCT((Events!$B$6:$B$158&lt;=$A54)*(Events!$C$6:$C$158&gt;=$A54)*(Events!$E$6:$E$158="Debt assumed")*Events!$H$6:$H$158)</x:f>
        <x:v>0</x:v>
      </x:c>
      <x:c r="Q54" s="53" t="n">
        <x:f>IF($A54&lt;1887,0,MAX(0,debt_floor*Economy!O54-(R53+P54+H54-C54-K54)))</x:f>
        <x:v>13.794314403449334</x:v>
      </x:c>
      <x:c r="R54" s="53" t="n">
        <x:f>R53+P54+H54-C54-K54+Q54</x:f>
        <x:v>114.52325918320817</x:v>
      </x:c>
      <x:c r="S54" s="53" t="n">
        <x:f>S53+L54-F54-J54+Q54*(1-dev_bonds)</x:f>
        <x:v>27.482008533140792</x:v>
      </x:c>
      <x:c r="T54" s="69" t="n">
        <x:f>Loans!X54</x:f>
        <x:v>38.02802328066516</x:v>
      </x:c>
      <x:c r="U54" s="53" t="n">
        <x:f>R54-M54-S54-T54</x:f>
        <x:v>-12.988352234785864</x:v>
      </x:c>
      <x:c r="V54" s="63" t="n">
        <x:f>R54/Economy!O54</x:f>
        <x:v>0.05</x:v>
      </x:c>
      <x:c r="W54" s="63" t="n">
        <x:f>Budget!X54/Budget!M54</x:f>
        <x:v>0.01998792537712497</x:v>
      </x:c>
      <x:c r="X54" s="63" t="n">
        <x:f>S54/Economy!O54</x:f>
        <x:v>0.011998439761994788</x:v>
      </x:c>
      <x:c r="Y54" s="53" t="n">
        <x:f>MAX(0,H54+Q54-'Gold &amp; money'!G54)</x:f>
        <x:v>13.794314403449334</x:v>
      </x:c>
    </x:row>
    <x:row r="55">
      <x:c r="A55" s="58" t="n">
        <x:v>1895</x:v>
      </x:c>
      <x:c r="B55" s="53" t="n">
        <x:f>Loans!V55-Loans!W55</x:f>
        <x:v>78.5389807679512</x:v>
      </x:c>
      <x:c r="C55" s="53" t="n">
        <x:f>R54*debt_amort</x:f>
        <x:v>2.2904651836641636</x:v>
      </x:c>
      <x:c r="D55" s="53" t="n">
        <x:f>M54+Budget!Z55-B55-C55</x:f>
        <x:v>28.186505982722426</x:v>
      </x:c>
      <x:c r="E55" s="53" t="n">
        <x:f>MAX(0.1,Budget!M55*cash_target)</x:f>
        <x:v>68.34941261516447</x:v>
      </x:c>
      <x:c r="F55" s="53" t="n">
        <x:f>IF(D55&lt;E55,MIN(E55-D55,S54),0)</x:f>
        <x:v>27.482008533140792</x:v>
      </x:c>
      <x:c r="G55" s="53" t="n">
        <x:f>MAX(0,E55-D55-F55)</x:f>
        <x:v>12.680898099301253</x:v>
      </x:c>
      <x:c r="H55" s="53" t="n">
        <x:f>G55/issue_price</x:f>
        <x:v>13.07309082402191</x:v>
      </x:c>
      <x:c r="I55" s="53" t="n">
        <x:f>IF(AND(D55&gt;E55,$A55&gt;=dev_start),(D55-E55)*dev_share,0)</x:f>
        <x:v>0</x:v>
      </x:c>
      <x:c r="J55" s="53" t="n">
        <x:f>IF($A55&gt;=dev_start,MAX(0,S54-F55-reserve_buffer*Economy!O55),0)</x:f>
        <x:v>0</x:v>
      </x:c>
      <x:c r="K55" s="53" t="n">
        <x:f>IF(D55&gt;E55,MIN((D55-E55-I55)*repay_share,R54-C55),0)</x:f>
        <x:v>0</x:v>
      </x:c>
      <x:c r="L55" s="53" t="n">
        <x:f>IF(D55&gt;E55,D55-E55-I55-K55,0)</x:f>
        <x:v>0</x:v>
      </x:c>
      <x:c r="M55" s="53" t="n">
        <x:f>D55+F55+G55-I55-K55-L55</x:f>
        <x:v>68.34941261516448</x:v>
      </x:c>
      <x:c r="N55" s="53" t="n">
        <x:f>I55+J55+Q55*dev_bonds+SUMPRODUCT((Events!$B$6:$B$158&lt;=$A55)*(Events!$C$6:$C$158&gt;=$A55)*(Events!$E$6:$E$158="Investment")*Events!$H$6:$H$158)</x:f>
        <x:v>3.3152384448410146</x:v>
      </x:c>
      <x:c r="O55" s="53" t="n">
        <x:f>O54*(1-dev_dep)+N55</x:f>
        <x:v>313.8099944611687</x:v>
      </x:c>
      <x:c r="P55" s="53" t="n">
        <x:f>SUMPRODUCT((Events!$B$6:$B$158&lt;=$A55)*(Events!$C$6:$C$158&gt;=$A55)*(Events!$E$6:$E$158="Debt assumed")*Events!$H$6:$H$158)</x:f>
        <x:v>0</x:v>
      </x:c>
      <x:c r="Q55" s="53" t="n">
        <x:f>IF($A55&lt;1887,0,MAX(0,debt_floor*Economy!O55-(R54+P55+H55-C55-K55)))</x:f>
        <x:v>0.3152384448410146</x:v>
      </x:c>
      <x:c r="R55" s="53" t="n">
        <x:f>R54+P55+H55-C55-K55+Q55</x:f>
        <x:v>125.62112326840693</x:v>
      </x:c>
      <x:c r="S55" s="53" t="n">
        <x:f>S54+L55-F55-J55+Q55*(1-dev_bonds)</x:f>
        <x:v>0</x:v>
      </x:c>
      <x:c r="T55" s="69" t="n">
        <x:f>Loans!X55</x:f>
        <x:v>116.56700404861637</x:v>
      </x:c>
      <x:c r="U55" s="53" t="n">
        <x:f>R55-M55-S55-T55</x:f>
        <x:v>-59.29529339537392</x:v>
      </x:c>
      <x:c r="V55" s="63" t="n">
        <x:f>R55/Economy!O55</x:f>
        <x:v>0.05</x:v>
      </x:c>
      <x:c r="W55" s="63" t="n">
        <x:f>Budget!X55/Budget!M55</x:f>
        <x:v>0.01885000348233046</x:v>
      </x:c>
      <x:c r="X55" s="63" t="n">
        <x:f>S55/Economy!O55</x:f>
        <x:v>0</x:v>
      </x:c>
      <x:c r="Y55" s="53" t="n">
        <x:f>MAX(0,H55+Q55-'Gold &amp; money'!G55)</x:f>
        <x:v>13.388329268862925</x:v>
      </x:c>
    </x:row>
    <x:row r="56">
      <x:c r="A56" s="58" t="n">
        <x:v>1896</x:v>
      </x:c>
      <x:c r="B56" s="53" t="n">
        <x:f>Loans!V56-Loans!W56</x:f>
        <x:v>-1.604381513742183</x:v>
      </x:c>
      <x:c r="C56" s="53" t="n">
        <x:f>R55*debt_amort</x:f>
        <x:v>2.5124224653681386</x:v>
      </x:c>
      <x:c r="D56" s="53" t="n">
        <x:f>M55+Budget!Z56-B56-C56</x:f>
        <x:v>100.49054343725011</x:v>
      </x:c>
      <x:c r="E56" s="53" t="n">
        <x:f>MAX(0.1,Budget!M56*cash_target)</x:f>
        <x:v>67.83725735346457</x:v>
      </x:c>
      <x:c r="F56" s="53" t="n">
        <x:f>IF(D56&lt;E56,MIN(E56-D56,S55),0)</x:f>
        <x:v>0</x:v>
      </x:c>
      <x:c r="G56" s="53" t="n">
        <x:f>MAX(0,E56-D56-F56)</x:f>
        <x:v>0</x:v>
      </x:c>
      <x:c r="H56" s="53" t="n">
        <x:f>G56/issue_price</x:f>
        <x:v>0</x:v>
      </x:c>
      <x:c r="I56" s="53" t="n">
        <x:f>IF(AND(D56&gt;E56,$A56&gt;=dev_start),(D56-E56)*dev_share,0)</x:f>
        <x:v>22.85730025864988</x:v>
      </x:c>
      <x:c r="J56" s="53" t="n">
        <x:f>IF($A56&gt;=dev_start,MAX(0,S55-F56-reserve_buffer*Economy!O56),0)</x:f>
        <x:v>0</x:v>
      </x:c>
      <x:c r="K56" s="53" t="n">
        <x:f>IF(D56&gt;E56,MIN((D56-E56-I56)*repay_share,R55-C56),0)</x:f>
        <x:v>7.8367886601085335</x:v>
      </x:c>
      <x:c r="L56" s="53" t="n">
        <x:f>IF(D56&gt;E56,D56-E56-I56-K56,0)</x:f>
        <x:v>1.959197165027133</x:v>
      </x:c>
      <x:c r="M56" s="53" t="n">
        <x:f>D56+F56+G56-I56-K56-L56</x:f>
        <x:v>67.83725735346455</x:v>
      </x:c>
      <x:c r="N56" s="53" t="n">
        <x:f>I56+J56+Q56*dev_bonds+SUMPRODUCT((Events!$B$6:$B$158&lt;=$A56)*(Events!$C$6:$C$158&gt;=$A56)*(Events!$E$6:$E$158="Investment")*Events!$H$6:$H$158)</x:f>
        <x:v>44.98064083876495</x:v>
      </x:c>
      <x:c r="O56" s="53" t="n">
        <x:f>O55*(1-dev_dep)+N56</x:f>
        <x:v>349.37633546609857</x:v>
      </x:c>
      <x:c r="P56" s="53" t="n">
        <x:f>SUMPRODUCT((Events!$B$6:$B$158&lt;=$A56)*(Events!$C$6:$C$158&gt;=$A56)*(Events!$E$6:$E$158="Debt assumed")*Events!$H$6:$H$158)</x:f>
        <x:v>0</x:v>
      </x:c>
      <x:c r="Q56" s="53" t="n">
        <x:f>IF($A56&lt;1887,0,MAX(0,debt_floor*Economy!O56-(R55+P56+H56-C56-K56)))</x:f>
        <x:v>19.12334058011507</x:v>
      </x:c>
      <x:c r="R56" s="53" t="n">
        <x:f>R55+P56+H56-C56-K56+Q56</x:f>
        <x:v>134.39525272304533</x:v>
      </x:c>
      <x:c r="S56" s="53" t="n">
        <x:f>S55+L56-F56-J56+Q56*(1-dev_bonds)</x:f>
        <x:v>1.959197165027133</x:v>
      </x:c>
      <x:c r="T56" s="69" t="n">
        <x:f>Loans!X56</x:f>
        <x:v>114.96262253487419</x:v>
      </x:c>
      <x:c r="U56" s="53" t="n">
        <x:f>R56-M56-S56-T56</x:f>
        <x:v>-50.36382433032054</x:v>
      </x:c>
      <x:c r="V56" s="63" t="n">
        <x:f>R56/Economy!O56</x:f>
        <x:v>0.049999999999999996</x:v>
      </x:c>
      <x:c r="W56" s="63" t="n">
        <x:f>Budget!X56/Budget!M56</x:f>
        <x:v>0.02060128977619483</x:v>
      </x:c>
      <x:c r="X56" s="63" t="n">
        <x:f>S56/Economy!O56</x:f>
        <x:v>0.0007288937389271268</x:v>
      </x:c>
      <x:c r="Y56" s="53" t="n">
        <x:f>MAX(0,H56+Q56-'Gold &amp; money'!G56)</x:f>
        <x:v>19.12334058011507</x:v>
      </x:c>
    </x:row>
    <x:row r="57">
      <x:c r="A57" s="58" t="n">
        <x:v>1897</x:v>
      </x:c>
      <x:c r="B57" s="53" t="n">
        <x:f>Loans!V57-Loans!W57</x:f>
        <x:v>18.45804478736143</x:v>
      </x:c>
      <x:c r="C57" s="53" t="n">
        <x:f>R56*debt_amort</x:f>
        <x:v>2.6879050544609067</x:v>
      </x:c>
      <x:c r="D57" s="53" t="n">
        <x:f>M56+Budget!Z57-B57-C57</x:f>
        <x:v>88.2479149483595</x:v>
      </x:c>
      <x:c r="E57" s="53" t="n">
        <x:f>MAX(0.1,Budget!M57*cash_target)</x:f>
        <x:v>76.52658247000352</x:v>
      </x:c>
      <x:c r="F57" s="53" t="n">
        <x:f>IF(D57&lt;E57,MIN(E57-D57,S56),0)</x:f>
        <x:v>0</x:v>
      </x:c>
      <x:c r="G57" s="53" t="n">
        <x:f>MAX(0,E57-D57-F57)</x:f>
        <x:v>0</x:v>
      </x:c>
      <x:c r="H57" s="53" t="n">
        <x:f>G57/issue_price</x:f>
        <x:v>0</x:v>
      </x:c>
      <x:c r="I57" s="53" t="n">
        <x:f>IF(AND(D57&gt;E57,$A57&gt;=dev_start),(D57-E57)*dev_share,0)</x:f>
        <x:v>8.204932734849182</x:v>
      </x:c>
      <x:c r="J57" s="53" t="n">
        <x:f>IF($A57&gt;=dev_start,MAX(0,S56-F57-reserve_buffer*Economy!O57),0)</x:f>
        <x:v>0</x:v>
      </x:c>
      <x:c r="K57" s="53" t="n">
        <x:f>IF(D57&gt;E57,MIN((D57-E57-I57)*repay_share,R56-C57),0)</x:f>
        <x:v>2.813119794805435</x:v>
      </x:c>
      <x:c r="L57" s="53" t="n">
        <x:f>IF(D57&gt;E57,D57-E57-I57-K57,0)</x:f>
        <x:v>0.7032799487013586</x:v>
      </x:c>
      <x:c r="M57" s="53" t="n">
        <x:f>D57+F57+G57-I57-K57-L57</x:f>
        <x:v>76.52658247000352</x:v>
      </x:c>
      <x:c r="N57" s="53" t="n">
        <x:f>I57+J57+Q57*dev_bonds+SUMPRODUCT((Events!$B$6:$B$158&lt;=$A57)*(Events!$C$6:$C$158&gt;=$A57)*(Events!$E$6:$E$158="Investment")*Events!$H$6:$H$158)</x:f>
        <x:v>33.941616356818756</x:v>
      </x:c>
      <x:c r="O57" s="53" t="n">
        <x:f>O56*(1-dev_dep)+N57</x:f>
        <x:v>372.8366617589344</x:v>
      </x:c>
      <x:c r="P57" s="53" t="n">
        <x:f>SUMPRODUCT((Events!$B$6:$B$158&lt;=$A57)*(Events!$C$6:$C$158&gt;=$A57)*(Events!$E$6:$E$158="Debt assumed")*Events!$H$6:$H$158)</x:f>
        <x:v>0</x:v>
      </x:c>
      <x:c r="Q57" s="53" t="n">
        <x:f>IF($A57&lt;1887,0,MAX(0,debt_floor*Economy!O57-(R56+P57+H57-C57-K57)))</x:f>
        <x:v>22.736683621969576</x:v>
      </x:c>
      <x:c r="R57" s="53" t="n">
        <x:f>R56+P57+H57-C57-K57+Q57</x:f>
        <x:v>151.63091149574856</x:v>
      </x:c>
      <x:c r="S57" s="53" t="n">
        <x:f>S56+L57-F57-J57+Q57*(1-dev_bonds)</x:f>
        <x:v>2.6624771137284915</x:v>
      </x:c>
      <x:c r="T57" s="69" t="n">
        <x:f>Loans!X57</x:f>
        <x:v>133.4206673222356</x:v>
      </x:c>
      <x:c r="U57" s="53" t="n">
        <x:f>R57-M57-S57-T57</x:f>
        <x:v>-60.97881541021904</x:v>
      </x:c>
      <x:c r="V57" s="63" t="n">
        <x:f>R57/Economy!O57</x:f>
        <x:v>0.05</x:v>
      </x:c>
      <x:c r="W57" s="63" t="n">
        <x:f>Budget!X57/Budget!M57</x:f>
        <x:v>0.019318094866355405</x:v>
      </x:c>
      <x:c r="X57" s="63" t="n">
        <x:f>S57/Economy!O57</x:f>
        <x:v>0.0008779466823303844</x:v>
      </x:c>
      <x:c r="Y57" s="53" t="n">
        <x:f>MAX(0,H57+Q57-'Gold &amp; money'!G57)</x:f>
        <x:v>22.736683621969576</x:v>
      </x:c>
    </x:row>
    <x:row r="58">
      <x:c r="A58" s="58" t="n">
        <x:v>1898</x:v>
      </x:c>
      <x:c r="B58" s="53" t="n">
        <x:f>Loans!V58-Loans!W58</x:f>
        <x:v>18.71802650520428</x:v>
      </x:c>
      <x:c r="C58" s="53" t="n">
        <x:f>R57*debt_amort</x:f>
        <x:v>3.0326182299149713</x:v>
      </x:c>
      <x:c r="D58" s="53" t="n">
        <x:f>M57+Budget!Z58-B58-C58</x:f>
        <x:v>91.84488398075955</x:v>
      </x:c>
      <x:c r="E58" s="53" t="n">
        <x:f>MAX(0.1,Budget!M58*cash_target)</x:f>
        <x:v>84.43981454716673</x:v>
      </x:c>
      <x:c r="F58" s="53" t="n">
        <x:f>IF(D58&lt;E58,MIN(E58-D58,S57),0)</x:f>
        <x:v>0</x:v>
      </x:c>
      <x:c r="G58" s="53" t="n">
        <x:f>MAX(0,E58-D58-F58)</x:f>
        <x:v>0</x:v>
      </x:c>
      <x:c r="H58" s="53" t="n">
        <x:f>G58/issue_price</x:f>
        <x:v>0</x:v>
      </x:c>
      <x:c r="I58" s="53" t="n">
        <x:f>IF(AND(D58&gt;E58,$A58&gt;=dev_start),(D58-E58)*dev_share,0)</x:f>
        <x:v>5.18354860351497</x:v>
      </x:c>
      <x:c r="J58" s="53" t="n">
        <x:f>IF($A58&gt;=dev_start,MAX(0,S57-F58-reserve_buffer*Economy!O58),0)</x:f>
        <x:v>0</x:v>
      </x:c>
      <x:c r="K58" s="53" t="n">
        <x:f>IF(D58&gt;E58,MIN((D58-E58-I58)*repay_share,R57-C58),0)</x:f>
        <x:v>1.7772166640622757</x:v>
      </x:c>
      <x:c r="L58" s="53" t="n">
        <x:f>IF(D58&gt;E58,D58-E58-I58-K58,0)</x:f>
        <x:v>0.4443041660155689</x:v>
      </x:c>
      <x:c r="M58" s="53" t="n">
        <x:f>D58+F58+G58-I58-K58-L58</x:f>
        <x:v>84.43981454716673</x:v>
      </x:c>
      <x:c r="N58" s="53" t="n">
        <x:f>I58+J58+Q58*dev_bonds+SUMPRODUCT((Events!$B$6:$B$158&lt;=$A58)*(Events!$C$6:$C$158&gt;=$A58)*(Events!$E$6:$E$158="Investment")*Events!$H$6:$H$158)</x:f>
        <x:v>28.293772382427512</x:v>
      </x:c>
      <x:c r="O58" s="53" t="n">
        <x:f>O57*(1-dev_dep)+N58</x:f>
        <x:v>389.94533428859387</x:v>
      </x:c>
      <x:c r="P58" s="53" t="n">
        <x:f>SUMPRODUCT((Events!$B$6:$B$158&lt;=$A58)*(Events!$C$6:$C$158&gt;=$A58)*(Events!$E$6:$E$158="Debt assumed")*Events!$H$6:$H$158)</x:f>
        <x:v>0</x:v>
      </x:c>
      <x:c r="Q58" s="53" t="n">
        <x:f>IF($A58&lt;1887,0,MAX(0,debt_floor*Economy!O58-(R57+P58+H58-C58-K58)))</x:f>
        <x:v>20.11022377891254</x:v>
      </x:c>
      <x:c r="R58" s="53" t="n">
        <x:f>R57+P58+H58-C58-K58+Q58</x:f>
        <x:v>166.93130038068387</x:v>
      </x:c>
      <x:c r="S58" s="53" t="n">
        <x:f>S57+L58-F58-J58+Q58*(1-dev_bonds)</x:f>
        <x:v>3.1067812797440606</x:v>
      </x:c>
      <x:c r="T58" s="69" t="n">
        <x:f>Loans!X58</x:f>
        <x:v>152.1386938274399</x:v>
      </x:c>
      <x:c r="U58" s="53" t="n">
        <x:f>R58-M58-S58-T58</x:f>
        <x:v>-72.75398927366683</x:v>
      </x:c>
      <x:c r="V58" s="63" t="n">
        <x:f>R58/Economy!O58</x:f>
        <x:v>0.05000000000000001</x:v>
      </x:c>
      <x:c r="W58" s="63" t="n">
        <x:f>Budget!X58/Budget!M58</x:f>
        <x:v>0.019528538419458136</x:v>
      </x:c>
      <x:c r="X58" s="63" t="n">
        <x:f>S58/Economy!O58</x:f>
        <x:v>0.0009305568436413967</x:v>
      </x:c>
      <x:c r="Y58" s="53" t="n">
        <x:f>MAX(0,H58+Q58-'Gold &amp; money'!G58)</x:f>
        <x:v>20.11022377891254</x:v>
      </x:c>
    </x:row>
    <x:row r="59">
      <x:c r="A59" s="58" t="n">
        <x:v>1899</x:v>
      </x:c>
      <x:c r="B59" s="53" t="n">
        <x:f>Loans!V59-Loans!W59</x:f>
        <x:v>17.967659849053298</x:v>
      </x:c>
      <x:c r="C59" s="53" t="n">
        <x:f>R58*debt_amort</x:f>
        <x:v>3.3386260076136773</x:v>
      </x:c>
      <x:c r="D59" s="53" t="n">
        <x:f>M58+Budget!Z59-B59-C59</x:f>
        <x:v>105.35134606648255</x:v>
      </x:c>
      <x:c r="E59" s="53" t="n">
        <x:f>MAX(0.1,Budget!M59*cash_target)</x:f>
        <x:v>92.76983666200533</x:v>
      </x:c>
      <x:c r="F59" s="53" t="n">
        <x:f>IF(D59&lt;E59,MIN(E59-D59,S58),0)</x:f>
        <x:v>0</x:v>
      </x:c>
      <x:c r="G59" s="53" t="n">
        <x:f>MAX(0,E59-D59-F59)</x:f>
        <x:v>0</x:v>
      </x:c>
      <x:c r="H59" s="53" t="n">
        <x:f>G59/issue_price</x:f>
        <x:v>0</x:v>
      </x:c>
      <x:c r="I59" s="53" t="n">
        <x:f>IF(AND(D59&gt;E59,$A59&gt;=dev_start),(D59-E59)*dev_share,0)</x:f>
        <x:v>8.80705658313405</x:v>
      </x:c>
      <x:c r="J59" s="53" t="n">
        <x:f>IF($A59&gt;=dev_start,MAX(0,S58-F59-reserve_buffer*Economy!O59),0)</x:f>
        <x:v>0</x:v>
      </x:c>
      <x:c r="K59" s="53" t="n">
        <x:f>IF(D59&gt;E59,MIN((D59-E59-I59)*repay_share,R58-C59),0)</x:f>
        <x:v>3.019562257074533</x:v>
      </x:c>
      <x:c r="L59" s="53" t="n">
        <x:f>IF(D59&gt;E59,D59-E59-I59-K59,0)</x:f>
        <x:v>0.7548905642686332</x:v>
      </x:c>
      <x:c r="M59" s="53" t="n">
        <x:f>D59+F59+G59-I59-K59-L59</x:f>
        <x:v>92.76983666200533</x:v>
      </x:c>
      <x:c r="N59" s="53" t="n">
        <x:f>I59+J59+Q59*dev_bonds+SUMPRODUCT((Events!$B$6:$B$158&lt;=$A59)*(Events!$C$6:$C$158&gt;=$A59)*(Events!$E$6:$E$158="Investment")*Events!$H$6:$H$158)</x:f>
        <x:v>34.52595667218488</x:v>
      </x:c>
      <x:c r="O59" s="53" t="n">
        <x:f>O58*(1-dev_dep)+N59</x:f>
        <x:v>412.7729309321209</x:v>
      </x:c>
      <x:c r="P59" s="53" t="n">
        <x:f>SUMPRODUCT((Events!$B$6:$B$158&lt;=$A59)*(Events!$C$6:$C$158&gt;=$A59)*(Events!$E$6:$E$158="Debt assumed")*Events!$H$6:$H$158)</x:f>
        <x:v>0</x:v>
      </x:c>
      <x:c r="Q59" s="53" t="n">
        <x:f>IF($A59&lt;1887,0,MAX(0,debt_floor*Economy!O59-(R58+P59+H59-C59-K59)))</x:f>
        <x:v>22.718900089050834</x:v>
      </x:c>
      <x:c r="R59" s="53" t="n">
        <x:f>R58+P59+H59-C59-K59+Q59</x:f>
        <x:v>183.2920122050465</x:v>
      </x:c>
      <x:c r="S59" s="53" t="n">
        <x:f>S58+L59-F59-J59+Q59*(1-dev_bonds)</x:f>
        <x:v>3.861671844012694</x:v>
      </x:c>
      <x:c r="T59" s="69" t="n">
        <x:f>Loans!X59</x:f>
        <x:v>170.10635367649317</x:v>
      </x:c>
      <x:c r="U59" s="53" t="n">
        <x:f>R59-M59-S59-T59</x:f>
        <x:v>-83.4458499774647</x:v>
      </x:c>
      <x:c r="V59" s="63" t="n">
        <x:f>R59/Economy!O59</x:f>
        <x:v>0.05</x:v>
      </x:c>
      <x:c r="W59" s="63" t="n">
        <x:f>Budget!X59/Budget!M59</x:f>
        <x:v>0.019343695576725193</x:v>
      </x:c>
      <x:c r="X59" s="63" t="n">
        <x:f>S59/Economy!O59</x:f>
        <x:v>0.0010534206585316687</x:v>
      </x:c>
      <x:c r="Y59" s="53" t="n">
        <x:f>MAX(0,H59+Q59-'Gold &amp; money'!G59)</x:f>
        <x:v>22.718900089050834</x:v>
      </x:c>
    </x:row>
    <x:row r="60">
      <x:c r="A60" s="58" t="n">
        <x:v>1900</x:v>
      </x:c>
      <x:c r="B60" s="53" t="n">
        <x:f>Loans!V60-Loans!W60</x:f>
        <x:v>-6.752642772973361</x:v>
      </x:c>
      <x:c r="C60" s="53" t="n">
        <x:f>R59*debt_amort</x:f>
        <x:v>3.66584024410093</x:v>
      </x:c>
      <x:c r="D60" s="53" t="n">
        <x:f>M59+Budget!Z60-B60-C60</x:f>
        <x:v>144.00475715071812</x:v>
      </x:c>
      <x:c r="E60" s="53" t="n">
        <x:f>MAX(0.1,Budget!M60*cash_target)</x:f>
        <x:v>101.91098996260227</x:v>
      </x:c>
      <x:c r="F60" s="53" t="n">
        <x:f>IF(D60&lt;E60,MIN(E60-D60,S59),0)</x:f>
        <x:v>0</x:v>
      </x:c>
      <x:c r="G60" s="53" t="n">
        <x:f>MAX(0,E60-D60-F60)</x:f>
        <x:v>0</x:v>
      </x:c>
      <x:c r="H60" s="53" t="n">
        <x:f>G60/issue_price</x:f>
        <x:v>0</x:v>
      </x:c>
      <x:c r="I60" s="53" t="n">
        <x:f>IF(AND(D60&gt;E60,$A60&gt;=dev_start),(D60-E60)*dev_share,0)</x:f>
        <x:v>29.46563703168109</x:v>
      </x:c>
      <x:c r="J60" s="53" t="n">
        <x:f>IF($A60&gt;=dev_start,MAX(0,S59-F60-reserve_buffer*Economy!O60),0)</x:f>
        <x:v>0</x:v>
      </x:c>
      <x:c r="K60" s="53" t="n">
        <x:f>IF(D60&gt;E60,MIN((D60-E60-I60)*repay_share,R59-C60),0)</x:f>
        <x:v>10.102504125147806</x:v>
      </x:c>
      <x:c r="L60" s="53" t="n">
        <x:f>IF(D60&gt;E60,D60-E60-I60-K60,0)</x:f>
        <x:v>2.5256260312869507</x:v>
      </x:c>
      <x:c r="M60" s="53" t="n">
        <x:f>D60+F60+G60-I60-K60-L60</x:f>
        <x:v>101.91098996260227</x:v>
      </x:c>
      <x:c r="N60" s="53" t="n">
        <x:f>I60+J60+Q60*dev_bonds+SUMPRODUCT((Events!$B$6:$B$158&lt;=$A60)*(Events!$C$6:$C$158&gt;=$A60)*(Events!$E$6:$E$158="Investment")*Events!$H$6:$H$158)</x:f>
        <x:v>64.49162129652007</x:v>
      </x:c>
      <x:c r="O60" s="53" t="n">
        <x:f>O59*(1-dev_dep)+N60</x:f>
        <x:v>464.8813643006773</x:v>
      </x:c>
      <x:c r="P60" s="53" t="n">
        <x:f>SUMPRODUCT((Events!$B$6:$B$158&lt;=$A60)*(Events!$C$6:$C$158&gt;=$A60)*(Events!$E$6:$E$158="Debt assumed")*Events!$H$6:$H$158)</x:f>
        <x:v>0</x:v>
      </x:c>
      <x:c r="Q60" s="53" t="n">
        <x:f>IF($A60&lt;1887,0,MAX(0,debt_floor*Economy!O60-(R59+P60+H60-C60-K60)))</x:f>
        <x:v>32.02598426483897</x:v>
      </x:c>
      <x:c r="R60" s="53" t="n">
        <x:f>R59+P60+H60-C60-K60+Q60</x:f>
        <x:v>201.5496521006367</x:v>
      </x:c>
      <x:c r="S60" s="53" t="n">
        <x:f>S59+L60-F60-J60+Q60*(1-dev_bonds)</x:f>
        <x:v>6.3872978752996445</x:v>
      </x:c>
      <x:c r="T60" s="69" t="n">
        <x:f>Loans!X60</x:f>
        <x:v>163.35371090351984</x:v>
      </x:c>
      <x:c r="U60" s="53" t="n">
        <x:f>R60-M60-S60-T60</x:f>
        <x:v>-70.10234664078504</x:v>
      </x:c>
      <x:c r="V60" s="63" t="n">
        <x:f>R60/Economy!O60</x:f>
        <x:v>0.05</x:v>
      </x:c>
      <x:c r="W60" s="63" t="n">
        <x:f>Budget!X60/Budget!M60</x:f>
        <x:v>0.01910959387592324</x:v>
      </x:c>
      <x:c r="X60" s="63" t="n">
        <x:f>S60/Economy!O60</x:f>
        <x:v>0.0015845469859978654</x:v>
      </x:c>
      <x:c r="Y60" s="53" t="n">
        <x:f>MAX(0,H60+Q60-'Gold &amp; money'!G60)</x:f>
        <x:v>32.02598426483897</x:v>
      </x:c>
    </x:row>
    <x:row r="61">
      <x:c r="A61" s="58" t="n">
        <x:v>1901</x:v>
      </x:c>
      <x:c r="B61" s="53" t="n">
        <x:f>Loans!V61-Loans!W61</x:f>
        <x:v>-6.484085403277017</x:v>
      </x:c>
      <x:c r="C61" s="53" t="n">
        <x:f>R60*debt_amort</x:f>
        <x:v>4.030993042012734</x:v>
      </x:c>
      <x:c r="D61" s="53" t="n">
        <x:f>M60+Budget!Z61-B61-C61</x:f>
        <x:v>185.09604670215833</x:v>
      </x:c>
      <x:c r="E61" s="53" t="n">
        <x:f>MAX(0.1,Budget!M61*cash_target)</x:f>
        <x:v>113.14114027779532</x:v>
      </x:c>
      <x:c r="F61" s="53" t="n">
        <x:f>IF(D61&lt;E61,MIN(E61-D61,S60),0)</x:f>
        <x:v>0</x:v>
      </x:c>
      <x:c r="G61" s="53" t="n">
        <x:f>MAX(0,E61-D61-F61)</x:f>
        <x:v>0</x:v>
      </x:c>
      <x:c r="H61" s="53" t="n">
        <x:f>G61/issue_price</x:f>
        <x:v>0</x:v>
      </x:c>
      <x:c r="I61" s="53" t="n">
        <x:f>IF(AND(D61&gt;E61,$A61&gt;=dev_start),(D61-E61)*dev_share,0)</x:f>
        <x:v>50.36843449705411</x:v>
      </x:c>
      <x:c r="J61" s="53" t="n">
        <x:f>IF($A61&gt;=dev_start,MAX(0,S60-F61-reserve_buffer*Economy!O61),0)</x:f>
        <x:v>0</x:v>
      </x:c>
      <x:c r="K61" s="53" t="n">
        <x:f>IF(D61&gt;E61,MIN((D61-E61-I61)*repay_share,R60-C61),0)</x:f>
        <x:v>17.269177541847125</x:v>
      </x:c>
      <x:c r="L61" s="53" t="n">
        <x:f>IF(D61&gt;E61,D61-E61-I61-K61,0)</x:f>
        <x:v>4.317294385461782</x:v>
      </x:c>
      <x:c r="M61" s="53" t="n">
        <x:f>D61+F61+G61-I61-K61-L61</x:f>
        <x:v>113.1411402777953</x:v>
      </x:c>
      <x:c r="N61" s="53" t="n">
        <x:f>I61+J61+Q61*dev_bonds+SUMPRODUCT((Events!$B$6:$B$158&lt;=$A61)*(Events!$C$6:$C$158&gt;=$A61)*(Events!$E$6:$E$158="Investment")*Events!$H$6:$H$158)</x:f>
        <x:v>90.54726503782196</x:v>
      </x:c>
      <x:c r="O61" s="53" t="n">
        <x:f>O60*(1-dev_dep)+N61</x:f>
        <x:v>541.4821884094789</x:v>
      </x:c>
      <x:c r="P61" s="53" t="n">
        <x:f>SUMPRODUCT((Events!$B$6:$B$158&lt;=$A61)*(Events!$C$6:$C$158&gt;=$A61)*(Events!$E$6:$E$158="Debt assumed")*Events!$H$6:$H$158)</x:f>
        <x:v>0</x:v>
      </x:c>
      <x:c r="Q61" s="53" t="n">
        <x:f>IF($A61&lt;1887,0,MAX(0,debt_floor*Economy!O61-(R60+P61+H61-C61-K61)))</x:f>
        <x:v>40.17883054076785</x:v>
      </x:c>
      <x:c r="R61" s="53" t="n">
        <x:f>R60+P61+H61-C61-K61+Q61</x:f>
        <x:v>220.4283120575447</x:v>
      </x:c>
      <x:c r="S61" s="53" t="n">
        <x:f>S60+L61-F61-J61+Q61*(1-dev_bonds)</x:f>
        <x:v>10.704592260761427</x:v>
      </x:c>
      <x:c r="T61" s="69" t="n">
        <x:f>Loans!X61</x:f>
        <x:v>156.86962550024282</x:v>
      </x:c>
      <x:c r="U61" s="53" t="n">
        <x:f>R61-M61-S61-T61</x:f>
        <x:v>-60.28704598125485</x:v>
      </x:c>
      <x:c r="V61" s="63" t="n">
        <x:f>R61/Economy!O61</x:f>
        <x:v>0.05</x:v>
      </x:c>
      <x:c r="W61" s="63" t="n">
        <x:f>Budget!X61/Budget!M61</x:f>
        <x:v>0.018704702302456973</x:v>
      </x:c>
      <x:c r="X61" s="63" t="n">
        <x:f>S61/Economy!O61</x:f>
        <x:v>0.002428134607764655</x:v>
      </x:c>
      <x:c r="Y61" s="53" t="n">
        <x:f>MAX(0,H61+Q61-'Gold &amp; money'!G61)</x:f>
        <x:v>40.17883054076785</x:v>
      </x:c>
    </x:row>
    <x:row r="62">
      <x:c r="A62" s="58" t="n">
        <x:v>1902</x:v>
      </x:c>
      <x:c r="B62" s="53" t="n">
        <x:f>Loans!V62-Loans!W62</x:f>
        <x:v>-6.22622387813185</x:v>
      </x:c>
      <x:c r="C62" s="53" t="n">
        <x:f>R61*debt_amort</x:f>
        <x:v>4.408566241150894</x:v>
      </x:c>
      <x:c r="D62" s="53" t="n">
        <x:f>M61+Budget!Z62-B62-C62</x:f>
        <x:v>225.47405291844007</x:v>
      </x:c>
      <x:c r="E62" s="53" t="n">
        <x:f>MAX(0.1,Budget!M62*cash_target)</x:f>
        <x:v>123.93947154105545</x:v>
      </x:c>
      <x:c r="F62" s="53" t="n">
        <x:f>IF(D62&lt;E62,MIN(E62-D62,S61),0)</x:f>
        <x:v>0</x:v>
      </x:c>
      <x:c r="G62" s="53" t="n">
        <x:f>MAX(0,E62-D62-F62)</x:f>
        <x:v>0</x:v>
      </x:c>
      <x:c r="H62" s="53" t="n">
        <x:f>G62/issue_price</x:f>
        <x:v>0</x:v>
      </x:c>
      <x:c r="I62" s="53" t="n">
        <x:f>IF(AND(D62&gt;E62,$A62&gt;=dev_start),(D62-E62)*dev_share,0)</x:f>
        <x:v>71.07420696416922</x:v>
      </x:c>
      <x:c r="J62" s="53" t="n">
        <x:f>IF($A62&gt;=dev_start,MAX(0,S61-F62-reserve_buffer*Economy!O62),0)</x:f>
        <x:v>0</x:v>
      </x:c>
      <x:c r="K62" s="53" t="n">
        <x:f>IF(D62&gt;E62,MIN((D62-E62-I62)*repay_share,R61-C62),0)</x:f>
        <x:v>24.368299530572315</x:v>
      </x:c>
      <x:c r="L62" s="53" t="n">
        <x:f>IF(D62&gt;E62,D62-E62-I62-K62,0)</x:f>
        <x:v>6.092074882643075</x:v>
      </x:c>
      <x:c r="M62" s="53" t="n">
        <x:f>D62+F62+G62-I62-K62-L62</x:f>
        <x:v>123.93947154105548</x:v>
      </x:c>
      <x:c r="N62" s="53" t="n">
        <x:f>I62+J62+Q62*dev_bonds+SUMPRODUCT((Events!$B$6:$B$158&lt;=$A62)*(Events!$C$6:$C$158&gt;=$A62)*(Events!$E$6:$E$158="Investment")*Events!$H$6:$H$158)</x:f>
        <x:v>120.82682885549418</x:v>
      </x:c>
      <x:c r="O62" s="53" t="n">
        <x:f>O61*(1-dev_dep)+N62</x:f>
        <x:v>646.0645516126888</x:v>
      </x:c>
      <x:c r="P62" s="53" t="n">
        <x:f>SUMPRODUCT((Events!$B$6:$B$158&lt;=$A62)*(Events!$C$6:$C$158&gt;=$A62)*(Events!$E$6:$E$158="Debt assumed")*Events!$H$6:$H$158)</x:f>
        <x:v>0</x:v>
      </x:c>
      <x:c r="Q62" s="53" t="n">
        <x:f>IF($A62&lt;1887,0,MAX(0,debt_floor*Economy!O62-(R61+P62+H62-C62-K62)))</x:f>
        <x:v>49.752621891324964</x:v>
      </x:c>
      <x:c r="R62" s="53" t="n">
        <x:f>R61+P62+H62-C62-K62+Q62</x:f>
        <x:v>241.40406817714643</x:v>
      </x:c>
      <x:c r="S62" s="53" t="n">
        <x:f>S61+L62-F62-J62+Q62*(1-dev_bonds)</x:f>
        <x:v>16.796667143404502</x:v>
      </x:c>
      <x:c r="T62" s="69" t="n">
        <x:f>Loans!X62</x:f>
        <x:v>150.64340162211096</x:v>
      </x:c>
      <x:c r="U62" s="53" t="n">
        <x:f>R62-M62-S62-T62</x:f>
        <x:v>-49.97547212942452</x:v>
      </x:c>
      <x:c r="V62" s="63" t="n">
        <x:f>R62/Economy!O62</x:f>
        <x:v>0.05</x:v>
      </x:c>
      <x:c r="W62" s="63" t="n">
        <x:f>Budget!X62/Budget!M62</x:f>
        <x:v>0.01845210173289683</x:v>
      </x:c>
      <x:c r="X62" s="63" t="n">
        <x:f>S62/Economy!O62</x:f>
        <x:v>0.003478952792767109</x:v>
      </x:c>
      <x:c r="Y62" s="53" t="n">
        <x:f>MAX(0,H62+Q62-'Gold &amp; money'!G62)</x:f>
        <x:v>49.752621891324964</x:v>
      </x:c>
    </x:row>
    <x:row r="63">
      <x:c r="A63" s="58" t="n">
        <x:v>1903</x:v>
      </x:c>
      <x:c r="B63" s="53" t="n">
        <x:f>Loans!V63-Loans!W63</x:f>
        <x:v>-5.978631757262911</x:v>
      </x:c>
      <x:c r="C63" s="53" t="n">
        <x:f>R62*debt_amort</x:f>
        <x:v>4.828081363542928</x:v>
      </x:c>
      <x:c r="D63" s="53" t="n">
        <x:f>M62+Budget!Z63-B63-C63</x:f>
        <x:v>249.868416887141</x:v>
      </x:c>
      <x:c r="E63" s="53" t="n">
        <x:f>MAX(0.1,Budget!M63*cash_target)</x:f>
        <x:v>135.87950684187945</x:v>
      </x:c>
      <x:c r="F63" s="53" t="n">
        <x:f>IF(D63&lt;E63,MIN(E63-D63,S62),0)</x:f>
        <x:v>0</x:v>
      </x:c>
      <x:c r="G63" s="53" t="n">
        <x:f>MAX(0,E63-D63-F63)</x:f>
        <x:v>0</x:v>
      </x:c>
      <x:c r="H63" s="53" t="n">
        <x:f>G63/issue_price</x:f>
        <x:v>0</x:v>
      </x:c>
      <x:c r="I63" s="53" t="n">
        <x:f>IF(AND(D63&gt;E63,$A63&gt;=dev_start),(D63-E63)*dev_share,0)</x:f>
        <x:v>79.79223703168307</x:v>
      </x:c>
      <x:c r="J63" s="53" t="n">
        <x:f>IF($A63&gt;=dev_start,MAX(0,S62-F63-reserve_buffer*Economy!O63),0)</x:f>
        <x:v>0</x:v>
      </x:c>
      <x:c r="K63" s="53" t="n">
        <x:f>IF(D63&gt;E63,MIN((D63-E63-I63)*repay_share,R62-C63),0)</x:f>
        <x:v>27.35733841086278</x:v>
      </x:c>
      <x:c r="L63" s="53" t="n">
        <x:f>IF(D63&gt;E63,D63-E63-I63-K63,0)</x:f>
        <x:v>6.839334602715695</x:v>
      </x:c>
      <x:c r="M63" s="53" t="n">
        <x:f>D63+F63+G63-I63-K63-L63</x:f>
        <x:v>135.87950684187945</x:v>
      </x:c>
      <x:c r="N63" s="53" t="n">
        <x:f>I63+J63+Q63*dev_bonds+SUMPRODUCT((Events!$B$6:$B$158&lt;=$A63)*(Events!$C$6:$C$158&gt;=$A63)*(Events!$E$6:$E$158="Investment")*Events!$H$6:$H$158)</x:f>
        <x:v>135.21881961745194</x:v>
      </x:c>
      <x:c r="O63" s="53" t="n">
        <x:f>O62*(1-dev_dep)+N63</x:f>
        <x:v>761.90143468176</x:v>
      </x:c>
      <x:c r="P63" s="53" t="n">
        <x:f>SUMPRODUCT((Events!$B$6:$B$158&lt;=$A63)*(Events!$C$6:$C$158&gt;=$A63)*(Events!$E$6:$E$158="Debt assumed")*Events!$H$6:$H$158)</x:f>
        <x:v>0</x:v>
      </x:c>
      <x:c r="Q63" s="53" t="n">
        <x:f>IF($A63&lt;1887,0,MAX(0,debt_floor*Economy!O63-(R62+P63+H63-C63-K63)))</x:f>
        <x:v>55.42658258576887</x:v>
      </x:c>
      <x:c r="R63" s="53" t="n">
        <x:f>R62+P63+H63-C63-K63+Q63</x:f>
        <x:v>264.6452309885096</x:v>
      </x:c>
      <x:c r="S63" s="53" t="n">
        <x:f>S62+L63-F63-J63+Q63*(1-dev_bonds)</x:f>
        <x:v>23.636001746120197</x:v>
      </x:c>
      <x:c r="T63" s="69" t="n">
        <x:f>Loans!X63</x:f>
        <x:v>144.66476986484804</x:v>
      </x:c>
      <x:c r="U63" s="53" t="n">
        <x:f>R63-M63-S63-T63</x:f>
        <x:v>-39.535047464338106</x:v>
      </x:c>
      <x:c r="V63" s="63" t="n">
        <x:f>R63/Economy!O63</x:f>
        <x:v>0.049999999999999996</x:v>
      </x:c>
      <x:c r="W63" s="63" t="n">
        <x:f>Budget!X63/Budget!M63</x:f>
        <x:v>0.01821019045716111</x:v>
      </x:c>
      <x:c r="X63" s="63" t="n">
        <x:f>S63/Economy!O63</x:f>
        <x:v>0.004465601299111721</x:v>
      </x:c>
      <x:c r="Y63" s="53" t="n">
        <x:f>MAX(0,H63+Q63-'Gold &amp; money'!G63)</x:f>
        <x:v>55.42658258576887</x:v>
      </x:c>
    </x:row>
    <x:row r="64">
      <x:c r="A64" s="58" t="n">
        <x:v>1904</x:v>
      </x:c>
      <x:c r="B64" s="53" t="n">
        <x:f>Loans!V64-Loans!W64</x:f>
        <x:v>24.25910038379896</x:v>
      </x:c>
      <x:c r="C64" s="53" t="n">
        <x:f>R63*debt_amort</x:f>
        <x:v>5.292904619770192</x:v>
      </x:c>
      <x:c r="D64" s="53" t="n">
        <x:f>M63+Budget!Z64-B64-C64</x:f>
        <x:v>241.59355774466837</x:v>
      </x:c>
      <x:c r="E64" s="53" t="n">
        <x:f>MAX(0.1,Budget!M64*cash_target)</x:f>
        <x:v>148.7234455952375</x:v>
      </x:c>
      <x:c r="F64" s="53" t="n">
        <x:f>IF(D64&lt;E64,MIN(E64-D64,S63),0)</x:f>
        <x:v>0</x:v>
      </x:c>
      <x:c r="G64" s="53" t="n">
        <x:f>MAX(0,E64-D64-F64)</x:f>
        <x:v>0</x:v>
      </x:c>
      <x:c r="H64" s="53" t="n">
        <x:f>G64/issue_price</x:f>
        <x:v>0</x:v>
      </x:c>
      <x:c r="I64" s="53" t="n">
        <x:f>IF(AND(D64&gt;E64,$A64&gt;=dev_start),(D64-E64)*dev_share,0)</x:f>
        <x:v>65.0090785046016</x:v>
      </x:c>
      <x:c r="J64" s="53" t="n">
        <x:f>IF($A64&gt;=dev_start,MAX(0,S63-F64-reserve_buffer*Economy!O64),0)</x:f>
        <x:v>0</x:v>
      </x:c>
      <x:c r="K64" s="53" t="n">
        <x:f>IF(D64&gt;E64,MIN((D64-E64-I64)*repay_share,R63-C64),0)</x:f>
        <x:v>22.28882691586341</x:v>
      </x:c>
      <x:c r="L64" s="53" t="n">
        <x:f>IF(D64&gt;E64,D64-E64-I64-K64,0)</x:f>
        <x:v>5.572206728965853</x:v>
      </x:c>
      <x:c r="M64" s="53" t="n">
        <x:f>D64+F64+G64-I64-K64-L64</x:f>
        <x:v>148.7234455952375</x:v>
      </x:c>
      <x:c r="N64" s="53" t="n">
        <x:f>I64+J64+Q64*dev_bonds+SUMPRODUCT((Events!$B$6:$B$158&lt;=$A64)*(Events!$C$6:$C$158&gt;=$A64)*(Events!$E$6:$E$158="Investment")*Events!$H$6:$H$158)</x:f>
        <x:v>117.96865101532805</x:v>
      </x:c>
      <x:c r="O64" s="53" t="n">
        <x:f>O63*(1-dev_dep)+N64</x:f>
        <x:v>857.0130426566352</x:v>
      </x:c>
      <x:c r="P64" s="53" t="n">
        <x:f>SUMPRODUCT((Events!$B$6:$B$158&lt;=$A64)*(Events!$C$6:$C$158&gt;=$A64)*(Events!$E$6:$E$158="Debt assumed")*Events!$H$6:$H$158)</x:f>
        <x:v>0</x:v>
      </x:c>
      <x:c r="Q64" s="53" t="n">
        <x:f>IF($A64&lt;1887,0,MAX(0,debt_floor*Economy!O64-(R63+P64+H64-C64-K64)))</x:f>
        <x:v>52.959572510726446</x:v>
      </x:c>
      <x:c r="R64" s="53" t="n">
        <x:f>R63+P64+H64-C64-K64+Q64</x:f>
        <x:v>290.02307196360243</x:v>
      </x:c>
      <x:c r="S64" s="53" t="n">
        <x:f>S63+L64-F64-J64+Q64*(1-dev_bonds)</x:f>
        <x:v>29.20820847508605</x:v>
      </x:c>
      <x:c r="T64" s="69" t="n">
        <x:f>Loans!X64</x:f>
        <x:v>168.923870248647</x:v>
      </x:c>
      <x:c r="U64" s="53" t="n">
        <x:f>R64-M64-S64-T64</x:f>
        <x:v>-56.83245235536813</x:v>
      </x:c>
      <x:c r="V64" s="63" t="n">
        <x:f>R64/Economy!O64</x:f>
        <x:v>0.05</x:v>
      </x:c>
      <x:c r="W64" s="63" t="n">
        <x:f>Budget!X64/Budget!M64</x:f>
        <x:v>0.01801688330333079</x:v>
      </x:c>
      <x:c r="X64" s="63" t="n">
        <x:f>S64/Economy!O64</x:f>
        <x:v>0.00503549739635053</x:v>
      </x:c>
      <x:c r="Y64" s="53" t="n">
        <x:f>MAX(0,H64+Q64-'Gold &amp; money'!G64)</x:f>
        <x:v>52.959572510726446</x:v>
      </x:c>
    </x:row>
    <x:row r="65">
      <x:c r="A65" s="58" t="n">
        <x:v>1905</x:v>
      </x:c>
      <x:c r="B65" s="53" t="n">
        <x:f>Loans!V65-Loans!W65</x:f>
        <x:v>23.287365633095213</x:v>
      </x:c>
      <x:c r="C65" s="53" t="n">
        <x:f>R64*debt_amort</x:f>
        <x:v>5.800461439272048</x:v>
      </x:c>
      <x:c r="D65" s="53" t="n">
        <x:f>M64+Budget!Z65-B65-C65</x:f>
        <x:v>264.16310969465866</x:v>
      </x:c>
      <x:c r="E65" s="53" t="n">
        <x:f>MAX(0.1,Budget!M65*cash_target)</x:f>
        <x:v>162.69151897862932</x:v>
      </x:c>
      <x:c r="F65" s="53" t="n">
        <x:f>IF(D65&lt;E65,MIN(E65-D65,S64),0)</x:f>
        <x:v>0</x:v>
      </x:c>
      <x:c r="G65" s="53" t="n">
        <x:f>MAX(0,E65-D65-F65)</x:f>
        <x:v>0</x:v>
      </x:c>
      <x:c r="H65" s="53" t="n">
        <x:f>G65/issue_price</x:f>
        <x:v>0</x:v>
      </x:c>
      <x:c r="I65" s="53" t="n">
        <x:f>IF(AND(D65&gt;E65,$A65&gt;=dev_start),(D65-E65)*dev_share,0)</x:f>
        <x:v>71.03011350122053</x:v>
      </x:c>
      <x:c r="J65" s="53" t="n">
        <x:f>IF($A65&gt;=dev_start,MAX(0,S64-F65-reserve_buffer*Economy!O65),0)</x:f>
        <x:v>0</x:v>
      </x:c>
      <x:c r="K65" s="53" t="n">
        <x:f>IF(D65&gt;E65,MIN((D65-E65-I65)*repay_share,R64-C65),0)</x:f>
        <x:v>24.35318177184705</x:v>
      </x:c>
      <x:c r="L65" s="53" t="n">
        <x:f>IF(D65&gt;E65,D65-E65-I65-K65,0)</x:f>
        <x:v>6.088295442961762</x:v>
      </x:c>
      <x:c r="M65" s="53" t="n">
        <x:f>D65+F65+G65-I65-K65-L65</x:f>
        <x:v>162.69151897862932</x:v>
      </x:c>
      <x:c r="N65" s="53" t="n">
        <x:f>I65+J65+Q65*dev_bonds+SUMPRODUCT((Events!$B$6:$B$158&lt;=$A65)*(Events!$C$6:$C$158&gt;=$A65)*(Events!$E$6:$E$158="Investment")*Events!$H$6:$H$158)</x:f>
        <x:v>128.06925423774243</x:v>
      </x:c>
      <x:c r="O65" s="53" t="n">
        <x:f>O64*(1-dev_dep)+N65</x:f>
        <x:v>959.3719056146786</x:v>
      </x:c>
      <x:c r="P65" s="53" t="n">
        <x:f>SUMPRODUCT((Events!$B$6:$B$158&lt;=$A65)*(Events!$C$6:$C$158&gt;=$A65)*(Events!$E$6:$E$158="Debt assumed")*Events!$H$6:$H$158)</x:f>
        <x:v>0</x:v>
      </x:c>
      <x:c r="Q65" s="53" t="n">
        <x:f>IF($A65&lt;1887,0,MAX(0,debt_floor*Economy!O65-(R64+P65+H65-C65-K65)))</x:f>
        <x:v>57.039140736521915</x:v>
      </x:c>
      <x:c r="R65" s="53" t="n">
        <x:f>R64+P65+H65-C65-K65+Q65</x:f>
        <x:v>316.90856948900523</x:v>
      </x:c>
      <x:c r="S65" s="53" t="n">
        <x:f>S64+L65-F65-J65+Q65*(1-dev_bonds)</x:f>
        <x:v>35.29650391804781</x:v>
      </x:c>
      <x:c r="T65" s="69" t="n">
        <x:f>Loans!X65</x:f>
        <x:v>192.21123588174223</x:v>
      </x:c>
      <x:c r="U65" s="53" t="n">
        <x:f>R65-M65-S65-T65</x:f>
        <x:v>-73.29068928941413</x:v>
      </x:c>
      <x:c r="V65" s="63" t="n">
        <x:f>R65/Economy!O65</x:f>
        <x:v>0.05000000000000001</x:v>
      </x:c>
      <x:c r="W65" s="63" t="n">
        <x:f>Budget!X65/Budget!M65</x:f>
        <x:v>0.017826563657672836</x:v>
      </x:c>
      <x:c r="X65" s="63" t="n">
        <x:f>S65/Economy!O65</x:f>
        <x:v>0.005568878111273729</x:v>
      </x:c>
      <x:c r="Y65" s="53" t="n">
        <x:f>MAX(0,H65+Q65-'Gold &amp; money'!G65)</x:f>
        <x:v>57.039140736521915</x:v>
      </x:c>
    </x:row>
    <x:row r="66">
      <x:c r="A66" s="58" t="n">
        <x:v>1906</x:v>
      </x:c>
      <x:c r="B66" s="53" t="n">
        <x:f>Loans!V66-Loans!W66</x:f>
        <x:v>-7.645458605519827</x:v>
      </x:c>
      <x:c r="C66" s="53" t="n">
        <x:f>R65*debt_amort</x:f>
        <x:v>6.338171389780105</x:v>
      </x:c>
      <x:c r="D66" s="53" t="n">
        <x:f>M65+Budget!Z66-B66-C66</x:f>
        <x:v>321.67207664701834</x:v>
      </x:c>
      <x:c r="E66" s="53" t="n">
        <x:f>MAX(0.1,Budget!M66*cash_target)</x:f>
        <x:v>179.93882422723598</x:v>
      </x:c>
      <x:c r="F66" s="53" t="n">
        <x:f>IF(D66&lt;E66,MIN(E66-D66,S65),0)</x:f>
        <x:v>0</x:v>
      </x:c>
      <x:c r="G66" s="53" t="n">
        <x:f>MAX(0,E66-D66-F66)</x:f>
        <x:v>0</x:v>
      </x:c>
      <x:c r="H66" s="53" t="n">
        <x:f>G66/issue_price</x:f>
        <x:v>0</x:v>
      </x:c>
      <x:c r="I66" s="53" t="n">
        <x:f>IF(AND(D66&gt;E66,$A66&gt;=dev_start),(D66-E66)*dev_share,0)</x:f>
        <x:v>99.21327669384765</x:v>
      </x:c>
      <x:c r="J66" s="53" t="n">
        <x:f>IF($A66&gt;=dev_start,MAX(0,S65-F66-reserve_buffer*Economy!O66),0)</x:f>
        <x:v>0</x:v>
      </x:c>
      <x:c r="K66" s="53" t="n">
        <x:f>IF(D66&gt;E66,MIN((D66-E66-I66)*repay_share,R65-C66),0)</x:f>
        <x:v>34.01598058074777</x:v>
      </x:c>
      <x:c r="L66" s="53" t="n">
        <x:f>IF(D66&gt;E66,D66-E66-I66-K66,0)</x:f>
        <x:v>8.503995145186941</x:v>
      </x:c>
      <x:c r="M66" s="53" t="n">
        <x:f>D66+F66+G66-I66-K66-L66</x:f>
        <x:v>179.93882422723598</x:v>
      </x:c>
      <x:c r="N66" s="53" t="n">
        <x:f>I66+J66+Q66*dev_bonds+SUMPRODUCT((Events!$B$6:$B$158&lt;=$A66)*(Events!$C$6:$C$158&gt;=$A66)*(Events!$E$6:$E$158="Investment")*Events!$H$6:$H$158)</x:f>
        <x:v>174.71649811982695</x:v>
      </x:c>
      <x:c r="O66" s="53" t="n">
        <x:f>O65*(1-dev_dep)+N66</x:f>
        <x:v>1105.3072465660653</x:v>
      </x:c>
      <x:c r="P66" s="53" t="n">
        <x:f>SUMPRODUCT((Events!$B$6:$B$158&lt;=$A66)*(Events!$C$6:$C$158&gt;=$A66)*(Events!$E$6:$E$158="Debt assumed")*Events!$H$6:$H$158)</x:f>
        <x:v>0</x:v>
      </x:c>
      <x:c r="Q66" s="53" t="n">
        <x:f>IF($A66&lt;1887,0,MAX(0,debt_floor*Economy!O66-(R65+P66+H66-C66-K66)))</x:f>
        <x:v>74.3032214259793</x:v>
      </x:c>
      <x:c r="R66" s="53" t="n">
        <x:f>R65+P66+H66-C66-K66+Q66</x:f>
        <x:v>350.85763894445665</x:v>
      </x:c>
      <x:c r="S66" s="53" t="n">
        <x:f>S65+L66-F66-J66+Q66*(1-dev_bonds)</x:f>
        <x:v>43.80049906323475</x:v>
      </x:c>
      <x:c r="T66" s="69" t="n">
        <x:f>Loans!X66</x:f>
        <x:v>184.5657772762224</x:v>
      </x:c>
      <x:c r="U66" s="53" t="n">
        <x:f>R66-M66-S66-T66</x:f>
        <x:v>-57.44746162223649</x:v>
      </x:c>
      <x:c r="V66" s="63" t="n">
        <x:f>R66/Economy!O66</x:f>
        <x:v>0.05</x:v>
      </x:c>
      <x:c r="W66" s="63" t="n">
        <x:f>Budget!X66/Budget!M66</x:f>
        <x:v>0.018096347830901614</x:v>
      </x:c>
      <x:c r="X66" s="63" t="n">
        <x:f>S66/Economy!O66</x:f>
        <x:v>0.006241918972465168</x:v>
      </x:c>
      <x:c r="Y66" s="53" t="n">
        <x:f>MAX(0,H66+Q66-'Gold &amp; money'!G66)</x:f>
        <x:v>74.3032214259793</x:v>
      </x:c>
    </x:row>
    <x:row r="67">
      <x:c r="A67" s="58" t="n">
        <x:v>1907</x:v>
      </x:c>
      <x:c r="B67" s="53" t="n">
        <x:f>Loans!V67-Loans!W67</x:f>
        <x:v>-7.34092998619153</x:v>
      </x:c>
      <x:c r="C67" s="53" t="n">
        <x:f>R66*debt_amort</x:f>
        <x:v>7.017152778889133</x:v>
      </x:c>
      <x:c r="D67" s="53" t="n">
        <x:f>M66+Budget!Z67-B67-C67</x:f>
        <x:v>350.64017750145194</x:v>
      </x:c>
      <x:c r="E67" s="53" t="n">
        <x:f>MAX(0.1,Budget!M67*cash_target)</x:f>
        <x:v>195.1767825206474</x:v>
      </x:c>
      <x:c r="F67" s="53" t="n">
        <x:f>IF(D67&lt;E67,MIN(E67-D67,S66),0)</x:f>
        <x:v>0</x:v>
      </x:c>
      <x:c r="G67" s="53" t="n">
        <x:f>MAX(0,E67-D67-F67)</x:f>
        <x:v>0</x:v>
      </x:c>
      <x:c r="H67" s="53" t="n">
        <x:f>G67/issue_price</x:f>
        <x:v>0</x:v>
      </x:c>
      <x:c r="I67" s="53" t="n">
        <x:f>IF(AND(D67&gt;E67,$A67&gt;=dev_start),(D67-E67)*dev_share,0)</x:f>
        <x:v>108.82437648656317</x:v>
      </x:c>
      <x:c r="J67" s="53" t="n">
        <x:f>IF($A67&gt;=dev_start,MAX(0,S66-F67-reserve_buffer*Economy!O67),0)</x:f>
        <x:v>0</x:v>
      </x:c>
      <x:c r="K67" s="53" t="n">
        <x:f>IF(D67&gt;E67,MIN((D67-E67-I67)*repay_share,R66-C67),0)</x:f>
        <x:v>37.3112147953931</x:v>
      </x:c>
      <x:c r="L67" s="53" t="n">
        <x:f>IF(D67&gt;E67,D67-E67-I67-K67,0)</x:f>
        <x:v>9.327803698848271</x:v>
      </x:c>
      <x:c r="M67" s="53" t="n">
        <x:f>D67+F67+G67-I67-K67-L67</x:f>
        <x:v>195.17678252064744</x:v>
      </x:c>
      <x:c r="N67" s="53" t="n">
        <x:f>I67+J67+Q67*dev_bonds+SUMPRODUCT((Events!$B$6:$B$158&lt;=$A67)*(Events!$C$6:$C$158&gt;=$A67)*(Events!$E$6:$E$158="Investment")*Events!$H$6:$H$158)</x:f>
        <x:v>185.6890336070183</x:v>
      </x:c>
      <x:c r="O67" s="53" t="n">
        <x:f>O66*(1-dev_dep)+N67</x:f>
        <x:v>1257.8370627761014</x:v>
      </x:c>
      <x:c r="P67" s="53" t="n">
        <x:f>SUMPRODUCT((Events!$B$6:$B$158&lt;=$A67)*(Events!$C$6:$C$158&gt;=$A67)*(Events!$E$6:$E$158="Debt assumed")*Events!$H$6:$H$158)</x:f>
        <x:v>0</x:v>
      </x:c>
      <x:c r="Q67" s="53" t="n">
        <x:f>IF($A67&lt;1887,0,MAX(0,debt_floor*Economy!O67-(R66+P67+H67-C67-K67)))</x:f>
        <x:v>75.66465712045516</x:v>
      </x:c>
      <x:c r="R67" s="53" t="n">
        <x:f>R66+P67+H67-C67-K67+Q67</x:f>
        <x:v>382.1939284906296</x:v>
      </x:c>
      <x:c r="S67" s="53" t="n">
        <x:f>S66+L67-F67-J67+Q67*(1-dev_bonds)</x:f>
        <x:v>53.128302762083024</x:v>
      </x:c>
      <x:c r="T67" s="69" t="n">
        <x:f>Loans!X67</x:f>
        <x:v>177.22484729003088</x:v>
      </x:c>
      <x:c r="U67" s="53" t="n">
        <x:f>R67-M67-S67-T67</x:f>
        <x:v>-43.33600408213172</x:v>
      </x:c>
      <x:c r="V67" s="63" t="n">
        <x:f>R67/Economy!O67</x:f>
        <x:v>0.05</x:v>
      </x:c>
      <x:c r="W67" s="63" t="n">
        <x:f>Budget!X67/Budget!M67</x:f>
        <x:v>0.01896510457370839</x:v>
      </x:c>
      <x:c r="X67" s="63" t="n">
        <x:f>S67/Economy!O67</x:f>
        <x:v>0.006950437827714679</x:v>
      </x:c>
      <x:c r="Y67" s="53" t="n">
        <x:f>MAX(0,H67+Q67-'Gold &amp; money'!G67)</x:f>
        <x:v>75.66465712045516</x:v>
      </x:c>
    </x:row>
    <x:row r="68">
      <x:c r="A68" s="58" t="n">
        <x:v>1908</x:v>
      </x:c>
      <x:c r="B68" s="53" t="n">
        <x:f>Loans!V68-Loans!W68</x:f>
        <x:v>-7.0485438198895904</x:v>
      </x:c>
      <x:c r="C68" s="53" t="n">
        <x:f>R67*debt_amort</x:f>
        <x:v>7.643878569812593</x:v>
      </x:c>
      <x:c r="D68" s="53" t="n">
        <x:f>M67+Budget!Z68-B68-C68</x:f>
        <x:v>369.9448241009154</x:v>
      </x:c>
      <x:c r="E68" s="53" t="n">
        <x:f>MAX(0.1,Budget!M68*cash_target)</x:f>
        <x:v>205.75718785154058</x:v>
      </x:c>
      <x:c r="F68" s="53" t="n">
        <x:f>IF(D68&lt;E68,MIN(E68-D68,S67),0)</x:f>
        <x:v>0</x:v>
      </x:c>
      <x:c r="G68" s="53" t="n">
        <x:f>MAX(0,E68-D68-F68)</x:f>
        <x:v>0</x:v>
      </x:c>
      <x:c r="H68" s="53" t="n">
        <x:f>G68/issue_price</x:f>
        <x:v>0</x:v>
      </x:c>
      <x:c r="I68" s="53" t="n">
        <x:f>IF(AND(D68&gt;E68,$A68&gt;=dev_start),(D68-E68)*dev_share,0)</x:f>
        <x:v>114.93134537456237</x:v>
      </x:c>
      <x:c r="J68" s="53" t="n">
        <x:f>IF($A68&gt;=dev_start,MAX(0,S67-F68-reserve_buffer*Economy!O68),0)</x:f>
        <x:v>0</x:v>
      </x:c>
      <x:c r="K68" s="53" t="n">
        <x:f>IF(D68&gt;E68,MIN((D68-E68-I68)*repay_share,R67-C68),0)</x:f>
        <x:v>39.405032699849976</x:v>
      </x:c>
      <x:c r="L68" s="53" t="n">
        <x:f>IF(D68&gt;E68,D68-E68-I68-K68,0)</x:f>
        <x:v>9.851258174962489</x:v>
      </x:c>
      <x:c r="M68" s="53" t="n">
        <x:f>D68+F68+G68-I68-K68-L68</x:f>
        <x:v>205.75718785154058</x:v>
      </x:c>
      <x:c r="N68" s="53" t="n">
        <x:f>I68+J68+Q68*dev_bonds+SUMPRODUCT((Events!$B$6:$B$158&lt;=$A68)*(Events!$C$6:$C$158&gt;=$A68)*(Events!$E$6:$E$158="Investment")*Events!$H$6:$H$158)</x:f>
        <x:v>186.12586456536266</x:v>
      </x:c>
      <x:c r="O68" s="53" t="n">
        <x:f>O67*(1-dev_dep)+N68</x:f>
        <x:v>1406.227815458181</x:v>
      </x:c>
      <x:c r="P68" s="53" t="n">
        <x:f>SUMPRODUCT((Events!$B$6:$B$158&lt;=$A68)*(Events!$C$6:$C$158&gt;=$A68)*(Events!$E$6:$E$158="Debt assumed")*Events!$H$6:$H$158)</x:f>
        <x:v>0</x:v>
      </x:c>
      <x:c r="Q68" s="53" t="n">
        <x:f>IF($A68&lt;1887,0,MAX(0,debt_floor*Economy!O68-(R67+P68+H68-C68-K68)))</x:f>
        <x:v>69.9945191908003</x:v>
      </x:c>
      <x:c r="R68" s="53" t="n">
        <x:f>R67+P68+H68-C68-K68+Q68</x:f>
        <x:v>405.1395364117673</x:v>
      </x:c>
      <x:c r="S68" s="53" t="n">
        <x:f>S67+L68-F68-J68+Q68*(1-dev_bonds)</x:f>
        <x:v>62.97956093704551</x:v>
      </x:c>
      <x:c r="T68" s="69" t="n">
        <x:f>Loans!X68</x:f>
        <x:v>170.17630347014128</x:v>
      </x:c>
      <x:c r="U68" s="53" t="n">
        <x:f>R68-M68-S68-T68</x:f>
        <x:v>-33.77351584696004</x:v>
      </x:c>
      <x:c r="V68" s="63" t="n">
        <x:f>R68/Economy!O68</x:f>
        <x:v>0.05</x:v>
      </x:c>
      <x:c r="W68" s="63" t="n">
        <x:f>Budget!X68/Budget!M68</x:f>
        <x:v>0.02010743497766019</x:v>
      </x:c>
      <x:c r="X68" s="63" t="n">
        <x:f>S68/Economy!O68</x:f>
        <x:v>0.007772576517073818</x:v>
      </x:c>
      <x:c r="Y68" s="53" t="n">
        <x:f>MAX(0,H68+Q68-'Gold &amp; money'!G68)</x:f>
        <x:v>69.9945191908003</x:v>
      </x:c>
    </x:row>
    <x:row r="69">
      <x:c r="A69" s="58" t="n">
        <x:v>1909</x:v>
      </x:c>
      <x:c r="B69" s="53" t="n">
        <x:f>Loans!V69-Loans!W69</x:f>
        <x:v>-6.767815569245355</x:v>
      </x:c>
      <x:c r="C69" s="53" t="n">
        <x:f>R68*debt_amort</x:f>
        <x:v>8.102790728235346</x:v>
      </x:c>
      <x:c r="D69" s="53" t="n">
        <x:f>M68+Budget!Z69-B69-C69</x:f>
        <x:v>405.01649090921364</x:v>
      </x:c>
      <x:c r="E69" s="53" t="n">
        <x:f>MAX(0.1,Budget!M69*cash_target)</x:f>
        <x:v>236.3563387489005</x:v>
      </x:c>
      <x:c r="F69" s="53" t="n">
        <x:f>IF(D69&lt;E69,MIN(E69-D69,S68),0)</x:f>
        <x:v>0</x:v>
      </x:c>
      <x:c r="G69" s="53" t="n">
        <x:f>MAX(0,E69-D69-F69)</x:f>
        <x:v>0</x:v>
      </x:c>
      <x:c r="H69" s="53" t="n">
        <x:f>G69/issue_price</x:f>
        <x:v>0</x:v>
      </x:c>
      <x:c r="I69" s="53" t="n">
        <x:f>IF(AND(D69&gt;E69,$A69&gt;=dev_start),(D69-E69)*dev_share,0)</x:f>
        <x:v>118.06210651221919</x:v>
      </x:c>
      <x:c r="J69" s="53" t="n">
        <x:f>IF($A69&gt;=dev_start,MAX(0,S68-F69-reserve_buffer*Economy!O69),0)</x:f>
        <x:v>0</x:v>
      </x:c>
      <x:c r="K69" s="53" t="n">
        <x:f>IF(D69&gt;E69,MIN((D69-E69-I69)*repay_share,R68-C69),0)</x:f>
        <x:v>40.47843651847517</x:v>
      </x:c>
      <x:c r="L69" s="53" t="n">
        <x:f>IF(D69&gt;E69,D69-E69-I69-K69,0)</x:f>
        <x:v>10.119609129618787</x:v>
      </x:c>
      <x:c r="M69" s="53" t="n">
        <x:f>D69+F69+G69-I69-K69-L69</x:f>
        <x:v>236.35633874890047</x:v>
      </x:c>
      <x:c r="N69" s="53" t="n">
        <x:f>I69+J69+Q69*dev_bonds+SUMPRODUCT((Events!$B$6:$B$158&lt;=$A69)*(Events!$C$6:$C$158&gt;=$A69)*(Events!$E$6:$E$158="Investment")*Events!$H$6:$H$158)</x:f>
        <x:v>229.68099747689064</x:v>
      </x:c>
      <x:c r="O69" s="53" t="n">
        <x:f>O68*(1-dev_dep)+N69</x:f>
        <x:v>1593.721978471326</x:v>
      </x:c>
      <x:c r="P69" s="53" t="n">
        <x:f>SUMPRODUCT((Events!$B$6:$B$158&lt;=$A69)*(Events!$C$6:$C$158&gt;=$A69)*(Events!$E$6:$E$158="Debt assumed")*Events!$H$6:$H$158)</x:f>
        <x:v>0</x:v>
      </x:c>
      <x:c r="Q69" s="53" t="n">
        <x:f>IF($A69&lt;1887,0,MAX(0,debt_floor*Economy!O69-(R68+P69+H69-C69-K69)))</x:f>
        <x:v>110.41889096467145</x:v>
      </x:c>
      <x:c r="R69" s="53" t="n">
        <x:f>R68+P69+H69-C69-K69+Q69</x:f>
        <x:v>466.97720012972826</x:v>
      </x:c>
      <x:c r="S69" s="53" t="n">
        <x:f>S68+L69-F69-J69+Q69*(1-dev_bonds)</x:f>
        <x:v>73.0991700666643</x:v>
      </x:c>
      <x:c r="T69" s="69" t="n">
        <x:f>Loans!X69</x:f>
        <x:v>163.40848790089592</x:v>
      </x:c>
      <x:c r="U69" s="53" t="n">
        <x:f>R69-M69-S69-T69</x:f>
        <x:v>-5.88679658673243</x:v>
      </x:c>
      <x:c r="V69" s="63" t="n">
        <x:f>R69/Economy!O69</x:f>
        <x:v>0.05</x:v>
      </x:c>
      <x:c r="W69" s="63" t="n">
        <x:f>Budget!X69/Budget!M69</x:f>
        <x:v>0.019026563357575858</x:v>
      </x:c>
      <x:c r="X69" s="63" t="n">
        <x:f>S69/Economy!O69</x:f>
        <x:v>0.0078268457267675</x:v>
      </x:c>
      <x:c r="Y69" s="53" t="n">
        <x:f>MAX(0,H69+Q69-'Gold &amp; money'!G69)</x:f>
        <x:v>110.41889096467145</x:v>
      </x:c>
    </x:row>
    <x:row r="70">
      <x:c r="A70" s="58" t="n">
        <x:v>1910</x:v>
      </x:c>
      <x:c r="B70" s="53" t="n">
        <x:f>Loans!V70-Loans!W70</x:f>
        <x:v>-6.4982800435623504</x:v>
      </x:c>
      <x:c r="C70" s="53" t="n">
        <x:f>R69*debt_amort</x:f>
        <x:v>9.339544002594565</x:v>
      </x:c>
      <x:c r="D70" s="53" t="n">
        <x:f>M69+Budget!Z70-B70-C70</x:f>
        <x:v>448.19969724456644</x:v>
      </x:c>
      <x:c r="E70" s="53" t="n">
        <x:f>MAX(0.1,Budget!M70*cash_target)</x:f>
        <x:v>258.35565330057966</x:v>
      </x:c>
      <x:c r="F70" s="53" t="n">
        <x:f>IF(D70&lt;E70,MIN(E70-D70,S69),0)</x:f>
        <x:v>0</x:v>
      </x:c>
      <x:c r="G70" s="53" t="n">
        <x:f>MAX(0,E70-D70-F70)</x:f>
        <x:v>0</x:v>
      </x:c>
      <x:c r="H70" s="53" t="n">
        <x:f>G70/issue_price</x:f>
        <x:v>0</x:v>
      </x:c>
      <x:c r="I70" s="53" t="n">
        <x:f>IF(AND(D70&gt;E70,$A70&gt;=dev_start),(D70-E70)*dev_share,0)</x:f>
        <x:v>132.89083076079075</x:v>
      </x:c>
      <x:c r="J70" s="53" t="n">
        <x:f>IF($A70&gt;=dev_start,MAX(0,S69-F70-reserve_buffer*Economy!O70),0)</x:f>
        <x:v>0</x:v>
      </x:c>
      <x:c r="K70" s="53" t="n">
        <x:f>IF(D70&gt;E70,MIN((D70-E70-I70)*repay_share,R69-C70),0)</x:f>
        <x:v>45.56257054655683</x:v>
      </x:c>
      <x:c r="L70" s="53" t="n">
        <x:f>IF(D70&gt;E70,D70-E70-I70-K70,0)</x:f>
        <x:v>11.3906426366392</x:v>
      </x:c>
      <x:c r="M70" s="53" t="n">
        <x:f>D70+F70+G70-I70-K70-L70</x:f>
        <x:v>258.35565330057966</x:v>
      </x:c>
      <x:c r="N70" s="53" t="n">
        <x:f>I70+J70+Q70*dev_bonds+SUMPRODUCT((Events!$B$6:$B$158&lt;=$A70)*(Events!$C$6:$C$158&gt;=$A70)*(Events!$E$6:$E$158="Investment")*Events!$H$6:$H$158)</x:f>
        <x:v>233.447492445562</x:v>
      </x:c>
      <x:c r="O70" s="53" t="n">
        <x:f>O69*(1-dev_dep)+N70</x:f>
        <x:v>1779.357811562748</x:v>
      </x:c>
      <x:c r="P70" s="53" t="n">
        <x:f>SUMPRODUCT((Events!$B$6:$B$158&lt;=$A70)*(Events!$C$6:$C$158&gt;=$A70)*(Events!$E$6:$E$158="Debt assumed")*Events!$H$6:$H$158)</x:f>
        <x:v>0</x:v>
      </x:c>
      <x:c r="Q70" s="53" t="n">
        <x:f>IF($A70&lt;1887,0,MAX(0,debt_floor*Economy!O70-(R69+P70+H70-C70-K70)))</x:f>
        <x:v>99.35666168477127</x:v>
      </x:c>
      <x:c r="R70" s="53" t="n">
        <x:f>R69+P70+H70-C70-K70+Q70</x:f>
        <x:v>511.4317472653482</x:v>
      </x:c>
      <x:c r="S70" s="53" t="n">
        <x:f>S69+L70-F70-J70+Q70*(1-dev_bonds)</x:f>
        <x:v>84.4898127033035</x:v>
      </x:c>
      <x:c r="T70" s="69" t="n">
        <x:f>Loans!X70</x:f>
        <x:v>156.91020785733357</x:v>
      </x:c>
      <x:c r="U70" s="53" t="n">
        <x:f>R70-M70-S70-T70</x:f>
        <x:v>11.676073404131444</x:v>
      </x:c>
      <x:c r="V70" s="63" t="n">
        <x:f>R70/Economy!O70</x:f>
        <x:v>0.05</x:v>
      </x:c>
      <x:c r="W70" s="63" t="n">
        <x:f>Budget!X70/Budget!M70</x:f>
        <x:v>0.020605471618170154</x:v>
      </x:c>
      <x:c r="X70" s="63" t="n">
        <x:f>S70/Economy!O70</x:f>
        <x:v>0.00826012592638948</x:v>
      </x:c>
      <x:c r="Y70" s="53" t="n">
        <x:f>MAX(0,H70+Q70-'Gold &amp; money'!G70)</x:f>
        <x:v>99.35666168477127</x:v>
      </x:c>
    </x:row>
    <x:row r="71">
      <x:c r="A71" s="58" t="n">
        <x:v>1911</x:v>
      </x:c>
      <x:c r="B71" s="53" t="n">
        <x:f>Loans!V71-Loans!W71</x:f>
        <x:v>-6.239490625994062</x:v>
      </x:c>
      <x:c r="C71" s="53" t="n">
        <x:f>R70*debt_amort</x:f>
        <x:v>10.228634945306963</x:v>
      </x:c>
      <x:c r="D71" s="53" t="n">
        <x:f>M70+Budget!Z71-B71-C71</x:f>
        <x:v>478.340787120404</x:v>
      </x:c>
      <x:c r="E71" s="53" t="n">
        <x:f>MAX(0.1,Budget!M71*cash_target)</x:f>
        <x:v>281.0042342054516</x:v>
      </x:c>
      <x:c r="F71" s="53" t="n">
        <x:f>IF(D71&lt;E71,MIN(E71-D71,S70),0)</x:f>
        <x:v>0</x:v>
      </x:c>
      <x:c r="G71" s="53" t="n">
        <x:f>MAX(0,E71-D71-F71)</x:f>
        <x:v>0</x:v>
      </x:c>
      <x:c r="H71" s="53" t="n">
        <x:f>G71/issue_price</x:f>
        <x:v>0</x:v>
      </x:c>
      <x:c r="I71" s="53" t="n">
        <x:f>IF(AND(D71&gt;E71,$A71&gt;=dev_start),(D71-E71)*dev_share,0)</x:f>
        <x:v>138.13558704046667</x:v>
      </x:c>
      <x:c r="J71" s="53" t="n">
        <x:f>IF($A71&gt;=dev_start,MAX(0,S70-F71-reserve_buffer*Economy!O71),0)</x:f>
        <x:v>0</x:v>
      </x:c>
      <x:c r="K71" s="53" t="n">
        <x:f>IF(D71&gt;E71,MIN((D71-E71-I71)*repay_share,R70-C71),0)</x:f>
        <x:v>47.36077269958858</x:v>
      </x:c>
      <x:c r="L71" s="53" t="n">
        <x:f>IF(D71&gt;E71,D71-E71-I71-K71,0)</x:f>
        <x:v>11.840193174897138</x:v>
      </x:c>
      <x:c r="M71" s="53" t="n">
        <x:f>D71+F71+G71-I71-K71-L71</x:f>
        <x:v>281.0042342054516</x:v>
      </x:c>
      <x:c r="N71" s="53" t="n">
        <x:f>I71+J71+Q71*dev_bonds+SUMPRODUCT((Events!$B$6:$B$158&lt;=$A71)*(Events!$C$6:$C$158&gt;=$A71)*(Events!$E$6:$E$158="Investment")*Events!$H$6:$H$158)</x:f>
        <x:v>242.90385106842476</x:v>
      </x:c>
      <x:c r="O71" s="53" t="n">
        <x:f>O70*(1-dev_dep)+N71</x:f>
        <x:v>1968.8809282842903</x:v>
      </x:c>
      <x:c r="P71" s="53" t="n">
        <x:f>SUMPRODUCT((Events!$B$6:$B$158&lt;=$A71)*(Events!$C$6:$C$158&gt;=$A71)*(Events!$E$6:$E$158="Debt assumed")*Events!$H$6:$H$158)</x:f>
        <x:v>0</x:v>
      </x:c>
      <x:c r="Q71" s="53" t="n">
        <x:f>IF($A71&lt;1887,0,MAX(0,debt_floor*Economy!O71-(R70+P71+H71-C71-K71)))</x:f>
        <x:v>103.5682640279581</x:v>
      </x:c>
      <x:c r="R71" s="53" t="n">
        <x:f>R70+P71+H71-C71-K71+Q71</x:f>
        <x:v>557.4106036484108</x:v>
      </x:c>
      <x:c r="S71" s="53" t="n">
        <x:f>S70+L71-F71-J71+Q71*(1-dev_bonds)</x:f>
        <x:v>96.33000587820064</x:v>
      </x:c>
      <x:c r="T71" s="69" t="n">
        <x:f>Loans!X71</x:f>
        <x:v>150.6707172313395</x:v>
      </x:c>
      <x:c r="U71" s="53" t="n">
        <x:f>R71-M71-S71-T71</x:f>
        <x:v>29.405646333419014</x:v>
      </x:c>
      <x:c r="V71" s="63" t="n">
        <x:f>R71/Economy!O71</x:f>
        <x:v>0.049999999999999996</x:v>
      </x:c>
      <x:c r="W71" s="63" t="n">
        <x:f>Budget!X71/Budget!M71</x:f>
        <x:v>0.02124866789358543</x:v>
      </x:c>
      <x:c r="X71" s="63" t="n">
        <x:f>S71/Economy!O71</x:f>
        <x:v>0.008640847989587332</x:v>
      </x:c>
      <x:c r="Y71" s="53" t="n">
        <x:f>MAX(0,H71+Q71-'Gold &amp; money'!G71)</x:f>
        <x:v>103.5682640279581</x:v>
      </x:c>
    </x:row>
    <x:row r="72">
      <x:c r="A72" s="58" t="n">
        <x:v>1912</x:v>
      </x:c>
      <x:c r="B72" s="53" t="n">
        <x:f>Loans!V72-Loans!W72</x:f>
        <x:v>-5.9910185316032765</x:v>
      </x:c>
      <x:c r="C72" s="53" t="n">
        <x:f>R71*debt_amort</x:f>
        <x:v>11.148212072968215</x:v>
      </x:c>
      <x:c r="D72" s="53" t="n">
        <x:f>M71+Budget!Z72-B72-C72</x:f>
        <x:v>517.3728026928082</x:v>
      </x:c>
      <x:c r="E72" s="53" t="n">
        <x:f>MAX(0.1,Budget!M72*cash_target)</x:f>
        <x:v>305.67101445718953</x:v>
      </x:c>
      <x:c r="F72" s="53" t="n">
        <x:f>IF(D72&lt;E72,MIN(E72-D72,S71),0)</x:f>
        <x:v>0</x:v>
      </x:c>
      <x:c r="G72" s="53" t="n">
        <x:f>MAX(0,E72-D72-F72)</x:f>
        <x:v>0</x:v>
      </x:c>
      <x:c r="H72" s="53" t="n">
        <x:f>G72/issue_price</x:f>
        <x:v>0</x:v>
      </x:c>
      <x:c r="I72" s="53" t="n">
        <x:f>IF(AND(D72&gt;E72,$A72&gt;=dev_start),(D72-E72)*dev_share,0)</x:f>
        <x:v>148.1912517649331</x:v>
      </x:c>
      <x:c r="J72" s="53" t="n">
        <x:f>IF($A72&gt;=dev_start,MAX(0,S71-F72-reserve_buffer*Economy!O72),0)</x:f>
        <x:v>0</x:v>
      </x:c>
      <x:c r="K72" s="53" t="n">
        <x:f>IF(D72&gt;E72,MIN((D72-E72-I72)*repay_share,R71-C72),0)</x:f>
        <x:v>50.8084291765485</x:v>
      </x:c>
      <x:c r="L72" s="53" t="n">
        <x:f>IF(D72&gt;E72,D72-E72-I72-K72,0)</x:f>
        <x:v>12.702107294137122</x:v>
      </x:c>
      <x:c r="M72" s="53" t="n">
        <x:f>D72+F72+G72-I72-K72-L72</x:f>
        <x:v>305.67101445718953</x:v>
      </x:c>
      <x:c r="N72" s="53" t="n">
        <x:f>I72+J72+Q72*dev_bonds+SUMPRODUCT((Events!$B$6:$B$158&lt;=$A72)*(Events!$C$6:$C$158&gt;=$A72)*(Events!$E$6:$E$158="Investment")*Events!$H$6:$H$158)</x:f>
        <x:v>261.89985710560234</x:v>
      </x:c>
      <x:c r="O72" s="53" t="n">
        <x:f>O71*(1-dev_dep)+N72</x:f>
        <x:v>2171.714357541364</x:v>
      </x:c>
      <x:c r="P72" s="53" t="n">
        <x:f>SUMPRODUCT((Events!$B$6:$B$158&lt;=$A72)*(Events!$C$6:$C$158&gt;=$A72)*(Events!$E$6:$E$158="Debt assumed")*Events!$H$6:$H$158)</x:f>
        <x:v>0</x:v>
      </x:c>
      <x:c r="Q72" s="53" t="n">
        <x:f>IF($A72&lt;1887,0,MAX(0,debt_floor*Economy!O72-(R71+P72+H72-C72-K72)))</x:f>
        <x:v>112.50860534066925</x:v>
      </x:c>
      <x:c r="R72" s="53" t="n">
        <x:f>R71+P72+H72-C72-K72+Q72</x:f>
        <x:v>607.9625677395633</x:v>
      </x:c>
      <x:c r="S72" s="53" t="n">
        <x:f>S71+L72-F72-J72+Q72*(1-dev_bonds)</x:f>
        <x:v>109.03211317233776</x:v>
      </x:c>
      <x:c r="T72" s="69" t="n">
        <x:f>Loans!X72</x:f>
        <x:v>144.67969869973624</x:v>
      </x:c>
      <x:c r="U72" s="53" t="n">
        <x:f>R72-M72-S72-T72</x:f>
        <x:v>48.57974141029976</x:v>
      </x:c>
      <x:c r="V72" s="63" t="n">
        <x:f>R72/Economy!O72</x:f>
        <x:v>0.049999999999999996</x:v>
      </x:c>
      <x:c r="W72" s="63" t="n">
        <x:f>Budget!X72/Budget!M72</x:f>
        <x:v>0.021791587682683</x:v>
      </x:c>
      <x:c r="X72" s="63" t="n">
        <x:f>S72/Economy!O72</x:f>
        <x:v>0.008967008740170047</x:v>
      </x:c>
      <x:c r="Y72" s="53" t="n">
        <x:f>MAX(0,H72+Q72-'Gold &amp; money'!G72)</x:f>
        <x:v>112.50860534066925</x:v>
      </x:c>
    </x:row>
    <x:row r="73">
      <x:c r="A73" s="58" t="n">
        <x:v>1913</x:v>
      </x:c>
      <x:c r="B73" s="53" t="n">
        <x:f>Loans!V73-Loans!W73</x:f>
        <x:v>-5.752452095068655</x:v>
      </x:c>
      <x:c r="C73" s="53" t="n">
        <x:f>R72*debt_amort</x:f>
        <x:v>12.159251354791266</x:v>
      </x:c>
      <x:c r="D73" s="53" t="n">
        <x:f>M72+Budget!Z73-B73-C73</x:f>
        <x:v>555.0504143552084</x:v>
      </x:c>
      <x:c r="E73" s="53" t="n">
        <x:f>MAX(0.1,Budget!M73*cash_target)</x:f>
        <x:v>332.02820489944236</x:v>
      </x:c>
      <x:c r="F73" s="53" t="n">
        <x:f>IF(D73&lt;E73,MIN(E73-D73,S72),0)</x:f>
        <x:v>0</x:v>
      </x:c>
      <x:c r="G73" s="53" t="n">
        <x:f>MAX(0,E73-D73-F73)</x:f>
        <x:v>0</x:v>
      </x:c>
      <x:c r="H73" s="53" t="n">
        <x:f>G73/issue_price</x:f>
        <x:v>0</x:v>
      </x:c>
      <x:c r="I73" s="53" t="n">
        <x:f>IF(AND(D73&gt;E73,$A73&gt;=dev_start),(D73-E73)*dev_share,0)</x:f>
        <x:v>156.11554661903625</x:v>
      </x:c>
      <x:c r="J73" s="53" t="n">
        <x:f>IF($A73&gt;=dev_start,MAX(0,S72-F73-reserve_buffer*Economy!O73),0)</x:f>
        <x:v>0</x:v>
      </x:c>
      <x:c r="K73" s="53" t="n">
        <x:f>IF(D73&gt;E73,MIN((D73-E73-I73)*repay_share,R72-C73),0)</x:f>
        <x:v>53.52533026938386</x:v>
      </x:c>
      <x:c r="L73" s="53" t="n">
        <x:f>IF(D73&gt;E73,D73-E73-I73-K73,0)</x:f>
        <x:v>13.381332567345964</x:v>
      </x:c>
      <x:c r="M73" s="53" t="n">
        <x:f>D73+F73+G73-I73-K73-L73</x:f>
        <x:v>332.02820489944236</x:v>
      </x:c>
      <x:c r="N73" s="53" t="n">
        <x:f>I73+J73+Q73*dev_bonds+SUMPRODUCT((Events!$B$6:$B$158&lt;=$A73)*(Events!$C$6:$C$158&gt;=$A73)*(Events!$E$6:$E$158="Investment")*Events!$H$6:$H$158)</x:f>
        <x:v>276.8559281371704</x:v>
      </x:c>
      <x:c r="O73" s="53" t="n">
        <x:f>O72*(1-dev_dep)+N73</x:f>
        <x:v>2383.4188549522933</x:v>
      </x:c>
      <x:c r="P73" s="53" t="n">
        <x:f>SUMPRODUCT((Events!$B$6:$B$158&lt;=$A73)*(Events!$C$6:$C$158&gt;=$A73)*(Events!$E$6:$E$158="Debt assumed")*Events!$H$6:$H$158)</x:f>
        <x:v>0</x:v>
      </x:c>
      <x:c r="Q73" s="53" t="n">
        <x:f>IF($A73&lt;1887,0,MAX(0,debt_floor*Economy!O73-(R72+P73+H73-C73-K73)))</x:f>
        <x:v>119.54038151813415</x:v>
      </x:c>
      <x:c r="R73" s="53" t="n">
        <x:f>R72+P73+H73-C73-K73+Q73</x:f>
        <x:v>661.8183676335223</x:v>
      </x:c>
      <x:c r="S73" s="53" t="n">
        <x:f>S72+L73-F73-J73+Q73*(1-dev_bonds)</x:f>
        <x:v>122.41344573968372</x:v>
      </x:c>
      <x:c r="T73" s="69" t="n">
        <x:f>Loans!X73</x:f>
        <x:v>138.92724660466757</x:v>
      </x:c>
      <x:c r="U73" s="53" t="n">
        <x:f>R73-M73-S73-T73</x:f>
        <x:v>68.44947038972862</x:v>
      </x:c>
      <x:c r="V73" s="63" t="n">
        <x:f>R73/Economy!O73</x:f>
        <x:v>0.05</x:v>
      </x:c>
      <x:c r="W73" s="63" t="n">
        <x:f>Budget!X73/Budget!M73</x:f>
        <x:v>0.022384671786745077</x:v>
      </x:c>
      <x:c r="X73" s="63" t="n">
        <x:f>S73/Economy!O73</x:f>
        <x:v>0.009248265968909267</x:v>
      </x:c>
      <x:c r="Y73" s="53" t="n">
        <x:f>MAX(0,H73+Q73-'Gold &amp; money'!G73)</x:f>
        <x:v>119.54038151813415</x:v>
      </x:c>
    </x:row>
    <x:row r="74">
      <x:c r="A74" s="61" t="n">
        <x:v>1914</x:v>
      </x:c>
      <x:c r="B74" s="53" t="n">
        <x:f>Loans!V74-Loans!W74</x:f>
        <x:v>79.57768524514599</x:v>
      </x:c>
      <x:c r="C74" s="53" t="n">
        <x:f>R73*debt_amort</x:f>
        <x:v>13.236367352670445</x:v>
      </x:c>
      <x:c r="D74" s="53" t="n">
        <x:f>M73+Budget!Z74-B74-C74</x:f>
        <x:v>466.02942548111963</x:v>
      </x:c>
      <x:c r="E74" s="53" t="n">
        <x:f>MAX(0.1,Budget!M74*cash_target)</x:f>
        <x:v>345.54646277900804</x:v>
      </x:c>
      <x:c r="F74" s="53" t="n">
        <x:f>IF(D74&lt;E74,MIN(E74-D74,S73),0)</x:f>
        <x:v>0</x:v>
      </x:c>
      <x:c r="G74" s="53" t="n">
        <x:f>MAX(0,E74-D74-F74)</x:f>
        <x:v>0</x:v>
      </x:c>
      <x:c r="H74" s="53" t="n">
        <x:f>G74/issue_price</x:f>
        <x:v>0</x:v>
      </x:c>
      <x:c r="I74" s="53" t="n">
        <x:f>IF(AND(D74&gt;E74,$A74&gt;=dev_start),(D74-E74)*dev_share,0)</x:f>
        <x:v>84.3380738914781</x:v>
      </x:c>
      <x:c r="J74" s="53" t="n">
        <x:f>IF($A74&gt;=dev_start,MAX(0,S73-F74-reserve_buffer*Economy!O74),0)</x:f>
        <x:v>0</x:v>
      </x:c>
      <x:c r="K74" s="53" t="n">
        <x:f>IF(D74&gt;E74,MIN((D74-E74-I74)*repay_share,R73-C74),0)</x:f>
        <x:v>28.915911048506793</x:v>
      </x:c>
      <x:c r="L74" s="53" t="n">
        <x:f>IF(D74&gt;E74,D74-E74-I74-K74,0)</x:f>
        <x:v>7.228977762126696</x:v>
      </x:c>
      <x:c r="M74" s="53" t="n">
        <x:f>D74+F74+G74-I74-K74-L74</x:f>
        <x:v>345.546462779008</x:v>
      </x:c>
      <x:c r="N74" s="53" t="n">
        <x:f>I74+J74+Q74*dev_bonds+SUMPRODUCT((Events!$B$6:$B$158&lt;=$A74)*(Events!$C$6:$C$158&gt;=$A74)*(Events!$E$6:$E$158="Investment")*Events!$H$6:$H$158)</x:f>
        <x:v>155.62714441232308</x:v>
      </x:c>
      <x:c r="O74" s="53" t="n">
        <x:f>O73*(1-dev_dep)+N74</x:f>
        <x:v>2467.5434337160477</x:v>
      </x:c>
      <x:c r="P74" s="53" t="n">
        <x:f>SUMPRODUCT((Events!$B$6:$B$158&lt;=$A74)*(Events!$C$6:$C$158&gt;=$A74)*(Events!$E$6:$E$158="Debt assumed")*Events!$H$6:$H$158)</x:f>
        <x:v>0</x:v>
      </x:c>
      <x:c r="Q74" s="53" t="n">
        <x:f>IF($A74&lt;1887,0,MAX(0,debt_floor*Economy!O74-(R73+P74+H74-C74-K74)))</x:f>
        <x:v>70.08907052084498</x:v>
      </x:c>
      <x:c r="R74" s="53" t="n">
        <x:f>R73+P74+H74-C74-K74+Q74</x:f>
        <x:v>689.75515975319</x:v>
      </x:c>
      <x:c r="S74" s="53" t="n">
        <x:f>S73+L74-F74-J74+Q74*(1-dev_bonds)</x:f>
        <x:v>129.6424235018104</x:v>
      </x:c>
      <x:c r="T74" s="69" t="n">
        <x:f>Loans!X74</x:f>
        <x:v>218.50493184981354</x:v>
      </x:c>
      <x:c r="U74" s="53" t="n">
        <x:f>R74-M74-S74-T74</x:f>
        <x:v>-3.938658377441925</x:v>
      </x:c>
      <x:c r="V74" s="63" t="n">
        <x:f>R74/Economy!O74</x:f>
        <x:v>0.05</x:v>
      </x:c>
      <x:c r="W74" s="63" t="n">
        <x:f>Budget!X74/Budget!M74</x:f>
        <x:v>0.023941005006640155</x:v>
      </x:c>
      <x:c r="X74" s="63" t="n">
        <x:f>S74/Economy!O74</x:f>
        <x:v>0.009397713207988137</x:v>
      </x:c>
      <x:c r="Y74" s="53" t="n">
        <x:f>MAX(0,H74+Q74-'Gold &amp; money'!G74)</x:f>
        <x:v>70.08907052084498</x:v>
      </x:c>
    </x:row>
    <x:row r="75">
      <x:c r="A75" s="61" t="n">
        <x:v>1915</x:v>
      </x:c>
      <x:c r="B75" s="53" t="n">
        <x:f>Loans!V75-Loans!W75</x:f>
        <x:v>221.40457783534015</x:v>
      </x:c>
      <x:c r="C75" s="53" t="n">
        <x:f>R74*debt_amort</x:f>
        <x:v>13.7951031950638</x:v>
      </x:c>
      <x:c r="D75" s="53" t="n">
        <x:f>M74+Budget!Z75-B75-C75</x:f>
        <x:v>586.055776972059</x:v>
      </x:c>
      <x:c r="E75" s="53" t="n">
        <x:f>MAX(0.1,Budget!M75*cash_target)</x:f>
        <x:v>455.8661266063454</x:v>
      </x:c>
      <x:c r="F75" s="53" t="n">
        <x:f>IF(D75&lt;E75,MIN(E75-D75,S74),0)</x:f>
        <x:v>0</x:v>
      </x:c>
      <x:c r="G75" s="53" t="n">
        <x:f>MAX(0,E75-D75-F75)</x:f>
        <x:v>0</x:v>
      </x:c>
      <x:c r="H75" s="53" t="n">
        <x:f>G75/issue_price</x:f>
        <x:v>0</x:v>
      </x:c>
      <x:c r="I75" s="53" t="n">
        <x:f>IF(AND(D75&gt;E75,$A75&gt;=dev_start),(D75-E75)*dev_share,0)</x:f>
        <x:v>91.13275525599951</x:v>
      </x:c>
      <x:c r="J75" s="53" t="n">
        <x:f>IF($A75&gt;=dev_start,MAX(0,S74-F75-reserve_buffer*Economy!O75),0)</x:f>
        <x:v>0</x:v>
      </x:c>
      <x:c r="K75" s="53" t="n">
        <x:f>IF(D75&gt;E75,MIN((D75-E75-I75)*repay_share,R74-C75),0)</x:f>
        <x:v>31.245516087771264</x:v>
      </x:c>
      <x:c r="L75" s="53" t="n">
        <x:f>IF(D75&gt;E75,D75-E75-I75-K75,0)</x:f>
        <x:v>7.8113790219428125</x:v>
      </x:c>
      <x:c r="M75" s="53" t="n">
        <x:f>D75+F75+G75-I75-K75-L75</x:f>
        <x:v>455.8661266063454</x:v>
      </x:c>
      <x:c r="N75" s="53" t="n">
        <x:f>I75+J75+Q75*dev_bonds+SUMPRODUCT((Events!$B$6:$B$158&lt;=$A75)*(Events!$C$6:$C$158&gt;=$A75)*(Events!$E$6:$E$158="Investment")*Events!$H$6:$H$158)</x:f>
        <x:v>219.61966435290358</x:v>
      </x:c>
      <x:c r="O75" s="53" t="n">
        <x:f>O74*(1-dev_dep)+N75</x:f>
        <x:v>2613.13679505747</x:v>
      </x:c>
      <x:c r="P75" s="53" t="n">
        <x:f>SUMPRODUCT((Events!$B$6:$B$158&lt;=$A75)*(Events!$C$6:$C$158&gt;=$A75)*(Events!$E$6:$E$158="Debt assumed")*Events!$H$6:$H$158)</x:f>
        <x:v>0</x:v>
      </x:c>
      <x:c r="Q75" s="53" t="n">
        <x:f>IF($A75&lt;1887,0,MAX(0,debt_floor*Economy!O75-(R74+P75+H75-C75-K75)))</x:f>
        <x:v>127.28690909690408</x:v>
      </x:c>
      <x:c r="R75" s="53" t="n">
        <x:f>R74+P75+H75-C75-K75+Q75</x:f>
        <x:v>772.001449567259</x:v>
      </x:c>
      <x:c r="S75" s="53" t="n">
        <x:f>S74+L75-F75-J75+Q75*(1-dev_bonds)</x:f>
        <x:v>137.4538025237532</x:v>
      </x:c>
      <x:c r="T75" s="69" t="n">
        <x:f>Loans!X75</x:f>
        <x:v>439.9095096851537</x:v>
      </x:c>
      <x:c r="U75" s="53" t="n">
        <x:f>R75-M75-S75-T75</x:f>
        <x:v>-261.2279892479933</x:v>
      </x:c>
      <x:c r="V75" s="63" t="n">
        <x:f>R75/Economy!O75</x:f>
        <x:v>0.05</x:v>
      </x:c>
      <x:c r="W75" s="63" t="n">
        <x:f>Budget!X75/Budget!M75</x:f>
        <x:v>0.018837661404798228</x:v>
      </x:c>
      <x:c r="X75" s="63" t="n">
        <x:f>S75/Economy!O75</x:f>
        <x:v>0.008902431634085802</x:v>
      </x:c>
      <x:c r="Y75" s="53" t="n">
        <x:f>MAX(0,H75+Q75-'Gold &amp; money'!G75)</x:f>
        <x:v>127.28690909690408</x:v>
      </x:c>
    </x:row>
    <x:row r="76">
      <x:c r="A76" s="61" t="n">
        <x:v>1916</x:v>
      </x:c>
      <x:c r="B76" s="53" t="n">
        <x:f>Loans!V76-Loans!W76</x:f>
        <x:v>391.61279472192655</x:v>
      </x:c>
      <x:c r="C76" s="53" t="n">
        <x:f>R75*debt_amort</x:f>
        <x:v>15.44002899134518</x:v>
      </x:c>
      <x:c r="D76" s="53" t="n">
        <x:f>M75+Budget!Z76-B76-C76</x:f>
        <x:v>629.6144799941791</x:v>
      </x:c>
      <x:c r="E76" s="53" t="n">
        <x:f>MAX(0.1,Budget!M76*cash_target)</x:f>
        <x:v>542.021004105736</x:v>
      </x:c>
      <x:c r="F76" s="53" t="n">
        <x:f>IF(D76&lt;E76,MIN(E76-D76,S75),0)</x:f>
        <x:v>0</x:v>
      </x:c>
      <x:c r="G76" s="53" t="n">
        <x:f>MAX(0,E76-D76-F76)</x:f>
        <x:v>0</x:v>
      </x:c>
      <x:c r="H76" s="53" t="n">
        <x:f>G76/issue_price</x:f>
        <x:v>0</x:v>
      </x:c>
      <x:c r="I76" s="53" t="n">
        <x:f>IF(AND(D76&gt;E76,$A76&gt;=dev_start),(D76-E76)*dev_share,0)</x:f>
        <x:v>61.31543312191016</x:v>
      </x:c>
      <x:c r="J76" s="53" t="n">
        <x:f>IF($A76&gt;=dev_start,MAX(0,S75-F76-reserve_buffer*Economy!O76),0)</x:f>
        <x:v>0</x:v>
      </x:c>
      <x:c r="K76" s="53" t="n">
        <x:f>IF(D76&gt;E76,MIN((D76-E76-I76)*repay_share,R75-C76),0)</x:f>
        <x:v>21.022434213226347</x:v>
      </x:c>
      <x:c r="L76" s="53" t="n">
        <x:f>IF(D76&gt;E76,D76-E76-I76-K76,0)</x:f>
        <x:v>5.255608553306587</x:v>
      </x:c>
      <x:c r="M76" s="53" t="n">
        <x:f>D76+F76+G76-I76-K76-L76</x:f>
        <x:v>542.021004105736</x:v>
      </x:c>
      <x:c r="N76" s="53" t="n">
        <x:f>I76+J76+Q76*dev_bonds+SUMPRODUCT((Events!$B$6:$B$158&lt;=$A76)*(Events!$C$6:$C$158&gt;=$A76)*(Events!$E$6:$E$158="Investment")*Events!$H$6:$H$158)</x:f>
        <x:v>242.7011039164614</x:v>
      </x:c>
      <x:c r="O76" s="53" t="n">
        <x:f>O75*(1-dev_dep)+N76</x:f>
        <x:v>2777.443795122207</x:v>
      </x:c>
      <x:c r="P76" s="53" t="n">
        <x:f>SUMPRODUCT((Events!$B$6:$B$158&lt;=$A76)*(Events!$C$6:$C$158&gt;=$A76)*(Events!$E$6:$E$158="Debt assumed")*Events!$H$6:$H$158)</x:f>
        <x:v>0</x:v>
      </x:c>
      <x:c r="Q76" s="53" t="n">
        <x:f>IF($A76&lt;1887,0,MAX(0,debt_floor*Economy!O76-(R75+P76+H76-C76-K76)))</x:f>
        <x:v>180.18567079455124</x:v>
      </x:c>
      <x:c r="R76" s="53" t="n">
        <x:f>R75+P76+H76-C76-K76+Q76</x:f>
        <x:v>915.7246571572387</x:v>
      </x:c>
      <x:c r="S76" s="53" t="n">
        <x:f>S75+L76-F76-J76+Q76*(1-dev_bonds)</x:f>
        <x:v>142.7094110770598</x:v>
      </x:c>
      <x:c r="T76" s="69" t="n">
        <x:f>Loans!X76</x:f>
        <x:v>831.5223044070802</x:v>
      </x:c>
      <x:c r="U76" s="53" t="n">
        <x:f>R76-M76-S76-T76</x:f>
        <x:v>-600.5280624326374</x:v>
      </x:c>
      <x:c r="V76" s="63" t="n">
        <x:f>R76/Economy!O76</x:f>
        <x:v>0.05</x:v>
      </x:c>
      <x:c r="W76" s="63" t="n">
        <x:f>Budget!X76/Budget!M76</x:f>
        <x:v>0.017661341354156403</x:v>
      </x:c>
      <x:c r="X76" s="63" t="n">
        <x:f>S76/Economy!O76</x:f>
        <x:v>0.007792157280119805</x:v>
      </x:c>
      <x:c r="Y76" s="53" t="n">
        <x:f>MAX(0,H76+Q76-'Gold &amp; money'!G76)</x:f>
        <x:v>180.18567079455124</x:v>
      </x:c>
    </x:row>
    <x:row r="77">
      <x:c r="A77" s="61" t="n">
        <x:v>1917</x:v>
      </x:c>
      <x:c r="B77" s="53" t="n">
        <x:f>Loans!V77-Loans!W77</x:f>
        <x:v>505.20268293304946</x:v>
      </x:c>
      <x:c r="C77" s="53" t="n">
        <x:f>R76*debt_amort</x:f>
        <x:v>18.314493143144773</x:v>
      </x:c>
      <x:c r="D77" s="53" t="n">
        <x:f>M76+Budget!Z77-B77-C77</x:f>
        <x:v>784.0745307205249</x:v>
      </x:c>
      <x:c r="E77" s="53" t="n">
        <x:f>MAX(0.1,Budget!M77*cash_target)</x:f>
        <x:v>682.5188969262737</x:v>
      </x:c>
      <x:c r="F77" s="53" t="n">
        <x:f>IF(D77&lt;E77,MIN(E77-D77,S76),0)</x:f>
        <x:v>0</x:v>
      </x:c>
      <x:c r="G77" s="53" t="n">
        <x:f>MAX(0,E77-D77-F77)</x:f>
        <x:v>0</x:v>
      </x:c>
      <x:c r="H77" s="53" t="n">
        <x:f>G77/issue_price</x:f>
        <x:v>0</x:v>
      </x:c>
      <x:c r="I77" s="53" t="n">
        <x:f>IF(AND(D77&gt;E77,$A77&gt;=dev_start),(D77-E77)*dev_share,0)</x:f>
        <x:v>71.08894365597584</x:v>
      </x:c>
      <x:c r="J77" s="53" t="n">
        <x:f>IF($A77&gt;=dev_start,MAX(0,S76-F77-reserve_buffer*Economy!O77),0)</x:f>
        <x:v>0</x:v>
      </x:c>
      <x:c r="K77" s="53" t="n">
        <x:f>IF(D77&gt;E77,MIN((D77-E77-I77)*repay_share,R76-C77),0)</x:f>
        <x:v>24.373352110620296</x:v>
      </x:c>
      <x:c r="L77" s="53" t="n">
        <x:f>IF(D77&gt;E77,D77-E77-I77-K77,0)</x:f>
        <x:v>6.093338027655072</x:v>
      </x:c>
      <x:c r="M77" s="53" t="n">
        <x:f>D77+F77+G77-I77-K77-L77</x:f>
        <x:v>682.5188969262737</x:v>
      </x:c>
      <x:c r="N77" s="53" t="n">
        <x:f>I77+J77+Q77*dev_bonds+SUMPRODUCT((Events!$B$6:$B$158&lt;=$A77)*(Events!$C$6:$C$158&gt;=$A77)*(Events!$E$6:$E$158="Investment")*Events!$H$6:$H$158)</x:f>
        <x:v>350.9388047113201</x:v>
      </x:c>
      <x:c r="O77" s="53" t="n">
        <x:f>O76*(1-dev_dep)+N77</x:f>
        <x:v>3045.059285979861</x:v>
      </x:c>
      <x:c r="P77" s="53" t="n">
        <x:f>SUMPRODUCT((Events!$B$6:$B$158&lt;=$A77)*(Events!$C$6:$C$158&gt;=$A77)*(Events!$E$6:$E$158="Debt assumed")*Events!$H$6:$H$158)</x:f>
        <x:v>0</x:v>
      </x:c>
      <x:c r="Q77" s="53" t="n">
        <x:f>IF($A77&lt;1887,0,MAX(0,debt_floor*Economy!O77-(R76+P77+H77-C77-K77)))</x:f>
        <x:v>278.6498610553442</x:v>
      </x:c>
      <x:c r="R77" s="53" t="n">
        <x:f>R76+P77+H77-C77-K77+Q77</x:f>
        <x:v>1151.6866729588178</x:v>
      </x:c>
      <x:c r="S77" s="53" t="n">
        <x:f>S76+L77-F77-J77+Q77*(1-dev_bonds)</x:f>
        <x:v>148.80274910471488</x:v>
      </x:c>
      <x:c r="T77" s="69" t="n">
        <x:f>Loans!X77</x:f>
        <x:v>1336.7249873401297</x:v>
      </x:c>
      <x:c r="U77" s="53" t="n">
        <x:f>R77-M77-S77-T77</x:f>
        <x:v>-1016.3599604123004</x:v>
      </x:c>
      <x:c r="V77" s="63" t="n">
        <x:f>R77/Economy!O77</x:f>
        <x:v>0.05</x:v>
      </x:c>
      <x:c r="W77" s="63" t="n">
        <x:f>Budget!X77/Budget!M77</x:f>
        <x:v>0.016536254820622386</x:v>
      </x:c>
      <x:c r="X77" s="63" t="n">
        <x:f>S77/Economy!O77</x:f>
        <x:v>0.006460209734060012</x:v>
      </x:c>
      <x:c r="Y77" s="53" t="n">
        <x:f>MAX(0,H77+Q77-'Gold &amp; money'!G77)</x:f>
        <x:v>278.6498610553442</x:v>
      </x:c>
    </x:row>
    <x:row r="78">
      <x:c r="A78" s="61" t="n">
        <x:v>1918</x:v>
      </x:c>
      <x:c r="B78" s="53" t="n">
        <x:f>Loans!V78-Loans!W78</x:f>
        <x:v>494.17457561572746</x:v>
      </x:c>
      <x:c r="C78" s="53" t="n">
        <x:f>R77*debt_amort</x:f>
        <x:v>23.033733459176357</x:v>
      </x:c>
      <x:c r="D78" s="53" t="n">
        <x:f>M77+Budget!Z78-B78-C78</x:f>
        <x:v>924.9316059920116</x:v>
      </x:c>
      <x:c r="E78" s="53" t="n">
        <x:f>MAX(0.1,Budget!M78*cash_target)</x:f>
        <x:v>823.743787881956</x:v>
      </x:c>
      <x:c r="F78" s="53" t="n">
        <x:f>IF(D78&lt;E78,MIN(E78-D78,S77),0)</x:f>
        <x:v>0</x:v>
      </x:c>
      <x:c r="G78" s="53" t="n">
        <x:f>MAX(0,E78-D78-F78)</x:f>
        <x:v>0</x:v>
      </x:c>
      <x:c r="H78" s="53" t="n">
        <x:f>G78/issue_price</x:f>
        <x:v>0</x:v>
      </x:c>
      <x:c r="I78" s="53" t="n">
        <x:f>IF(AND(D78&gt;E78,$A78&gt;=dev_start),(D78-E78)*dev_share,0)</x:f>
        <x:v>70.83147267703889</x:v>
      </x:c>
      <x:c r="J78" s="53" t="n">
        <x:f>IF($A78&gt;=dev_start,MAX(0,S77-F78-reserve_buffer*Economy!O78),0)</x:f>
        <x:v>0</x:v>
      </x:c>
      <x:c r="K78" s="53" t="n">
        <x:f>IF(D78&gt;E78,MIN((D78-E78-I78)*repay_share,R77-C78),0)</x:f>
        <x:v>24.285076346413337</x:v>
      </x:c>
      <x:c r="L78" s="53" t="n">
        <x:f>IF(D78&gt;E78,D78-E78-I78-K78,0)</x:f>
        <x:v>6.071269086603333</x:v>
      </x:c>
      <x:c r="M78" s="53" t="n">
        <x:f>D78+F78+G78-I78-K78-L78</x:f>
        <x:v>823.743787881956</x:v>
      </x:c>
      <x:c r="N78" s="53" t="n">
        <x:f>I78+J78+Q78*dev_bonds+SUMPRODUCT((Events!$B$6:$B$158&lt;=$A78)*(Events!$C$6:$C$158&gt;=$A78)*(Events!$E$6:$E$158="Investment")*Events!$H$6:$H$158)</x:f>
        <x:v>353.03884579803</x:v>
      </x:c>
      <x:c r="O78" s="53" t="n">
        <x:f>O77*(1-dev_dep)+N78</x:f>
        <x:v>3306.746353198495</x:v>
      </x:c>
      <x:c r="P78" s="53" t="n">
        <x:f>SUMPRODUCT((Events!$B$6:$B$158&lt;=$A78)*(Events!$C$6:$C$158&gt;=$A78)*(Events!$E$6:$E$158="Debt assumed")*Events!$H$6:$H$158)</x:f>
        <x:v>0</x:v>
      </x:c>
      <x:c r="Q78" s="53" t="n">
        <x:f>IF($A78&lt;1887,0,MAX(0,debt_floor*Economy!O78-(R77+P78+H78-C78-K78)))</x:f>
        <x:v>281.00737312099113</x:v>
      </x:c>
      <x:c r="R78" s="53" t="n">
        <x:f>R77+P78+H78-C78-K78+Q78</x:f>
        <x:v>1385.3752362742193</x:v>
      </x:c>
      <x:c r="S78" s="53" t="n">
        <x:f>S77+L78-F78-J78+Q78*(1-dev_bonds)</x:f>
        <x:v>154.8740181913182</x:v>
      </x:c>
      <x:c r="T78" s="69" t="n">
        <x:f>Loans!X78</x:f>
        <x:v>1626.4952376278593</x:v>
      </x:c>
      <x:c r="U78" s="53" t="n">
        <x:f>R78-M78-S78-T78</x:f>
        <x:v>-1219.737807426914</x:v>
      </x:c>
      <x:c r="V78" s="63" t="n">
        <x:f>R78/Economy!O78</x:f>
        <x:v>0.05</x:v>
      </x:c>
      <x:c r="W78" s="63" t="n">
        <x:f>Budget!X78/Budget!M78</x:f>
        <x:v>0.01716183371399863</x:v>
      </x:c>
      <x:c r="X78" s="63" t="n">
        <x:f>S78/Economy!O78</x:f>
        <x:v>0.005589605405674462</x:v>
      </x:c>
      <x:c r="Y78" s="53" t="n">
        <x:f>MAX(0,H78+Q78-'Gold &amp; money'!G78)</x:f>
        <x:v>281.00737312099113</x:v>
      </x:c>
    </x:row>
    <x:row r="79">
      <x:c r="A79" s="61" t="n">
        <x:v>1919</x:v>
      </x:c>
      <x:c r="B79" s="53" t="n">
        <x:f>Loans!V79-Loans!W79</x:f>
        <x:v>11.898792591098395</x:v>
      </x:c>
      <x:c r="C79" s="53" t="n">
        <x:f>R78*debt_amort</x:f>
        <x:v>27.707504725484387</x:v>
      </x:c>
      <x:c r="D79" s="53" t="n">
        <x:f>M78+Budget!Z79-B79-C79</x:f>
        <x:v>1764.4060453383304</x:v>
      </x:c>
      <x:c r="E79" s="53" t="n">
        <x:f>MAX(0.1,Budget!M79*cash_target)</x:f>
        <x:v>935.5708059642844</x:v>
      </x:c>
      <x:c r="F79" s="53" t="n">
        <x:f>IF(D79&lt;E79,MIN(E79-D79,S78),0)</x:f>
        <x:v>0</x:v>
      </x:c>
      <x:c r="G79" s="53" t="n">
        <x:f>MAX(0,E79-D79-F79)</x:f>
        <x:v>0</x:v>
      </x:c>
      <x:c r="H79" s="53" t="n">
        <x:f>G79/issue_price</x:f>
        <x:v>0</x:v>
      </x:c>
      <x:c r="I79" s="53" t="n">
        <x:f>IF(AND(D79&gt;E79,$A79&gt;=dev_start),(D79-E79)*dev_share,0)</x:f>
        <x:v>580.1846675618322</x:v>
      </x:c>
      <x:c r="J79" s="53" t="n">
        <x:f>IF($A79&gt;=dev_start,MAX(0,S78-F79-reserve_buffer*Economy!O79),0)</x:f>
        <x:v>0</x:v>
      </x:c>
      <x:c r="K79" s="53" t="n">
        <x:f>IF(D79&gt;E79,MIN((D79-E79-I79)*repay_share,R78-C79),0)</x:f>
        <x:v>198.92045744977105</x:v>
      </x:c>
      <x:c r="L79" s="53" t="n">
        <x:f>IF(D79&gt;E79,D79-E79-I79-K79,0)</x:f>
        <x:v>49.73011436244275</x:v>
      </x:c>
      <x:c r="M79" s="53" t="n">
        <x:f>D79+F79+G79-I79-K79-L79</x:f>
        <x:v>935.5708059642845</x:v>
      </x:c>
      <x:c r="N79" s="53" t="n">
        <x:f>I79+J79+Q79*dev_bonds+SUMPRODUCT((Events!$B$6:$B$158&lt;=$A79)*(Events!$C$6:$C$158&gt;=$A79)*(Events!$E$6:$E$158="Investment")*Events!$H$6:$H$158)</x:f>
        <x:v>995.3236079239643</x:v>
      </x:c>
      <x:c r="O79" s="53" t="n">
        <x:f>O78*(1-dev_dep)+N79</x:f>
        <x:v>4202.867570526504</x:v>
      </x:c>
      <x:c r="P79" s="53" t="n">
        <x:f>SUMPRODUCT((Events!$B$6:$B$158&lt;=$A79)*(Events!$C$6:$C$158&gt;=$A79)*(Events!$E$6:$E$158="Debt assumed")*Events!$H$6:$H$158)</x:f>
        <x:v>0</x:v>
      </x:c>
      <x:c r="Q79" s="53" t="n">
        <x:f>IF($A79&lt;1887,0,MAX(0,debt_floor*Economy!O79-(R78+P79+H79-C79-K79)))</x:f>
        <x:v>413.93894036213214</x:v>
      </x:c>
      <x:c r="R79" s="53" t="n">
        <x:f>R78+P79+H79-C79-K79+Q79</x:f>
        <x:v>1572.6862144610961</x:v>
      </x:c>
      <x:c r="S79" s="53" t="n">
        <x:f>S78+L79-F79-J79+Q79*(1-dev_bonds)</x:f>
        <x:v>204.60413255376096</x:v>
      </x:c>
      <x:c r="T79" s="69" t="n">
        <x:f>Loans!X79</x:f>
        <x:v>1638.3940302189576</x:v>
      </x:c>
      <x:c r="U79" s="53" t="n">
        <x:f>R79-M79-S79-T79</x:f>
        <x:v>-1205.882754275907</x:v>
      </x:c>
      <x:c r="V79" s="63" t="n">
        <x:f>R79/Economy!O79</x:f>
        <x:v>0.05</x:v>
      </x:c>
      <x:c r="W79" s="63" t="n">
        <x:f>Budget!X79/Budget!M79</x:f>
        <x:v>0.018102544623542768</x:v>
      </x:c>
      <x:c r="X79" s="63" t="n">
        <x:f>S79/Economy!O79</x:f>
        <x:v>0.0065049254794883405</x:v>
      </x:c>
      <x:c r="Y79" s="53" t="n">
        <x:f>MAX(0,H79+Q79-'Gold &amp; money'!G79)</x:f>
        <x:v>413.93894036213214</x:v>
      </x:c>
    </x:row>
    <x:row r="80">
      <x:c r="A80" s="61" t="n">
        <x:v>1920</x:v>
      </x:c>
      <x:c r="B80" s="53" t="n">
        <x:f>Loans!V80-Loans!W80</x:f>
        <x:v>11.42284088745446</x:v>
      </x:c>
      <x:c r="C80" s="53" t="n">
        <x:f>R79*debt_amort</x:f>
        <x:v>31.453724289221924</x:v>
      </x:c>
      <x:c r="D80" s="53" t="n">
        <x:f>M79+Budget!Z80-B80-C80</x:f>
        <x:v>2117.474897679094</x:v>
      </x:c>
      <x:c r="E80" s="53" t="n">
        <x:f>MAX(0.1,Budget!M80*cash_target)</x:f>
        <x:v>1090.1178653505758</x:v>
      </x:c>
      <x:c r="F80" s="53" t="n">
        <x:f>IF(D80&lt;E80,MIN(E80-D80,S79),0)</x:f>
        <x:v>0</x:v>
      </x:c>
      <x:c r="G80" s="53" t="n">
        <x:f>MAX(0,E80-D80-F80)</x:f>
        <x:v>0</x:v>
      </x:c>
      <x:c r="H80" s="53" t="n">
        <x:f>G80/issue_price</x:f>
        <x:v>0</x:v>
      </x:c>
      <x:c r="I80" s="53" t="n">
        <x:f>IF(AND(D80&gt;E80,$A80&gt;=dev_start),(D80-E80)*dev_share,0)</x:f>
        <x:v>719.1499226299626</x:v>
      </x:c>
      <x:c r="J80" s="53" t="n">
        <x:f>IF($A80&gt;=dev_start,MAX(0,S79-F80-reserve_buffer*Economy!O80),0)</x:f>
        <x:v>0</x:v>
      </x:c>
      <x:c r="K80" s="53" t="n">
        <x:f>IF(D80&gt;E80,MIN((D80-E80-I80)*repay_share,R79-C80),0)</x:f>
        <x:v>246.56568775884435</x:v>
      </x:c>
      <x:c r="L80" s="53" t="n">
        <x:f>IF(D80&gt;E80,D80-E80-I80-K80,0)</x:f>
        <x:v>61.64142193971108</x:v>
      </x:c>
      <x:c r="M80" s="53" t="n">
        <x:f>D80+F80+G80-I80-K80-L80</x:f>
        <x:v>1090.1178653505758</x:v>
      </x:c>
      <x:c r="N80" s="53" t="n">
        <x:f>I80+J80+Q80*dev_bonds+SUMPRODUCT((Events!$B$6:$B$158&lt;=$A80)*(Events!$C$6:$C$158&gt;=$A80)*(Events!$E$6:$E$158="Investment")*Events!$H$6:$H$158)</x:f>
        <x:v>1270.7295029419809</x:v>
      </x:c>
      <x:c r="O80" s="53" t="n">
        <x:f>O79*(1-dev_dep)+N80</x:f>
        <x:v>5347.51104635269</x:v>
      </x:c>
      <x:c r="P80" s="53" t="n">
        <x:f>SUMPRODUCT((Events!$B$6:$B$158&lt;=$A80)*(Events!$C$6:$C$158&gt;=$A80)*(Events!$E$6:$E$158="Debt assumed")*Events!$H$6:$H$158)</x:f>
        <x:v>0</x:v>
      </x:c>
      <x:c r="Q80" s="53" t="n">
        <x:f>IF($A80&lt;1887,0,MAX(0,debt_floor*Economy!O80-(R79+P80+H80-C80-K80)))</x:f>
        <x:v>550.3795803120181</x:v>
      </x:c>
      <x:c r="R80" s="53" t="n">
        <x:f>R79+P80+H80-C80-K80+Q80</x:f>
        <x:v>1845.0463827250478</x:v>
      </x:c>
      <x:c r="S80" s="53" t="n">
        <x:f>S79+L80-F80-J80+Q80*(1-dev_bonds)</x:f>
        <x:v>266.245554493472</x:v>
      </x:c>
      <x:c r="T80" s="69" t="n">
        <x:f>Loans!X80</x:f>
        <x:v>1649.816871106412</x:v>
      </x:c>
      <x:c r="U80" s="53" t="n">
        <x:f>R80-M80-S80-T80</x:f>
        <x:v>-1161.1339082254121</x:v>
      </x:c>
      <x:c r="V80" s="63" t="n">
        <x:f>R80/Economy!O80</x:f>
        <x:v>0.05</x:v>
      </x:c>
      <x:c r="W80" s="63" t="n">
        <x:f>Budget!X80/Budget!M80</x:f>
        <x:v>0.017564572850024922</x:v>
      </x:c>
      <x:c r="X80" s="63" t="n">
        <x:f>S80/Economy!O80</x:f>
        <x:v>0.007215145293535648</x:v>
      </x:c>
      <x:c r="Y80" s="53" t="n">
        <x:f>MAX(0,H80+Q80-'Gold &amp; money'!G80)</x:f>
        <x:v>550.3795803120181</x:v>
      </x:c>
    </x:row>
    <x:row r="81">
      <x:c r="A81" s="61" t="n">
        <x:v>1921</x:v>
      </x:c>
      <x:c r="B81" s="53" t="n">
        <x:f>Loans!V81-Loans!W81</x:f>
        <x:v>10.96592725195628</x:v>
      </x:c>
      <x:c r="C81" s="53" t="n">
        <x:f>R80*debt_amort</x:f>
        <x:v>36.900927654500954</x:v>
      </x:c>
      <x:c r="D81" s="53" t="n">
        <x:f>M80+Budget!Z81-B81-C81</x:f>
        <x:v>1607.4487363887588</x:v>
      </x:c>
      <x:c r="E81" s="53" t="n">
        <x:f>MAX(0.1,Budget!M81*cash_target)</x:f>
        <x:v>804.2203413097285</x:v>
      </x:c>
      <x:c r="F81" s="53" t="n">
        <x:f>IF(D81&lt;E81,MIN(E81-D81,S80),0)</x:f>
        <x:v>0</x:v>
      </x:c>
      <x:c r="G81" s="53" t="n">
        <x:f>MAX(0,E81-D81-F81)</x:f>
        <x:v>0</x:v>
      </x:c>
      <x:c r="H81" s="53" t="n">
        <x:f>G81/issue_price</x:f>
        <x:v>0</x:v>
      </x:c>
      <x:c r="I81" s="53" t="n">
        <x:f>IF(AND(D81&gt;E81,$A81&gt;=dev_start),(D81-E81)*dev_share,0)</x:f>
        <x:v>562.2598765553212</x:v>
      </x:c>
      <x:c r="J81" s="53" t="n">
        <x:f>IF($A81&gt;=dev_start,MAX(0,S80-F81-reserve_buffer*Economy!O81),0)</x:f>
        <x:v>0</x:v>
      </x:c>
      <x:c r="K81" s="53" t="n">
        <x:f>IF(D81&gt;E81,MIN((D81-E81-I81)*repay_share,R80-C81),0)</x:f>
        <x:v>192.77481481896731</x:v>
      </x:c>
      <x:c r="L81" s="53" t="n">
        <x:f>IF(D81&gt;E81,D81-E81-I81-K81,0)</x:f>
        <x:v>48.19370370474181</x:v>
      </x:c>
      <x:c r="M81" s="53" t="n">
        <x:f>D81+F81+G81-I81-K81-L81</x:f>
        <x:v>804.2203413097285</x:v>
      </x:c>
      <x:c r="N81" s="53" t="n">
        <x:f>I81+J81+Q81*dev_bonds+SUMPRODUCT((Events!$B$6:$B$158&lt;=$A81)*(Events!$C$6:$C$158&gt;=$A81)*(Events!$E$6:$E$158="Investment")*Events!$H$6:$H$158)</x:f>
        <x:v>563.4598765553212</x:v>
      </x:c>
      <x:c r="O81" s="53" t="n">
        <x:f>O80*(1-dev_dep)+N81</x:f>
        <x:v>5750.54559151743</x:v>
      </x:c>
      <x:c r="P81" s="53" t="n">
        <x:f>SUMPRODUCT((Events!$B$6:$B$158&lt;=$A81)*(Events!$C$6:$C$158&gt;=$A81)*(Events!$E$6:$E$158="Debt assumed")*Events!$H$6:$H$158)</x:f>
        <x:v>0</x:v>
      </x:c>
      <x:c r="Q81" s="53" t="n">
        <x:f>IF($A81&lt;1887,0,MAX(0,debt_floor*Economy!O81-(R80+P81+H81-C81-K81)))</x:f>
        <x:v>0</x:v>
      </x:c>
      <x:c r="R81" s="53" t="n">
        <x:f>R80+P81+H81-C81-K81+Q81</x:f>
        <x:v>1615.3706402515795</x:v>
      </x:c>
      <x:c r="S81" s="53" t="n">
        <x:f>S80+L81-F81-J81+Q81*(1-dev_bonds)</x:f>
        <x:v>314.4392581982138</x:v>
      </x:c>
      <x:c r="T81" s="69" t="n">
        <x:f>Loans!X81</x:f>
        <x:v>1660.7827983583684</x:v>
      </x:c>
      <x:c r="U81" s="53" t="n">
        <x:f>R81-M81-S81-T81</x:f>
        <x:v>-1164.0717576147313</x:v>
      </x:c>
      <x:c r="V81" s="63" t="n">
        <x:f>R81/Economy!O81</x:f>
        <x:v>0.053509001179975264</x:v>
      </x:c>
      <x:c r="W81" s="63" t="n">
        <x:f>Budget!X81/Budget!M81</x:f>
        <x:v>0.027759881321349284</x:v>
      </x:c>
      <x:c r="X81" s="63" t="n">
        <x:f>S81/Economy!O81</x:f>
        <x:v>0.01041577098079384</x:v>
      </x:c>
      <x:c r="Y81" s="53" t="n">
        <x:f>MAX(0,H81+Q81-'Gold &amp; money'!G81)</x:f>
        <x:v>0</x:v>
      </x:c>
    </x:row>
    <x:row r="82">
      <x:c r="A82" s="61" t="n">
        <x:v>1922</x:v>
      </x:c>
      <x:c r="B82" s="53" t="n">
        <x:f>Loans!V82-Loans!W82</x:f>
        <x:v>10.527290161878028</x:v>
      </x:c>
      <x:c r="C82" s="53" t="n">
        <x:f>R81*debt_amort</x:f>
        <x:v>32.30741280503159</x:v>
      </x:c>
      <x:c r="D82" s="53" t="n">
        <x:f>M81+Budget!Z82-B82-C82</x:f>
        <x:v>1378.9628653966863</x:v>
      </x:c>
      <x:c r="E82" s="53" t="n">
        <x:f>MAX(0.1,Budget!M82*cash_target)</x:f>
        <x:v>836.4168466292581</x:v>
      </x:c>
      <x:c r="F82" s="53" t="n">
        <x:f>IF(D82&lt;E82,MIN(E82-D82,S81),0)</x:f>
        <x:v>0</x:v>
      </x:c>
      <x:c r="G82" s="53" t="n">
        <x:f>MAX(0,E82-D82-F82)</x:f>
        <x:v>0</x:v>
      </x:c>
      <x:c r="H82" s="53" t="n">
        <x:f>G82/issue_price</x:f>
        <x:v>0</x:v>
      </x:c>
      <x:c r="I82" s="53" t="n">
        <x:f>IF(AND(D82&gt;E82,$A82&gt;=dev_start),(D82-E82)*dev_share,0)</x:f>
        <x:v>379.78221313719973</x:v>
      </x:c>
      <x:c r="J82" s="53" t="n">
        <x:f>IF($A82&gt;=dev_start,MAX(0,S81-F82-reserve_buffer*Economy!O82),0)</x:f>
        <x:v>0</x:v>
      </x:c>
      <x:c r="K82" s="53" t="n">
        <x:f>IF(D82&gt;E82,MIN((D82-E82-I82)*repay_share,R81-C82),0)</x:f>
        <x:v>130.2110445041828</x:v>
      </x:c>
      <x:c r="L82" s="53" t="n">
        <x:f>IF(D82&gt;E82,D82-E82-I82-K82,0)</x:f>
        <x:v>32.55276112604568</x:v>
      </x:c>
      <x:c r="M82" s="53" t="n">
        <x:f>D82+F82+G82-I82-K82-L82</x:f>
        <x:v>836.4168466292581</x:v>
      </x:c>
      <x:c r="N82" s="53" t="n">
        <x:f>I82+J82+Q82*dev_bonds+SUMPRODUCT((Events!$B$6:$B$158&lt;=$A82)*(Events!$C$6:$C$158&gt;=$A82)*(Events!$E$6:$E$158="Investment")*Events!$H$6:$H$158)</x:f>
        <x:v>494.10298307516376</x:v>
      </x:c>
      <x:c r="O82" s="53" t="n">
        <x:f>O81*(1-dev_dep)+N82</x:f>
        <x:v>6072.132206847071</x:v>
      </x:c>
      <x:c r="P82" s="53" t="n">
        <x:f>SUMPRODUCT((Events!$B$6:$B$158&lt;=$A82)*(Events!$C$6:$C$158&gt;=$A82)*(Events!$E$6:$E$158="Debt assumed")*Events!$H$6:$H$158)</x:f>
        <x:v>0</x:v>
      </x:c>
      <x:c r="Q82" s="53" t="n">
        <x:f>IF($A82&lt;1887,0,MAX(0,debt_floor*Economy!O82-(R81+P82+H82-C82-K82)))</x:f>
        <x:v>113.12076993796404</x:v>
      </x:c>
      <x:c r="R82" s="53" t="n">
        <x:f>R81+P82+H82-C82-K82+Q82</x:f>
        <x:v>1565.972952880329</x:v>
      </x:c>
      <x:c r="S82" s="53" t="n">
        <x:f>S81+L82-F82-J82+Q82*(1-dev_bonds)</x:f>
        <x:v>346.99201932425945</x:v>
      </x:c>
      <x:c r="T82" s="69" t="n">
        <x:f>Loans!X82</x:f>
        <x:v>1671.3100885202464</x:v>
      </x:c>
      <x:c r="U82" s="53" t="n">
        <x:f>R82-M82-S82-T82</x:f>
        <x:v>-1288.7460015934348</x:v>
      </x:c>
      <x:c r="V82" s="63" t="n">
        <x:f>R82/Economy!O82</x:f>
        <x:v>0.05</x:v>
      </x:c>
      <x:c r="W82" s="63" t="n">
        <x:f>Budget!X82/Budget!M82</x:f>
        <x:v>0.02327214748659826</x:v>
      </x:c>
      <x:c r="X82" s="63" t="n">
        <x:f>S82/Economy!O82</x:f>
        <x:v>0.011079119172717169</x:v>
      </x:c>
      <x:c r="Y82" s="53" t="n">
        <x:f>MAX(0,H82+Q82-'Gold &amp; money'!G82)</x:f>
        <x:v>113.12076993796404</x:v>
      </x:c>
    </x:row>
    <x:row r="83">
      <x:c r="A83" s="58" t="n">
        <x:v>1923</x:v>
      </x:c>
      <x:c r="B83" s="53" t="n">
        <x:f>Loans!V83-Loans!W83</x:f>
        <x:v>19.122757716917803</x:v>
      </x:c>
      <x:c r="C83" s="53" t="n">
        <x:f>R82*debt_amort</x:f>
        <x:v>31.319459057606583</x:v>
      </x:c>
      <x:c r="D83" s="53" t="n">
        <x:f>M82+Budget!Z83-B83-C83</x:f>
        <x:v>1631.2125870181985</x:v>
      </x:c>
      <x:c r="E83" s="53" t="n">
        <x:f>MAX(0.1,Budget!M83*cash_target)</x:f>
        <x:v>938.5329438574214</x:v>
      </x:c>
      <x:c r="F83" s="53" t="n">
        <x:f>IF(D83&lt;E83,MIN(E83-D83,S82),0)</x:f>
        <x:v>0</x:v>
      </x:c>
      <x:c r="G83" s="53" t="n">
        <x:f>MAX(0,E83-D83-F83)</x:f>
        <x:v>0</x:v>
      </x:c>
      <x:c r="H83" s="53" t="n">
        <x:f>G83/issue_price</x:f>
        <x:v>0</x:v>
      </x:c>
      <x:c r="I83" s="53" t="n">
        <x:f>IF(AND(D83&gt;E83,$A83&gt;=dev_start),(D83-E83)*dev_share,0)</x:f>
        <x:v>484.87575021254395</x:v>
      </x:c>
      <x:c r="J83" s="53" t="n">
        <x:f>IF($A83&gt;=dev_start,MAX(0,S82-F83-reserve_buffer*Economy!O83),0)</x:f>
        <x:v>0</x:v>
      </x:c>
      <x:c r="K83" s="53" t="n">
        <x:f>IF(D83&gt;E83,MIN((D83-E83-I83)*repay_share,R82-C83),0)</x:f>
        <x:v>166.24311435858655</x:v>
      </x:c>
      <x:c r="L83" s="53" t="n">
        <x:f>IF(D83&gt;E83,D83-E83-I83-K83,0)</x:f>
        <x:v>41.56077858964662</x:v>
      </x:c>
      <x:c r="M83" s="53" t="n">
        <x:f>D83+F83+G83-I83-K83-L83</x:f>
        <x:v>938.5329438574213</x:v>
      </x:c>
      <x:c r="N83" s="53" t="n">
        <x:f>I83+J83+Q83*dev_bonds+SUMPRODUCT((Events!$B$6:$B$158&lt;=$A83)*(Events!$C$6:$C$158&gt;=$A83)*(Events!$E$6:$E$158="Investment")*Events!$H$6:$H$158)</x:f>
        <x:v>888.3305106547467</x:v>
      </x:c>
      <x:c r="O83" s="53" t="n">
        <x:f>O82*(1-dev_dep)+N83</x:f>
        <x:v>6778.2987512964055</x:v>
      </x:c>
      <x:c r="P83" s="53" t="n">
        <x:f>SUMPRODUCT((Events!$B$6:$B$158&lt;=$A83)*(Events!$C$6:$C$158&gt;=$A83)*(Events!$E$6:$E$158="Debt assumed")*Events!$H$6:$H$158)</x:f>
        <x:v>0</x:v>
      </x:c>
      <x:c r="Q83" s="53" t="n">
        <x:f>IF($A83&lt;1887,0,MAX(0,debt_floor*Economy!O83-(R82+P83+H83-C83-K83)))</x:f>
        <x:v>402.2547604422027</x:v>
      </x:c>
      <x:c r="R83" s="53" t="n">
        <x:f>R82+P83+H83-C83-K83+Q83</x:f>
        <x:v>1770.6651399063387</x:v>
      </x:c>
      <x:c r="S83" s="53" t="n">
        <x:f>S82+L83-F83-J83+Q83*(1-dev_bonds)</x:f>
        <x:v>388.55279791390603</x:v>
      </x:c>
      <x:c r="T83" s="69" t="n">
        <x:f>Loans!X83</x:f>
        <x:v>1690.432846237164</x:v>
      </x:c>
      <x:c r="U83" s="53" t="n">
        <x:f>R83-M83-S83-T83</x:f>
        <x:v>-1246.8534481021527</x:v>
      </x:c>
      <x:c r="V83" s="63" t="n">
        <x:f>R83/Economy!O83</x:f>
        <x:v>0.05</x:v>
      </x:c>
      <x:c r="W83" s="63" t="n">
        <x:f>Budget!X83/Budget!M83</x:f>
        <x:v>0.020022392988496646</x:v>
      </x:c>
      <x:c r="X83" s="63" t="n">
        <x:f>S83/Economy!O83</x:f>
        <x:v>0.01097194464263466</x:v>
      </x:c>
      <x:c r="Y83" s="53" t="n">
        <x:f>MAX(0,H83+Q83-'Gold &amp; money'!G83)</x:f>
        <x:v>402.2547604422027</x:v>
      </x:c>
    </x:row>
    <x:row r="84">
      <x:c r="A84" s="58" t="n">
        <x:v>1924</x:v>
      </x:c>
      <x:c r="B84" s="53" t="n">
        <x:f>Loans!V84-Loans!W84</x:f>
        <x:v>-32.21775517188255</x:v>
      </x:c>
      <x:c r="C84" s="53" t="n">
        <x:f>R83*debt_amort</x:f>
        <x:v>35.41330279812677</x:v>
      </x:c>
      <x:c r="D84" s="53" t="n">
        <x:f>M83+Budget!Z84-B84-C84</x:f>
        <x:v>1832.030736889964</x:v>
      </x:c>
      <x:c r="E84" s="53" t="n">
        <x:f>MAX(0.1,Budget!M84*cash_target)</x:f>
        <x:v>1006.3672129862106</x:v>
      </x:c>
      <x:c r="F84" s="53" t="n">
        <x:f>IF(D84&lt;E84,MIN(E84-D84,S83),0)</x:f>
        <x:v>0</x:v>
      </x:c>
      <x:c r="G84" s="53" t="n">
        <x:f>MAX(0,E84-D84-F84)</x:f>
        <x:v>0</x:v>
      </x:c>
      <x:c r="H84" s="53" t="n">
        <x:f>G84/issue_price</x:f>
        <x:v>0</x:v>
      </x:c>
      <x:c r="I84" s="53" t="n">
        <x:f>IF(AND(D84&gt;E84,$A84&gt;=dev_start),(D84-E84)*dev_share,0)</x:f>
        <x:v>577.9644667326273</x:v>
      </x:c>
      <x:c r="J84" s="53" t="n">
        <x:f>IF($A84&gt;=dev_start,MAX(0,S83-F84-reserve_buffer*Economy!O84),0)</x:f>
        <x:v>0</x:v>
      </x:c>
      <x:c r="K84" s="53" t="n">
        <x:f>IF(D84&gt;E84,MIN((D84-E84-I84)*repay_share,R83-C84),0)</x:f>
        <x:v>198.15924573690083</x:v>
      </x:c>
      <x:c r="L84" s="53" t="n">
        <x:f>IF(D84&gt;E84,D84-E84-I84-K84,0)</x:f>
        <x:v>49.539811434225186</x:v>
      </x:c>
      <x:c r="M84" s="53" t="n">
        <x:f>D84+F84+G84-I84-K84-L84</x:f>
        <x:v>1006.3672129862105</x:v>
      </x:c>
      <x:c r="N84" s="53" t="n">
        <x:f>I84+J84+Q84*dev_bonds+SUMPRODUCT((Events!$B$6:$B$158&lt;=$A84)*(Events!$C$6:$C$158&gt;=$A84)*(Events!$E$6:$E$158="Investment")*Events!$H$6:$H$158)</x:f>
        <x:v>935.6282786005817</x:v>
      </x:c>
      <x:c r="O84" s="53" t="n">
        <x:f>O83*(1-dev_dep)+N84</x:f>
        <x:v>7510.578067358095</x:v>
      </x:c>
      <x:c r="P84" s="53" t="n">
        <x:f>SUMPRODUCT((Events!$B$6:$B$158&lt;=$A84)*(Events!$C$6:$C$158&gt;=$A84)*(Events!$E$6:$E$158="Debt assumed")*Events!$H$6:$H$158)</x:f>
        <x:v>0</x:v>
      </x:c>
      <x:c r="Q84" s="53" t="n">
        <x:f>IF($A84&lt;1887,0,MAX(0,debt_floor*Economy!O84-(R83+P84+H84-C84-K84)))</x:f>
        <x:v>356.4638118679543</x:v>
      </x:c>
      <x:c r="R84" s="53" t="n">
        <x:f>R83+P84+H84-C84-K84+Q84</x:f>
        <x:v>1893.5564032392654</x:v>
      </x:c>
      <x:c r="S84" s="53" t="n">
        <x:f>S83+L84-F84-J84+Q84*(1-dev_bonds)</x:f>
        <x:v>438.0926093481312</x:v>
      </x:c>
      <x:c r="T84" s="69" t="n">
        <x:f>Loans!X84</x:f>
        <x:v>1658.2150910652815</x:v>
      </x:c>
      <x:c r="U84" s="53" t="n">
        <x:f>R84-M84-S84-T84</x:f>
        <x:v>-1209.1185101603578</x:v>
      </x:c>
      <x:c r="V84" s="63" t="n">
        <x:f>R84/Economy!O84</x:f>
        <x:v>0.05</x:v>
      </x:c>
      <x:c r="W84" s="63" t="n">
        <x:f>Budget!X84/Budget!M84</x:f>
        <x:v>0.021201520340233638</x:v>
      </x:c>
      <x:c r="X84" s="63" t="n">
        <x:f>S84/Economy!O84</x:f>
        <x:v>0.011567984154015581</x:v>
      </x:c>
      <x:c r="Y84" s="53" t="n">
        <x:f>MAX(0,H84+Q84-'Gold &amp; money'!G84)</x:f>
        <x:v>356.4638118679543</x:v>
      </x:c>
    </x:row>
    <x:row r="85">
      <x:c r="A85" s="58" t="n">
        <x:v>1925</x:v>
      </x:c>
      <x:c r="B85" s="53" t="n">
        <x:f>Loans!V85-Loans!W85</x:f>
        <x:v>-31.495437903848913</x:v>
      </x:c>
      <x:c r="C85" s="53" t="n">
        <x:f>R84*debt_amort</x:f>
        <x:v>37.87112806478531</x:v>
      </x:c>
      <x:c r="D85" s="53" t="n">
        <x:f>M84+Budget!Z85-B85-C85</x:f>
        <x:v>1964.7255929185021</x:v>
      </x:c>
      <x:c r="E85" s="53" t="n">
        <x:f>MAX(0.1,Budget!M85*cash_target)</x:f>
        <x:v>1087.5422729662894</x:v>
      </x:c>
      <x:c r="F85" s="53" t="n">
        <x:f>IF(D85&lt;E85,MIN(E85-D85,S84),0)</x:f>
        <x:v>0</x:v>
      </x:c>
      <x:c r="G85" s="53" t="n">
        <x:f>MAX(0,E85-D85-F85)</x:f>
        <x:v>0</x:v>
      </x:c>
      <x:c r="H85" s="53" t="n">
        <x:f>G85/issue_price</x:f>
        <x:v>0</x:v>
      </x:c>
      <x:c r="I85" s="53" t="n">
        <x:f>IF(AND(D85&gt;E85,$A85&gt;=dev_start),(D85-E85)*dev_share,0)</x:f>
        <x:v>614.0283239665489</x:v>
      </x:c>
      <x:c r="J85" s="53" t="n">
        <x:f>IF($A85&gt;=dev_start,MAX(0,S84-F85-reserve_buffer*Economy!O85),0)</x:f>
        <x:v>0</x:v>
      </x:c>
      <x:c r="K85" s="53" t="n">
        <x:f>IF(D85&gt;E85,MIN((D85-E85-I85)*repay_share,R84-C85),0)</x:f>
        <x:v>210.5239967885311</x:v>
      </x:c>
      <x:c r="L85" s="53" t="n">
        <x:f>IF(D85&gt;E85,D85-E85-I85-K85,0)</x:f>
        <x:v>52.63099919713275</x:v>
      </x:c>
      <x:c r="M85" s="53" t="n">
        <x:f>D85+F85+G85-I85-K85-L85</x:f>
        <x:v>1087.5422729662894</x:v>
      </x:c>
      <x:c r="N85" s="53" t="n">
        <x:f>I85+J85+Q85*dev_bonds+SUMPRODUCT((Events!$B$6:$B$158&lt;=$A85)*(Events!$C$6:$C$158&gt;=$A85)*(Events!$E$6:$E$158="Investment")*Events!$H$6:$H$158)</x:f>
        <x:v>1018.7250907551704</x:v>
      </x:c>
      <x:c r="O85" s="53" t="n">
        <x:f>O84*(1-dev_dep)+N85</x:f>
        <x:v>8303.985816092521</x:v>
      </x:c>
      <x:c r="P85" s="53" t="n">
        <x:f>SUMPRODUCT((Events!$B$6:$B$158&lt;=$A85)*(Events!$C$6:$C$158&gt;=$A85)*(Events!$E$6:$E$158="Debt assumed")*Events!$H$6:$H$158)</x:f>
        <x:v>0</x:v>
      </x:c>
      <x:c r="Q85" s="53" t="n">
        <x:f>IF($A85&lt;1887,0,MAX(0,debt_floor*Economy!O85-(R84+P85+H85-C85-K85)))</x:f>
        <x:v>403.49676678862147</x:v>
      </x:c>
      <x:c r="R85" s="53" t="n">
        <x:f>R84+P85+H85-C85-K85+Q85</x:f>
        <x:v>2048.6580451745704</x:v>
      </x:c>
      <x:c r="S85" s="53" t="n">
        <x:f>S84+L85-F85-J85+Q85*(1-dev_bonds)</x:f>
        <x:v>490.7236085452639</x:v>
      </x:c>
      <x:c r="T85" s="69" t="n">
        <x:f>Loans!X85</x:f>
        <x:v>1626.7196531614327</x:v>
      </x:c>
      <x:c r="U85" s="53" t="n">
        <x:f>R85-M85-S85-T85</x:f>
        <x:v>-1156.3274894984156</x:v>
      </x:c>
      <x:c r="V85" s="63" t="n">
        <x:f>R85/Economy!O85</x:f>
        <x:v>0.05</x:v>
      </x:c>
      <x:c r="W85" s="63" t="n">
        <x:f>Budget!X85/Budget!M85</x:f>
        <x:v>0.021067716675235222</x:v>
      </x:c>
      <x:c r="X85" s="63" t="n">
        <x:f>S85/Economy!O85</x:f>
        <x:v>0.01197670859959082</x:v>
      </x:c>
      <x:c r="Y85" s="53" t="n">
        <x:f>MAX(0,H85+Q85-'Gold &amp; money'!G85)</x:f>
        <x:v>403.49676678862147</x:v>
      </x:c>
    </x:row>
    <x:row r="86">
      <x:c r="A86" s="58" t="n">
        <x:v>1926</x:v>
      </x:c>
      <x:c r="B86" s="53" t="n">
        <x:f>Loans!V86-Loans!W86</x:f>
        <x:v>-30.792951039515156</x:v>
      </x:c>
      <x:c r="C86" s="53" t="n">
        <x:f>R85*debt_amort</x:f>
        <x:v>40.97316090349141</x:v>
      </x:c>
      <x:c r="D86" s="53" t="n">
        <x:f>M85+Budget!Z86-B86-C86</x:f>
        <x:v>2102.6923286066585</x:v>
      </x:c>
      <x:c r="E86" s="53" t="n">
        <x:f>MAX(0.1,Budget!M86*cash_target)</x:f>
        <x:v>1137.238299063483</x:v>
      </x:c>
      <x:c r="F86" s="53" t="n">
        <x:f>IF(D86&lt;E86,MIN(E86-D86,S85),0)</x:f>
        <x:v>0</x:v>
      </x:c>
      <x:c r="G86" s="53" t="n">
        <x:f>MAX(0,E86-D86-F86)</x:f>
        <x:v>0</x:v>
      </x:c>
      <x:c r="H86" s="53" t="n">
        <x:f>G86/issue_price</x:f>
        <x:v>0</x:v>
      </x:c>
      <x:c r="I86" s="53" t="n">
        <x:f>IF(AND(D86&gt;E86,$A86&gt;=dev_start),(D86-E86)*dev_share,0)</x:f>
        <x:v>675.8178206802228</x:v>
      </x:c>
      <x:c r="J86" s="53" t="n">
        <x:f>IF($A86&gt;=dev_start,MAX(0,S85-F86-reserve_buffer*Economy!O86),0)</x:f>
        <x:v>0</x:v>
      </x:c>
      <x:c r="K86" s="53" t="n">
        <x:f>IF(D86&gt;E86,MIN((D86-E86-I86)*repay_share,R85-C86),0)</x:f>
        <x:v>231.70896709036217</x:v>
      </x:c>
      <x:c r="L86" s="53" t="n">
        <x:f>IF(D86&gt;E86,D86-E86-I86-K86,0)</x:f>
        <x:v>57.92724177259052</x:v>
      </x:c>
      <x:c r="M86" s="53" t="n">
        <x:f>D86+F86+G86-I86-K86-L86</x:f>
        <x:v>1137.238299063483</x:v>
      </x:c>
      <x:c r="N86" s="53" t="n">
        <x:f>I86+J86+Q86*dev_bonds+SUMPRODUCT((Events!$B$6:$B$158&lt;=$A86)*(Events!$C$6:$C$158&gt;=$A86)*(Events!$E$6:$E$158="Investment")*Events!$H$6:$H$158)</x:f>
        <x:v>1040.0797738106946</x:v>
      </x:c>
      <x:c r="O86" s="53" t="n">
        <x:f>O85*(1-dev_dep)+N86</x:f>
        <x:v>9094.94601542044</x:v>
      </x:c>
      <x:c r="P86" s="53" t="n">
        <x:f>SUMPRODUCT((Events!$B$6:$B$158&lt;=$A86)*(Events!$C$6:$C$158&gt;=$A86)*(Events!$E$6:$E$158="Debt assumed")*Events!$H$6:$H$158)</x:f>
        <x:v>0</x:v>
      </x:c>
      <x:c r="Q86" s="53" t="n">
        <x:f>IF($A86&lt;1887,0,MAX(0,debt_floor*Economy!O86-(R85+P86+H86-C86-K86)))</x:f>
        <x:v>363.0619531304719</x:v>
      </x:c>
      <x:c r="R86" s="53" t="n">
        <x:f>R85+P86+H86-C86-K86+Q86</x:f>
        <x:v>2139.0378703111887</x:v>
      </x:c>
      <x:c r="S86" s="53" t="n">
        <x:f>S85+L86-F86-J86+Q86*(1-dev_bonds)</x:f>
        <x:v>548.6508503178544</x:v>
      </x:c>
      <x:c r="T86" s="69" t="n">
        <x:f>Loans!X86</x:f>
        <x:v>1595.9267021219175</x:v>
      </x:c>
      <x:c r="U86" s="53" t="n">
        <x:f>R86-M86-S86-T86</x:f>
        <x:v>-1142.7779811920664</x:v>
      </x:c>
      <x:c r="V86" s="63" t="n">
        <x:f>R86/Economy!O86</x:f>
        <x:v>0.049999999999999996</x:v>
      </x:c>
      <x:c r="W86" s="63" t="n">
        <x:f>Budget!X86/Budget!M86</x:f>
        <x:v>0.02193244082664161</x:v>
      </x:c>
      <x:c r="X86" s="63" t="n">
        <x:f>S86/Economy!O86</x:f>
        <x:v>0.012824711005187494</x:v>
      </x:c>
      <x:c r="Y86" s="53" t="n">
        <x:f>MAX(0,H86+Q86-'Gold &amp; money'!G86)</x:f>
        <x:v>363.0619531304719</x:v>
      </x:c>
    </x:row>
    <x:row r="87">
      <x:c r="A87" s="58" t="n">
        <x:v>1927</x:v>
      </x:c>
      <x:c r="B87" s="53" t="n">
        <x:f>Loans!V87-Loans!W87</x:f>
        <x:v>135.5079383253567</x:v>
      </x:c>
      <x:c r="C87" s="53" t="n">
        <x:f>R86*debt_amort</x:f>
        <x:v>42.78075740622378</x:v>
      </x:c>
      <x:c r="D87" s="53" t="n">
        <x:f>M86+Budget!Z87-B87-C87</x:f>
        <x:v>2189.6999150448805</x:v>
      </x:c>
      <x:c r="E87" s="53" t="n">
        <x:f>MAX(0.1,Budget!M87*cash_target)</x:f>
        <x:v>1232.6981509376494</x:v>
      </x:c>
      <x:c r="F87" s="53" t="n">
        <x:f>IF(D87&lt;E87,MIN(E87-D87,S86),0)</x:f>
        <x:v>0</x:v>
      </x:c>
      <x:c r="G87" s="53" t="n">
        <x:f>MAX(0,E87-D87-F87)</x:f>
        <x:v>0</x:v>
      </x:c>
      <x:c r="H87" s="53" t="n">
        <x:f>G87/issue_price</x:f>
        <x:v>0</x:v>
      </x:c>
      <x:c r="I87" s="53" t="n">
        <x:f>IF(AND(D87&gt;E87,$A87&gt;=dev_start),(D87-E87)*dev_share,0)</x:f>
        <x:v>669.9012348750617</x:v>
      </x:c>
      <x:c r="J87" s="53" t="n">
        <x:f>IF($A87&gt;=dev_start,MAX(0,S86-F87-reserve_buffer*Economy!O87),0)</x:f>
        <x:v>0</x:v>
      </x:c>
      <x:c r="K87" s="53" t="n">
        <x:f>IF(D87&gt;E87,MIN((D87-E87-I87)*repay_share,R86-C87),0)</x:f>
        <x:v>229.6804233857355</x:v>
      </x:c>
      <x:c r="L87" s="53" t="n">
        <x:f>IF(D87&gt;E87,D87-E87-I87-K87,0)</x:f>
        <x:v>57.42010584643387</x:v>
      </x:c>
      <x:c r="M87" s="53" t="n">
        <x:f>D87+F87+G87-I87-K87-L87</x:f>
        <x:v>1232.6981509376494</x:v>
      </x:c>
      <x:c r="N87" s="53" t="n">
        <x:f>I87+J87+Q87*dev_bonds+SUMPRODUCT((Events!$B$6:$B$158&lt;=$A87)*(Events!$C$6:$C$158&gt;=$A87)*(Events!$E$6:$E$158="Investment")*Events!$H$6:$H$158)</x:f>
        <x:v>1023.8738280661977</x:v>
      </x:c>
      <x:c r="O87" s="53" t="n">
        <x:f>O86*(1-dev_dep)+N87</x:f>
        <x:v>9845.971463024025</x:v>
      </x:c>
      <x:c r="P87" s="53" t="n">
        <x:f>SUMPRODUCT((Events!$B$6:$B$158&lt;=$A87)*(Events!$C$6:$C$158&gt;=$A87)*(Events!$E$6:$E$158="Debt assumed")*Events!$H$6:$H$158)</x:f>
        <x:v>0</x:v>
      </x:c>
      <x:c r="Q87" s="53" t="n">
        <x:f>IF($A87&lt;1887,0,MAX(0,debt_floor*Economy!O87-(R86+P87+H87-C87-K87)))</x:f>
        <x:v>352.7725931911359</x:v>
      </x:c>
      <x:c r="R87" s="53" t="n">
        <x:f>R86+P87+H87-C87-K87+Q87</x:f>
        <x:v>2219.349282710365</x:v>
      </x:c>
      <x:c r="S87" s="53" t="n">
        <x:f>S86+L87-F87-J87+Q87*(1-dev_bonds)</x:f>
        <x:v>606.0709561642883</x:v>
      </x:c>
      <x:c r="T87" s="69" t="n">
        <x:f>Loans!X87</x:f>
        <x:v>1731.4346404472742</x:v>
      </x:c>
      <x:c r="U87" s="53" t="n">
        <x:f>R87-M87-S87-T87</x:f>
        <x:v>-1350.854464838847</x:v>
      </x:c>
      <x:c r="V87" s="63" t="n">
        <x:f>R87/Economy!O87</x:f>
        <x:v>0.049999999999999996</x:v>
      </x:c>
      <x:c r="W87" s="63" t="n">
        <x:f>Budget!X87/Budget!M87</x:f>
        <x:v>0.021213415421012464</x:v>
      </x:c>
      <x:c r="X87" s="63" t="n">
        <x:f>S87/Economy!O87</x:f>
        <x:v>0.013654249037901063</x:v>
      </x:c>
      <x:c r="Y87" s="53" t="n">
        <x:f>MAX(0,H87+Q87-'Gold &amp; money'!G87)</x:f>
        <x:v>352.7725931911359</x:v>
      </x:c>
    </x:row>
    <x:row r="88">
      <x:c r="A88" s="58" t="n">
        <x:v>1928</x:v>
      </x:c>
      <x:c r="B88" s="53" t="n">
        <x:f>Loans!V88-Loans!W88</x:f>
        <x:v>-29.444899252561417</x:v>
      </x:c>
      <x:c r="C88" s="53" t="n">
        <x:f>R87*debt_amort</x:f>
        <x:v>44.3869856542073</x:v>
      </x:c>
      <x:c r="D88" s="53" t="n">
        <x:f>M87+Budget!Z88-B88-C88</x:f>
        <x:v>2535.331523415924</x:v>
      </x:c>
      <x:c r="E88" s="53" t="n">
        <x:f>MAX(0.1,Budget!M88*cash_target)</x:f>
        <x:v>1325.5105709260772</x:v>
      </x:c>
      <x:c r="F88" s="53" t="n">
        <x:f>IF(D88&lt;E88,MIN(E88-D88,S87),0)</x:f>
        <x:v>0</x:v>
      </x:c>
      <x:c r="G88" s="53" t="n">
        <x:f>MAX(0,E88-D88-F88)</x:f>
        <x:v>0</x:v>
      </x:c>
      <x:c r="H88" s="53" t="n">
        <x:f>G88/issue_price</x:f>
        <x:v>0</x:v>
      </x:c>
      <x:c r="I88" s="53" t="n">
        <x:f>IF(AND(D88&gt;E88,$A88&gt;=dev_start),(D88-E88)*dev_share,0)</x:f>
        <x:v>846.8746667428927</x:v>
      </x:c>
      <x:c r="J88" s="53" t="n">
        <x:f>IF($A88&gt;=dev_start,MAX(0,S87-F88-reserve_buffer*Economy!O88),0)</x:f>
        <x:v>0</x:v>
      </x:c>
      <x:c r="K88" s="53" t="n">
        <x:f>IF(D88&gt;E88,MIN((D88-E88-I88)*repay_share,R87-C88),0)</x:f>
        <x:v>290.3570285975633</x:v>
      </x:c>
      <x:c r="L88" s="53" t="n">
        <x:f>IF(D88&gt;E88,D88-E88-I88-K88,0)</x:f>
        <x:v>72.58925714939079</x:v>
      </x:c>
      <x:c r="M88" s="53" t="n">
        <x:f>D88+F88+G88-I88-K88-L88</x:f>
        <x:v>1325.5105709260772</x:v>
      </x:c>
      <x:c r="N88" s="53" t="n">
        <x:f>I88+J88+Q88*dev_bonds+SUMPRODUCT((Events!$B$6:$B$158&lt;=$A88)*(Events!$C$6:$C$158&gt;=$A88)*(Events!$E$6:$E$158="Investment")*Events!$H$6:$H$158)</x:f>
        <x:v>1345.2733372886144</x:v>
      </x:c>
      <x:c r="O88" s="53" t="n">
        <x:f>O87*(1-dev_dep)+N88</x:f>
        <x:v>10895.865656421918</x:v>
      </x:c>
      <x:c r="P88" s="53" t="n">
        <x:f>SUMPRODUCT((Events!$B$6:$B$158&lt;=$A88)*(Events!$C$6:$C$158&gt;=$A88)*(Events!$E$6:$E$158="Debt assumed")*Events!$H$6:$H$158)</x:f>
        <x:v>0</x:v>
      </x:c>
      <x:c r="Q88" s="53" t="n">
        <x:f>IF($A88&lt;1887,0,MAX(0,debt_floor*Economy!O88-(R87+P88+H88-C88-K88)))</x:f>
        <x:v>497.1986705457216</x:v>
      </x:c>
      <x:c r="R88" s="53" t="n">
        <x:f>R87+P88+H88-C88-K88+Q88</x:f>
        <x:v>2381.803939004316</x:v>
      </x:c>
      <x:c r="S88" s="53" t="n">
        <x:f>S87+L88-F88-J88+Q88*(1-dev_bonds)</x:f>
        <x:v>678.6602133136792</x:v>
      </x:c>
      <x:c r="T88" s="69" t="n">
        <x:f>Loans!X88</x:f>
        <x:v>1701.9897411947127</x:v>
      </x:c>
      <x:c r="U88" s="53" t="n">
        <x:f>R88-M88-S88-T88</x:f>
        <x:v>-1324.3565864301531</x:v>
      </x:c>
      <x:c r="V88" s="63" t="n">
        <x:f>R88/Economy!O88</x:f>
        <x:v>0.05</x:v>
      </x:c>
      <x:c r="W88" s="63" t="n">
        <x:f>Budget!X88/Budget!M88</x:f>
        <x:v>0.02055246713440886</x:v>
      </x:c>
      <x:c r="X88" s="63" t="n">
        <x:f>S88/Economy!O88</x:f>
        <x:v>0.014246769060206206</x:v>
      </x:c>
      <x:c r="Y88" s="53" t="n">
        <x:f>MAX(0,H88+Q88-'Gold &amp; money'!G88)</x:f>
        <x:v>497.1986705457216</x:v>
      </x:c>
    </x:row>
    <x:row r="89">
      <x:c r="A89" s="58" t="n">
        <x:v>1929</x:v>
      </x:c>
      <x:c r="B89" s="53" t="n">
        <x:f>Loans!V89-Loans!W89</x:f>
        <x:v>-61.9216247470425</x:v>
      </x:c>
      <x:c r="C89" s="53" t="n">
        <x:f>R88*debt_amort</x:f>
        <x:v>47.63607878008632</x:v>
      </x:c>
      <x:c r="D89" s="53" t="n">
        <x:f>M88+Budget!Z89-B89-C89</x:f>
        <x:v>2747.0633118510723</x:v>
      </x:c>
      <x:c r="E89" s="53" t="n">
        <x:f>MAX(0.1,Budget!M89*cash_target)</x:f>
        <x:v>1406.9097044003704</x:v>
      </x:c>
      <x:c r="F89" s="53" t="n">
        <x:f>IF(D89&lt;E89,MIN(E89-D89,S88),0)</x:f>
        <x:v>0</x:v>
      </x:c>
      <x:c r="G89" s="53" t="n">
        <x:f>MAX(0,E89-D89-F89)</x:f>
        <x:v>0</x:v>
      </x:c>
      <x:c r="H89" s="53" t="n">
        <x:f>G89/issue_price</x:f>
        <x:v>0</x:v>
      </x:c>
      <x:c r="I89" s="53" t="n">
        <x:f>IF(AND(D89&gt;E89,$A89&gt;=dev_start),(D89-E89)*dev_share,0)</x:f>
        <x:v>938.1075252154913</x:v>
      </x:c>
      <x:c r="J89" s="53" t="n">
        <x:f>IF($A89&gt;=dev_start,MAX(0,S88-F89-reserve_buffer*Economy!O89),0)</x:f>
        <x:v>0</x:v>
      </x:c>
      <x:c r="K89" s="53" t="n">
        <x:f>IF(D89&gt;E89,MIN((D89-E89-I89)*repay_share,R88-C89),0)</x:f>
        <x:v>321.6368657881685</x:v>
      </x:c>
      <x:c r="L89" s="53" t="n">
        <x:f>IF(D89&gt;E89,D89-E89-I89-K89,0)</x:f>
        <x:v>80.40921644704213</x:v>
      </x:c>
      <x:c r="M89" s="53" t="n">
        <x:f>D89+F89+G89-I89-K89-L89</x:f>
        <x:v>1406.9097044003704</x:v>
      </x:c>
      <x:c r="N89" s="53" t="n">
        <x:f>I89+J89+Q89*dev_bonds+SUMPRODUCT((Events!$B$6:$B$158&lt;=$A89)*(Events!$C$6:$C$158&gt;=$A89)*(Events!$E$6:$E$158="Investment")*Events!$H$6:$H$158)</x:f>
        <x:v>1454.1885786464472</x:v>
      </x:c>
      <x:c r="O89" s="53" t="n">
        <x:f>O88*(1-dev_dep)+N89</x:f>
        <x:v>12023.178265375707</x:v>
      </x:c>
      <x:c r="P89" s="53" t="n">
        <x:f>SUMPRODUCT((Events!$B$6:$B$158&lt;=$A89)*(Events!$C$6:$C$158&gt;=$A89)*(Events!$E$6:$E$158="Debt assumed")*Events!$H$6:$H$158)</x:f>
        <x:v>0</x:v>
      </x:c>
      <x:c r="Q89" s="53" t="n">
        <x:f>IF($A89&lt;1887,0,MAX(0,debt_floor*Economy!O89-(R88+P89+H89-C89-K89)))</x:f>
        <x:v>514.881053430956</x:v>
      </x:c>
      <x:c r="R89" s="53" t="n">
        <x:f>R88+P89+H89-C89-K89+Q89</x:f>
        <x:v>2527.412047867017</x:v>
      </x:c>
      <x:c r="S89" s="53" t="n">
        <x:f>S88+L89-F89-J89+Q89*(1-dev_bonds)</x:f>
        <x:v>759.0694297607213</x:v>
      </x:c>
      <x:c r="T89" s="69" t="n">
        <x:f>Loans!X89</x:f>
        <x:v>1640.0681164476703</x:v>
      </x:c>
      <x:c r="U89" s="53" t="n">
        <x:f>R89-M89-S89-T89</x:f>
        <x:v>-1278.635202741745</x:v>
      </x:c>
      <x:c r="V89" s="63" t="n">
        <x:f>R89/Economy!O89</x:f>
        <x:v>0.05</x:v>
      </x:c>
      <x:c r="W89" s="63" t="n">
        <x:f>Budget!X89/Budget!M89</x:f>
        <x:v>0.020865399859289264</x:v>
      </x:c>
      <x:c r="X89" s="63" t="n">
        <x:f>S89/Economy!O89</x:f>
        <x:v>0.015016732835497284</x:v>
      </x:c>
      <x:c r="Y89" s="53" t="n">
        <x:f>MAX(0,H89+Q89-'Gold &amp; money'!G89)</x:f>
        <x:v>514.881053430956</x:v>
      </x:c>
    </x:row>
    <x:row r="90">
      <x:c r="A90" s="58" t="n">
        <x:v>1930</x:v>
      </x:c>
      <x:c r="B90" s="53" t="n">
        <x:f>Loans!V90-Loans!W90</x:f>
        <x:v>-61.29220888984298</x:v>
      </x:c>
      <x:c r="C90" s="53" t="n">
        <x:f>R89*debt_amort</x:f>
        <x:v>50.54824095734034</x:v>
      </x:c>
      <x:c r="D90" s="53" t="n">
        <x:f>M89+Budget!Z90-B90-C90</x:f>
        <x:v>2414.3231080834375</x:v>
      </x:c>
      <x:c r="E90" s="53" t="n">
        <x:f>MAX(0.1,Budget!M90*cash_target)</x:f>
        <x:v>1300.0894742532505</x:v>
      </x:c>
      <x:c r="F90" s="53" t="n">
        <x:f>IF(D90&lt;E90,MIN(E90-D90,S89),0)</x:f>
        <x:v>0</x:v>
      </x:c>
      <x:c r="G90" s="53" t="n">
        <x:f>MAX(0,E90-D90-F90)</x:f>
        <x:v>0</x:v>
      </x:c>
      <x:c r="H90" s="53" t="n">
        <x:f>G90/issue_price</x:f>
        <x:v>0</x:v>
      </x:c>
      <x:c r="I90" s="53" t="n">
        <x:f>IF(AND(D90&gt;E90,$A90&gt;=dev_start),(D90-E90)*dev_share,0)</x:f>
        <x:v>779.9635436811309</x:v>
      </x:c>
      <x:c r="J90" s="53" t="n">
        <x:f>IF($A90&gt;=dev_start,MAX(0,S89-F90-reserve_buffer*Economy!O90),0)</x:f>
        <x:v>0</x:v>
      </x:c>
      <x:c r="K90" s="53" t="n">
        <x:f>IF(D90&gt;E90,MIN((D90-E90-I90)*repay_share,R89-C90),0)</x:f>
        <x:v>267.4160721192449</x:v>
      </x:c>
      <x:c r="L90" s="53" t="n">
        <x:f>IF(D90&gt;E90,D90-E90-I90-K90,0)</x:f>
        <x:v>66.85401802981124</x:v>
      </x:c>
      <x:c r="M90" s="53" t="n">
        <x:f>D90+F90+G90-I90-K90-L90</x:f>
        <x:v>1300.0894742532505</x:v>
      </x:c>
      <x:c r="N90" s="53" t="n">
        <x:f>I90+J90+Q90*dev_bonds+SUMPRODUCT((Events!$B$6:$B$158&lt;=$A90)*(Events!$C$6:$C$158&gt;=$A90)*(Events!$E$6:$E$158="Investment")*Events!$H$6:$H$158)</x:f>
        <x:v>941.4306739543028</x:v>
      </x:c>
      <x:c r="O90" s="53" t="n">
        <x:f>O89*(1-dev_dep)+N90</x:f>
        <x:v>12603.913591368739</x:v>
      </x:c>
      <x:c r="P90" s="53" t="n">
        <x:f>SUMPRODUCT((Events!$B$6:$B$158&lt;=$A90)*(Events!$C$6:$C$158&gt;=$A90)*(Events!$E$6:$E$158="Debt assumed")*Events!$H$6:$H$158)</x:f>
        <x:v>0</x:v>
      </x:c>
      <x:c r="Q90" s="53" t="n">
        <x:f>IF($A90&lt;1887,0,MAX(0,debt_floor*Economy!O90-(R89+P90+H90-C90-K90)))</x:f>
        <x:v>160.26713027317192</x:v>
      </x:c>
      <x:c r="R90" s="53" t="n">
        <x:f>R89+P90+H90-C90-K90+Q90</x:f>
        <x:v>2369.714865063604</x:v>
      </x:c>
      <x:c r="S90" s="53" t="n">
        <x:f>S89+L90-F90-J90+Q90*(1-dev_bonds)</x:f>
        <x:v>825.9234477905325</x:v>
      </x:c>
      <x:c r="T90" s="69" t="n">
        <x:f>Loans!X90</x:f>
        <x:v>1578.7759075578274</x:v>
      </x:c>
      <x:c r="U90" s="53" t="n">
        <x:f>R90-M90-S90-T90</x:f>
        <x:v>-1335.0739645380063</x:v>
      </x:c>
      <x:c r="V90" s="63" t="n">
        <x:f>R90/Economy!O90</x:f>
        <x:v>0.05</x:v>
      </x:c>
      <x:c r="W90" s="63" t="n">
        <x:f>Budget!X90/Budget!M90</x:f>
        <x:v>0.02410596348497639</x:v>
      </x:c>
      <x:c r="X90" s="63" t="n">
        <x:f>S90/Economy!O90</x:f>
        <x:v>0.017426641913063336</x:v>
      </x:c>
      <x:c r="Y90" s="53" t="n">
        <x:f>MAX(0,H90+Q90-'Gold &amp; money'!G90)</x:f>
        <x:v>160.26713027317192</x:v>
      </x:c>
    </x:row>
    <x:row r="91">
      <x:c r="A91" s="58" t="n">
        <x:v>1931</x:v>
      </x:c>
      <x:c r="B91" s="53" t="n">
        <x:f>Loans!V91-Loans!W91</x:f>
        <x:v>200.40047158513119</x:v>
      </x:c>
      <x:c r="C91" s="53" t="n">
        <x:f>R90*debt_amort</x:f>
        <x:v>47.39429730127208</x:v>
      </x:c>
      <x:c r="D91" s="53" t="n">
        <x:f>M90+Budget!Z91-B91-C91</x:f>
        <x:v>1426.7791700917721</x:v>
      </x:c>
      <x:c r="E91" s="53" t="n">
        <x:f>MAX(0.1,Budget!M91*cash_target)</x:f>
        <x:v>1098.1549809408314</x:v>
      </x:c>
      <x:c r="F91" s="53" t="n">
        <x:f>IF(D91&lt;E91,MIN(E91-D91,S90),0)</x:f>
        <x:v>0</x:v>
      </x:c>
      <x:c r="G91" s="53" t="n">
        <x:f>MAX(0,E91-D91-F91)</x:f>
        <x:v>0</x:v>
      </x:c>
      <x:c r="H91" s="53" t="n">
        <x:f>G91/issue_price</x:f>
        <x:v>0</x:v>
      </x:c>
      <x:c r="I91" s="53" t="n">
        <x:f>IF(AND(D91&gt;E91,$A91&gt;=dev_start),(D91-E91)*dev_share,0)</x:f>
        <x:v>230.03693240565852</x:v>
      </x:c>
      <x:c r="J91" s="53" t="n">
        <x:f>IF($A91&gt;=dev_start,MAX(0,S90-F91-reserve_buffer*Economy!O91),0)</x:f>
        <x:v>0</x:v>
      </x:c>
      <x:c r="K91" s="53" t="n">
        <x:f>IF(D91&gt;E91,MIN((D91-E91-I91)*repay_share,R90-C91),0)</x:f>
        <x:v>78.8698053962258</x:v>
      </x:c>
      <x:c r="L91" s="53" t="n">
        <x:f>IF(D91&gt;E91,D91-E91-I91-K91,0)</x:f>
        <x:v>19.717451349056446</x:v>
      </x:c>
      <x:c r="M91" s="53" t="n">
        <x:f>D91+F91+G91-I91-K91-L91</x:f>
        <x:v>1098.1549809408314</x:v>
      </x:c>
      <x:c r="N91" s="53" t="n">
        <x:f>I91+J91+Q91*dev_bonds+SUMPRODUCT((Events!$B$6:$B$158&lt;=$A91)*(Events!$C$6:$C$158&gt;=$A91)*(Events!$E$6:$E$158="Investment")*Events!$H$6:$H$158)</x:f>
        <x:v>231.2369324056585</x:v>
      </x:c>
      <x:c r="O91" s="53" t="n">
        <x:f>O90*(1-dev_dep)+N91</x:f>
        <x:v>12457.033116033333</x:v>
      </x:c>
      <x:c r="P91" s="53" t="n">
        <x:f>SUMPRODUCT((Events!$B$6:$B$158&lt;=$A91)*(Events!$C$6:$C$158&gt;=$A91)*(Events!$E$6:$E$158="Debt assumed")*Events!$H$6:$H$158)</x:f>
        <x:v>0</x:v>
      </x:c>
      <x:c r="Q91" s="53" t="n">
        <x:f>IF($A91&lt;1887,0,MAX(0,debt_floor*Economy!O91-(R90+P91+H91-C91-K91)))</x:f>
        <x:v>0</x:v>
      </x:c>
      <x:c r="R91" s="53" t="n">
        <x:f>R90+P91+H91-C91-K91+Q91</x:f>
        <x:v>2243.450762366106</x:v>
      </x:c>
      <x:c r="S91" s="53" t="n">
        <x:f>S90+L91-F91-J91+Q91*(1-dev_bonds)</x:f>
        <x:v>845.6408991395889</x:v>
      </x:c>
      <x:c r="T91" s="69" t="n">
        <x:f>Loans!X91</x:f>
        <x:v>1779.1763791429585</x:v>
      </x:c>
      <x:c r="U91" s="53" t="n">
        <x:f>R91-M91-S91-T91</x:f>
        <x:v>-1479.5214968572727</x:v>
      </x:c>
      <x:c r="V91" s="63" t="n">
        <x:f>R91/Economy!O91</x:f>
        <x:v>0.05247538495615427</x:v>
      </x:c>
      <x:c r="W91" s="63" t="n">
        <x:f>Budget!X91/Budget!M91</x:f>
        <x:v>0.026865925649916522</x:v>
      </x:c>
      <x:c r="X91" s="63" t="n">
        <x:f>S91/Economy!O91</x:f>
        <x:v>0.01977994456638616</x:v>
      </x:c>
      <x:c r="Y91" s="53" t="n">
        <x:f>MAX(0,H91+Q91-'Gold &amp; money'!G91)</x:f>
        <x:v>0</x:v>
      </x:c>
    </x:row>
    <x:row r="92">
      <x:c r="A92" s="58" t="n">
        <x:v>1932</x:v>
      </x:c>
      <x:c r="B92" s="53" t="n">
        <x:f>Loans!V92-Loans!W92</x:f>
        <x:v>120.65951204424849</x:v>
      </x:c>
      <x:c r="C92" s="53" t="n">
        <x:f>R91*debt_amort</x:f>
        <x:v>44.869015247322125</x:v>
      </x:c>
      <x:c r="D92" s="53" t="n">
        <x:f>M91+Budget!Z92-B92-C92</x:f>
        <x:v>1091.5091833899519</x:v>
      </x:c>
      <x:c r="E92" s="53" t="n">
        <x:f>MAX(0.1,Budget!M92*cash_target)</x:f>
        <x:v>973.7404261421625</x:v>
      </x:c>
      <x:c r="F92" s="53" t="n">
        <x:f>IF(D92&lt;E92,MIN(E92-D92,S91),0)</x:f>
        <x:v>0</x:v>
      </x:c>
      <x:c r="G92" s="53" t="n">
        <x:f>MAX(0,E92-D92-F92)</x:f>
        <x:v>0</x:v>
      </x:c>
      <x:c r="H92" s="53" t="n">
        <x:f>G92/issue_price</x:f>
        <x:v>0</x:v>
      </x:c>
      <x:c r="I92" s="53" t="n">
        <x:f>IF(AND(D92&gt;E92,$A92&gt;=dev_start),(D92-E92)*dev_share,0)</x:f>
        <x:v>82.43813007345256</x:v>
      </x:c>
      <x:c r="J92" s="53" t="n">
        <x:f>IF($A92&gt;=dev_start,MAX(0,S91-F92-reserve_buffer*Economy!O92),0)</x:f>
        <x:v>0</x:v>
      </x:c>
      <x:c r="K92" s="53" t="n">
        <x:f>IF(D92&gt;E92,MIN((D92-E92-I92)*repay_share,R91-C92),0)</x:f>
        <x:v>28.264501739469463</x:v>
      </x:c>
      <x:c r="L92" s="53" t="n">
        <x:f>IF(D92&gt;E92,D92-E92-I92-K92,0)</x:f>
        <x:v>7.066125434867363</x:v>
      </x:c>
      <x:c r="M92" s="53" t="n">
        <x:f>D92+F92+G92-I92-K92-L92</x:f>
        <x:v>973.7404261421625</x:v>
      </x:c>
      <x:c r="N92" s="53" t="n">
        <x:f>I92+J92+Q92*dev_bonds+SUMPRODUCT((Events!$B$6:$B$158&lt;=$A92)*(Events!$C$6:$C$158&gt;=$A92)*(Events!$E$6:$E$158="Investment")*Events!$H$6:$H$158)</x:f>
        <x:v>83.63813007345256</x:v>
      </x:c>
      <x:c r="O92" s="53" t="n">
        <x:f>O91*(1-dev_dep)+N92</x:f>
        <x:v>12166.960252625786</x:v>
      </x:c>
      <x:c r="P92" s="53" t="n">
        <x:f>SUMPRODUCT((Events!$B$6:$B$158&lt;=$A92)*(Events!$C$6:$C$158&gt;=$A92)*(Events!$E$6:$E$158="Debt assumed")*Events!$H$6:$H$158)</x:f>
        <x:v>0</x:v>
      </x:c>
      <x:c r="Q92" s="53" t="n">
        <x:f>IF($A92&lt;1887,0,MAX(0,debt_floor*Economy!O92-(R91+P92+H92-C92-K92)))</x:f>
        <x:v>0</x:v>
      </x:c>
      <x:c r="R92" s="53" t="n">
        <x:f>R91+P92+H92-C92-K92+Q92</x:f>
        <x:v>2170.3172453793145</x:v>
      </x:c>
      <x:c r="S92" s="53" t="n">
        <x:f>S91+L92-F92-J92+Q92*(1-dev_bonds)</x:f>
        <x:v>852.7070245744562</x:v>
      </x:c>
      <x:c r="T92" s="69" t="n">
        <x:f>Loans!X92</x:f>
        <x:v>1899.835891187207</x:v>
      </x:c>
      <x:c r="U92" s="53" t="n">
        <x:f>R92-M92-S92-T92</x:f>
        <x:v>-1555.9660965245112</x:v>
      </x:c>
      <x:c r="V92" s="63" t="n">
        <x:f>R92/Economy!O92</x:f>
        <x:v>0.055216542022248113</x:v>
      </x:c>
      <x:c r="W92" s="63" t="n">
        <x:f>Budget!X92/Budget!M92</x:f>
        <x:v>0.02879939435264048</x:v>
      </x:c>
      <x:c r="X92" s="63" t="n">
        <x:f>S92/Economy!O92</x:f>
        <x:v>0.02169430914089827</x:v>
      </x:c>
      <x:c r="Y92" s="53" t="n">
        <x:f>MAX(0,H92+Q92-'Gold &amp; money'!G92)</x:f>
        <x:v>0</x:v>
      </x:c>
    </x:row>
  </x:sheetData>
  <x:mergeCells>
    <x:mergeCell ref="V4:Y4"/>
    <x:mergeCell ref="F4:O4"/>
    <x:mergeCell ref="P4:U4"/>
    <x:mergeCell ref="B4:E4"/>
  </x:mergeCells>
  <x:pageMargins left="0.7" right="0.7" top="0.75" bottom="0.75" header="0.3" footer="0.3"/>
  <x:legacyDrawing xmlns:r="http://schemas.openxmlformats.org/officeDocument/2006/relationships" r:id="Rb1524995cb3843e5"/>
</x:worksheet>
</file>

<file path=xl/worksheets/sheet11.xml><?xml version="1.0" encoding="utf-8"?>
<x:worksheet xmlns:x="http://schemas.openxmlformats.org/spreadsheetml/2006/main">
  <x:sheetPr>
    <x:tabColor rgb="FFBF8F00"/>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2.5" customWidth="1"/>
    <x:col min="20" max="20" width="12.5" customWidth="1"/>
    <x:col min="21" max="21" width="12.5" customWidth="1"/>
    <x:col min="22" max="22" width="12.5" customWidth="1"/>
    <x:col min="23" max="23" width="12.5" customWidth="1"/>
    <x:col min="24" max="24" width="12.5" customWidth="1"/>
    <x:col min="25" max="25" width="12.5" customWidth="1"/>
  </x:cols>
  <x:sheetData>
    <x:row r="1">
      <x:c r="A1" s="18" t="inlineStr">
        <x:is>
          <x:t xml:space="preserve">Public lending abroad</x:t>
        </x:is>
      </x:c>
    </x:row>
    <x:row r="2">
      <x:c r="A2" s="2" t="inlineStr">
        <x:is>
          <x:t xml:space="preserve">Treasury loans to partners, grouped by borrower. Amounts come from the Events ledger (Category = Loan).</x:t>
        </x:is>
      </x:c>
    </x:row>
    <x:row r="3">
      <x:c r="A3" s="19" t="inlineStr">
        <x:is>
          <x:t xml:space="preserve">Years run down the page. Blue = input you can change · black = formula · green = link to another sheet. Hover a column heading for its definition.</x:t>
        </x:is>
      </x:c>
    </x:row>
    <x:row r="4">
      <x:c r="B4" s="56" t="inlineStr">
        <x:is>
          <x:t xml:space="preserve">Continental</x:t>
        </x:is>
      </x:c>
      <x:c r="G4" s="56" t="inlineStr">
        <x:is>
          <x:t xml:space="preserve">Asia</x:t>
        </x:is>
      </x:c>
      <x:c r="L4" s="56" t="inlineStr">
        <x:is>
          <x:t xml:space="preserve">Europe</x:t>
        </x:is>
      </x:c>
      <x:c r="Q4" s="56" t="inlineStr">
        <x:is>
          <x:t xml:space="preserve">Rescue</x:t>
        </x:is>
      </x:c>
      <x:c r="V4" s="56" t="inlineStr">
        <x:is>
          <x:t xml:space="preserve">All policy loans</x:t>
        </x:is>
      </x:c>
    </x:row>
    <x:row r="5" ht="54" customHeight="1">
      <x:c r="A5" s="57" t="inlineStr">
        <x:is>
          <x:t xml:space="preserve">Year</x:t>
        </x:is>
      </x:c>
      <x:c r="B5" s="6" t="inlineStr">
        <x:is>
          <x:t xml:space="preserve">Continental: lent</x:t>
        </x:is>
      </x:c>
      <x:c r="C5" s="6" t="inlineStr">
        <x:is>
          <x:t xml:space="preserve">Continental: repaid</x:t>
        </x:is>
      </x:c>
      <x:c r="D5" s="6" t="inlineStr">
        <x:is>
          <x:t xml:space="preserve">Continental: written off</x:t>
        </x:is>
      </x:c>
      <x:c r="E5" s="6" t="inlineStr">
        <x:is>
          <x:t xml:space="preserve">Continental: outstanding</x:t>
        </x:is>
      </x:c>
      <x:c r="F5" s="6" t="inlineStr">
        <x:is>
          <x:t xml:space="preserve">Continental: interest received</x:t>
        </x:is>
      </x:c>
      <x:c r="G5" s="6" t="inlineStr">
        <x:is>
          <x:t xml:space="preserve">Asia: lent</x:t>
        </x:is>
      </x:c>
      <x:c r="H5" s="6" t="inlineStr">
        <x:is>
          <x:t xml:space="preserve">Asia: repaid</x:t>
        </x:is>
      </x:c>
      <x:c r="I5" s="6" t="inlineStr">
        <x:is>
          <x:t xml:space="preserve">Asia: written off</x:t>
        </x:is>
      </x:c>
      <x:c r="J5" s="6" t="inlineStr">
        <x:is>
          <x:t xml:space="preserve">Asia: outstanding</x:t>
        </x:is>
      </x:c>
      <x:c r="K5" s="6" t="inlineStr">
        <x:is>
          <x:t xml:space="preserve">Asia: interest received</x:t>
        </x:is>
      </x:c>
      <x:c r="L5" s="6" t="inlineStr">
        <x:is>
          <x:t xml:space="preserve">Europe: lent</x:t>
        </x:is>
      </x:c>
      <x:c r="M5" s="6" t="inlineStr">
        <x:is>
          <x:t xml:space="preserve">Europe: repaid</x:t>
        </x:is>
      </x:c>
      <x:c r="N5" s="6" t="inlineStr">
        <x:is>
          <x:t xml:space="preserve">Europe: written off</x:t>
        </x:is>
      </x:c>
      <x:c r="O5" s="6" t="inlineStr">
        <x:is>
          <x:t xml:space="preserve">Europe: outstanding</x:t>
        </x:is>
      </x:c>
      <x:c r="P5" s="6" t="inlineStr">
        <x:is>
          <x:t xml:space="preserve">Europe: interest received</x:t>
        </x:is>
      </x:c>
      <x:c r="Q5" s="6" t="inlineStr">
        <x:is>
          <x:t xml:space="preserve">Rescue: lent</x:t>
        </x:is>
      </x:c>
      <x:c r="R5" s="6" t="inlineStr">
        <x:is>
          <x:t xml:space="preserve">Rescue: repaid</x:t>
        </x:is>
      </x:c>
      <x:c r="S5" s="6" t="inlineStr">
        <x:is>
          <x:t xml:space="preserve">Rescue: written off</x:t>
        </x:is>
      </x:c>
      <x:c r="T5" s="6" t="inlineStr">
        <x:is>
          <x:t xml:space="preserve">Rescue: outstanding</x:t>
        </x:is>
      </x:c>
      <x:c r="U5" s="6" t="inlineStr">
        <x:is>
          <x:t xml:space="preserve">Rescue: interest received</x:t>
        </x:is>
      </x:c>
      <x:c r="V5" s="6" t="inlineStr">
        <x:is>
          <x:t xml:space="preserve">Total lent</x:t>
        </x:is>
      </x:c>
      <x:c r="W5" s="6" t="inlineStr">
        <x:is>
          <x:t xml:space="preserve">Total repaid</x:t>
        </x:is>
      </x:c>
      <x:c r="X5" s="6" t="inlineStr">
        <x:is>
          <x:t xml:space="preserve">Total outstanding</x:t>
        </x:is>
      </x:c>
      <x:c r="Y5" s="6" t="inlineStr">
        <x:is>
          <x:t xml:space="preserve">Total interest received</x:t>
        </x:is>
      </x:c>
    </x:row>
    <x:row r="6">
      <x:c r="A6" s="58" t="n">
        <x:v>1846</x:v>
      </x:c>
      <x:c r="B6" s="53" t="n">
        <x:f>SUMPRODUCT((Events!$B$6:$B$158&lt;=$A6)*(Events!$C$6:$C$158&gt;=$A6)*(Events!$E$6:$E$158="Loan")*(Events!$F$6:$F$158="Continental")*Events!$H$6:$H$158)</x:f>
        <x:v>0</x:v>
      </x:c>
      <x:c r="C6" s="53" t="n">
        <x:f>0</x:f>
        <x:v>0</x:v>
      </x:c>
      <x:c r="D6" s="53" t="n">
        <x:f>0</x:f>
        <x:v>0</x:v>
      </x:c>
      <x:c r="E6" s="53" t="n">
        <x:f>B6</x:f>
        <x:v>0</x:v>
      </x:c>
      <x:c r="F6" s="53" t="n">
        <x:f>0</x:f>
        <x:v>0</x:v>
      </x:c>
      <x:c r="G6" s="53" t="n">
        <x:f>SUMPRODUCT((Events!$B$6:$B$158&lt;=$A6)*(Events!$C$6:$C$158&gt;=$A6)*(Events!$E$6:$E$158="Loan")*(Events!$F$6:$F$158="Asia")*Events!$H$6:$H$158)</x:f>
        <x:v>0</x:v>
      </x:c>
      <x:c r="H6" s="53" t="n">
        <x:f>0</x:f>
        <x:v>0</x:v>
      </x:c>
      <x:c r="I6" s="53" t="n">
        <x:f>0</x:f>
        <x:v>0</x:v>
      </x:c>
      <x:c r="J6" s="53" t="n">
        <x:f>G6</x:f>
        <x:v>0</x:v>
      </x:c>
      <x:c r="K6" s="53" t="n">
        <x:f>0</x:f>
        <x:v>0</x:v>
      </x:c>
      <x:c r="L6" s="53" t="n">
        <x:f>SUMPRODUCT((Events!$B$6:$B$158&lt;=$A6)*(Events!$C$6:$C$158&gt;=$A6)*(Events!$E$6:$E$158="Loan")*(Events!$F$6:$F$158="Europe")*Events!$H$6:$H$158)</x:f>
        <x:v>0</x:v>
      </x:c>
      <x:c r="M6" s="53" t="n">
        <x:f>0</x:f>
        <x:v>0</x:v>
      </x:c>
      <x:c r="N6" s="53" t="n">
        <x:f>0</x:f>
        <x:v>0</x:v>
      </x:c>
      <x:c r="O6" s="53" t="n">
        <x:f>L6</x:f>
        <x:v>0</x:v>
      </x:c>
      <x:c r="P6" s="53" t="n">
        <x:f>0</x:f>
        <x:v>0</x:v>
      </x:c>
      <x:c r="Q6" s="53" t="n">
        <x:f>SUMPRODUCT((Events!$B$6:$B$158&lt;=$A6)*(Events!$C$6:$C$158&gt;=$A6)*(Events!$E$6:$E$158="Loan")*(Events!$F$6:$F$158="Rescue")*Events!$H$6:$H$158)</x:f>
        <x:v>0</x:v>
      </x:c>
      <x:c r="R6" s="53" t="n">
        <x:f>0</x:f>
        <x:v>0</x:v>
      </x:c>
      <x:c r="S6" s="53" t="n">
        <x:f>0</x:f>
        <x:v>0</x:v>
      </x:c>
      <x:c r="T6" s="53" t="n">
        <x:f>Q6</x:f>
        <x:v>0</x:v>
      </x:c>
      <x:c r="U6" s="53" t="n">
        <x:f>0</x:f>
        <x:v>0</x:v>
      </x:c>
      <x:c r="V6" s="53" t="n">
        <x:f>B6+G6+L6+Q6</x:f>
        <x:v>0</x:v>
      </x:c>
      <x:c r="W6" s="53" t="n">
        <x:f>C6+H6+M6+R6</x:f>
        <x:v>0</x:v>
      </x:c>
      <x:c r="X6" s="53" t="n">
        <x:f>E6+J6+O6+T6</x:f>
        <x:v>0</x:v>
      </x:c>
      <x:c r="Y6" s="53" t="n">
        <x:f>F6+K6+P6+U6</x:f>
        <x:v>0</x:v>
      </x:c>
    </x:row>
    <x:row r="7">
      <x:c r="A7" s="58" t="n">
        <x:v>1847</x:v>
      </x:c>
      <x:c r="B7" s="53" t="n">
        <x:f>SUMPRODUCT((Events!$B$6:$B$158&lt;=$A7)*(Events!$C$6:$C$158&gt;=$A7)*(Events!$E$6:$E$158="Loan")*(Events!$F$6:$F$158="Continental")*Events!$H$6:$H$158)</x:f>
        <x:v>0</x:v>
      </x:c>
      <x:c r="C7" s="53" t="n">
        <x:f>E6*cont_repay</x:f>
        <x:v>0</x:v>
      </x:c>
      <x:c r="D7" s="53" t="n">
        <x:f>0</x:f>
        <x:v>0</x:v>
      </x:c>
      <x:c r="E7" s="53" t="n">
        <x:f>E6+B7-C7-D7</x:f>
        <x:v>0</x:v>
      </x:c>
      <x:c r="F7" s="53" t="n">
        <x:f>E6*cont_coupon</x:f>
        <x:v>0</x:v>
      </x:c>
      <x:c r="G7" s="53" t="n">
        <x:f>SUMPRODUCT((Events!$B$6:$B$158&lt;=$A7)*(Events!$C$6:$C$158&gt;=$A7)*(Events!$E$6:$E$158="Loan")*(Events!$F$6:$F$158="Asia")*Events!$H$6:$H$158)</x:f>
        <x:v>0</x:v>
      </x:c>
      <x:c r="H7" s="53" t="n">
        <x:f>J6*asia_repay</x:f>
        <x:v>0</x:v>
      </x:c>
      <x:c r="I7" s="53" t="n">
        <x:f>0</x:f>
        <x:v>0</x:v>
      </x:c>
      <x:c r="J7" s="53" t="n">
        <x:f>J6+G7-H7-I7</x:f>
        <x:v>0</x:v>
      </x:c>
      <x:c r="K7" s="53" t="n">
        <x:f>J6*asia_coupon</x:f>
        <x:v>0</x:v>
      </x:c>
      <x:c r="L7" s="53" t="n">
        <x:f>SUMPRODUCT((Events!$B$6:$B$158&lt;=$A7)*(Events!$C$6:$C$158&gt;=$A7)*(Events!$E$6:$E$158="Loan")*(Events!$F$6:$F$158="Europe")*Events!$H$6:$H$158)</x:f>
        <x:v>0</x:v>
      </x:c>
      <x:c r="M7" s="53" t="n">
        <x:f>O6*Paths!AA7</x:f>
        <x:v>0</x:v>
      </x:c>
      <x:c r="N7" s="53" t="n">
        <x:f>IF($A7=1918,russia_writeoff*(O6+L7),0)</x:f>
        <x:v>0</x:v>
      </x:c>
      <x:c r="O7" s="53" t="n">
        <x:f>O6+L7-M7-N7</x:f>
        <x:v>0</x:v>
      </x:c>
      <x:c r="P7" s="53" t="n">
        <x:f>O6*Paths!Z7*Paths!AB7</x:f>
        <x:v>0</x:v>
      </x:c>
      <x:c r="Q7" s="53" t="n">
        <x:f>SUMPRODUCT((Events!$B$6:$B$158&lt;=$A7)*(Events!$C$6:$C$158&gt;=$A7)*(Events!$E$6:$E$158="Loan")*(Events!$F$6:$F$158="Rescue")*Events!$H$6:$H$158)</x:f>
        <x:v>0</x:v>
      </x:c>
      <x:c r="R7" s="53" t="n">
        <x:f>0</x:f>
        <x:v>0</x:v>
      </x:c>
      <x:c r="S7" s="53" t="n">
        <x:f>0</x:f>
        <x:v>0</x:v>
      </x:c>
      <x:c r="T7" s="53" t="n">
        <x:f>T6+Q7-R7-S7</x:f>
        <x:v>0</x:v>
      </x:c>
      <x:c r="U7" s="53" t="n">
        <x:f>T6*rescue_coupon</x:f>
        <x:v>0</x:v>
      </x:c>
      <x:c r="V7" s="53" t="n">
        <x:f>B7+G7+L7+Q7</x:f>
        <x:v>0</x:v>
      </x:c>
      <x:c r="W7" s="53" t="n">
        <x:f>C7+H7+M7+R7</x:f>
        <x:v>0</x:v>
      </x:c>
      <x:c r="X7" s="53" t="n">
        <x:f>E7+J7+O7+T7</x:f>
        <x:v>0</x:v>
      </x:c>
      <x:c r="Y7" s="53" t="n">
        <x:f>F7+K7+P7+U7</x:f>
        <x:v>0</x:v>
      </x:c>
    </x:row>
    <x:row r="8">
      <x:c r="A8" s="58" t="n">
        <x:v>1848</x:v>
      </x:c>
      <x:c r="B8" s="53" t="n">
        <x:f>SUMPRODUCT((Events!$B$6:$B$158&lt;=$A8)*(Events!$C$6:$C$158&gt;=$A8)*(Events!$E$6:$E$158="Loan")*(Events!$F$6:$F$158="Continental")*Events!$H$6:$H$158)</x:f>
        <x:v>0</x:v>
      </x:c>
      <x:c r="C8" s="53" t="n">
        <x:f>E7*cont_repay</x:f>
        <x:v>0</x:v>
      </x:c>
      <x:c r="D8" s="53" t="n">
        <x:f>0</x:f>
        <x:v>0</x:v>
      </x:c>
      <x:c r="E8" s="53" t="n">
        <x:f>E7+B8-C8-D8</x:f>
        <x:v>0</x:v>
      </x:c>
      <x:c r="F8" s="53" t="n">
        <x:f>E7*cont_coupon</x:f>
        <x:v>0</x:v>
      </x:c>
      <x:c r="G8" s="53" t="n">
        <x:f>SUMPRODUCT((Events!$B$6:$B$158&lt;=$A8)*(Events!$C$6:$C$158&gt;=$A8)*(Events!$E$6:$E$158="Loan")*(Events!$F$6:$F$158="Asia")*Events!$H$6:$H$158)</x:f>
        <x:v>0</x:v>
      </x:c>
      <x:c r="H8" s="53" t="n">
        <x:f>J7*asia_repay</x:f>
        <x:v>0</x:v>
      </x:c>
      <x:c r="I8" s="53" t="n">
        <x:f>0</x:f>
        <x:v>0</x:v>
      </x:c>
      <x:c r="J8" s="53" t="n">
        <x:f>J7+G8-H8-I8</x:f>
        <x:v>0</x:v>
      </x:c>
      <x:c r="K8" s="53" t="n">
        <x:f>J7*asia_coupon</x:f>
        <x:v>0</x:v>
      </x:c>
      <x:c r="L8" s="53" t="n">
        <x:f>SUMPRODUCT((Events!$B$6:$B$158&lt;=$A8)*(Events!$C$6:$C$158&gt;=$A8)*(Events!$E$6:$E$158="Loan")*(Events!$F$6:$F$158="Europe")*Events!$H$6:$H$158)</x:f>
        <x:v>0</x:v>
      </x:c>
      <x:c r="M8" s="53" t="n">
        <x:f>O7*Paths!AA8</x:f>
        <x:v>0</x:v>
      </x:c>
      <x:c r="N8" s="53" t="n">
        <x:f>IF($A8=1918,russia_writeoff*(O7+L8),0)</x:f>
        <x:v>0</x:v>
      </x:c>
      <x:c r="O8" s="53" t="n">
        <x:f>O7+L8-M8-N8</x:f>
        <x:v>0</x:v>
      </x:c>
      <x:c r="P8" s="53" t="n">
        <x:f>O7*Paths!Z8*Paths!AB8</x:f>
        <x:v>0</x:v>
      </x:c>
      <x:c r="Q8" s="53" t="n">
        <x:f>SUMPRODUCT((Events!$B$6:$B$158&lt;=$A8)*(Events!$C$6:$C$158&gt;=$A8)*(Events!$E$6:$E$158="Loan")*(Events!$F$6:$F$158="Rescue")*Events!$H$6:$H$158)</x:f>
        <x:v>0</x:v>
      </x:c>
      <x:c r="R8" s="53" t="n">
        <x:f>0</x:f>
        <x:v>0</x:v>
      </x:c>
      <x:c r="S8" s="53" t="n">
        <x:f>0</x:f>
        <x:v>0</x:v>
      </x:c>
      <x:c r="T8" s="53" t="n">
        <x:f>T7+Q8-R8-S8</x:f>
        <x:v>0</x:v>
      </x:c>
      <x:c r="U8" s="53" t="n">
        <x:f>T7*rescue_coupon</x:f>
        <x:v>0</x:v>
      </x:c>
      <x:c r="V8" s="53" t="n">
        <x:f>B8+G8+L8+Q8</x:f>
        <x:v>0</x:v>
      </x:c>
      <x:c r="W8" s="53" t="n">
        <x:f>C8+H8+M8+R8</x:f>
        <x:v>0</x:v>
      </x:c>
      <x:c r="X8" s="53" t="n">
        <x:f>E8+J8+O8+T8</x:f>
        <x:v>0</x:v>
      </x:c>
      <x:c r="Y8" s="53" t="n">
        <x:f>F8+K8+P8+U8</x:f>
        <x:v>0</x:v>
      </x:c>
    </x:row>
    <x:row r="9">
      <x:c r="A9" s="58" t="n">
        <x:v>1849</x:v>
      </x:c>
      <x:c r="B9" s="53" t="n">
        <x:f>SUMPRODUCT((Events!$B$6:$B$158&lt;=$A9)*(Events!$C$6:$C$158&gt;=$A9)*(Events!$E$6:$E$158="Loan")*(Events!$F$6:$F$158="Continental")*Events!$H$6:$H$158)</x:f>
        <x:v>0</x:v>
      </x:c>
      <x:c r="C9" s="53" t="n">
        <x:f>E8*cont_repay</x:f>
        <x:v>0</x:v>
      </x:c>
      <x:c r="D9" s="53" t="n">
        <x:f>0</x:f>
        <x:v>0</x:v>
      </x:c>
      <x:c r="E9" s="53" t="n">
        <x:f>E8+B9-C9-D9</x:f>
        <x:v>0</x:v>
      </x:c>
      <x:c r="F9" s="53" t="n">
        <x:f>E8*cont_coupon</x:f>
        <x:v>0</x:v>
      </x:c>
      <x:c r="G9" s="53" t="n">
        <x:f>SUMPRODUCT((Events!$B$6:$B$158&lt;=$A9)*(Events!$C$6:$C$158&gt;=$A9)*(Events!$E$6:$E$158="Loan")*(Events!$F$6:$F$158="Asia")*Events!$H$6:$H$158)</x:f>
        <x:v>0</x:v>
      </x:c>
      <x:c r="H9" s="53" t="n">
        <x:f>J8*asia_repay</x:f>
        <x:v>0</x:v>
      </x:c>
      <x:c r="I9" s="53" t="n">
        <x:f>0</x:f>
        <x:v>0</x:v>
      </x:c>
      <x:c r="J9" s="53" t="n">
        <x:f>J8+G9-H9-I9</x:f>
        <x:v>0</x:v>
      </x:c>
      <x:c r="K9" s="53" t="n">
        <x:f>J8*asia_coupon</x:f>
        <x:v>0</x:v>
      </x:c>
      <x:c r="L9" s="53" t="n">
        <x:f>SUMPRODUCT((Events!$B$6:$B$158&lt;=$A9)*(Events!$C$6:$C$158&gt;=$A9)*(Events!$E$6:$E$158="Loan")*(Events!$F$6:$F$158="Europe")*Events!$H$6:$H$158)</x:f>
        <x:v>0</x:v>
      </x:c>
      <x:c r="M9" s="53" t="n">
        <x:f>O8*Paths!AA9</x:f>
        <x:v>0</x:v>
      </x:c>
      <x:c r="N9" s="53" t="n">
        <x:f>IF($A9=1918,russia_writeoff*(O8+L9),0)</x:f>
        <x:v>0</x:v>
      </x:c>
      <x:c r="O9" s="53" t="n">
        <x:f>O8+L9-M9-N9</x:f>
        <x:v>0</x:v>
      </x:c>
      <x:c r="P9" s="53" t="n">
        <x:f>O8*Paths!Z9*Paths!AB9</x:f>
        <x:v>0</x:v>
      </x:c>
      <x:c r="Q9" s="53" t="n">
        <x:f>SUMPRODUCT((Events!$B$6:$B$158&lt;=$A9)*(Events!$C$6:$C$158&gt;=$A9)*(Events!$E$6:$E$158="Loan")*(Events!$F$6:$F$158="Rescue")*Events!$H$6:$H$158)</x:f>
        <x:v>0</x:v>
      </x:c>
      <x:c r="R9" s="53" t="n">
        <x:f>0</x:f>
        <x:v>0</x:v>
      </x:c>
      <x:c r="S9" s="53" t="n">
        <x:f>0</x:f>
        <x:v>0</x:v>
      </x:c>
      <x:c r="T9" s="53" t="n">
        <x:f>T8+Q9-R9-S9</x:f>
        <x:v>0</x:v>
      </x:c>
      <x:c r="U9" s="53" t="n">
        <x:f>T8*rescue_coupon</x:f>
        <x:v>0</x:v>
      </x:c>
      <x:c r="V9" s="53" t="n">
        <x:f>B9+G9+L9+Q9</x:f>
        <x:v>0</x:v>
      </x:c>
      <x:c r="W9" s="53" t="n">
        <x:f>C9+H9+M9+R9</x:f>
        <x:v>0</x:v>
      </x:c>
      <x:c r="X9" s="53" t="n">
        <x:f>E9+J9+O9+T9</x:f>
        <x:v>0</x:v>
      </x:c>
      <x:c r="Y9" s="53" t="n">
        <x:f>F9+K9+P9+U9</x:f>
        <x:v>0</x:v>
      </x:c>
    </x:row>
    <x:row r="10">
      <x:c r="A10" s="58" t="n">
        <x:v>1850</x:v>
      </x:c>
      <x:c r="B10" s="53" t="n">
        <x:f>SUMPRODUCT((Events!$B$6:$B$158&lt;=$A10)*(Events!$C$6:$C$158&gt;=$A10)*(Events!$E$6:$E$158="Loan")*(Events!$F$6:$F$158="Continental")*Events!$H$6:$H$158)</x:f>
        <x:v>0</x:v>
      </x:c>
      <x:c r="C10" s="53" t="n">
        <x:f>E9*cont_repay</x:f>
        <x:v>0</x:v>
      </x:c>
      <x:c r="D10" s="53" t="n">
        <x:f>0</x:f>
        <x:v>0</x:v>
      </x:c>
      <x:c r="E10" s="53" t="n">
        <x:f>E9+B10-C10-D10</x:f>
        <x:v>0</x:v>
      </x:c>
      <x:c r="F10" s="53" t="n">
        <x:f>E9*cont_coupon</x:f>
        <x:v>0</x:v>
      </x:c>
      <x:c r="G10" s="53" t="n">
        <x:f>SUMPRODUCT((Events!$B$6:$B$158&lt;=$A10)*(Events!$C$6:$C$158&gt;=$A10)*(Events!$E$6:$E$158="Loan")*(Events!$F$6:$F$158="Asia")*Events!$H$6:$H$158)</x:f>
        <x:v>0</x:v>
      </x:c>
      <x:c r="H10" s="53" t="n">
        <x:f>J9*asia_repay</x:f>
        <x:v>0</x:v>
      </x:c>
      <x:c r="I10" s="53" t="n">
        <x:f>0</x:f>
        <x:v>0</x:v>
      </x:c>
      <x:c r="J10" s="53" t="n">
        <x:f>J9+G10-H10-I10</x:f>
        <x:v>0</x:v>
      </x:c>
      <x:c r="K10" s="53" t="n">
        <x:f>J9*asia_coupon</x:f>
        <x:v>0</x:v>
      </x:c>
      <x:c r="L10" s="53" t="n">
        <x:f>SUMPRODUCT((Events!$B$6:$B$158&lt;=$A10)*(Events!$C$6:$C$158&gt;=$A10)*(Events!$E$6:$E$158="Loan")*(Events!$F$6:$F$158="Europe")*Events!$H$6:$H$158)</x:f>
        <x:v>0</x:v>
      </x:c>
      <x:c r="M10" s="53" t="n">
        <x:f>O9*Paths!AA10</x:f>
        <x:v>0</x:v>
      </x:c>
      <x:c r="N10" s="53" t="n">
        <x:f>IF($A10=1918,russia_writeoff*(O9+L10),0)</x:f>
        <x:v>0</x:v>
      </x:c>
      <x:c r="O10" s="53" t="n">
        <x:f>O9+L10-M10-N10</x:f>
        <x:v>0</x:v>
      </x:c>
      <x:c r="P10" s="53" t="n">
        <x:f>O9*Paths!Z10*Paths!AB10</x:f>
        <x:v>0</x:v>
      </x:c>
      <x:c r="Q10" s="53" t="n">
        <x:f>SUMPRODUCT((Events!$B$6:$B$158&lt;=$A10)*(Events!$C$6:$C$158&gt;=$A10)*(Events!$E$6:$E$158="Loan")*(Events!$F$6:$F$158="Rescue")*Events!$H$6:$H$158)</x:f>
        <x:v>0</x:v>
      </x:c>
      <x:c r="R10" s="53" t="n">
        <x:f>0</x:f>
        <x:v>0</x:v>
      </x:c>
      <x:c r="S10" s="53" t="n">
        <x:f>0</x:f>
        <x:v>0</x:v>
      </x:c>
      <x:c r="T10" s="53" t="n">
        <x:f>T9+Q10-R10-S10</x:f>
        <x:v>0</x:v>
      </x:c>
      <x:c r="U10" s="53" t="n">
        <x:f>T9*rescue_coupon</x:f>
        <x:v>0</x:v>
      </x:c>
      <x:c r="V10" s="53" t="n">
        <x:f>B10+G10+L10+Q10</x:f>
        <x:v>0</x:v>
      </x:c>
      <x:c r="W10" s="53" t="n">
        <x:f>C10+H10+M10+R10</x:f>
        <x:v>0</x:v>
      </x:c>
      <x:c r="X10" s="53" t="n">
        <x:f>E10+J10+O10+T10</x:f>
        <x:v>0</x:v>
      </x:c>
      <x:c r="Y10" s="53" t="n">
        <x:f>F10+K10+P10+U10</x:f>
        <x:v>0</x:v>
      </x:c>
    </x:row>
    <x:row r="11">
      <x:c r="A11" s="58" t="n">
        <x:v>1851</x:v>
      </x:c>
      <x:c r="B11" s="53" t="n">
        <x:f>SUMPRODUCT((Events!$B$6:$B$158&lt;=$A11)*(Events!$C$6:$C$158&gt;=$A11)*(Events!$E$6:$E$158="Loan")*(Events!$F$6:$F$158="Continental")*Events!$H$6:$H$158)</x:f>
        <x:v>0</x:v>
      </x:c>
      <x:c r="C11" s="53" t="n">
        <x:f>E10*cont_repay</x:f>
        <x:v>0</x:v>
      </x:c>
      <x:c r="D11" s="53" t="n">
        <x:f>0</x:f>
        <x:v>0</x:v>
      </x:c>
      <x:c r="E11" s="53" t="n">
        <x:f>E10+B11-C11-D11</x:f>
        <x:v>0</x:v>
      </x:c>
      <x:c r="F11" s="53" t="n">
        <x:f>E10*cont_coupon</x:f>
        <x:v>0</x:v>
      </x:c>
      <x:c r="G11" s="53" t="n">
        <x:f>SUMPRODUCT((Events!$B$6:$B$158&lt;=$A11)*(Events!$C$6:$C$158&gt;=$A11)*(Events!$E$6:$E$158="Loan")*(Events!$F$6:$F$158="Asia")*Events!$H$6:$H$158)</x:f>
        <x:v>0</x:v>
      </x:c>
      <x:c r="H11" s="53" t="n">
        <x:f>J10*asia_repay</x:f>
        <x:v>0</x:v>
      </x:c>
      <x:c r="I11" s="53" t="n">
        <x:f>0</x:f>
        <x:v>0</x:v>
      </x:c>
      <x:c r="J11" s="53" t="n">
        <x:f>J10+G11-H11-I11</x:f>
        <x:v>0</x:v>
      </x:c>
      <x:c r="K11" s="53" t="n">
        <x:f>J10*asia_coupon</x:f>
        <x:v>0</x:v>
      </x:c>
      <x:c r="L11" s="53" t="n">
        <x:f>SUMPRODUCT((Events!$B$6:$B$158&lt;=$A11)*(Events!$C$6:$C$158&gt;=$A11)*(Events!$E$6:$E$158="Loan")*(Events!$F$6:$F$158="Europe")*Events!$H$6:$H$158)</x:f>
        <x:v>0</x:v>
      </x:c>
      <x:c r="M11" s="53" t="n">
        <x:f>O10*Paths!AA11</x:f>
        <x:v>0</x:v>
      </x:c>
      <x:c r="N11" s="53" t="n">
        <x:f>IF($A11=1918,russia_writeoff*(O10+L11),0)</x:f>
        <x:v>0</x:v>
      </x:c>
      <x:c r="O11" s="53" t="n">
        <x:f>O10+L11-M11-N11</x:f>
        <x:v>0</x:v>
      </x:c>
      <x:c r="P11" s="53" t="n">
        <x:f>O10*Paths!Z11*Paths!AB11</x:f>
        <x:v>0</x:v>
      </x:c>
      <x:c r="Q11" s="53" t="n">
        <x:f>SUMPRODUCT((Events!$B$6:$B$158&lt;=$A11)*(Events!$C$6:$C$158&gt;=$A11)*(Events!$E$6:$E$158="Loan")*(Events!$F$6:$F$158="Rescue")*Events!$H$6:$H$158)</x:f>
        <x:v>0</x:v>
      </x:c>
      <x:c r="R11" s="53" t="n">
        <x:f>0</x:f>
        <x:v>0</x:v>
      </x:c>
      <x:c r="S11" s="53" t="n">
        <x:f>0</x:f>
        <x:v>0</x:v>
      </x:c>
      <x:c r="T11" s="53" t="n">
        <x:f>T10+Q11-R11-S11</x:f>
        <x:v>0</x:v>
      </x:c>
      <x:c r="U11" s="53" t="n">
        <x:f>T10*rescue_coupon</x:f>
        <x:v>0</x:v>
      </x:c>
      <x:c r="V11" s="53" t="n">
        <x:f>B11+G11+L11+Q11</x:f>
        <x:v>0</x:v>
      </x:c>
      <x:c r="W11" s="53" t="n">
        <x:f>C11+H11+M11+R11</x:f>
        <x:v>0</x:v>
      </x:c>
      <x:c r="X11" s="53" t="n">
        <x:f>E11+J11+O11+T11</x:f>
        <x:v>0</x:v>
      </x:c>
      <x:c r="Y11" s="53" t="n">
        <x:f>F11+K11+P11+U11</x:f>
        <x:v>0</x:v>
      </x:c>
    </x:row>
    <x:row r="12">
      <x:c r="A12" s="58" t="n">
        <x:v>1852</x:v>
      </x:c>
      <x:c r="B12" s="53" t="n">
        <x:f>SUMPRODUCT((Events!$B$6:$B$158&lt;=$A12)*(Events!$C$6:$C$158&gt;=$A12)*(Events!$E$6:$E$158="Loan")*(Events!$F$6:$F$158="Continental")*Events!$H$6:$H$158)</x:f>
        <x:v>0</x:v>
      </x:c>
      <x:c r="C12" s="53" t="n">
        <x:f>E11*cont_repay</x:f>
        <x:v>0</x:v>
      </x:c>
      <x:c r="D12" s="53" t="n">
        <x:f>0</x:f>
        <x:v>0</x:v>
      </x:c>
      <x:c r="E12" s="53" t="n">
        <x:f>E11+B12-C12-D12</x:f>
        <x:v>0</x:v>
      </x:c>
      <x:c r="F12" s="53" t="n">
        <x:f>E11*cont_coupon</x:f>
        <x:v>0</x:v>
      </x:c>
      <x:c r="G12" s="53" t="n">
        <x:f>SUMPRODUCT((Events!$B$6:$B$158&lt;=$A12)*(Events!$C$6:$C$158&gt;=$A12)*(Events!$E$6:$E$158="Loan")*(Events!$F$6:$F$158="Asia")*Events!$H$6:$H$158)</x:f>
        <x:v>0</x:v>
      </x:c>
      <x:c r="H12" s="53" t="n">
        <x:f>J11*asia_repay</x:f>
        <x:v>0</x:v>
      </x:c>
      <x:c r="I12" s="53" t="n">
        <x:f>0</x:f>
        <x:v>0</x:v>
      </x:c>
      <x:c r="J12" s="53" t="n">
        <x:f>J11+G12-H12-I12</x:f>
        <x:v>0</x:v>
      </x:c>
      <x:c r="K12" s="53" t="n">
        <x:f>J11*asia_coupon</x:f>
        <x:v>0</x:v>
      </x:c>
      <x:c r="L12" s="53" t="n">
        <x:f>SUMPRODUCT((Events!$B$6:$B$158&lt;=$A12)*(Events!$C$6:$C$158&gt;=$A12)*(Events!$E$6:$E$158="Loan")*(Events!$F$6:$F$158="Europe")*Events!$H$6:$H$158)</x:f>
        <x:v>0</x:v>
      </x:c>
      <x:c r="M12" s="53" t="n">
        <x:f>O11*Paths!AA12</x:f>
        <x:v>0</x:v>
      </x:c>
      <x:c r="N12" s="53" t="n">
        <x:f>IF($A12=1918,russia_writeoff*(O11+L12),0)</x:f>
        <x:v>0</x:v>
      </x:c>
      <x:c r="O12" s="53" t="n">
        <x:f>O11+L12-M12-N12</x:f>
        <x:v>0</x:v>
      </x:c>
      <x:c r="P12" s="53" t="n">
        <x:f>O11*Paths!Z12*Paths!AB12</x:f>
        <x:v>0</x:v>
      </x:c>
      <x:c r="Q12" s="53" t="n">
        <x:f>SUMPRODUCT((Events!$B$6:$B$158&lt;=$A12)*(Events!$C$6:$C$158&gt;=$A12)*(Events!$E$6:$E$158="Loan")*(Events!$F$6:$F$158="Rescue")*Events!$H$6:$H$158)</x:f>
        <x:v>0</x:v>
      </x:c>
      <x:c r="R12" s="53" t="n">
        <x:f>0</x:f>
        <x:v>0</x:v>
      </x:c>
      <x:c r="S12" s="53" t="n">
        <x:f>0</x:f>
        <x:v>0</x:v>
      </x:c>
      <x:c r="T12" s="53" t="n">
        <x:f>T11+Q12-R12-S12</x:f>
        <x:v>0</x:v>
      </x:c>
      <x:c r="U12" s="53" t="n">
        <x:f>T11*rescue_coupon</x:f>
        <x:v>0</x:v>
      </x:c>
      <x:c r="V12" s="53" t="n">
        <x:f>B12+G12+L12+Q12</x:f>
        <x:v>0</x:v>
      </x:c>
      <x:c r="W12" s="53" t="n">
        <x:f>C12+H12+M12+R12</x:f>
        <x:v>0</x:v>
      </x:c>
      <x:c r="X12" s="53" t="n">
        <x:f>E12+J12+O12+T12</x:f>
        <x:v>0</x:v>
      </x:c>
      <x:c r="Y12" s="53" t="n">
        <x:f>F12+K12+P12+U12</x:f>
        <x:v>0</x:v>
      </x:c>
    </x:row>
    <x:row r="13">
      <x:c r="A13" s="58" t="n">
        <x:v>1853</x:v>
      </x:c>
      <x:c r="B13" s="53" t="n">
        <x:f>SUMPRODUCT((Events!$B$6:$B$158&lt;=$A13)*(Events!$C$6:$C$158&gt;=$A13)*(Events!$E$6:$E$158="Loan")*(Events!$F$6:$F$158="Continental")*Events!$H$6:$H$158)</x:f>
        <x:v>0</x:v>
      </x:c>
      <x:c r="C13" s="53" t="n">
        <x:f>E12*cont_repay</x:f>
        <x:v>0</x:v>
      </x:c>
      <x:c r="D13" s="53" t="n">
        <x:f>0</x:f>
        <x:v>0</x:v>
      </x:c>
      <x:c r="E13" s="53" t="n">
        <x:f>E12+B13-C13-D13</x:f>
        <x:v>0</x:v>
      </x:c>
      <x:c r="F13" s="53" t="n">
        <x:f>E12*cont_coupon</x:f>
        <x:v>0</x:v>
      </x:c>
      <x:c r="G13" s="53" t="n">
        <x:f>SUMPRODUCT((Events!$B$6:$B$158&lt;=$A13)*(Events!$C$6:$C$158&gt;=$A13)*(Events!$E$6:$E$158="Loan")*(Events!$F$6:$F$158="Asia")*Events!$H$6:$H$158)</x:f>
        <x:v>0</x:v>
      </x:c>
      <x:c r="H13" s="53" t="n">
        <x:f>J12*asia_repay</x:f>
        <x:v>0</x:v>
      </x:c>
      <x:c r="I13" s="53" t="n">
        <x:f>0</x:f>
        <x:v>0</x:v>
      </x:c>
      <x:c r="J13" s="53" t="n">
        <x:f>J12+G13-H13-I13</x:f>
        <x:v>0</x:v>
      </x:c>
      <x:c r="K13" s="53" t="n">
        <x:f>J12*asia_coupon</x:f>
        <x:v>0</x:v>
      </x:c>
      <x:c r="L13" s="53" t="n">
        <x:f>SUMPRODUCT((Events!$B$6:$B$158&lt;=$A13)*(Events!$C$6:$C$158&gt;=$A13)*(Events!$E$6:$E$158="Loan")*(Events!$F$6:$F$158="Europe")*Events!$H$6:$H$158)</x:f>
        <x:v>0</x:v>
      </x:c>
      <x:c r="M13" s="53" t="n">
        <x:f>O12*Paths!AA13</x:f>
        <x:v>0</x:v>
      </x:c>
      <x:c r="N13" s="53" t="n">
        <x:f>IF($A13=1918,russia_writeoff*(O12+L13),0)</x:f>
        <x:v>0</x:v>
      </x:c>
      <x:c r="O13" s="53" t="n">
        <x:f>O12+L13-M13-N13</x:f>
        <x:v>0</x:v>
      </x:c>
      <x:c r="P13" s="53" t="n">
        <x:f>O12*Paths!Z13*Paths!AB13</x:f>
        <x:v>0</x:v>
      </x:c>
      <x:c r="Q13" s="53" t="n">
        <x:f>SUMPRODUCT((Events!$B$6:$B$158&lt;=$A13)*(Events!$C$6:$C$158&gt;=$A13)*(Events!$E$6:$E$158="Loan")*(Events!$F$6:$F$158="Rescue")*Events!$H$6:$H$158)</x:f>
        <x:v>0</x:v>
      </x:c>
      <x:c r="R13" s="53" t="n">
        <x:f>0</x:f>
        <x:v>0</x:v>
      </x:c>
      <x:c r="S13" s="53" t="n">
        <x:f>0</x:f>
        <x:v>0</x:v>
      </x:c>
      <x:c r="T13" s="53" t="n">
        <x:f>T12+Q13-R13-S13</x:f>
        <x:v>0</x:v>
      </x:c>
      <x:c r="U13" s="53" t="n">
        <x:f>T12*rescue_coupon</x:f>
        <x:v>0</x:v>
      </x:c>
      <x:c r="V13" s="53" t="n">
        <x:f>B13+G13+L13+Q13</x:f>
        <x:v>0</x:v>
      </x:c>
      <x:c r="W13" s="53" t="n">
        <x:f>C13+H13+M13+R13</x:f>
        <x:v>0</x:v>
      </x:c>
      <x:c r="X13" s="53" t="n">
        <x:f>E13+J13+O13+T13</x:f>
        <x:v>0</x:v>
      </x:c>
      <x:c r="Y13" s="53" t="n">
        <x:f>F13+K13+P13+U13</x:f>
        <x:v>0</x:v>
      </x:c>
    </x:row>
    <x:row r="14">
      <x:c r="A14" s="58" t="n">
        <x:v>1854</x:v>
      </x:c>
      <x:c r="B14" s="53" t="n">
        <x:f>SUMPRODUCT((Events!$B$6:$B$158&lt;=$A14)*(Events!$C$6:$C$158&gt;=$A14)*(Events!$E$6:$E$158="Loan")*(Events!$F$6:$F$158="Continental")*Events!$H$6:$H$158)</x:f>
        <x:v>0</x:v>
      </x:c>
      <x:c r="C14" s="53" t="n">
        <x:f>E13*cont_repay</x:f>
        <x:v>0</x:v>
      </x:c>
      <x:c r="D14" s="53" t="n">
        <x:f>0</x:f>
        <x:v>0</x:v>
      </x:c>
      <x:c r="E14" s="53" t="n">
        <x:f>E13+B14-C14-D14</x:f>
        <x:v>0</x:v>
      </x:c>
      <x:c r="F14" s="53" t="n">
        <x:f>E13*cont_coupon</x:f>
        <x:v>0</x:v>
      </x:c>
      <x:c r="G14" s="53" t="n">
        <x:f>SUMPRODUCT((Events!$B$6:$B$158&lt;=$A14)*(Events!$C$6:$C$158&gt;=$A14)*(Events!$E$6:$E$158="Loan")*(Events!$F$6:$F$158="Asia")*Events!$H$6:$H$158)</x:f>
        <x:v>0</x:v>
      </x:c>
      <x:c r="H14" s="53" t="n">
        <x:f>J13*asia_repay</x:f>
        <x:v>0</x:v>
      </x:c>
      <x:c r="I14" s="53" t="n">
        <x:f>0</x:f>
        <x:v>0</x:v>
      </x:c>
      <x:c r="J14" s="53" t="n">
        <x:f>J13+G14-H14-I14</x:f>
        <x:v>0</x:v>
      </x:c>
      <x:c r="K14" s="53" t="n">
        <x:f>J13*asia_coupon</x:f>
        <x:v>0</x:v>
      </x:c>
      <x:c r="L14" s="53" t="n">
        <x:f>SUMPRODUCT((Events!$B$6:$B$158&lt;=$A14)*(Events!$C$6:$C$158&gt;=$A14)*(Events!$E$6:$E$158="Loan")*(Events!$F$6:$F$158="Europe")*Events!$H$6:$H$158)</x:f>
        <x:v>0</x:v>
      </x:c>
      <x:c r="M14" s="53" t="n">
        <x:f>O13*Paths!AA14</x:f>
        <x:v>0</x:v>
      </x:c>
      <x:c r="N14" s="53" t="n">
        <x:f>IF($A14=1918,russia_writeoff*(O13+L14),0)</x:f>
        <x:v>0</x:v>
      </x:c>
      <x:c r="O14" s="53" t="n">
        <x:f>O13+L14-M14-N14</x:f>
        <x:v>0</x:v>
      </x:c>
      <x:c r="P14" s="53" t="n">
        <x:f>O13*Paths!Z14*Paths!AB14</x:f>
        <x:v>0</x:v>
      </x:c>
      <x:c r="Q14" s="53" t="n">
        <x:f>SUMPRODUCT((Events!$B$6:$B$158&lt;=$A14)*(Events!$C$6:$C$158&gt;=$A14)*(Events!$E$6:$E$158="Loan")*(Events!$F$6:$F$158="Rescue")*Events!$H$6:$H$158)</x:f>
        <x:v>0</x:v>
      </x:c>
      <x:c r="R14" s="53" t="n">
        <x:f>0</x:f>
        <x:v>0</x:v>
      </x:c>
      <x:c r="S14" s="53" t="n">
        <x:f>0</x:f>
        <x:v>0</x:v>
      </x:c>
      <x:c r="T14" s="53" t="n">
        <x:f>T13+Q14-R14-S14</x:f>
        <x:v>0</x:v>
      </x:c>
      <x:c r="U14" s="53" t="n">
        <x:f>T13*rescue_coupon</x:f>
        <x:v>0</x:v>
      </x:c>
      <x:c r="V14" s="53" t="n">
        <x:f>B14+G14+L14+Q14</x:f>
        <x:v>0</x:v>
      </x:c>
      <x:c r="W14" s="53" t="n">
        <x:f>C14+H14+M14+R14</x:f>
        <x:v>0</x:v>
      </x:c>
      <x:c r="X14" s="53" t="n">
        <x:f>E14+J14+O14+T14</x:f>
        <x:v>0</x:v>
      </x:c>
      <x:c r="Y14" s="53" t="n">
        <x:f>F14+K14+P14+U14</x:f>
        <x:v>0</x:v>
      </x:c>
    </x:row>
    <x:row r="15">
      <x:c r="A15" s="58" t="n">
        <x:v>1855</x:v>
      </x:c>
      <x:c r="B15" s="53" t="n">
        <x:f>SUMPRODUCT((Events!$B$6:$B$158&lt;=$A15)*(Events!$C$6:$C$158&gt;=$A15)*(Events!$E$6:$E$158="Loan")*(Events!$F$6:$F$158="Continental")*Events!$H$6:$H$158)</x:f>
        <x:v>0</x:v>
      </x:c>
      <x:c r="C15" s="53" t="n">
        <x:f>E14*cont_repay</x:f>
        <x:v>0</x:v>
      </x:c>
      <x:c r="D15" s="53" t="n">
        <x:f>0</x:f>
        <x:v>0</x:v>
      </x:c>
      <x:c r="E15" s="53" t="n">
        <x:f>E14+B15-C15-D15</x:f>
        <x:v>0</x:v>
      </x:c>
      <x:c r="F15" s="53" t="n">
        <x:f>E14*cont_coupon</x:f>
        <x:v>0</x:v>
      </x:c>
      <x:c r="G15" s="53" t="n">
        <x:f>SUMPRODUCT((Events!$B$6:$B$158&lt;=$A15)*(Events!$C$6:$C$158&gt;=$A15)*(Events!$E$6:$E$158="Loan")*(Events!$F$6:$F$158="Asia")*Events!$H$6:$H$158)</x:f>
        <x:v>0</x:v>
      </x:c>
      <x:c r="H15" s="53" t="n">
        <x:f>J14*asia_repay</x:f>
        <x:v>0</x:v>
      </x:c>
      <x:c r="I15" s="53" t="n">
        <x:f>0</x:f>
        <x:v>0</x:v>
      </x:c>
      <x:c r="J15" s="53" t="n">
        <x:f>J14+G15-H15-I15</x:f>
        <x:v>0</x:v>
      </x:c>
      <x:c r="K15" s="53" t="n">
        <x:f>J14*asia_coupon</x:f>
        <x:v>0</x:v>
      </x:c>
      <x:c r="L15" s="53" t="n">
        <x:f>SUMPRODUCT((Events!$B$6:$B$158&lt;=$A15)*(Events!$C$6:$C$158&gt;=$A15)*(Events!$E$6:$E$158="Loan")*(Events!$F$6:$F$158="Europe")*Events!$H$6:$H$158)</x:f>
        <x:v>0</x:v>
      </x:c>
      <x:c r="M15" s="53" t="n">
        <x:f>O14*Paths!AA15</x:f>
        <x:v>0</x:v>
      </x:c>
      <x:c r="N15" s="53" t="n">
        <x:f>IF($A15=1918,russia_writeoff*(O14+L15),0)</x:f>
        <x:v>0</x:v>
      </x:c>
      <x:c r="O15" s="53" t="n">
        <x:f>O14+L15-M15-N15</x:f>
        <x:v>0</x:v>
      </x:c>
      <x:c r="P15" s="53" t="n">
        <x:f>O14*Paths!Z15*Paths!AB15</x:f>
        <x:v>0</x:v>
      </x:c>
      <x:c r="Q15" s="53" t="n">
        <x:f>SUMPRODUCT((Events!$B$6:$B$158&lt;=$A15)*(Events!$C$6:$C$158&gt;=$A15)*(Events!$E$6:$E$158="Loan")*(Events!$F$6:$F$158="Rescue")*Events!$H$6:$H$158)</x:f>
        <x:v>0</x:v>
      </x:c>
      <x:c r="R15" s="53" t="n">
        <x:f>0</x:f>
        <x:v>0</x:v>
      </x:c>
      <x:c r="S15" s="53" t="n">
        <x:f>0</x:f>
        <x:v>0</x:v>
      </x:c>
      <x:c r="T15" s="53" t="n">
        <x:f>T14+Q15-R15-S15</x:f>
        <x:v>0</x:v>
      </x:c>
      <x:c r="U15" s="53" t="n">
        <x:f>T14*rescue_coupon</x:f>
        <x:v>0</x:v>
      </x:c>
      <x:c r="V15" s="53" t="n">
        <x:f>B15+G15+L15+Q15</x:f>
        <x:v>0</x:v>
      </x:c>
      <x:c r="W15" s="53" t="n">
        <x:f>C15+H15+M15+R15</x:f>
        <x:v>0</x:v>
      </x:c>
      <x:c r="X15" s="53" t="n">
        <x:f>E15+J15+O15+T15</x:f>
        <x:v>0</x:v>
      </x:c>
      <x:c r="Y15" s="53" t="n">
        <x:f>F15+K15+P15+U15</x:f>
        <x:v>0</x:v>
      </x:c>
    </x:row>
    <x:row r="16">
      <x:c r="A16" s="58" t="n">
        <x:v>1856</x:v>
      </x:c>
      <x:c r="B16" s="53" t="n">
        <x:f>SUMPRODUCT((Events!$B$6:$B$158&lt;=$A16)*(Events!$C$6:$C$158&gt;=$A16)*(Events!$E$6:$E$158="Loan")*(Events!$F$6:$F$158="Continental")*Events!$H$6:$H$158)</x:f>
        <x:v>0</x:v>
      </x:c>
      <x:c r="C16" s="53" t="n">
        <x:f>E15*cont_repay</x:f>
        <x:v>0</x:v>
      </x:c>
      <x:c r="D16" s="53" t="n">
        <x:f>0</x:f>
        <x:v>0</x:v>
      </x:c>
      <x:c r="E16" s="53" t="n">
        <x:f>E15+B16-C16-D16</x:f>
        <x:v>0</x:v>
      </x:c>
      <x:c r="F16" s="53" t="n">
        <x:f>E15*cont_coupon</x:f>
        <x:v>0</x:v>
      </x:c>
      <x:c r="G16" s="53" t="n">
        <x:f>SUMPRODUCT((Events!$B$6:$B$158&lt;=$A16)*(Events!$C$6:$C$158&gt;=$A16)*(Events!$E$6:$E$158="Loan")*(Events!$F$6:$F$158="Asia")*Events!$H$6:$H$158)</x:f>
        <x:v>0</x:v>
      </x:c>
      <x:c r="H16" s="53" t="n">
        <x:f>J15*asia_repay</x:f>
        <x:v>0</x:v>
      </x:c>
      <x:c r="I16" s="53" t="n">
        <x:f>0</x:f>
        <x:v>0</x:v>
      </x:c>
      <x:c r="J16" s="53" t="n">
        <x:f>J15+G16-H16-I16</x:f>
        <x:v>0</x:v>
      </x:c>
      <x:c r="K16" s="53" t="n">
        <x:f>J15*asia_coupon</x:f>
        <x:v>0</x:v>
      </x:c>
      <x:c r="L16" s="53" t="n">
        <x:f>SUMPRODUCT((Events!$B$6:$B$158&lt;=$A16)*(Events!$C$6:$C$158&gt;=$A16)*(Events!$E$6:$E$158="Loan")*(Events!$F$6:$F$158="Europe")*Events!$H$6:$H$158)</x:f>
        <x:v>0</x:v>
      </x:c>
      <x:c r="M16" s="53" t="n">
        <x:f>O15*Paths!AA16</x:f>
        <x:v>0</x:v>
      </x:c>
      <x:c r="N16" s="53" t="n">
        <x:f>IF($A16=1918,russia_writeoff*(O15+L16),0)</x:f>
        <x:v>0</x:v>
      </x:c>
      <x:c r="O16" s="53" t="n">
        <x:f>O15+L16-M16-N16</x:f>
        <x:v>0</x:v>
      </x:c>
      <x:c r="P16" s="53" t="n">
        <x:f>O15*Paths!Z16*Paths!AB16</x:f>
        <x:v>0</x:v>
      </x:c>
      <x:c r="Q16" s="53" t="n">
        <x:f>SUMPRODUCT((Events!$B$6:$B$158&lt;=$A16)*(Events!$C$6:$C$158&gt;=$A16)*(Events!$E$6:$E$158="Loan")*(Events!$F$6:$F$158="Rescue")*Events!$H$6:$H$158)</x:f>
        <x:v>0</x:v>
      </x:c>
      <x:c r="R16" s="53" t="n">
        <x:f>0</x:f>
        <x:v>0</x:v>
      </x:c>
      <x:c r="S16" s="53" t="n">
        <x:f>0</x:f>
        <x:v>0</x:v>
      </x:c>
      <x:c r="T16" s="53" t="n">
        <x:f>T15+Q16-R16-S16</x:f>
        <x:v>0</x:v>
      </x:c>
      <x:c r="U16" s="53" t="n">
        <x:f>T15*rescue_coupon</x:f>
        <x:v>0</x:v>
      </x:c>
      <x:c r="V16" s="53" t="n">
        <x:f>B16+G16+L16+Q16</x:f>
        <x:v>0</x:v>
      </x:c>
      <x:c r="W16" s="53" t="n">
        <x:f>C16+H16+M16+R16</x:f>
        <x:v>0</x:v>
      </x:c>
      <x:c r="X16" s="53" t="n">
        <x:f>E16+J16+O16+T16</x:f>
        <x:v>0</x:v>
      </x:c>
      <x:c r="Y16" s="53" t="n">
        <x:f>F16+K16+P16+U16</x:f>
        <x:v>0</x:v>
      </x:c>
    </x:row>
    <x:row r="17">
      <x:c r="A17" s="58" t="n">
        <x:v>1857</x:v>
      </x:c>
      <x:c r="B17" s="53" t="n">
        <x:f>SUMPRODUCT((Events!$B$6:$B$158&lt;=$A17)*(Events!$C$6:$C$158&gt;=$A17)*(Events!$E$6:$E$158="Loan")*(Events!$F$6:$F$158="Continental")*Events!$H$6:$H$158)</x:f>
        <x:v>0</x:v>
      </x:c>
      <x:c r="C17" s="53" t="n">
        <x:f>E16*cont_repay</x:f>
        <x:v>0</x:v>
      </x:c>
      <x:c r="D17" s="53" t="n">
        <x:f>0</x:f>
        <x:v>0</x:v>
      </x:c>
      <x:c r="E17" s="53" t="n">
        <x:f>E16+B17-C17-D17</x:f>
        <x:v>0</x:v>
      </x:c>
      <x:c r="F17" s="53" t="n">
        <x:f>E16*cont_coupon</x:f>
        <x:v>0</x:v>
      </x:c>
      <x:c r="G17" s="53" t="n">
        <x:f>SUMPRODUCT((Events!$B$6:$B$158&lt;=$A17)*(Events!$C$6:$C$158&gt;=$A17)*(Events!$E$6:$E$158="Loan")*(Events!$F$6:$F$158="Asia")*Events!$H$6:$H$158)</x:f>
        <x:v>0</x:v>
      </x:c>
      <x:c r="H17" s="53" t="n">
        <x:f>J16*asia_repay</x:f>
        <x:v>0</x:v>
      </x:c>
      <x:c r="I17" s="53" t="n">
        <x:f>0</x:f>
        <x:v>0</x:v>
      </x:c>
      <x:c r="J17" s="53" t="n">
        <x:f>J16+G17-H17-I17</x:f>
        <x:v>0</x:v>
      </x:c>
      <x:c r="K17" s="53" t="n">
        <x:f>J16*asia_coupon</x:f>
        <x:v>0</x:v>
      </x:c>
      <x:c r="L17" s="53" t="n">
        <x:f>SUMPRODUCT((Events!$B$6:$B$158&lt;=$A17)*(Events!$C$6:$C$158&gt;=$A17)*(Events!$E$6:$E$158="Loan")*(Events!$F$6:$F$158="Europe")*Events!$H$6:$H$158)</x:f>
        <x:v>0</x:v>
      </x:c>
      <x:c r="M17" s="53" t="n">
        <x:f>O16*Paths!AA17</x:f>
        <x:v>0</x:v>
      </x:c>
      <x:c r="N17" s="53" t="n">
        <x:f>IF($A17=1918,russia_writeoff*(O16+L17),0)</x:f>
        <x:v>0</x:v>
      </x:c>
      <x:c r="O17" s="53" t="n">
        <x:f>O16+L17-M17-N17</x:f>
        <x:v>0</x:v>
      </x:c>
      <x:c r="P17" s="53" t="n">
        <x:f>O16*Paths!Z17*Paths!AB17</x:f>
        <x:v>0</x:v>
      </x:c>
      <x:c r="Q17" s="53" t="n">
        <x:f>SUMPRODUCT((Events!$B$6:$B$158&lt;=$A17)*(Events!$C$6:$C$158&gt;=$A17)*(Events!$E$6:$E$158="Loan")*(Events!$F$6:$F$158="Rescue")*Events!$H$6:$H$158)</x:f>
        <x:v>0</x:v>
      </x:c>
      <x:c r="R17" s="53" t="n">
        <x:f>0</x:f>
        <x:v>0</x:v>
      </x:c>
      <x:c r="S17" s="53" t="n">
        <x:f>0</x:f>
        <x:v>0</x:v>
      </x:c>
      <x:c r="T17" s="53" t="n">
        <x:f>T16+Q17-R17-S17</x:f>
        <x:v>0</x:v>
      </x:c>
      <x:c r="U17" s="53" t="n">
        <x:f>T16*rescue_coupon</x:f>
        <x:v>0</x:v>
      </x:c>
      <x:c r="V17" s="53" t="n">
        <x:f>B17+G17+L17+Q17</x:f>
        <x:v>0</x:v>
      </x:c>
      <x:c r="W17" s="53" t="n">
        <x:f>C17+H17+M17+R17</x:f>
        <x:v>0</x:v>
      </x:c>
      <x:c r="X17" s="53" t="n">
        <x:f>E17+J17+O17+T17</x:f>
        <x:v>0</x:v>
      </x:c>
      <x:c r="Y17" s="53" t="n">
        <x:f>F17+K17+P17+U17</x:f>
        <x:v>0</x:v>
      </x:c>
    </x:row>
    <x:row r="18">
      <x:c r="A18" s="58" t="n">
        <x:v>1858</x:v>
      </x:c>
      <x:c r="B18" s="53" t="n">
        <x:f>SUMPRODUCT((Events!$B$6:$B$158&lt;=$A18)*(Events!$C$6:$C$158&gt;=$A18)*(Events!$E$6:$E$158="Loan")*(Events!$F$6:$F$158="Continental")*Events!$H$6:$H$158)</x:f>
        <x:v>0</x:v>
      </x:c>
      <x:c r="C18" s="53" t="n">
        <x:f>E17*cont_repay</x:f>
        <x:v>0</x:v>
      </x:c>
      <x:c r="D18" s="53" t="n">
        <x:f>0</x:f>
        <x:v>0</x:v>
      </x:c>
      <x:c r="E18" s="53" t="n">
        <x:f>E17+B18-C18-D18</x:f>
        <x:v>0</x:v>
      </x:c>
      <x:c r="F18" s="53" t="n">
        <x:f>E17*cont_coupon</x:f>
        <x:v>0</x:v>
      </x:c>
      <x:c r="G18" s="53" t="n">
        <x:f>SUMPRODUCT((Events!$B$6:$B$158&lt;=$A18)*(Events!$C$6:$C$158&gt;=$A18)*(Events!$E$6:$E$158="Loan")*(Events!$F$6:$F$158="Asia")*Events!$H$6:$H$158)</x:f>
        <x:v>0</x:v>
      </x:c>
      <x:c r="H18" s="53" t="n">
        <x:f>J17*asia_repay</x:f>
        <x:v>0</x:v>
      </x:c>
      <x:c r="I18" s="53" t="n">
        <x:f>0</x:f>
        <x:v>0</x:v>
      </x:c>
      <x:c r="J18" s="53" t="n">
        <x:f>J17+G18-H18-I18</x:f>
        <x:v>0</x:v>
      </x:c>
      <x:c r="K18" s="53" t="n">
        <x:f>J17*asia_coupon</x:f>
        <x:v>0</x:v>
      </x:c>
      <x:c r="L18" s="53" t="n">
        <x:f>SUMPRODUCT((Events!$B$6:$B$158&lt;=$A18)*(Events!$C$6:$C$158&gt;=$A18)*(Events!$E$6:$E$158="Loan")*(Events!$F$6:$F$158="Europe")*Events!$H$6:$H$158)</x:f>
        <x:v>0</x:v>
      </x:c>
      <x:c r="M18" s="53" t="n">
        <x:f>O17*Paths!AA18</x:f>
        <x:v>0</x:v>
      </x:c>
      <x:c r="N18" s="53" t="n">
        <x:f>IF($A18=1918,russia_writeoff*(O17+L18),0)</x:f>
        <x:v>0</x:v>
      </x:c>
      <x:c r="O18" s="53" t="n">
        <x:f>O17+L18-M18-N18</x:f>
        <x:v>0</x:v>
      </x:c>
      <x:c r="P18" s="53" t="n">
        <x:f>O17*Paths!Z18*Paths!AB18</x:f>
        <x:v>0</x:v>
      </x:c>
      <x:c r="Q18" s="53" t="n">
        <x:f>SUMPRODUCT((Events!$B$6:$B$158&lt;=$A18)*(Events!$C$6:$C$158&gt;=$A18)*(Events!$E$6:$E$158="Loan")*(Events!$F$6:$F$158="Rescue")*Events!$H$6:$H$158)</x:f>
        <x:v>0</x:v>
      </x:c>
      <x:c r="R18" s="53" t="n">
        <x:f>0</x:f>
        <x:v>0</x:v>
      </x:c>
      <x:c r="S18" s="53" t="n">
        <x:f>0</x:f>
        <x:v>0</x:v>
      </x:c>
      <x:c r="T18" s="53" t="n">
        <x:f>T17+Q18-R18-S18</x:f>
        <x:v>0</x:v>
      </x:c>
      <x:c r="U18" s="53" t="n">
        <x:f>T17*rescue_coupon</x:f>
        <x:v>0</x:v>
      </x:c>
      <x:c r="V18" s="53" t="n">
        <x:f>B18+G18+L18+Q18</x:f>
        <x:v>0</x:v>
      </x:c>
      <x:c r="W18" s="53" t="n">
        <x:f>C18+H18+M18+R18</x:f>
        <x:v>0</x:v>
      </x:c>
      <x:c r="X18" s="53" t="n">
        <x:f>E18+J18+O18+T18</x:f>
        <x:v>0</x:v>
      </x:c>
      <x:c r="Y18" s="53" t="n">
        <x:f>F18+K18+P18+U18</x:f>
        <x:v>0</x:v>
      </x:c>
    </x:row>
    <x:row r="19">
      <x:c r="A19" s="58" t="n">
        <x:v>1859</x:v>
      </x:c>
      <x:c r="B19" s="53" t="n">
        <x:f>SUMPRODUCT((Events!$B$6:$B$158&lt;=$A19)*(Events!$C$6:$C$158&gt;=$A19)*(Events!$E$6:$E$158="Loan")*(Events!$F$6:$F$158="Continental")*Events!$H$6:$H$158)</x:f>
        <x:v>0</x:v>
      </x:c>
      <x:c r="C19" s="53" t="n">
        <x:f>E18*cont_repay</x:f>
        <x:v>0</x:v>
      </x:c>
      <x:c r="D19" s="53" t="n">
        <x:f>0</x:f>
        <x:v>0</x:v>
      </x:c>
      <x:c r="E19" s="53" t="n">
        <x:f>E18+B19-C19-D19</x:f>
        <x:v>0</x:v>
      </x:c>
      <x:c r="F19" s="53" t="n">
        <x:f>E18*cont_coupon</x:f>
        <x:v>0</x:v>
      </x:c>
      <x:c r="G19" s="53" t="n">
        <x:f>SUMPRODUCT((Events!$B$6:$B$158&lt;=$A19)*(Events!$C$6:$C$158&gt;=$A19)*(Events!$E$6:$E$158="Loan")*(Events!$F$6:$F$158="Asia")*Events!$H$6:$H$158)</x:f>
        <x:v>0</x:v>
      </x:c>
      <x:c r="H19" s="53" t="n">
        <x:f>J18*asia_repay</x:f>
        <x:v>0</x:v>
      </x:c>
      <x:c r="I19" s="53" t="n">
        <x:f>0</x:f>
        <x:v>0</x:v>
      </x:c>
      <x:c r="J19" s="53" t="n">
        <x:f>J18+G19-H19-I19</x:f>
        <x:v>0</x:v>
      </x:c>
      <x:c r="K19" s="53" t="n">
        <x:f>J18*asia_coupon</x:f>
        <x:v>0</x:v>
      </x:c>
      <x:c r="L19" s="53" t="n">
        <x:f>SUMPRODUCT((Events!$B$6:$B$158&lt;=$A19)*(Events!$C$6:$C$158&gt;=$A19)*(Events!$E$6:$E$158="Loan")*(Events!$F$6:$F$158="Europe")*Events!$H$6:$H$158)</x:f>
        <x:v>0</x:v>
      </x:c>
      <x:c r="M19" s="53" t="n">
        <x:f>O18*Paths!AA19</x:f>
        <x:v>0</x:v>
      </x:c>
      <x:c r="N19" s="53" t="n">
        <x:f>IF($A19=1918,russia_writeoff*(O18+L19),0)</x:f>
        <x:v>0</x:v>
      </x:c>
      <x:c r="O19" s="53" t="n">
        <x:f>O18+L19-M19-N19</x:f>
        <x:v>0</x:v>
      </x:c>
      <x:c r="P19" s="53" t="n">
        <x:f>O18*Paths!Z19*Paths!AB19</x:f>
        <x:v>0</x:v>
      </x:c>
      <x:c r="Q19" s="53" t="n">
        <x:f>SUMPRODUCT((Events!$B$6:$B$158&lt;=$A19)*(Events!$C$6:$C$158&gt;=$A19)*(Events!$E$6:$E$158="Loan")*(Events!$F$6:$F$158="Rescue")*Events!$H$6:$H$158)</x:f>
        <x:v>0</x:v>
      </x:c>
      <x:c r="R19" s="53" t="n">
        <x:f>0</x:f>
        <x:v>0</x:v>
      </x:c>
      <x:c r="S19" s="53" t="n">
        <x:f>0</x:f>
        <x:v>0</x:v>
      </x:c>
      <x:c r="T19" s="53" t="n">
        <x:f>T18+Q19-R19-S19</x:f>
        <x:v>0</x:v>
      </x:c>
      <x:c r="U19" s="53" t="n">
        <x:f>T18*rescue_coupon</x:f>
        <x:v>0</x:v>
      </x:c>
      <x:c r="V19" s="53" t="n">
        <x:f>B19+G19+L19+Q19</x:f>
        <x:v>0</x:v>
      </x:c>
      <x:c r="W19" s="53" t="n">
        <x:f>C19+H19+M19+R19</x:f>
        <x:v>0</x:v>
      </x:c>
      <x:c r="X19" s="53" t="n">
        <x:f>E19+J19+O19+T19</x:f>
        <x:v>0</x:v>
      </x:c>
      <x:c r="Y19" s="53" t="n">
        <x:f>F19+K19+P19+U19</x:f>
        <x:v>0</x:v>
      </x:c>
    </x:row>
    <x:row r="20">
      <x:c r="A20" s="58" t="n">
        <x:v>1860</x:v>
      </x:c>
      <x:c r="B20" s="53" t="n">
        <x:f>SUMPRODUCT((Events!$B$6:$B$158&lt;=$A20)*(Events!$C$6:$C$158&gt;=$A20)*(Events!$E$6:$E$158="Loan")*(Events!$F$6:$F$158="Continental")*Events!$H$6:$H$158)</x:f>
        <x:v>0</x:v>
      </x:c>
      <x:c r="C20" s="53" t="n">
        <x:f>E19*cont_repay</x:f>
        <x:v>0</x:v>
      </x:c>
      <x:c r="D20" s="53" t="n">
        <x:f>0</x:f>
        <x:v>0</x:v>
      </x:c>
      <x:c r="E20" s="53" t="n">
        <x:f>E19+B20-C20-D20</x:f>
        <x:v>0</x:v>
      </x:c>
      <x:c r="F20" s="53" t="n">
        <x:f>E19*cont_coupon</x:f>
        <x:v>0</x:v>
      </x:c>
      <x:c r="G20" s="53" t="n">
        <x:f>SUMPRODUCT((Events!$B$6:$B$158&lt;=$A20)*(Events!$C$6:$C$158&gt;=$A20)*(Events!$E$6:$E$158="Loan")*(Events!$F$6:$F$158="Asia")*Events!$H$6:$H$158)</x:f>
        <x:v>0</x:v>
      </x:c>
      <x:c r="H20" s="53" t="n">
        <x:f>J19*asia_repay</x:f>
        <x:v>0</x:v>
      </x:c>
      <x:c r="I20" s="53" t="n">
        <x:f>0</x:f>
        <x:v>0</x:v>
      </x:c>
      <x:c r="J20" s="53" t="n">
        <x:f>J19+G20-H20-I20</x:f>
        <x:v>0</x:v>
      </x:c>
      <x:c r="K20" s="53" t="n">
        <x:f>J19*asia_coupon</x:f>
        <x:v>0</x:v>
      </x:c>
      <x:c r="L20" s="53" t="n">
        <x:f>SUMPRODUCT((Events!$B$6:$B$158&lt;=$A20)*(Events!$C$6:$C$158&gt;=$A20)*(Events!$E$6:$E$158="Loan")*(Events!$F$6:$F$158="Europe")*Events!$H$6:$H$158)</x:f>
        <x:v>0</x:v>
      </x:c>
      <x:c r="M20" s="53" t="n">
        <x:f>O19*Paths!AA20</x:f>
        <x:v>0</x:v>
      </x:c>
      <x:c r="N20" s="53" t="n">
        <x:f>IF($A20=1918,russia_writeoff*(O19+L20),0)</x:f>
        <x:v>0</x:v>
      </x:c>
      <x:c r="O20" s="53" t="n">
        <x:f>O19+L20-M20-N20</x:f>
        <x:v>0</x:v>
      </x:c>
      <x:c r="P20" s="53" t="n">
        <x:f>O19*Paths!Z20*Paths!AB20</x:f>
        <x:v>0</x:v>
      </x:c>
      <x:c r="Q20" s="53" t="n">
        <x:f>SUMPRODUCT((Events!$B$6:$B$158&lt;=$A20)*(Events!$C$6:$C$158&gt;=$A20)*(Events!$E$6:$E$158="Loan")*(Events!$F$6:$F$158="Rescue")*Events!$H$6:$H$158)</x:f>
        <x:v>0</x:v>
      </x:c>
      <x:c r="R20" s="53" t="n">
        <x:f>0</x:f>
        <x:v>0</x:v>
      </x:c>
      <x:c r="S20" s="53" t="n">
        <x:f>0</x:f>
        <x:v>0</x:v>
      </x:c>
      <x:c r="T20" s="53" t="n">
        <x:f>T19+Q20-R20-S20</x:f>
        <x:v>0</x:v>
      </x:c>
      <x:c r="U20" s="53" t="n">
        <x:f>T19*rescue_coupon</x:f>
        <x:v>0</x:v>
      </x:c>
      <x:c r="V20" s="53" t="n">
        <x:f>B20+G20+L20+Q20</x:f>
        <x:v>0</x:v>
      </x:c>
      <x:c r="W20" s="53" t="n">
        <x:f>C20+H20+M20+R20</x:f>
        <x:v>0</x:v>
      </x:c>
      <x:c r="X20" s="53" t="n">
        <x:f>E20+J20+O20+T20</x:f>
        <x:v>0</x:v>
      </x:c>
      <x:c r="Y20" s="53" t="n">
        <x:f>F20+K20+P20+U20</x:f>
        <x:v>0</x:v>
      </x:c>
    </x:row>
    <x:row r="21">
      <x:c r="A21" s="61" t="n">
        <x:v>1861</x:v>
      </x:c>
      <x:c r="B21" s="53" t="n">
        <x:f>SUMPRODUCT((Events!$B$6:$B$158&lt;=$A21)*(Events!$C$6:$C$158&gt;=$A21)*(Events!$E$6:$E$158="Loan")*(Events!$F$6:$F$158="Continental")*Events!$H$6:$H$158)</x:f>
        <x:v>0</x:v>
      </x:c>
      <x:c r="C21" s="53" t="n">
        <x:f>E20*cont_repay</x:f>
        <x:v>0</x:v>
      </x:c>
      <x:c r="D21" s="53" t="n">
        <x:f>0</x:f>
        <x:v>0</x:v>
      </x:c>
      <x:c r="E21" s="53" t="n">
        <x:f>E20+B21-C21-D21</x:f>
        <x:v>0</x:v>
      </x:c>
      <x:c r="F21" s="53" t="n">
        <x:f>E20*cont_coupon</x:f>
        <x:v>0</x:v>
      </x:c>
      <x:c r="G21" s="53" t="n">
        <x:f>SUMPRODUCT((Events!$B$6:$B$158&lt;=$A21)*(Events!$C$6:$C$158&gt;=$A21)*(Events!$E$6:$E$158="Loan")*(Events!$F$6:$F$158="Asia")*Events!$H$6:$H$158)</x:f>
        <x:v>0</x:v>
      </x:c>
      <x:c r="H21" s="53" t="n">
        <x:f>J20*asia_repay</x:f>
        <x:v>0</x:v>
      </x:c>
      <x:c r="I21" s="53" t="n">
        <x:f>0</x:f>
        <x:v>0</x:v>
      </x:c>
      <x:c r="J21" s="53" t="n">
        <x:f>J20+G21-H21-I21</x:f>
        <x:v>0</x:v>
      </x:c>
      <x:c r="K21" s="53" t="n">
        <x:f>J20*asia_coupon</x:f>
        <x:v>0</x:v>
      </x:c>
      <x:c r="L21" s="53" t="n">
        <x:f>SUMPRODUCT((Events!$B$6:$B$158&lt;=$A21)*(Events!$C$6:$C$158&gt;=$A21)*(Events!$E$6:$E$158="Loan")*(Events!$F$6:$F$158="Europe")*Events!$H$6:$H$158)</x:f>
        <x:v>0</x:v>
      </x:c>
      <x:c r="M21" s="53" t="n">
        <x:f>O20*Paths!AA21</x:f>
        <x:v>0</x:v>
      </x:c>
      <x:c r="N21" s="53" t="n">
        <x:f>IF($A21=1918,russia_writeoff*(O20+L21),0)</x:f>
        <x:v>0</x:v>
      </x:c>
      <x:c r="O21" s="53" t="n">
        <x:f>O20+L21-M21-N21</x:f>
        <x:v>0</x:v>
      </x:c>
      <x:c r="P21" s="53" t="n">
        <x:f>O20*Paths!Z21*Paths!AB21</x:f>
        <x:v>0</x:v>
      </x:c>
      <x:c r="Q21" s="53" t="n">
        <x:f>SUMPRODUCT((Events!$B$6:$B$158&lt;=$A21)*(Events!$C$6:$C$158&gt;=$A21)*(Events!$E$6:$E$158="Loan")*(Events!$F$6:$F$158="Rescue")*Events!$H$6:$H$158)</x:f>
        <x:v>0</x:v>
      </x:c>
      <x:c r="R21" s="53" t="n">
        <x:f>0</x:f>
        <x:v>0</x:v>
      </x:c>
      <x:c r="S21" s="53" t="n">
        <x:f>0</x:f>
        <x:v>0</x:v>
      </x:c>
      <x:c r="T21" s="53" t="n">
        <x:f>T20+Q21-R21-S21</x:f>
        <x:v>0</x:v>
      </x:c>
      <x:c r="U21" s="53" t="n">
        <x:f>T20*rescue_coupon</x:f>
        <x:v>0</x:v>
      </x:c>
      <x:c r="V21" s="53" t="n">
        <x:f>B21+G21+L21+Q21</x:f>
        <x:v>0</x:v>
      </x:c>
      <x:c r="W21" s="53" t="n">
        <x:f>C21+H21+M21+R21</x:f>
        <x:v>0</x:v>
      </x:c>
      <x:c r="X21" s="53" t="n">
        <x:f>E21+J21+O21+T21</x:f>
        <x:v>0</x:v>
      </x:c>
      <x:c r="Y21" s="53" t="n">
        <x:f>F21+K21+P21+U21</x:f>
        <x:v>0</x:v>
      </x:c>
    </x:row>
    <x:row r="22">
      <x:c r="A22" s="61" t="n">
        <x:v>1862</x:v>
      </x:c>
      <x:c r="B22" s="53" t="n">
        <x:f>SUMPRODUCT((Events!$B$6:$B$158&lt;=$A22)*(Events!$C$6:$C$158&gt;=$A22)*(Events!$E$6:$E$158="Loan")*(Events!$F$6:$F$158="Continental")*Events!$H$6:$H$158)</x:f>
        <x:v>0</x:v>
      </x:c>
      <x:c r="C22" s="53" t="n">
        <x:f>E21*cont_repay</x:f>
        <x:v>0</x:v>
      </x:c>
      <x:c r="D22" s="53" t="n">
        <x:f>0</x:f>
        <x:v>0</x:v>
      </x:c>
      <x:c r="E22" s="53" t="n">
        <x:f>E21+B22-C22-D22</x:f>
        <x:v>0</x:v>
      </x:c>
      <x:c r="F22" s="53" t="n">
        <x:f>E21*cont_coupon</x:f>
        <x:v>0</x:v>
      </x:c>
      <x:c r="G22" s="53" t="n">
        <x:f>SUMPRODUCT((Events!$B$6:$B$158&lt;=$A22)*(Events!$C$6:$C$158&gt;=$A22)*(Events!$E$6:$E$158="Loan")*(Events!$F$6:$F$158="Asia")*Events!$H$6:$H$158)</x:f>
        <x:v>0</x:v>
      </x:c>
      <x:c r="H22" s="53" t="n">
        <x:f>J21*asia_repay</x:f>
        <x:v>0</x:v>
      </x:c>
      <x:c r="I22" s="53" t="n">
        <x:f>0</x:f>
        <x:v>0</x:v>
      </x:c>
      <x:c r="J22" s="53" t="n">
        <x:f>J21+G22-H22-I22</x:f>
        <x:v>0</x:v>
      </x:c>
      <x:c r="K22" s="53" t="n">
        <x:f>J21*asia_coupon</x:f>
        <x:v>0</x:v>
      </x:c>
      <x:c r="L22" s="53" t="n">
        <x:f>SUMPRODUCT((Events!$B$6:$B$158&lt;=$A22)*(Events!$C$6:$C$158&gt;=$A22)*(Events!$E$6:$E$158="Loan")*(Events!$F$6:$F$158="Europe")*Events!$H$6:$H$158)</x:f>
        <x:v>0</x:v>
      </x:c>
      <x:c r="M22" s="53" t="n">
        <x:f>O21*Paths!AA22</x:f>
        <x:v>0</x:v>
      </x:c>
      <x:c r="N22" s="53" t="n">
        <x:f>IF($A22=1918,russia_writeoff*(O21+L22),0)</x:f>
        <x:v>0</x:v>
      </x:c>
      <x:c r="O22" s="53" t="n">
        <x:f>O21+L22-M22-N22</x:f>
        <x:v>0</x:v>
      </x:c>
      <x:c r="P22" s="53" t="n">
        <x:f>O21*Paths!Z22*Paths!AB22</x:f>
        <x:v>0</x:v>
      </x:c>
      <x:c r="Q22" s="53" t="n">
        <x:f>SUMPRODUCT((Events!$B$6:$B$158&lt;=$A22)*(Events!$C$6:$C$158&gt;=$A22)*(Events!$E$6:$E$158="Loan")*(Events!$F$6:$F$158="Rescue")*Events!$H$6:$H$158)</x:f>
        <x:v>0</x:v>
      </x:c>
      <x:c r="R22" s="53" t="n">
        <x:f>0</x:f>
        <x:v>0</x:v>
      </x:c>
      <x:c r="S22" s="53" t="n">
        <x:f>0</x:f>
        <x:v>0</x:v>
      </x:c>
      <x:c r="T22" s="53" t="n">
        <x:f>T21+Q22-R22-S22</x:f>
        <x:v>0</x:v>
      </x:c>
      <x:c r="U22" s="53" t="n">
        <x:f>T21*rescue_coupon</x:f>
        <x:v>0</x:v>
      </x:c>
      <x:c r="V22" s="53" t="n">
        <x:f>B22+G22+L22+Q22</x:f>
        <x:v>0</x:v>
      </x:c>
      <x:c r="W22" s="53" t="n">
        <x:f>C22+H22+M22+R22</x:f>
        <x:v>0</x:v>
      </x:c>
      <x:c r="X22" s="53" t="n">
        <x:f>E22+J22+O22+T22</x:f>
        <x:v>0</x:v>
      </x:c>
      <x:c r="Y22" s="53" t="n">
        <x:f>F22+K22+P22+U22</x:f>
        <x:v>0</x:v>
      </x:c>
    </x:row>
    <x:row r="23">
      <x:c r="A23" s="61" t="n">
        <x:v>1863</x:v>
      </x:c>
      <x:c r="B23" s="53" t="n">
        <x:f>SUMPRODUCT((Events!$B$6:$B$158&lt;=$A23)*(Events!$C$6:$C$158&gt;=$A23)*(Events!$E$6:$E$158="Loan")*(Events!$F$6:$F$158="Continental")*Events!$H$6:$H$158)</x:f>
        <x:v>0</x:v>
      </x:c>
      <x:c r="C23" s="53" t="n">
        <x:f>E22*cont_repay</x:f>
        <x:v>0</x:v>
      </x:c>
      <x:c r="D23" s="53" t="n">
        <x:f>0</x:f>
        <x:v>0</x:v>
      </x:c>
      <x:c r="E23" s="53" t="n">
        <x:f>E22+B23-C23-D23</x:f>
        <x:v>0</x:v>
      </x:c>
      <x:c r="F23" s="53" t="n">
        <x:f>E22*cont_coupon</x:f>
        <x:v>0</x:v>
      </x:c>
      <x:c r="G23" s="53" t="n">
        <x:f>SUMPRODUCT((Events!$B$6:$B$158&lt;=$A23)*(Events!$C$6:$C$158&gt;=$A23)*(Events!$E$6:$E$158="Loan")*(Events!$F$6:$F$158="Asia")*Events!$H$6:$H$158)</x:f>
        <x:v>0</x:v>
      </x:c>
      <x:c r="H23" s="53" t="n">
        <x:f>J22*asia_repay</x:f>
        <x:v>0</x:v>
      </x:c>
      <x:c r="I23" s="53" t="n">
        <x:f>0</x:f>
        <x:v>0</x:v>
      </x:c>
      <x:c r="J23" s="53" t="n">
        <x:f>J22+G23-H23-I23</x:f>
        <x:v>0</x:v>
      </x:c>
      <x:c r="K23" s="53" t="n">
        <x:f>J22*asia_coupon</x:f>
        <x:v>0</x:v>
      </x:c>
      <x:c r="L23" s="53" t="n">
        <x:f>SUMPRODUCT((Events!$B$6:$B$158&lt;=$A23)*(Events!$C$6:$C$158&gt;=$A23)*(Events!$E$6:$E$158="Loan")*(Events!$F$6:$F$158="Europe")*Events!$H$6:$H$158)</x:f>
        <x:v>0</x:v>
      </x:c>
      <x:c r="M23" s="53" t="n">
        <x:f>O22*Paths!AA23</x:f>
        <x:v>0</x:v>
      </x:c>
      <x:c r="N23" s="53" t="n">
        <x:f>IF($A23=1918,russia_writeoff*(O22+L23),0)</x:f>
        <x:v>0</x:v>
      </x:c>
      <x:c r="O23" s="53" t="n">
        <x:f>O22+L23-M23-N23</x:f>
        <x:v>0</x:v>
      </x:c>
      <x:c r="P23" s="53" t="n">
        <x:f>O22*Paths!Z23*Paths!AB23</x:f>
        <x:v>0</x:v>
      </x:c>
      <x:c r="Q23" s="53" t="n">
        <x:f>SUMPRODUCT((Events!$B$6:$B$158&lt;=$A23)*(Events!$C$6:$C$158&gt;=$A23)*(Events!$E$6:$E$158="Loan")*(Events!$F$6:$F$158="Rescue")*Events!$H$6:$H$158)</x:f>
        <x:v>0</x:v>
      </x:c>
      <x:c r="R23" s="53" t="n">
        <x:f>0</x:f>
        <x:v>0</x:v>
      </x:c>
      <x:c r="S23" s="53" t="n">
        <x:f>0</x:f>
        <x:v>0</x:v>
      </x:c>
      <x:c r="T23" s="53" t="n">
        <x:f>T22+Q23-R23-S23</x:f>
        <x:v>0</x:v>
      </x:c>
      <x:c r="U23" s="53" t="n">
        <x:f>T22*rescue_coupon</x:f>
        <x:v>0</x:v>
      </x:c>
      <x:c r="V23" s="53" t="n">
        <x:f>B23+G23+L23+Q23</x:f>
        <x:v>0</x:v>
      </x:c>
      <x:c r="W23" s="53" t="n">
        <x:f>C23+H23+M23+R23</x:f>
        <x:v>0</x:v>
      </x:c>
      <x:c r="X23" s="53" t="n">
        <x:f>E23+J23+O23+T23</x:f>
        <x:v>0</x:v>
      </x:c>
      <x:c r="Y23" s="53" t="n">
        <x:f>F23+K23+P23+U23</x:f>
        <x:v>0</x:v>
      </x:c>
    </x:row>
    <x:row r="24">
      <x:c r="A24" s="61" t="n">
        <x:v>1864</x:v>
      </x:c>
      <x:c r="B24" s="53" t="n">
        <x:f>SUMPRODUCT((Events!$B$6:$B$158&lt;=$A24)*(Events!$C$6:$C$158&gt;=$A24)*(Events!$E$6:$E$158="Loan")*(Events!$F$6:$F$158="Continental")*Events!$H$6:$H$158)</x:f>
        <x:v>0</x:v>
      </x:c>
      <x:c r="C24" s="53" t="n">
        <x:f>E23*cont_repay</x:f>
        <x:v>0</x:v>
      </x:c>
      <x:c r="D24" s="53" t="n">
        <x:f>0</x:f>
        <x:v>0</x:v>
      </x:c>
      <x:c r="E24" s="53" t="n">
        <x:f>E23+B24-C24-D24</x:f>
        <x:v>0</x:v>
      </x:c>
      <x:c r="F24" s="53" t="n">
        <x:f>E23*cont_coupon</x:f>
        <x:v>0</x:v>
      </x:c>
      <x:c r="G24" s="53" t="n">
        <x:f>SUMPRODUCT((Events!$B$6:$B$158&lt;=$A24)*(Events!$C$6:$C$158&gt;=$A24)*(Events!$E$6:$E$158="Loan")*(Events!$F$6:$F$158="Asia")*Events!$H$6:$H$158)</x:f>
        <x:v>0</x:v>
      </x:c>
      <x:c r="H24" s="53" t="n">
        <x:f>J23*asia_repay</x:f>
        <x:v>0</x:v>
      </x:c>
      <x:c r="I24" s="53" t="n">
        <x:f>0</x:f>
        <x:v>0</x:v>
      </x:c>
      <x:c r="J24" s="53" t="n">
        <x:f>J23+G24-H24-I24</x:f>
        <x:v>0</x:v>
      </x:c>
      <x:c r="K24" s="53" t="n">
        <x:f>J23*asia_coupon</x:f>
        <x:v>0</x:v>
      </x:c>
      <x:c r="L24" s="53" t="n">
        <x:f>SUMPRODUCT((Events!$B$6:$B$158&lt;=$A24)*(Events!$C$6:$C$158&gt;=$A24)*(Events!$E$6:$E$158="Loan")*(Events!$F$6:$F$158="Europe")*Events!$H$6:$H$158)</x:f>
        <x:v>0</x:v>
      </x:c>
      <x:c r="M24" s="53" t="n">
        <x:f>O23*Paths!AA24</x:f>
        <x:v>0</x:v>
      </x:c>
      <x:c r="N24" s="53" t="n">
        <x:f>IF($A24=1918,russia_writeoff*(O23+L24),0)</x:f>
        <x:v>0</x:v>
      </x:c>
      <x:c r="O24" s="53" t="n">
        <x:f>O23+L24-M24-N24</x:f>
        <x:v>0</x:v>
      </x:c>
      <x:c r="P24" s="53" t="n">
        <x:f>O23*Paths!Z24*Paths!AB24</x:f>
        <x:v>0</x:v>
      </x:c>
      <x:c r="Q24" s="53" t="n">
        <x:f>SUMPRODUCT((Events!$B$6:$B$158&lt;=$A24)*(Events!$C$6:$C$158&gt;=$A24)*(Events!$E$6:$E$158="Loan")*(Events!$F$6:$F$158="Rescue")*Events!$H$6:$H$158)</x:f>
        <x:v>0</x:v>
      </x:c>
      <x:c r="R24" s="53" t="n">
        <x:f>0</x:f>
        <x:v>0</x:v>
      </x:c>
      <x:c r="S24" s="53" t="n">
        <x:f>0</x:f>
        <x:v>0</x:v>
      </x:c>
      <x:c r="T24" s="53" t="n">
        <x:f>T23+Q24-R24-S24</x:f>
        <x:v>0</x:v>
      </x:c>
      <x:c r="U24" s="53" t="n">
        <x:f>T23*rescue_coupon</x:f>
        <x:v>0</x:v>
      </x:c>
      <x:c r="V24" s="53" t="n">
        <x:f>B24+G24+L24+Q24</x:f>
        <x:v>0</x:v>
      </x:c>
      <x:c r="W24" s="53" t="n">
        <x:f>C24+H24+M24+R24</x:f>
        <x:v>0</x:v>
      </x:c>
      <x:c r="X24" s="53" t="n">
        <x:f>E24+J24+O24+T24</x:f>
        <x:v>0</x:v>
      </x:c>
      <x:c r="Y24" s="53" t="n">
        <x:f>F24+K24+P24+U24</x:f>
        <x:v>0</x:v>
      </x:c>
    </x:row>
    <x:row r="25">
      <x:c r="A25" s="61" t="n">
        <x:v>1865</x:v>
      </x:c>
      <x:c r="B25" s="53" t="n">
        <x:f>SUMPRODUCT((Events!$B$6:$B$158&lt;=$A25)*(Events!$C$6:$C$158&gt;=$A25)*(Events!$E$6:$E$158="Loan")*(Events!$F$6:$F$158="Continental")*Events!$H$6:$H$158)</x:f>
        <x:v>0</x:v>
      </x:c>
      <x:c r="C25" s="53" t="n">
        <x:f>E24*cont_repay</x:f>
        <x:v>0</x:v>
      </x:c>
      <x:c r="D25" s="53" t="n">
        <x:f>0</x:f>
        <x:v>0</x:v>
      </x:c>
      <x:c r="E25" s="53" t="n">
        <x:f>E24+B25-C25-D25</x:f>
        <x:v>0</x:v>
      </x:c>
      <x:c r="F25" s="53" t="n">
        <x:f>E24*cont_coupon</x:f>
        <x:v>0</x:v>
      </x:c>
      <x:c r="G25" s="53" t="n">
        <x:f>SUMPRODUCT((Events!$B$6:$B$158&lt;=$A25)*(Events!$C$6:$C$158&gt;=$A25)*(Events!$E$6:$E$158="Loan")*(Events!$F$6:$F$158="Asia")*Events!$H$6:$H$158)</x:f>
        <x:v>0</x:v>
      </x:c>
      <x:c r="H25" s="53" t="n">
        <x:f>J24*asia_repay</x:f>
        <x:v>0</x:v>
      </x:c>
      <x:c r="I25" s="53" t="n">
        <x:f>0</x:f>
        <x:v>0</x:v>
      </x:c>
      <x:c r="J25" s="53" t="n">
        <x:f>J24+G25-H25-I25</x:f>
        <x:v>0</x:v>
      </x:c>
      <x:c r="K25" s="53" t="n">
        <x:f>J24*asia_coupon</x:f>
        <x:v>0</x:v>
      </x:c>
      <x:c r="L25" s="53" t="n">
        <x:f>SUMPRODUCT((Events!$B$6:$B$158&lt;=$A25)*(Events!$C$6:$C$158&gt;=$A25)*(Events!$E$6:$E$158="Loan")*(Events!$F$6:$F$158="Europe")*Events!$H$6:$H$158)</x:f>
        <x:v>0</x:v>
      </x:c>
      <x:c r="M25" s="53" t="n">
        <x:f>O24*Paths!AA25</x:f>
        <x:v>0</x:v>
      </x:c>
      <x:c r="N25" s="53" t="n">
        <x:f>IF($A25=1918,russia_writeoff*(O24+L25),0)</x:f>
        <x:v>0</x:v>
      </x:c>
      <x:c r="O25" s="53" t="n">
        <x:f>O24+L25-M25-N25</x:f>
        <x:v>0</x:v>
      </x:c>
      <x:c r="P25" s="53" t="n">
        <x:f>O24*Paths!Z25*Paths!AB25</x:f>
        <x:v>0</x:v>
      </x:c>
      <x:c r="Q25" s="53" t="n">
        <x:f>SUMPRODUCT((Events!$B$6:$B$158&lt;=$A25)*(Events!$C$6:$C$158&gt;=$A25)*(Events!$E$6:$E$158="Loan")*(Events!$F$6:$F$158="Rescue")*Events!$H$6:$H$158)</x:f>
        <x:v>0</x:v>
      </x:c>
      <x:c r="R25" s="53" t="n">
        <x:f>0</x:f>
        <x:v>0</x:v>
      </x:c>
      <x:c r="S25" s="53" t="n">
        <x:f>0</x:f>
        <x:v>0</x:v>
      </x:c>
      <x:c r="T25" s="53" t="n">
        <x:f>T24+Q25-R25-S25</x:f>
        <x:v>0</x:v>
      </x:c>
      <x:c r="U25" s="53" t="n">
        <x:f>T24*rescue_coupon</x:f>
        <x:v>0</x:v>
      </x:c>
      <x:c r="V25" s="53" t="n">
        <x:f>B25+G25+L25+Q25</x:f>
        <x:v>0</x:v>
      </x:c>
      <x:c r="W25" s="53" t="n">
        <x:f>C25+H25+M25+R25</x:f>
        <x:v>0</x:v>
      </x:c>
      <x:c r="X25" s="53" t="n">
        <x:f>E25+J25+O25+T25</x:f>
        <x:v>0</x:v>
      </x:c>
      <x:c r="Y25" s="53" t="n">
        <x:f>F25+K25+P25+U25</x:f>
        <x:v>0</x:v>
      </x:c>
    </x:row>
    <x:row r="26">
      <x:c r="A26" s="58" t="n">
        <x:v>1866</x:v>
      </x:c>
      <x:c r="B26" s="53" t="n">
        <x:f>SUMPRODUCT((Events!$B$6:$B$158&lt;=$A26)*(Events!$C$6:$C$158&gt;=$A26)*(Events!$E$6:$E$158="Loan")*(Events!$F$6:$F$158="Continental")*Events!$H$6:$H$158)</x:f>
        <x:v>0</x:v>
      </x:c>
      <x:c r="C26" s="53" t="n">
        <x:f>E25*cont_repay</x:f>
        <x:v>0</x:v>
      </x:c>
      <x:c r="D26" s="53" t="n">
        <x:f>0</x:f>
        <x:v>0</x:v>
      </x:c>
      <x:c r="E26" s="53" t="n">
        <x:f>E25+B26-C26-D26</x:f>
        <x:v>0</x:v>
      </x:c>
      <x:c r="F26" s="53" t="n">
        <x:f>E25*cont_coupon</x:f>
        <x:v>0</x:v>
      </x:c>
      <x:c r="G26" s="53" t="n">
        <x:f>SUMPRODUCT((Events!$B$6:$B$158&lt;=$A26)*(Events!$C$6:$C$158&gt;=$A26)*(Events!$E$6:$E$158="Loan")*(Events!$F$6:$F$158="Asia")*Events!$H$6:$H$158)</x:f>
        <x:v>0</x:v>
      </x:c>
      <x:c r="H26" s="53" t="n">
        <x:f>J25*asia_repay</x:f>
        <x:v>0</x:v>
      </x:c>
      <x:c r="I26" s="53" t="n">
        <x:f>0</x:f>
        <x:v>0</x:v>
      </x:c>
      <x:c r="J26" s="53" t="n">
        <x:f>J25+G26-H26-I26</x:f>
        <x:v>0</x:v>
      </x:c>
      <x:c r="K26" s="53" t="n">
        <x:f>J25*asia_coupon</x:f>
        <x:v>0</x:v>
      </x:c>
      <x:c r="L26" s="53" t="n">
        <x:f>SUMPRODUCT((Events!$B$6:$B$158&lt;=$A26)*(Events!$C$6:$C$158&gt;=$A26)*(Events!$E$6:$E$158="Loan")*(Events!$F$6:$F$158="Europe")*Events!$H$6:$H$158)</x:f>
        <x:v>0</x:v>
      </x:c>
      <x:c r="M26" s="53" t="n">
        <x:f>O25*Paths!AA26</x:f>
        <x:v>0</x:v>
      </x:c>
      <x:c r="N26" s="53" t="n">
        <x:f>IF($A26=1918,russia_writeoff*(O25+L26),0)</x:f>
        <x:v>0</x:v>
      </x:c>
      <x:c r="O26" s="53" t="n">
        <x:f>O25+L26-M26-N26</x:f>
        <x:v>0</x:v>
      </x:c>
      <x:c r="P26" s="53" t="n">
        <x:f>O25*Paths!Z26*Paths!AB26</x:f>
        <x:v>0</x:v>
      </x:c>
      <x:c r="Q26" s="53" t="n">
        <x:f>SUMPRODUCT((Events!$B$6:$B$158&lt;=$A26)*(Events!$C$6:$C$158&gt;=$A26)*(Events!$E$6:$E$158="Loan")*(Events!$F$6:$F$158="Rescue")*Events!$H$6:$H$158)</x:f>
        <x:v>0</x:v>
      </x:c>
      <x:c r="R26" s="53" t="n">
        <x:f>0</x:f>
        <x:v>0</x:v>
      </x:c>
      <x:c r="S26" s="53" t="n">
        <x:f>0</x:f>
        <x:v>0</x:v>
      </x:c>
      <x:c r="T26" s="53" t="n">
        <x:f>T25+Q26-R26-S26</x:f>
        <x:v>0</x:v>
      </x:c>
      <x:c r="U26" s="53" t="n">
        <x:f>T25*rescue_coupon</x:f>
        <x:v>0</x:v>
      </x:c>
      <x:c r="V26" s="53" t="n">
        <x:f>B26+G26+L26+Q26</x:f>
        <x:v>0</x:v>
      </x:c>
      <x:c r="W26" s="53" t="n">
        <x:f>C26+H26+M26+R26</x:f>
        <x:v>0</x:v>
      </x:c>
      <x:c r="X26" s="53" t="n">
        <x:f>E26+J26+O26+T26</x:f>
        <x:v>0</x:v>
      </x:c>
      <x:c r="Y26" s="53" t="n">
        <x:f>F26+K26+P26+U26</x:f>
        <x:v>0</x:v>
      </x:c>
    </x:row>
    <x:row r="27">
      <x:c r="A27" s="58" t="n">
        <x:v>1867</x:v>
      </x:c>
      <x:c r="B27" s="53" t="n">
        <x:f>SUMPRODUCT((Events!$B$6:$B$158&lt;=$A27)*(Events!$C$6:$C$158&gt;=$A27)*(Events!$E$6:$E$158="Loan")*(Events!$F$6:$F$158="Continental")*Events!$H$6:$H$158)</x:f>
        <x:v>10</x:v>
      </x:c>
      <x:c r="C27" s="53" t="n">
        <x:f>E26*cont_repay</x:f>
        <x:v>0</x:v>
      </x:c>
      <x:c r="D27" s="53" t="n">
        <x:f>0</x:f>
        <x:v>0</x:v>
      </x:c>
      <x:c r="E27" s="53" t="n">
        <x:f>E26+B27-C27-D27</x:f>
        <x:v>10</x:v>
      </x:c>
      <x:c r="F27" s="53" t="n">
        <x:f>E26*cont_coupon</x:f>
        <x:v>0</x:v>
      </x:c>
      <x:c r="G27" s="53" t="n">
        <x:f>SUMPRODUCT((Events!$B$6:$B$158&lt;=$A27)*(Events!$C$6:$C$158&gt;=$A27)*(Events!$E$6:$E$158="Loan")*(Events!$F$6:$F$158="Asia")*Events!$H$6:$H$158)</x:f>
        <x:v>0</x:v>
      </x:c>
      <x:c r="H27" s="53" t="n">
        <x:f>J26*asia_repay</x:f>
        <x:v>0</x:v>
      </x:c>
      <x:c r="I27" s="53" t="n">
        <x:f>0</x:f>
        <x:v>0</x:v>
      </x:c>
      <x:c r="J27" s="53" t="n">
        <x:f>J26+G27-H27-I27</x:f>
        <x:v>0</x:v>
      </x:c>
      <x:c r="K27" s="53" t="n">
        <x:f>J26*asia_coupon</x:f>
        <x:v>0</x:v>
      </x:c>
      <x:c r="L27" s="53" t="n">
        <x:f>SUMPRODUCT((Events!$B$6:$B$158&lt;=$A27)*(Events!$C$6:$C$158&gt;=$A27)*(Events!$E$6:$E$158="Loan")*(Events!$F$6:$F$158="Europe")*Events!$H$6:$H$158)</x:f>
        <x:v>0</x:v>
      </x:c>
      <x:c r="M27" s="53" t="n">
        <x:f>O26*Paths!AA27</x:f>
        <x:v>0</x:v>
      </x:c>
      <x:c r="N27" s="53" t="n">
        <x:f>IF($A27=1918,russia_writeoff*(O26+L27),0)</x:f>
        <x:v>0</x:v>
      </x:c>
      <x:c r="O27" s="53" t="n">
        <x:f>O26+L27-M27-N27</x:f>
        <x:v>0</x:v>
      </x:c>
      <x:c r="P27" s="53" t="n">
        <x:f>O26*Paths!Z27*Paths!AB27</x:f>
        <x:v>0</x:v>
      </x:c>
      <x:c r="Q27" s="53" t="n">
        <x:f>SUMPRODUCT((Events!$B$6:$B$158&lt;=$A27)*(Events!$C$6:$C$158&gt;=$A27)*(Events!$E$6:$E$158="Loan")*(Events!$F$6:$F$158="Rescue")*Events!$H$6:$H$158)</x:f>
        <x:v>0</x:v>
      </x:c>
      <x:c r="R27" s="53" t="n">
        <x:f>0</x:f>
        <x:v>0</x:v>
      </x:c>
      <x:c r="S27" s="53" t="n">
        <x:f>0</x:f>
        <x:v>0</x:v>
      </x:c>
      <x:c r="T27" s="53" t="n">
        <x:f>T26+Q27-R27-S27</x:f>
        <x:v>0</x:v>
      </x:c>
      <x:c r="U27" s="53" t="n">
        <x:f>T26*rescue_coupon</x:f>
        <x:v>0</x:v>
      </x:c>
      <x:c r="V27" s="53" t="n">
        <x:f>B27+G27+L27+Q27</x:f>
        <x:v>10</x:v>
      </x:c>
      <x:c r="W27" s="53" t="n">
        <x:f>C27+H27+M27+R27</x:f>
        <x:v>0</x:v>
      </x:c>
      <x:c r="X27" s="53" t="n">
        <x:f>E27+J27+O27+T27</x:f>
        <x:v>10</x:v>
      </x:c>
      <x:c r="Y27" s="53" t="n">
        <x:f>F27+K27+P27+U27</x:f>
        <x:v>0</x:v>
      </x:c>
    </x:row>
    <x:row r="28">
      <x:c r="A28" s="58" t="n">
        <x:v>1868</x:v>
      </x:c>
      <x:c r="B28" s="53" t="n">
        <x:f>SUMPRODUCT((Events!$B$6:$B$158&lt;=$A28)*(Events!$C$6:$C$158&gt;=$A28)*(Events!$E$6:$E$158="Loan")*(Events!$F$6:$F$158="Continental")*Events!$H$6:$H$158)</x:f>
        <x:v>0</x:v>
      </x:c>
      <x:c r="C28" s="53" t="n">
        <x:f>E27*cont_repay</x:f>
        <x:v>0.4</x:v>
      </x:c>
      <x:c r="D28" s="53" t="n">
        <x:f>0</x:f>
        <x:v>0</x:v>
      </x:c>
      <x:c r="E28" s="53" t="n">
        <x:f>E27+B28-C28-D28</x:f>
        <x:v>9.6</x:v>
      </x:c>
      <x:c r="F28" s="53" t="n">
        <x:f>E27*cont_coupon</x:f>
        <x:v>0.5</x:v>
      </x:c>
      <x:c r="G28" s="53" t="n">
        <x:f>SUMPRODUCT((Events!$B$6:$B$158&lt;=$A28)*(Events!$C$6:$C$158&gt;=$A28)*(Events!$E$6:$E$158="Loan")*(Events!$F$6:$F$158="Asia")*Events!$H$6:$H$158)</x:f>
        <x:v>0</x:v>
      </x:c>
      <x:c r="H28" s="53" t="n">
        <x:f>J27*asia_repay</x:f>
        <x:v>0</x:v>
      </x:c>
      <x:c r="I28" s="53" t="n">
        <x:f>0</x:f>
        <x:v>0</x:v>
      </x:c>
      <x:c r="J28" s="53" t="n">
        <x:f>J27+G28-H28-I28</x:f>
        <x:v>0</x:v>
      </x:c>
      <x:c r="K28" s="53" t="n">
        <x:f>J27*asia_coupon</x:f>
        <x:v>0</x:v>
      </x:c>
      <x:c r="L28" s="53" t="n">
        <x:f>SUMPRODUCT((Events!$B$6:$B$158&lt;=$A28)*(Events!$C$6:$C$158&gt;=$A28)*(Events!$E$6:$E$158="Loan")*(Events!$F$6:$F$158="Europe")*Events!$H$6:$H$158)</x:f>
        <x:v>0</x:v>
      </x:c>
      <x:c r="M28" s="53" t="n">
        <x:f>O27*Paths!AA28</x:f>
        <x:v>0</x:v>
      </x:c>
      <x:c r="N28" s="53" t="n">
        <x:f>IF($A28=1918,russia_writeoff*(O27+L28),0)</x:f>
        <x:v>0</x:v>
      </x:c>
      <x:c r="O28" s="53" t="n">
        <x:f>O27+L28-M28-N28</x:f>
        <x:v>0</x:v>
      </x:c>
      <x:c r="P28" s="53" t="n">
        <x:f>O27*Paths!Z28*Paths!AB28</x:f>
        <x:v>0</x:v>
      </x:c>
      <x:c r="Q28" s="53" t="n">
        <x:f>SUMPRODUCT((Events!$B$6:$B$158&lt;=$A28)*(Events!$C$6:$C$158&gt;=$A28)*(Events!$E$6:$E$158="Loan")*(Events!$F$6:$F$158="Rescue")*Events!$H$6:$H$158)</x:f>
        <x:v>0</x:v>
      </x:c>
      <x:c r="R28" s="53" t="n">
        <x:f>0</x:f>
        <x:v>0</x:v>
      </x:c>
      <x:c r="S28" s="53" t="n">
        <x:f>0</x:f>
        <x:v>0</x:v>
      </x:c>
      <x:c r="T28" s="53" t="n">
        <x:f>T27+Q28-R28-S28</x:f>
        <x:v>0</x:v>
      </x:c>
      <x:c r="U28" s="53" t="n">
        <x:f>T27*rescue_coupon</x:f>
        <x:v>0</x:v>
      </x:c>
      <x:c r="V28" s="53" t="n">
        <x:f>B28+G28+L28+Q28</x:f>
        <x:v>0</x:v>
      </x:c>
      <x:c r="W28" s="53" t="n">
        <x:f>C28+H28+M28+R28</x:f>
        <x:v>0.4</x:v>
      </x:c>
      <x:c r="X28" s="53" t="n">
        <x:f>E28+J28+O28+T28</x:f>
        <x:v>9.6</x:v>
      </x:c>
      <x:c r="Y28" s="53" t="n">
        <x:f>F28+K28+P28+U28</x:f>
        <x:v>0.5</x:v>
      </x:c>
    </x:row>
    <x:row r="29">
      <x:c r="A29" s="58" t="n">
        <x:v>1869</x:v>
      </x:c>
      <x:c r="B29" s="53" t="n">
        <x:f>SUMPRODUCT((Events!$B$6:$B$158&lt;=$A29)*(Events!$C$6:$C$158&gt;=$A29)*(Events!$E$6:$E$158="Loan")*(Events!$F$6:$F$158="Continental")*Events!$H$6:$H$158)</x:f>
        <x:v>0</x:v>
      </x:c>
      <x:c r="C29" s="53" t="n">
        <x:f>E28*cont_repay</x:f>
        <x:v>0.384</x:v>
      </x:c>
      <x:c r="D29" s="53" t="n">
        <x:f>0</x:f>
        <x:v>0</x:v>
      </x:c>
      <x:c r="E29" s="53" t="n">
        <x:f>E28+B29-C29-D29</x:f>
        <x:v>9.216</x:v>
      </x:c>
      <x:c r="F29" s="53" t="n">
        <x:f>E28*cont_coupon</x:f>
        <x:v>0.48</x:v>
      </x:c>
      <x:c r="G29" s="53" t="n">
        <x:f>SUMPRODUCT((Events!$B$6:$B$158&lt;=$A29)*(Events!$C$6:$C$158&gt;=$A29)*(Events!$E$6:$E$158="Loan")*(Events!$F$6:$F$158="Asia")*Events!$H$6:$H$158)</x:f>
        <x:v>0</x:v>
      </x:c>
      <x:c r="H29" s="53" t="n">
        <x:f>J28*asia_repay</x:f>
        <x:v>0</x:v>
      </x:c>
      <x:c r="I29" s="53" t="n">
        <x:f>0</x:f>
        <x:v>0</x:v>
      </x:c>
      <x:c r="J29" s="53" t="n">
        <x:f>J28+G29-H29-I29</x:f>
        <x:v>0</x:v>
      </x:c>
      <x:c r="K29" s="53" t="n">
        <x:f>J28*asia_coupon</x:f>
        <x:v>0</x:v>
      </x:c>
      <x:c r="L29" s="53" t="n">
        <x:f>SUMPRODUCT((Events!$B$6:$B$158&lt;=$A29)*(Events!$C$6:$C$158&gt;=$A29)*(Events!$E$6:$E$158="Loan")*(Events!$F$6:$F$158="Europe")*Events!$H$6:$H$158)</x:f>
        <x:v>0</x:v>
      </x:c>
      <x:c r="M29" s="53" t="n">
        <x:f>O28*Paths!AA29</x:f>
        <x:v>0</x:v>
      </x:c>
      <x:c r="N29" s="53" t="n">
        <x:f>IF($A29=1918,russia_writeoff*(O28+L29),0)</x:f>
        <x:v>0</x:v>
      </x:c>
      <x:c r="O29" s="53" t="n">
        <x:f>O28+L29-M29-N29</x:f>
        <x:v>0</x:v>
      </x:c>
      <x:c r="P29" s="53" t="n">
        <x:f>O28*Paths!Z29*Paths!AB29</x:f>
        <x:v>0</x:v>
      </x:c>
      <x:c r="Q29" s="53" t="n">
        <x:f>SUMPRODUCT((Events!$B$6:$B$158&lt;=$A29)*(Events!$C$6:$C$158&gt;=$A29)*(Events!$E$6:$E$158="Loan")*(Events!$F$6:$F$158="Rescue")*Events!$H$6:$H$158)</x:f>
        <x:v>0</x:v>
      </x:c>
      <x:c r="R29" s="53" t="n">
        <x:f>0</x:f>
        <x:v>0</x:v>
      </x:c>
      <x:c r="S29" s="53" t="n">
        <x:f>0</x:f>
        <x:v>0</x:v>
      </x:c>
      <x:c r="T29" s="53" t="n">
        <x:f>T28+Q29-R29-S29</x:f>
        <x:v>0</x:v>
      </x:c>
      <x:c r="U29" s="53" t="n">
        <x:f>T28*rescue_coupon</x:f>
        <x:v>0</x:v>
      </x:c>
      <x:c r="V29" s="53" t="n">
        <x:f>B29+G29+L29+Q29</x:f>
        <x:v>0</x:v>
      </x:c>
      <x:c r="W29" s="53" t="n">
        <x:f>C29+H29+M29+R29</x:f>
        <x:v>0.384</x:v>
      </x:c>
      <x:c r="X29" s="53" t="n">
        <x:f>E29+J29+O29+T29</x:f>
        <x:v>9.216</x:v>
      </x:c>
      <x:c r="Y29" s="53" t="n">
        <x:f>F29+K29+P29+U29</x:f>
        <x:v>0.48</x:v>
      </x:c>
    </x:row>
    <x:row r="30">
      <x:c r="A30" s="61" t="n">
        <x:v>1870</x:v>
      </x:c>
      <x:c r="B30" s="53" t="n">
        <x:f>SUMPRODUCT((Events!$B$6:$B$158&lt;=$A30)*(Events!$C$6:$C$158&gt;=$A30)*(Events!$E$6:$E$158="Loan")*(Events!$F$6:$F$158="Continental")*Events!$H$6:$H$158)</x:f>
        <x:v>0</x:v>
      </x:c>
      <x:c r="C30" s="53" t="n">
        <x:f>E29*cont_repay</x:f>
        <x:v>0.36863999999999997</x:v>
      </x:c>
      <x:c r="D30" s="53" t="n">
        <x:f>0</x:f>
        <x:v>0</x:v>
      </x:c>
      <x:c r="E30" s="53" t="n">
        <x:f>E29+B30-C30-D30</x:f>
        <x:v>8.84736</x:v>
      </x:c>
      <x:c r="F30" s="53" t="n">
        <x:f>E29*cont_coupon</x:f>
        <x:v>0.4608</x:v>
      </x:c>
      <x:c r="G30" s="53" t="n">
        <x:f>SUMPRODUCT((Events!$B$6:$B$158&lt;=$A30)*(Events!$C$6:$C$158&gt;=$A30)*(Events!$E$6:$E$158="Loan")*(Events!$F$6:$F$158="Asia")*Events!$H$6:$H$158)</x:f>
        <x:v>5</x:v>
      </x:c>
      <x:c r="H30" s="53" t="n">
        <x:f>J29*asia_repay</x:f>
        <x:v>0</x:v>
      </x:c>
      <x:c r="I30" s="53" t="n">
        <x:f>0</x:f>
        <x:v>0</x:v>
      </x:c>
      <x:c r="J30" s="53" t="n">
        <x:f>J29+G30-H30-I30</x:f>
        <x:v>5</x:v>
      </x:c>
      <x:c r="K30" s="53" t="n">
        <x:f>J29*asia_coupon</x:f>
        <x:v>0</x:v>
      </x:c>
      <x:c r="L30" s="53" t="n">
        <x:f>SUMPRODUCT((Events!$B$6:$B$158&lt;=$A30)*(Events!$C$6:$C$158&gt;=$A30)*(Events!$E$6:$E$158="Loan")*(Events!$F$6:$F$158="Europe")*Events!$H$6:$H$158)</x:f>
        <x:v>0</x:v>
      </x:c>
      <x:c r="M30" s="53" t="n">
        <x:f>O29*Paths!AA30</x:f>
        <x:v>0</x:v>
      </x:c>
      <x:c r="N30" s="53" t="n">
        <x:f>IF($A30=1918,russia_writeoff*(O29+L30),0)</x:f>
        <x:v>0</x:v>
      </x:c>
      <x:c r="O30" s="53" t="n">
        <x:f>O29+L30-M30-N30</x:f>
        <x:v>0</x:v>
      </x:c>
      <x:c r="P30" s="53" t="n">
        <x:f>O29*Paths!Z30*Paths!AB30</x:f>
        <x:v>0</x:v>
      </x:c>
      <x:c r="Q30" s="53" t="n">
        <x:f>SUMPRODUCT((Events!$B$6:$B$158&lt;=$A30)*(Events!$C$6:$C$158&gt;=$A30)*(Events!$E$6:$E$158="Loan")*(Events!$F$6:$F$158="Rescue")*Events!$H$6:$H$158)</x:f>
        <x:v>0</x:v>
      </x:c>
      <x:c r="R30" s="53" t="n">
        <x:f>0</x:f>
        <x:v>0</x:v>
      </x:c>
      <x:c r="S30" s="53" t="n">
        <x:f>0</x:f>
        <x:v>0</x:v>
      </x:c>
      <x:c r="T30" s="53" t="n">
        <x:f>T29+Q30-R30-S30</x:f>
        <x:v>0</x:v>
      </x:c>
      <x:c r="U30" s="53" t="n">
        <x:f>T29*rescue_coupon</x:f>
        <x:v>0</x:v>
      </x:c>
      <x:c r="V30" s="53" t="n">
        <x:f>B30+G30+L30+Q30</x:f>
        <x:v>5</x:v>
      </x:c>
      <x:c r="W30" s="53" t="n">
        <x:f>C30+H30+M30+R30</x:f>
        <x:v>0.36863999999999997</x:v>
      </x:c>
      <x:c r="X30" s="53" t="n">
        <x:f>E30+J30+O30+T30</x:f>
        <x:v>13.84736</x:v>
      </x:c>
      <x:c r="Y30" s="53" t="n">
        <x:f>F30+K30+P30+U30</x:f>
        <x:v>0.4608</x:v>
      </x:c>
    </x:row>
    <x:row r="31">
      <x:c r="A31" s="61" t="n">
        <x:v>1871</x:v>
      </x:c>
      <x:c r="B31" s="53" t="n">
        <x:f>SUMPRODUCT((Events!$B$6:$B$158&lt;=$A31)*(Events!$C$6:$C$158&gt;=$A31)*(Events!$E$6:$E$158="Loan")*(Events!$F$6:$F$158="Continental")*Events!$H$6:$H$158)</x:f>
        <x:v>12.5</x:v>
      </x:c>
      <x:c r="C31" s="53" t="n">
        <x:f>E30*cont_repay</x:f>
        <x:v>0.3538944</x:v>
      </x:c>
      <x:c r="D31" s="53" t="n">
        <x:f>0</x:f>
        <x:v>0</x:v>
      </x:c>
      <x:c r="E31" s="53" t="n">
        <x:f>E30+B31-C31-D31</x:f>
        <x:v>20.9934656</x:v>
      </x:c>
      <x:c r="F31" s="53" t="n">
        <x:f>E30*cont_coupon</x:f>
        <x:v>0.44236800000000004</x:v>
      </x:c>
      <x:c r="G31" s="53" t="n">
        <x:f>SUMPRODUCT((Events!$B$6:$B$158&lt;=$A31)*(Events!$C$6:$C$158&gt;=$A31)*(Events!$E$6:$E$158="Loan")*(Events!$F$6:$F$158="Asia")*Events!$H$6:$H$158)</x:f>
        <x:v>0</x:v>
      </x:c>
      <x:c r="H31" s="53" t="n">
        <x:f>J30*asia_repay</x:f>
        <x:v>0.2</x:v>
      </x:c>
      <x:c r="I31" s="53" t="n">
        <x:f>0</x:f>
        <x:v>0</x:v>
      </x:c>
      <x:c r="J31" s="53" t="n">
        <x:f>J30+G31-H31-I31</x:f>
        <x:v>4.8</x:v>
      </x:c>
      <x:c r="K31" s="53" t="n">
        <x:f>J30*asia_coupon</x:f>
        <x:v>0.275</x:v>
      </x:c>
      <x:c r="L31" s="53" t="n">
        <x:f>SUMPRODUCT((Events!$B$6:$B$158&lt;=$A31)*(Events!$C$6:$C$158&gt;=$A31)*(Events!$E$6:$E$158="Loan")*(Events!$F$6:$F$158="Europe")*Events!$H$6:$H$158)</x:f>
        <x:v>0</x:v>
      </x:c>
      <x:c r="M31" s="53" t="n">
        <x:f>O30*Paths!AA31</x:f>
        <x:v>0</x:v>
      </x:c>
      <x:c r="N31" s="53" t="n">
        <x:f>IF($A31=1918,russia_writeoff*(O30+L31),0)</x:f>
        <x:v>0</x:v>
      </x:c>
      <x:c r="O31" s="53" t="n">
        <x:f>O30+L31-M31-N31</x:f>
        <x:v>0</x:v>
      </x:c>
      <x:c r="P31" s="53" t="n">
        <x:f>O30*Paths!Z31*Paths!AB31</x:f>
        <x:v>0</x:v>
      </x:c>
      <x:c r="Q31" s="53" t="n">
        <x:f>SUMPRODUCT((Events!$B$6:$B$158&lt;=$A31)*(Events!$C$6:$C$158&gt;=$A31)*(Events!$E$6:$E$158="Loan")*(Events!$F$6:$F$158="Rescue")*Events!$H$6:$H$158)</x:f>
        <x:v>0</x:v>
      </x:c>
      <x:c r="R31" s="53" t="n">
        <x:f>0</x:f>
        <x:v>0</x:v>
      </x:c>
      <x:c r="S31" s="53" t="n">
        <x:f>0</x:f>
        <x:v>0</x:v>
      </x:c>
      <x:c r="T31" s="53" t="n">
        <x:f>T30+Q31-R31-S31</x:f>
        <x:v>0</x:v>
      </x:c>
      <x:c r="U31" s="53" t="n">
        <x:f>T30*rescue_coupon</x:f>
        <x:v>0</x:v>
      </x:c>
      <x:c r="V31" s="53" t="n">
        <x:f>B31+G31+L31+Q31</x:f>
        <x:v>12.5</x:v>
      </x:c>
      <x:c r="W31" s="53" t="n">
        <x:f>C31+H31+M31+R31</x:f>
        <x:v>0.5538944</x:v>
      </x:c>
      <x:c r="X31" s="53" t="n">
        <x:f>E31+J31+O31+T31</x:f>
        <x:v>25.7934656</x:v>
      </x:c>
      <x:c r="Y31" s="53" t="n">
        <x:f>F31+K31+P31+U31</x:f>
        <x:v>0.717368</x:v>
      </x:c>
    </x:row>
    <x:row r="32">
      <x:c r="A32" s="58" t="n">
        <x:v>1872</x:v>
      </x:c>
      <x:c r="B32" s="53" t="n">
        <x:f>SUMPRODUCT((Events!$B$6:$B$158&lt;=$A32)*(Events!$C$6:$C$158&gt;=$A32)*(Events!$E$6:$E$158="Loan")*(Events!$F$6:$F$158="Continental")*Events!$H$6:$H$158)</x:f>
        <x:v>12.5</x:v>
      </x:c>
      <x:c r="C32" s="53" t="n">
        <x:f>E31*cont_repay</x:f>
        <x:v>0.839738624</x:v>
      </x:c>
      <x:c r="D32" s="53" t="n">
        <x:f>0</x:f>
        <x:v>0</x:v>
      </x:c>
      <x:c r="E32" s="53" t="n">
        <x:f>E31+B32-C32-D32</x:f>
        <x:v>32.653726976</x:v>
      </x:c>
      <x:c r="F32" s="53" t="n">
        <x:f>E31*cont_coupon</x:f>
        <x:v>1.0496732800000002</x:v>
      </x:c>
      <x:c r="G32" s="53" t="n">
        <x:f>SUMPRODUCT((Events!$B$6:$B$158&lt;=$A32)*(Events!$C$6:$C$158&gt;=$A32)*(Events!$E$6:$E$158="Loan")*(Events!$F$6:$F$158="Asia")*Events!$H$6:$H$158)</x:f>
        <x:v>4</x:v>
      </x:c>
      <x:c r="H32" s="53" t="n">
        <x:f>J31*asia_repay</x:f>
        <x:v>0.192</x:v>
      </x:c>
      <x:c r="I32" s="53" t="n">
        <x:f>0</x:f>
        <x:v>0</x:v>
      </x:c>
      <x:c r="J32" s="53" t="n">
        <x:f>J31+G32-H32-I32</x:f>
        <x:v>8.608</x:v>
      </x:c>
      <x:c r="K32" s="53" t="n">
        <x:f>J31*asia_coupon</x:f>
        <x:v>0.264</x:v>
      </x:c>
      <x:c r="L32" s="53" t="n">
        <x:f>SUMPRODUCT((Events!$B$6:$B$158&lt;=$A32)*(Events!$C$6:$C$158&gt;=$A32)*(Events!$E$6:$E$158="Loan")*(Events!$F$6:$F$158="Europe")*Events!$H$6:$H$158)</x:f>
        <x:v>0</x:v>
      </x:c>
      <x:c r="M32" s="53" t="n">
        <x:f>O31*Paths!AA32</x:f>
        <x:v>0</x:v>
      </x:c>
      <x:c r="N32" s="53" t="n">
        <x:f>IF($A32=1918,russia_writeoff*(O31+L32),0)</x:f>
        <x:v>0</x:v>
      </x:c>
      <x:c r="O32" s="53" t="n">
        <x:f>O31+L32-M32-N32</x:f>
        <x:v>0</x:v>
      </x:c>
      <x:c r="P32" s="53" t="n">
        <x:f>O31*Paths!Z32*Paths!AB32</x:f>
        <x:v>0</x:v>
      </x:c>
      <x:c r="Q32" s="53" t="n">
        <x:f>SUMPRODUCT((Events!$B$6:$B$158&lt;=$A32)*(Events!$C$6:$C$158&gt;=$A32)*(Events!$E$6:$E$158="Loan")*(Events!$F$6:$F$158="Rescue")*Events!$H$6:$H$158)</x:f>
        <x:v>0</x:v>
      </x:c>
      <x:c r="R32" s="53" t="n">
        <x:f>0</x:f>
        <x:v>0</x:v>
      </x:c>
      <x:c r="S32" s="53" t="n">
        <x:f>0</x:f>
        <x:v>0</x:v>
      </x:c>
      <x:c r="T32" s="53" t="n">
        <x:f>T31+Q32-R32-S32</x:f>
        <x:v>0</x:v>
      </x:c>
      <x:c r="U32" s="53" t="n">
        <x:f>T31*rescue_coupon</x:f>
        <x:v>0</x:v>
      </x:c>
      <x:c r="V32" s="53" t="n">
        <x:f>B32+G32+L32+Q32</x:f>
        <x:v>16.5</x:v>
      </x:c>
      <x:c r="W32" s="53" t="n">
        <x:f>C32+H32+M32+R32</x:f>
        <x:v>1.031738624</x:v>
      </x:c>
      <x:c r="X32" s="53" t="n">
        <x:f>E32+J32+O32+T32</x:f>
        <x:v>41.261726976000006</x:v>
      </x:c>
      <x:c r="Y32" s="53" t="n">
        <x:f>F32+K32+P32+U32</x:f>
        <x:v>1.3136732800000002</x:v>
      </x:c>
    </x:row>
    <x:row r="33">
      <x:c r="A33" s="58" t="n">
        <x:v>1873</x:v>
      </x:c>
      <x:c r="B33" s="53" t="n">
        <x:f>SUMPRODUCT((Events!$B$6:$B$158&lt;=$A33)*(Events!$C$6:$C$158&gt;=$A33)*(Events!$E$6:$E$158="Loan")*(Events!$F$6:$F$158="Continental")*Events!$H$6:$H$158)</x:f>
        <x:v>0</x:v>
      </x:c>
      <x:c r="C33" s="53" t="n">
        <x:f>E32*cont_repay</x:f>
        <x:v>1.30614907904</x:v>
      </x:c>
      <x:c r="D33" s="53" t="n">
        <x:f>0</x:f>
        <x:v>0</x:v>
      </x:c>
      <x:c r="E33" s="53" t="n">
        <x:f>E32+B33-C33-D33</x:f>
        <x:v>31.34757789696</x:v>
      </x:c>
      <x:c r="F33" s="53" t="n">
        <x:f>E32*cont_coupon</x:f>
        <x:v>1.6326863488</x:v>
      </x:c>
      <x:c r="G33" s="53" t="n">
        <x:f>SUMPRODUCT((Events!$B$6:$B$158&lt;=$A33)*(Events!$C$6:$C$158&gt;=$A33)*(Events!$E$6:$E$158="Loan")*(Events!$F$6:$F$158="Asia")*Events!$H$6:$H$158)</x:f>
        <x:v>0</x:v>
      </x:c>
      <x:c r="H33" s="53" t="n">
        <x:f>J32*asia_repay</x:f>
        <x:v>0.34432</x:v>
      </x:c>
      <x:c r="I33" s="53" t="n">
        <x:f>0</x:f>
        <x:v>0</x:v>
      </x:c>
      <x:c r="J33" s="53" t="n">
        <x:f>J32+G33-H33-I33</x:f>
        <x:v>8.26368</x:v>
      </x:c>
      <x:c r="K33" s="53" t="n">
        <x:f>J32*asia_coupon</x:f>
        <x:v>0.47344</x:v>
      </x:c>
      <x:c r="L33" s="53" t="n">
        <x:f>SUMPRODUCT((Events!$B$6:$B$158&lt;=$A33)*(Events!$C$6:$C$158&gt;=$A33)*(Events!$E$6:$E$158="Loan")*(Events!$F$6:$F$158="Europe")*Events!$H$6:$H$158)</x:f>
        <x:v>0</x:v>
      </x:c>
      <x:c r="M33" s="53" t="n">
        <x:f>O32*Paths!AA33</x:f>
        <x:v>0</x:v>
      </x:c>
      <x:c r="N33" s="53" t="n">
        <x:f>IF($A33=1918,russia_writeoff*(O32+L33),0)</x:f>
        <x:v>0</x:v>
      </x:c>
      <x:c r="O33" s="53" t="n">
        <x:f>O32+L33-M33-N33</x:f>
        <x:v>0</x:v>
      </x:c>
      <x:c r="P33" s="53" t="n">
        <x:f>O32*Paths!Z33*Paths!AB33</x:f>
        <x:v>0</x:v>
      </x:c>
      <x:c r="Q33" s="53" t="n">
        <x:f>SUMPRODUCT((Events!$B$6:$B$158&lt;=$A33)*(Events!$C$6:$C$158&gt;=$A33)*(Events!$E$6:$E$158="Loan")*(Events!$F$6:$F$158="Rescue")*Events!$H$6:$H$158)</x:f>
        <x:v>0</x:v>
      </x:c>
      <x:c r="R33" s="53" t="n">
        <x:f>0</x:f>
        <x:v>0</x:v>
      </x:c>
      <x:c r="S33" s="53" t="n">
        <x:f>0</x:f>
        <x:v>0</x:v>
      </x:c>
      <x:c r="T33" s="53" t="n">
        <x:f>T32+Q33-R33-S33</x:f>
        <x:v>0</x:v>
      </x:c>
      <x:c r="U33" s="53" t="n">
        <x:f>T32*rescue_coupon</x:f>
        <x:v>0</x:v>
      </x:c>
      <x:c r="V33" s="53" t="n">
        <x:f>B33+G33+L33+Q33</x:f>
        <x:v>0</x:v>
      </x:c>
      <x:c r="W33" s="53" t="n">
        <x:f>C33+H33+M33+R33</x:f>
        <x:v>1.65046907904</x:v>
      </x:c>
      <x:c r="X33" s="53" t="n">
        <x:f>E33+J33+O33+T33</x:f>
        <x:v>39.61125789696</x:v>
      </x:c>
      <x:c r="Y33" s="53" t="n">
        <x:f>F33+K33+P33+U33</x:f>
        <x:v>2.1061263488</x:v>
      </x:c>
    </x:row>
    <x:row r="34">
      <x:c r="A34" s="58" t="n">
        <x:v>1874</x:v>
      </x:c>
      <x:c r="B34" s="53" t="n">
        <x:f>SUMPRODUCT((Events!$B$6:$B$158&lt;=$A34)*(Events!$C$6:$C$158&gt;=$A34)*(Events!$E$6:$E$158="Loan")*(Events!$F$6:$F$158="Continental")*Events!$H$6:$H$158)</x:f>
        <x:v>0</x:v>
      </x:c>
      <x:c r="C34" s="53" t="n">
        <x:f>E33*cont_repay</x:f>
        <x:v>1.2539031158784</x:v>
      </x:c>
      <x:c r="D34" s="53" t="n">
        <x:f>0</x:f>
        <x:v>0</x:v>
      </x:c>
      <x:c r="E34" s="53" t="n">
        <x:f>E33+B34-C34-D34</x:f>
        <x:v>30.0936747810816</x:v>
      </x:c>
      <x:c r="F34" s="53" t="n">
        <x:f>E33*cont_coupon</x:f>
        <x:v>1.567378894848</x:v>
      </x:c>
      <x:c r="G34" s="53" t="n">
        <x:f>SUMPRODUCT((Events!$B$6:$B$158&lt;=$A34)*(Events!$C$6:$C$158&gt;=$A34)*(Events!$E$6:$E$158="Loan")*(Events!$F$6:$F$158="Asia")*Events!$H$6:$H$158)</x:f>
        <x:v>0</x:v>
      </x:c>
      <x:c r="H34" s="53" t="n">
        <x:f>J33*asia_repay</x:f>
        <x:v>0.33054720000000004</x:v>
      </x:c>
      <x:c r="I34" s="53" t="n">
        <x:f>0</x:f>
        <x:v>0</x:v>
      </x:c>
      <x:c r="J34" s="53" t="n">
        <x:f>J33+G34-H34-I34</x:f>
        <x:v>7.933132800000001</x:v>
      </x:c>
      <x:c r="K34" s="53" t="n">
        <x:f>J33*asia_coupon</x:f>
        <x:v>0.45450240000000003</x:v>
      </x:c>
      <x:c r="L34" s="53" t="n">
        <x:f>SUMPRODUCT((Events!$B$6:$B$158&lt;=$A34)*(Events!$C$6:$C$158&gt;=$A34)*(Events!$E$6:$E$158="Loan")*(Events!$F$6:$F$158="Europe")*Events!$H$6:$H$158)</x:f>
        <x:v>3</x:v>
      </x:c>
      <x:c r="M34" s="53" t="n">
        <x:f>O33*Paths!AA34</x:f>
        <x:v>0</x:v>
      </x:c>
      <x:c r="N34" s="53" t="n">
        <x:f>IF($A34=1918,russia_writeoff*(O33+L34),0)</x:f>
        <x:v>0</x:v>
      </x:c>
      <x:c r="O34" s="53" t="n">
        <x:f>O33+L34-M34-N34</x:f>
        <x:v>3</x:v>
      </x:c>
      <x:c r="P34" s="53" t="n">
        <x:f>O33*Paths!Z34*Paths!AB34</x:f>
        <x:v>0</x:v>
      </x:c>
      <x:c r="Q34" s="53" t="n">
        <x:f>SUMPRODUCT((Events!$B$6:$B$158&lt;=$A34)*(Events!$C$6:$C$158&gt;=$A34)*(Events!$E$6:$E$158="Loan")*(Events!$F$6:$F$158="Rescue")*Events!$H$6:$H$158)</x:f>
        <x:v>0</x:v>
      </x:c>
      <x:c r="R34" s="53" t="n">
        <x:f>0</x:f>
        <x:v>0</x:v>
      </x:c>
      <x:c r="S34" s="53" t="n">
        <x:f>0</x:f>
        <x:v>0</x:v>
      </x:c>
      <x:c r="T34" s="53" t="n">
        <x:f>T33+Q34-R34-S34</x:f>
        <x:v>0</x:v>
      </x:c>
      <x:c r="U34" s="53" t="n">
        <x:f>T33*rescue_coupon</x:f>
        <x:v>0</x:v>
      </x:c>
      <x:c r="V34" s="53" t="n">
        <x:f>B34+G34+L34+Q34</x:f>
        <x:v>3</x:v>
      </x:c>
      <x:c r="W34" s="53" t="n">
        <x:f>C34+H34+M34+R34</x:f>
        <x:v>1.5844503158784</x:v>
      </x:c>
      <x:c r="X34" s="53" t="n">
        <x:f>E34+J34+O34+T34</x:f>
        <x:v>41.0268075810816</x:v>
      </x:c>
      <x:c r="Y34" s="53" t="n">
        <x:f>F34+K34+P34+U34</x:f>
        <x:v>2.0218812948480003</x:v>
      </x:c>
    </x:row>
    <x:row r="35">
      <x:c r="A35" s="58" t="n">
        <x:v>1875</x:v>
      </x:c>
      <x:c r="B35" s="53" t="n">
        <x:f>SUMPRODUCT((Events!$B$6:$B$158&lt;=$A35)*(Events!$C$6:$C$158&gt;=$A35)*(Events!$E$6:$E$158="Loan")*(Events!$F$6:$F$158="Continental")*Events!$H$6:$H$158)</x:f>
        <x:v>0</x:v>
      </x:c>
      <x:c r="C35" s="53" t="n">
        <x:f>E34*cont_repay</x:f>
        <x:v>1.203746991243264</x:v>
      </x:c>
      <x:c r="D35" s="53" t="n">
        <x:f>0</x:f>
        <x:v>0</x:v>
      </x:c>
      <x:c r="E35" s="53" t="n">
        <x:f>E34+B35-C35-D35</x:f>
        <x:v>28.889927789838335</x:v>
      </x:c>
      <x:c r="F35" s="53" t="n">
        <x:f>E34*cont_coupon</x:f>
        <x:v>1.5046837390540801</x:v>
      </x:c>
      <x:c r="G35" s="53" t="n">
        <x:f>SUMPRODUCT((Events!$B$6:$B$158&lt;=$A35)*(Events!$C$6:$C$158&gt;=$A35)*(Events!$E$6:$E$158="Loan")*(Events!$F$6:$F$158="Asia")*Events!$H$6:$H$158)</x:f>
        <x:v>0</x:v>
      </x:c>
      <x:c r="H35" s="53" t="n">
        <x:f>J34*asia_repay</x:f>
        <x:v>0.317325312</x:v>
      </x:c>
      <x:c r="I35" s="53" t="n">
        <x:f>0</x:f>
        <x:v>0</x:v>
      </x:c>
      <x:c r="J35" s="53" t="n">
        <x:f>J34+G35-H35-I35</x:f>
        <x:v>7.615807488000001</x:v>
      </x:c>
      <x:c r="K35" s="53" t="n">
        <x:f>J34*asia_coupon</x:f>
        <x:v>0.43632230400000005</x:v>
      </x:c>
      <x:c r="L35" s="53" t="n">
        <x:f>SUMPRODUCT((Events!$B$6:$B$158&lt;=$A35)*(Events!$C$6:$C$158&gt;=$A35)*(Events!$E$6:$E$158="Loan")*(Events!$F$6:$F$158="Europe")*Events!$H$6:$H$158)</x:f>
        <x:v>3</x:v>
      </x:c>
      <x:c r="M35" s="53" t="n">
        <x:f>O34*Paths!AA35</x:f>
        <x:v>0.09</x:v>
      </x:c>
      <x:c r="N35" s="53" t="n">
        <x:f>IF($A35=1918,russia_writeoff*(O34+L35),0)</x:f>
        <x:v>0</x:v>
      </x:c>
      <x:c r="O35" s="53" t="n">
        <x:f>O34+L35-M35-N35</x:f>
        <x:v>5.91</x:v>
      </x:c>
      <x:c r="P35" s="53" t="n">
        <x:f>O34*Paths!Z35*Paths!AB35</x:f>
        <x:v>0.15000000000000002</x:v>
      </x:c>
      <x:c r="Q35" s="53" t="n">
        <x:f>SUMPRODUCT((Events!$B$6:$B$158&lt;=$A35)*(Events!$C$6:$C$158&gt;=$A35)*(Events!$E$6:$E$158="Loan")*(Events!$F$6:$F$158="Rescue")*Events!$H$6:$H$158)</x:f>
        <x:v>0</x:v>
      </x:c>
      <x:c r="R35" s="53" t="n">
        <x:f>0</x:f>
        <x:v>0</x:v>
      </x:c>
      <x:c r="S35" s="53" t="n">
        <x:f>0</x:f>
        <x:v>0</x:v>
      </x:c>
      <x:c r="T35" s="53" t="n">
        <x:f>T34+Q35-R35-S35</x:f>
        <x:v>0</x:v>
      </x:c>
      <x:c r="U35" s="53" t="n">
        <x:f>T34*rescue_coupon</x:f>
        <x:v>0</x:v>
      </x:c>
      <x:c r="V35" s="53" t="n">
        <x:f>B35+G35+L35+Q35</x:f>
        <x:v>3</x:v>
      </x:c>
      <x:c r="W35" s="53" t="n">
        <x:f>C35+H35+M35+R35</x:f>
        <x:v>1.6110723032432641</x:v>
      </x:c>
      <x:c r="X35" s="53" t="n">
        <x:f>E35+J35+O35+T35</x:f>
        <x:v>42.41573527783834</x:v>
      </x:c>
      <x:c r="Y35" s="53" t="n">
        <x:f>F35+K35+P35+U35</x:f>
        <x:v>2.09100604305408</x:v>
      </x:c>
    </x:row>
    <x:row r="36">
      <x:c r="A36" s="58" t="n">
        <x:v>1876</x:v>
      </x:c>
      <x:c r="B36" s="53" t="n">
        <x:f>SUMPRODUCT((Events!$B$6:$B$158&lt;=$A36)*(Events!$C$6:$C$158&gt;=$A36)*(Events!$E$6:$E$158="Loan")*(Events!$F$6:$F$158="Continental")*Events!$H$6:$H$158)</x:f>
        <x:v>0</x:v>
      </x:c>
      <x:c r="C36" s="53" t="n">
        <x:f>E35*cont_repay</x:f>
        <x:v>1.1555971115935335</x:v>
      </x:c>
      <x:c r="D36" s="53" t="n">
        <x:f>0</x:f>
        <x:v>0</x:v>
      </x:c>
      <x:c r="E36" s="53" t="n">
        <x:f>E35+B36-C36-D36</x:f>
        <x:v>27.734330678244802</x:v>
      </x:c>
      <x:c r="F36" s="53" t="n">
        <x:f>E35*cont_coupon</x:f>
        <x:v>1.444496389491917</x:v>
      </x:c>
      <x:c r="G36" s="53" t="n">
        <x:f>SUMPRODUCT((Events!$B$6:$B$158&lt;=$A36)*(Events!$C$6:$C$158&gt;=$A36)*(Events!$E$6:$E$158="Loan")*(Events!$F$6:$F$158="Asia")*Events!$H$6:$H$158)</x:f>
        <x:v>0</x:v>
      </x:c>
      <x:c r="H36" s="53" t="n">
        <x:f>J35*asia_repay</x:f>
        <x:v>0.30463229952000004</x:v>
      </x:c>
      <x:c r="I36" s="53" t="n">
        <x:f>0</x:f>
        <x:v>0</x:v>
      </x:c>
      <x:c r="J36" s="53" t="n">
        <x:f>J35+G36-H36-I36</x:f>
        <x:v>7.311175188480001</x:v>
      </x:c>
      <x:c r="K36" s="53" t="n">
        <x:f>J35*asia_coupon</x:f>
        <x:v>0.41886941184000004</x:v>
      </x:c>
      <x:c r="L36" s="53" t="n">
        <x:f>SUMPRODUCT((Events!$B$6:$B$158&lt;=$A36)*(Events!$C$6:$C$158&gt;=$A36)*(Events!$E$6:$E$158="Loan")*(Events!$F$6:$F$158="Europe")*Events!$H$6:$H$158)</x:f>
        <x:v>0</x:v>
      </x:c>
      <x:c r="M36" s="53" t="n">
        <x:f>O35*Paths!AA36</x:f>
        <x:v>0.17729999999999999</x:v>
      </x:c>
      <x:c r="N36" s="53" t="n">
        <x:f>IF($A36=1918,russia_writeoff*(O35+L36),0)</x:f>
        <x:v>0</x:v>
      </x:c>
      <x:c r="O36" s="53" t="n">
        <x:f>O35+L36-M36-N36</x:f>
        <x:v>5.7327</x:v>
      </x:c>
      <x:c r="P36" s="53" t="n">
        <x:f>O35*Paths!Z36*Paths!AB36</x:f>
        <x:v>0.29550000000000004</x:v>
      </x:c>
      <x:c r="Q36" s="53" t="n">
        <x:f>SUMPRODUCT((Events!$B$6:$B$158&lt;=$A36)*(Events!$C$6:$C$158&gt;=$A36)*(Events!$E$6:$E$158="Loan")*(Events!$F$6:$F$158="Rescue")*Events!$H$6:$H$158)</x:f>
        <x:v>0</x:v>
      </x:c>
      <x:c r="R36" s="53" t="n">
        <x:f>0</x:f>
        <x:v>0</x:v>
      </x:c>
      <x:c r="S36" s="53" t="n">
        <x:f>0</x:f>
        <x:v>0</x:v>
      </x:c>
      <x:c r="T36" s="53" t="n">
        <x:f>T35+Q36-R36-S36</x:f>
        <x:v>0</x:v>
      </x:c>
      <x:c r="U36" s="53" t="n">
        <x:f>T35*rescue_coupon</x:f>
        <x:v>0</x:v>
      </x:c>
      <x:c r="V36" s="53" t="n">
        <x:f>B36+G36+L36+Q36</x:f>
        <x:v>0</x:v>
      </x:c>
      <x:c r="W36" s="53" t="n">
        <x:f>C36+H36+M36+R36</x:f>
        <x:v>1.6375294111135335</x:v>
      </x:c>
      <x:c r="X36" s="53" t="n">
        <x:f>E36+J36+O36+T36</x:f>
        <x:v>40.778205866724804</x:v>
      </x:c>
      <x:c r="Y36" s="53" t="n">
        <x:f>F36+K36+P36+U36</x:f>
        <x:v>2.158865801331917</x:v>
      </x:c>
    </x:row>
    <x:row r="37">
      <x:c r="A37" s="58" t="n">
        <x:v>1877</x:v>
      </x:c>
      <x:c r="B37" s="53" t="n">
        <x:f>SUMPRODUCT((Events!$B$6:$B$158&lt;=$A37)*(Events!$C$6:$C$158&gt;=$A37)*(Events!$E$6:$E$158="Loan")*(Events!$F$6:$F$158="Continental")*Events!$H$6:$H$158)</x:f>
        <x:v>0</x:v>
      </x:c>
      <x:c r="C37" s="53" t="n">
        <x:f>E36*cont_repay</x:f>
        <x:v>1.109373227129792</x:v>
      </x:c>
      <x:c r="D37" s="53" t="n">
        <x:f>0</x:f>
        <x:v>0</x:v>
      </x:c>
      <x:c r="E37" s="53" t="n">
        <x:f>E36+B37-C37-D37</x:f>
        <x:v>26.62495745111501</x:v>
      </x:c>
      <x:c r="F37" s="53" t="n">
        <x:f>E36*cont_coupon</x:f>
        <x:v>1.3867165339122403</x:v>
      </x:c>
      <x:c r="G37" s="53" t="n">
        <x:f>SUMPRODUCT((Events!$B$6:$B$158&lt;=$A37)*(Events!$C$6:$C$158&gt;=$A37)*(Events!$E$6:$E$158="Loan")*(Events!$F$6:$F$158="Asia")*Events!$H$6:$H$158)</x:f>
        <x:v>0</x:v>
      </x:c>
      <x:c r="H37" s="53" t="n">
        <x:f>J36*asia_repay</x:f>
        <x:v>0.29244700753920005</x:v>
      </x:c>
      <x:c r="I37" s="53" t="n">
        <x:f>0</x:f>
        <x:v>0</x:v>
      </x:c>
      <x:c r="J37" s="53" t="n">
        <x:f>J36+G37-H37-I37</x:f>
        <x:v>7.018728180940801</x:v>
      </x:c>
      <x:c r="K37" s="53" t="n">
        <x:f>J36*asia_coupon</x:f>
        <x:v>0.4021146353664001</x:v>
      </x:c>
      <x:c r="L37" s="53" t="n">
        <x:f>SUMPRODUCT((Events!$B$6:$B$158&lt;=$A37)*(Events!$C$6:$C$158&gt;=$A37)*(Events!$E$6:$E$158="Loan")*(Events!$F$6:$F$158="Europe")*Events!$H$6:$H$158)</x:f>
        <x:v>0</x:v>
      </x:c>
      <x:c r="M37" s="53" t="n">
        <x:f>O36*Paths!AA37</x:f>
        <x:v>0.171981</x:v>
      </x:c>
      <x:c r="N37" s="53" t="n">
        <x:f>IF($A37=1918,russia_writeoff*(O36+L37),0)</x:f>
        <x:v>0</x:v>
      </x:c>
      <x:c r="O37" s="53" t="n">
        <x:f>O36+L37-M37-N37</x:f>
        <x:v>5.560719000000001</x:v>
      </x:c>
      <x:c r="P37" s="53" t="n">
        <x:f>O36*Paths!Z37*Paths!AB37</x:f>
        <x:v>0.28663500000000003</x:v>
      </x:c>
      <x:c r="Q37" s="53" t="n">
        <x:f>SUMPRODUCT((Events!$B$6:$B$158&lt;=$A37)*(Events!$C$6:$C$158&gt;=$A37)*(Events!$E$6:$E$158="Loan")*(Events!$F$6:$F$158="Rescue")*Events!$H$6:$H$158)</x:f>
        <x:v>0</x:v>
      </x:c>
      <x:c r="R37" s="53" t="n">
        <x:f>0</x:f>
        <x:v>0</x:v>
      </x:c>
      <x:c r="S37" s="53" t="n">
        <x:f>0</x:f>
        <x:v>0</x:v>
      </x:c>
      <x:c r="T37" s="53" t="n">
        <x:f>T36+Q37-R37-S37</x:f>
        <x:v>0</x:v>
      </x:c>
      <x:c r="U37" s="53" t="n">
        <x:f>T36*rescue_coupon</x:f>
        <x:v>0</x:v>
      </x:c>
      <x:c r="V37" s="53" t="n">
        <x:f>B37+G37+L37+Q37</x:f>
        <x:v>0</x:v>
      </x:c>
      <x:c r="W37" s="53" t="n">
        <x:f>C37+H37+M37+R37</x:f>
        <x:v>1.573801234668992</x:v>
      </x:c>
      <x:c r="X37" s="53" t="n">
        <x:f>E37+J37+O37+T37</x:f>
        <x:v>39.204404632055805</x:v>
      </x:c>
      <x:c r="Y37" s="53" t="n">
        <x:f>F37+K37+P37+U37</x:f>
        <x:v>2.0754661692786405</x:v>
      </x:c>
    </x:row>
    <x:row r="38">
      <x:c r="A38" s="58" t="n">
        <x:v>1878</x:v>
      </x:c>
      <x:c r="B38" s="53" t="n">
        <x:f>SUMPRODUCT((Events!$B$6:$B$158&lt;=$A38)*(Events!$C$6:$C$158&gt;=$A38)*(Events!$E$6:$E$158="Loan")*(Events!$F$6:$F$158="Continental")*Events!$H$6:$H$158)</x:f>
        <x:v>0</x:v>
      </x:c>
      <x:c r="C38" s="53" t="n">
        <x:f>E37*cont_repay</x:f>
        <x:v>1.0649982980446004</x:v>
      </x:c>
      <x:c r="D38" s="53" t="n">
        <x:f>0</x:f>
        <x:v>0</x:v>
      </x:c>
      <x:c r="E38" s="53" t="n">
        <x:f>E37+B38-C38-D38</x:f>
        <x:v>25.55995915307041</x:v>
      </x:c>
      <x:c r="F38" s="53" t="n">
        <x:f>E37*cont_coupon</x:f>
        <x:v>1.3312478725557506</x:v>
      </x:c>
      <x:c r="G38" s="53" t="n">
        <x:f>SUMPRODUCT((Events!$B$6:$B$158&lt;=$A38)*(Events!$C$6:$C$158&gt;=$A38)*(Events!$E$6:$E$158="Loan")*(Events!$F$6:$F$158="Asia")*Events!$H$6:$H$158)</x:f>
        <x:v>0</x:v>
      </x:c>
      <x:c r="H38" s="53" t="n">
        <x:f>J37*asia_repay</x:f>
        <x:v>0.28074912723763207</x:v>
      </x:c>
      <x:c r="I38" s="53" t="n">
        <x:f>0</x:f>
        <x:v>0</x:v>
      </x:c>
      <x:c r="J38" s="53" t="n">
        <x:f>J37+G38-H38-I38</x:f>
        <x:v>6.737979053703169</x:v>
      </x:c>
      <x:c r="K38" s="53" t="n">
        <x:f>J37*asia_coupon</x:f>
        <x:v>0.38603004995174406</x:v>
      </x:c>
      <x:c r="L38" s="53" t="n">
        <x:f>SUMPRODUCT((Events!$B$6:$B$158&lt;=$A38)*(Events!$C$6:$C$158&gt;=$A38)*(Events!$E$6:$E$158="Loan")*(Events!$F$6:$F$158="Europe")*Events!$H$6:$H$158)</x:f>
        <x:v>0</x:v>
      </x:c>
      <x:c r="M38" s="53" t="n">
        <x:f>O37*Paths!AA38</x:f>
        <x:v>0.16682157</x:v>
      </x:c>
      <x:c r="N38" s="53" t="n">
        <x:f>IF($A38=1918,russia_writeoff*(O37+L38),0)</x:f>
        <x:v>0</x:v>
      </x:c>
      <x:c r="O38" s="53" t="n">
        <x:f>O37+L38-M38-N38</x:f>
        <x:v>5.393897430000001</x:v>
      </x:c>
      <x:c r="P38" s="53" t="n">
        <x:f>O37*Paths!Z38*Paths!AB38</x:f>
        <x:v>0.27803595000000003</x:v>
      </x:c>
      <x:c r="Q38" s="53" t="n">
        <x:f>SUMPRODUCT((Events!$B$6:$B$158&lt;=$A38)*(Events!$C$6:$C$158&gt;=$A38)*(Events!$E$6:$E$158="Loan")*(Events!$F$6:$F$158="Rescue")*Events!$H$6:$H$158)</x:f>
        <x:v>0</x:v>
      </x:c>
      <x:c r="R38" s="53" t="n">
        <x:f>0</x:f>
        <x:v>0</x:v>
      </x:c>
      <x:c r="S38" s="53" t="n">
        <x:f>0</x:f>
        <x:v>0</x:v>
      </x:c>
      <x:c r="T38" s="53" t="n">
        <x:f>T37+Q38-R38-S38</x:f>
        <x:v>0</x:v>
      </x:c>
      <x:c r="U38" s="53" t="n">
        <x:f>T37*rescue_coupon</x:f>
        <x:v>0</x:v>
      </x:c>
      <x:c r="V38" s="53" t="n">
        <x:f>B38+G38+L38+Q38</x:f>
        <x:v>0</x:v>
      </x:c>
      <x:c r="W38" s="53" t="n">
        <x:f>C38+H38+M38+R38</x:f>
        <x:v>1.5125689952822325</x:v>
      </x:c>
      <x:c r="X38" s="53" t="n">
        <x:f>E38+J38+O38+T38</x:f>
        <x:v>37.69183563677358</x:v>
      </x:c>
      <x:c r="Y38" s="53" t="n">
        <x:f>F38+K38+P38+U38</x:f>
        <x:v>1.9953138725074946</x:v>
      </x:c>
    </x:row>
    <x:row r="39">
      <x:c r="A39" s="58" t="n">
        <x:v>1879</x:v>
      </x:c>
      <x:c r="B39" s="53" t="n">
        <x:f>SUMPRODUCT((Events!$B$6:$B$158&lt;=$A39)*(Events!$C$6:$C$158&gt;=$A39)*(Events!$E$6:$E$158="Loan")*(Events!$F$6:$F$158="Continental")*Events!$H$6:$H$158)</x:f>
        <x:v>0</x:v>
      </x:c>
      <x:c r="C39" s="53" t="n">
        <x:f>E38*cont_repay</x:f>
        <x:v>1.0223983661228164</x:v>
      </x:c>
      <x:c r="D39" s="53" t="n">
        <x:f>0</x:f>
        <x:v>0</x:v>
      </x:c>
      <x:c r="E39" s="53" t="n">
        <x:f>E38+B39-C39-D39</x:f>
        <x:v>24.537560786947594</x:v>
      </x:c>
      <x:c r="F39" s="53" t="n">
        <x:f>E38*cont_coupon</x:f>
        <x:v>1.2779979576535205</x:v>
      </x:c>
      <x:c r="G39" s="53" t="n">
        <x:f>SUMPRODUCT((Events!$B$6:$B$158&lt;=$A39)*(Events!$C$6:$C$158&gt;=$A39)*(Events!$E$6:$E$158="Loan")*(Events!$F$6:$F$158="Asia")*Events!$H$6:$H$158)</x:f>
        <x:v>0</x:v>
      </x:c>
      <x:c r="H39" s="53" t="n">
        <x:f>J38*asia_repay</x:f>
        <x:v>0.26951916214812677</x:v>
      </x:c>
      <x:c r="I39" s="53" t="n">
        <x:f>0</x:f>
        <x:v>0</x:v>
      </x:c>
      <x:c r="J39" s="53" t="n">
        <x:f>J38+G39-H39-I39</x:f>
        <x:v>6.468459891555042</x:v>
      </x:c>
      <x:c r="K39" s="53" t="n">
        <x:f>J38*asia_coupon</x:f>
        <x:v>0.3705888479536743</x:v>
      </x:c>
      <x:c r="L39" s="53" t="n">
        <x:f>SUMPRODUCT((Events!$B$6:$B$158&lt;=$A39)*(Events!$C$6:$C$158&gt;=$A39)*(Events!$E$6:$E$158="Loan")*(Events!$F$6:$F$158="Europe")*Events!$H$6:$H$158)</x:f>
        <x:v>0</x:v>
      </x:c>
      <x:c r="M39" s="53" t="n">
        <x:f>O38*Paths!AA39</x:f>
        <x:v>0.16181692290000002</x:v>
      </x:c>
      <x:c r="N39" s="53" t="n">
        <x:f>IF($A39=1918,russia_writeoff*(O38+L39),0)</x:f>
        <x:v>0</x:v>
      </x:c>
      <x:c r="O39" s="53" t="n">
        <x:f>O38+L39-M39-N39</x:f>
        <x:v>5.232080507100001</x:v>
      </x:c>
      <x:c r="P39" s="53" t="n">
        <x:f>O38*Paths!Z39*Paths!AB39</x:f>
        <x:v>0.26969487150000004</x:v>
      </x:c>
      <x:c r="Q39" s="53" t="n">
        <x:f>SUMPRODUCT((Events!$B$6:$B$158&lt;=$A39)*(Events!$C$6:$C$158&gt;=$A39)*(Events!$E$6:$E$158="Loan")*(Events!$F$6:$F$158="Rescue")*Events!$H$6:$H$158)</x:f>
        <x:v>0</x:v>
      </x:c>
      <x:c r="R39" s="53" t="n">
        <x:f>0</x:f>
        <x:v>0</x:v>
      </x:c>
      <x:c r="S39" s="53" t="n">
        <x:f>0</x:f>
        <x:v>0</x:v>
      </x:c>
      <x:c r="T39" s="53" t="n">
        <x:f>T38+Q39-R39-S39</x:f>
        <x:v>0</x:v>
      </x:c>
      <x:c r="U39" s="53" t="n">
        <x:f>T38*rescue_coupon</x:f>
        <x:v>0</x:v>
      </x:c>
      <x:c r="V39" s="53" t="n">
        <x:f>B39+G39+L39+Q39</x:f>
        <x:v>0</x:v>
      </x:c>
      <x:c r="W39" s="53" t="n">
        <x:f>C39+H39+M39+R39</x:f>
        <x:v>1.4537344511709431</x:v>
      </x:c>
      <x:c r="X39" s="53" t="n">
        <x:f>E39+J39+O39+T39</x:f>
        <x:v>36.23810118560264</x:v>
      </x:c>
      <x:c r="Y39" s="53" t="n">
        <x:f>F39+K39+P39+U39</x:f>
        <x:v>1.9182816771071949</x:v>
      </x:c>
    </x:row>
    <x:row r="40">
      <x:c r="A40" s="58" t="n">
        <x:v>1880</x:v>
      </x:c>
      <x:c r="B40" s="53" t="n">
        <x:f>SUMPRODUCT((Events!$B$6:$B$158&lt;=$A40)*(Events!$C$6:$C$158&gt;=$A40)*(Events!$E$6:$E$158="Loan")*(Events!$F$6:$F$158="Continental")*Events!$H$6:$H$158)</x:f>
        <x:v>0</x:v>
      </x:c>
      <x:c r="C40" s="53" t="n">
        <x:f>E39*cont_repay</x:f>
        <x:v>0.9815024314779038</x:v>
      </x:c>
      <x:c r="D40" s="53" t="n">
        <x:f>0</x:f>
        <x:v>0</x:v>
      </x:c>
      <x:c r="E40" s="53" t="n">
        <x:f>E39+B40-C40-D40</x:f>
        <x:v>23.55605835546969</x:v>
      </x:c>
      <x:c r="F40" s="53" t="n">
        <x:f>E39*cont_coupon</x:f>
        <x:v>1.2268780393473797</x:v>
      </x:c>
      <x:c r="G40" s="53" t="n">
        <x:f>SUMPRODUCT((Events!$B$6:$B$158&lt;=$A40)*(Events!$C$6:$C$158&gt;=$A40)*(Events!$E$6:$E$158="Loan")*(Events!$F$6:$F$158="Asia")*Events!$H$6:$H$158)</x:f>
        <x:v>0</x:v>
      </x:c>
      <x:c r="H40" s="53" t="n">
        <x:f>J39*asia_repay</x:f>
        <x:v>0.2587383956622017</x:v>
      </x:c>
      <x:c r="I40" s="53" t="n">
        <x:f>0</x:f>
        <x:v>0</x:v>
      </x:c>
      <x:c r="J40" s="53" t="n">
        <x:f>J39+G40-H40-I40</x:f>
        <x:v>6.209721495892841</x:v>
      </x:c>
      <x:c r="K40" s="53" t="n">
        <x:f>J39*asia_coupon</x:f>
        <x:v>0.3557652940355273</x:v>
      </x:c>
      <x:c r="L40" s="53" t="n">
        <x:f>SUMPRODUCT((Events!$B$6:$B$158&lt;=$A40)*(Events!$C$6:$C$158&gt;=$A40)*(Events!$E$6:$E$158="Loan")*(Events!$F$6:$F$158="Europe")*Events!$H$6:$H$158)</x:f>
        <x:v>0</x:v>
      </x:c>
      <x:c r="M40" s="53" t="n">
        <x:f>O39*Paths!AA40</x:f>
        <x:v>0.15696241521300003</x:v>
      </x:c>
      <x:c r="N40" s="53" t="n">
        <x:f>IF($A40=1918,russia_writeoff*(O39+L40),0)</x:f>
        <x:v>0</x:v>
      </x:c>
      <x:c r="O40" s="53" t="n">
        <x:f>O39+L40-M40-N40</x:f>
        <x:v>5.075118091887001</x:v>
      </x:c>
      <x:c r="P40" s="53" t="n">
        <x:f>O39*Paths!Z40*Paths!AB40</x:f>
        <x:v>0.26160402535500005</x:v>
      </x:c>
      <x:c r="Q40" s="53" t="n">
        <x:f>SUMPRODUCT((Events!$B$6:$B$158&lt;=$A40)*(Events!$C$6:$C$158&gt;=$A40)*(Events!$E$6:$E$158="Loan")*(Events!$F$6:$F$158="Rescue")*Events!$H$6:$H$158)</x:f>
        <x:v>0</x:v>
      </x:c>
      <x:c r="R40" s="53" t="n">
        <x:f>0</x:f>
        <x:v>0</x:v>
      </x:c>
      <x:c r="S40" s="53" t="n">
        <x:f>0</x:f>
        <x:v>0</x:v>
      </x:c>
      <x:c r="T40" s="53" t="n">
        <x:f>T39+Q40-R40-S40</x:f>
        <x:v>0</x:v>
      </x:c>
      <x:c r="U40" s="53" t="n">
        <x:f>T39*rescue_coupon</x:f>
        <x:v>0</x:v>
      </x:c>
      <x:c r="V40" s="53" t="n">
        <x:f>B40+G40+L40+Q40</x:f>
        <x:v>0</x:v>
      </x:c>
      <x:c r="W40" s="53" t="n">
        <x:f>C40+H40+M40+R40</x:f>
        <x:v>1.3972032423531056</x:v>
      </x:c>
      <x:c r="X40" s="53" t="n">
        <x:f>E40+J40+O40+T40</x:f>
        <x:v>34.84089794324953</x:v>
      </x:c>
      <x:c r="Y40" s="53" t="n">
        <x:f>F40+K40+P40+U40</x:f>
        <x:v>1.8442473587379071</x:v>
      </x:c>
    </x:row>
    <x:row r="41">
      <x:c r="A41" s="58" t="n">
        <x:v>1881</x:v>
      </x:c>
      <x:c r="B41" s="53" t="n">
        <x:f>SUMPRODUCT((Events!$B$6:$B$158&lt;=$A41)*(Events!$C$6:$C$158&gt;=$A41)*(Events!$E$6:$E$158="Loan")*(Events!$F$6:$F$158="Continental")*Events!$H$6:$H$158)</x:f>
        <x:v>0</x:v>
      </x:c>
      <x:c r="C41" s="53" t="n">
        <x:f>E40*cont_repay</x:f>
        <x:v>0.9422423342187877</x:v>
      </x:c>
      <x:c r="D41" s="53" t="n">
        <x:f>0</x:f>
        <x:v>0</x:v>
      </x:c>
      <x:c r="E41" s="53" t="n">
        <x:f>E40+B41-C41-D41</x:f>
        <x:v>22.613816021250905</x:v>
      </x:c>
      <x:c r="F41" s="53" t="n">
        <x:f>E40*cont_coupon</x:f>
        <x:v>1.1778029177734846</x:v>
      </x:c>
      <x:c r="G41" s="53" t="n">
        <x:f>SUMPRODUCT((Events!$B$6:$B$158&lt;=$A41)*(Events!$C$6:$C$158&gt;=$A41)*(Events!$E$6:$E$158="Loan")*(Events!$F$6:$F$158="Asia")*Events!$H$6:$H$158)</x:f>
        <x:v>0</x:v>
      </x:c>
      <x:c r="H41" s="53" t="n">
        <x:f>J40*asia_repay</x:f>
        <x:v>0.24838885983571363</x:v>
      </x:c>
      <x:c r="I41" s="53" t="n">
        <x:f>0</x:f>
        <x:v>0</x:v>
      </x:c>
      <x:c r="J41" s="53" t="n">
        <x:f>J40+G41-H41-I41</x:f>
        <x:v>5.961332636057127</x:v>
      </x:c>
      <x:c r="K41" s="53" t="n">
        <x:f>J40*asia_coupon</x:f>
        <x:v>0.3415346822741062</x:v>
      </x:c>
      <x:c r="L41" s="53" t="n">
        <x:f>SUMPRODUCT((Events!$B$6:$B$158&lt;=$A41)*(Events!$C$6:$C$158&gt;=$A41)*(Events!$E$6:$E$158="Loan")*(Events!$F$6:$F$158="Europe")*Events!$H$6:$H$158)</x:f>
        <x:v>0</x:v>
      </x:c>
      <x:c r="M41" s="53" t="n">
        <x:f>O40*Paths!AA41</x:f>
        <x:v>0.15225354275661002</x:v>
      </x:c>
      <x:c r="N41" s="53" t="n">
        <x:f>IF($A41=1918,russia_writeoff*(O40+L41),0)</x:f>
        <x:v>0</x:v>
      </x:c>
      <x:c r="O41" s="53" t="n">
        <x:f>O40+L41-M41-N41</x:f>
        <x:v>4.922864549130391</x:v>
      </x:c>
      <x:c r="P41" s="53" t="n">
        <x:f>O40*Paths!Z41*Paths!AB41</x:f>
        <x:v>0.25375590459435005</x:v>
      </x:c>
      <x:c r="Q41" s="53" t="n">
        <x:f>SUMPRODUCT((Events!$B$6:$B$158&lt;=$A41)*(Events!$C$6:$C$158&gt;=$A41)*(Events!$E$6:$E$158="Loan")*(Events!$F$6:$F$158="Rescue")*Events!$H$6:$H$158)</x:f>
        <x:v>0</x:v>
      </x:c>
      <x:c r="R41" s="53" t="n">
        <x:f>0</x:f>
        <x:v>0</x:v>
      </x:c>
      <x:c r="S41" s="53" t="n">
        <x:f>0</x:f>
        <x:v>0</x:v>
      </x:c>
      <x:c r="T41" s="53" t="n">
        <x:f>T40+Q41-R41-S41</x:f>
        <x:v>0</x:v>
      </x:c>
      <x:c r="U41" s="53" t="n">
        <x:f>T40*rescue_coupon</x:f>
        <x:v>0</x:v>
      </x:c>
      <x:c r="V41" s="53" t="n">
        <x:f>B41+G41+L41+Q41</x:f>
        <x:v>0</x:v>
      </x:c>
      <x:c r="W41" s="53" t="n">
        <x:f>C41+H41+M41+R41</x:f>
        <x:v>1.3428847368111114</x:v>
      </x:c>
      <x:c r="X41" s="53" t="n">
        <x:f>E41+J41+O41+T41</x:f>
        <x:v>33.49801320643842</x:v>
      </x:c>
      <x:c r="Y41" s="53" t="n">
        <x:f>F41+K41+P41+U41</x:f>
        <x:v>1.773093504641941</x:v>
      </x:c>
    </x:row>
    <x:row r="42">
      <x:c r="A42" s="58" t="n">
        <x:v>1882</x:v>
      </x:c>
      <x:c r="B42" s="53" t="n">
        <x:f>SUMPRODUCT((Events!$B$6:$B$158&lt;=$A42)*(Events!$C$6:$C$158&gt;=$A42)*(Events!$E$6:$E$158="Loan")*(Events!$F$6:$F$158="Continental")*Events!$H$6:$H$158)</x:f>
        <x:v>0</x:v>
      </x:c>
      <x:c r="C42" s="53" t="n">
        <x:f>E41*cont_repay</x:f>
        <x:v>0.9045526408500362</x:v>
      </x:c>
      <x:c r="D42" s="53" t="n">
        <x:f>0</x:f>
        <x:v>0</x:v>
      </x:c>
      <x:c r="E42" s="53" t="n">
        <x:f>E41+B42-C42-D42</x:f>
        <x:v>21.70926338040087</x:v>
      </x:c>
      <x:c r="F42" s="53" t="n">
        <x:f>E41*cont_coupon</x:f>
        <x:v>1.1306908010625454</x:v>
      </x:c>
      <x:c r="G42" s="53" t="n">
        <x:f>SUMPRODUCT((Events!$B$6:$B$158&lt;=$A42)*(Events!$C$6:$C$158&gt;=$A42)*(Events!$E$6:$E$158="Loan")*(Events!$F$6:$F$158="Asia")*Events!$H$6:$H$158)</x:f>
        <x:v>0</x:v>
      </x:c>
      <x:c r="H42" s="53" t="n">
        <x:f>J41*asia_repay</x:f>
        <x:v>0.23845330544228507</x:v>
      </x:c>
      <x:c r="I42" s="53" t="n">
        <x:f>0</x:f>
        <x:v>0</x:v>
      </x:c>
      <x:c r="J42" s="53" t="n">
        <x:f>J41+G42-H42-I42</x:f>
        <x:v>5.722879330614841</x:v>
      </x:c>
      <x:c r="K42" s="53" t="n">
        <x:f>J41*asia_coupon</x:f>
        <x:v>0.32787329498314194</x:v>
      </x:c>
      <x:c r="L42" s="53" t="n">
        <x:f>SUMPRODUCT((Events!$B$6:$B$158&lt;=$A42)*(Events!$C$6:$C$158&gt;=$A42)*(Events!$E$6:$E$158="Loan")*(Events!$F$6:$F$158="Europe")*Events!$H$6:$H$158)</x:f>
        <x:v>0</x:v>
      </x:c>
      <x:c r="M42" s="53" t="n">
        <x:f>O41*Paths!AA42</x:f>
        <x:v>0.1476859364739117</x:v>
      </x:c>
      <x:c r="N42" s="53" t="n">
        <x:f>IF($A42=1918,russia_writeoff*(O41+L42),0)</x:f>
        <x:v>0</x:v>
      </x:c>
      <x:c r="O42" s="53" t="n">
        <x:f>O41+L42-M42-N42</x:f>
        <x:v>4.775178612656479</x:v>
      </x:c>
      <x:c r="P42" s="53" t="n">
        <x:f>O41*Paths!Z42*Paths!AB42</x:f>
        <x:v>0.24614322745651954</x:v>
      </x:c>
      <x:c r="Q42" s="53" t="n">
        <x:f>SUMPRODUCT((Events!$B$6:$B$158&lt;=$A42)*(Events!$C$6:$C$158&gt;=$A42)*(Events!$E$6:$E$158="Loan")*(Events!$F$6:$F$158="Rescue")*Events!$H$6:$H$158)</x:f>
        <x:v>0</x:v>
      </x:c>
      <x:c r="R42" s="53" t="n">
        <x:f>0</x:f>
        <x:v>0</x:v>
      </x:c>
      <x:c r="S42" s="53" t="n">
        <x:f>0</x:f>
        <x:v>0</x:v>
      </x:c>
      <x:c r="T42" s="53" t="n">
        <x:f>T41+Q42-R42-S42</x:f>
        <x:v>0</x:v>
      </x:c>
      <x:c r="U42" s="53" t="n">
        <x:f>T41*rescue_coupon</x:f>
        <x:v>0</x:v>
      </x:c>
      <x:c r="V42" s="53" t="n">
        <x:f>B42+G42+L42+Q42</x:f>
        <x:v>0</x:v>
      </x:c>
      <x:c r="W42" s="53" t="n">
        <x:f>C42+H42+M42+R42</x:f>
        <x:v>1.2906918827662328</x:v>
      </x:c>
      <x:c r="X42" s="53" t="n">
        <x:f>E42+J42+O42+T42</x:f>
        <x:v>32.20732132367219</x:v>
      </x:c>
      <x:c r="Y42" s="53" t="n">
        <x:f>F42+K42+P42+U42</x:f>
        <x:v>1.704707323502207</x:v>
      </x:c>
    </x:row>
    <x:row r="43">
      <x:c r="A43" s="58" t="n">
        <x:v>1883</x:v>
      </x:c>
      <x:c r="B43" s="53" t="n">
        <x:f>SUMPRODUCT((Events!$B$6:$B$158&lt;=$A43)*(Events!$C$6:$C$158&gt;=$A43)*(Events!$E$6:$E$158="Loan")*(Events!$F$6:$F$158="Continental")*Events!$H$6:$H$158)</x:f>
        <x:v>0</x:v>
      </x:c>
      <x:c r="C43" s="53" t="n">
        <x:f>E42*cont_repay</x:f>
        <x:v>0.8683705352160348</x:v>
      </x:c>
      <x:c r="D43" s="53" t="n">
        <x:f>0</x:f>
        <x:v>0</x:v>
      </x:c>
      <x:c r="E43" s="53" t="n">
        <x:f>E42+B43-C43-D43</x:f>
        <x:v>20.840892845184836</x:v>
      </x:c>
      <x:c r="F43" s="53" t="n">
        <x:f>E42*cont_coupon</x:f>
        <x:v>1.0854631690200436</x:v>
      </x:c>
      <x:c r="G43" s="53" t="n">
        <x:f>SUMPRODUCT((Events!$B$6:$B$158&lt;=$A43)*(Events!$C$6:$C$158&gt;=$A43)*(Events!$E$6:$E$158="Loan")*(Events!$F$6:$F$158="Asia")*Events!$H$6:$H$158)</x:f>
        <x:v>0</x:v>
      </x:c>
      <x:c r="H43" s="53" t="n">
        <x:f>J42*asia_repay</x:f>
        <x:v>0.22891517322459365</x:v>
      </x:c>
      <x:c r="I43" s="53" t="n">
        <x:f>0</x:f>
        <x:v>0</x:v>
      </x:c>
      <x:c r="J43" s="53" t="n">
        <x:f>J42+G43-H43-I43</x:f>
        <x:v>5.493964157390248</x:v>
      </x:c>
      <x:c r="K43" s="53" t="n">
        <x:f>J42*asia_coupon</x:f>
        <x:v>0.3147583631838163</x:v>
      </x:c>
      <x:c r="L43" s="53" t="n">
        <x:f>SUMPRODUCT((Events!$B$6:$B$158&lt;=$A43)*(Events!$C$6:$C$158&gt;=$A43)*(Events!$E$6:$E$158="Loan")*(Events!$F$6:$F$158="Europe")*Events!$H$6:$H$158)</x:f>
        <x:v>0</x:v>
      </x:c>
      <x:c r="M43" s="53" t="n">
        <x:f>O42*Paths!AA43</x:f>
        <x:v>0.14325535837969436</x:v>
      </x:c>
      <x:c r="N43" s="53" t="n">
        <x:f>IF($A43=1918,russia_writeoff*(O42+L43),0)</x:f>
        <x:v>0</x:v>
      </x:c>
      <x:c r="O43" s="53" t="n">
        <x:f>O42+L43-M43-N43</x:f>
        <x:v>4.631923254276784</x:v>
      </x:c>
      <x:c r="P43" s="53" t="n">
        <x:f>O42*Paths!Z43*Paths!AB43</x:f>
        <x:v>0.23875893063282394</x:v>
      </x:c>
      <x:c r="Q43" s="53" t="n">
        <x:f>SUMPRODUCT((Events!$B$6:$B$158&lt;=$A43)*(Events!$C$6:$C$158&gt;=$A43)*(Events!$E$6:$E$158="Loan")*(Events!$F$6:$F$158="Rescue")*Events!$H$6:$H$158)</x:f>
        <x:v>0</x:v>
      </x:c>
      <x:c r="R43" s="53" t="n">
        <x:f>0</x:f>
        <x:v>0</x:v>
      </x:c>
      <x:c r="S43" s="53" t="n">
        <x:f>0</x:f>
        <x:v>0</x:v>
      </x:c>
      <x:c r="T43" s="53" t="n">
        <x:f>T42+Q43-R43-S43</x:f>
        <x:v>0</x:v>
      </x:c>
      <x:c r="U43" s="53" t="n">
        <x:f>T42*rescue_coupon</x:f>
        <x:v>0</x:v>
      </x:c>
      <x:c r="V43" s="53" t="n">
        <x:f>B43+G43+L43+Q43</x:f>
        <x:v>0</x:v>
      </x:c>
      <x:c r="W43" s="53" t="n">
        <x:f>C43+H43+M43+R43</x:f>
        <x:v>1.2405410668203227</x:v>
      </x:c>
      <x:c r="X43" s="53" t="n">
        <x:f>E43+J43+O43+T43</x:f>
        <x:v>30.96678025685187</x:v>
      </x:c>
      <x:c r="Y43" s="53" t="n">
        <x:f>F43+K43+P43+U43</x:f>
        <x:v>1.6389804628366837</x:v>
      </x:c>
    </x:row>
    <x:row r="44">
      <x:c r="A44" s="58" t="n">
        <x:v>1884</x:v>
      </x:c>
      <x:c r="B44" s="53" t="n">
        <x:f>SUMPRODUCT((Events!$B$6:$B$158&lt;=$A44)*(Events!$C$6:$C$158&gt;=$A44)*(Events!$E$6:$E$158="Loan")*(Events!$F$6:$F$158="Continental")*Events!$H$6:$H$158)</x:f>
        <x:v>0</x:v>
      </x:c>
      <x:c r="C44" s="53" t="n">
        <x:f>E43*cont_repay</x:f>
        <x:v>0.8336357138073934</x:v>
      </x:c>
      <x:c r="D44" s="53" t="n">
        <x:f>0</x:f>
        <x:v>0</x:v>
      </x:c>
      <x:c r="E44" s="53" t="n">
        <x:f>E43+B44-C44-D44</x:f>
        <x:v>20.007257131377443</x:v>
      </x:c>
      <x:c r="F44" s="53" t="n">
        <x:f>E43*cont_coupon</x:f>
        <x:v>1.0420446422592418</x:v>
      </x:c>
      <x:c r="G44" s="53" t="n">
        <x:f>SUMPRODUCT((Events!$B$6:$B$158&lt;=$A44)*(Events!$C$6:$C$158&gt;=$A44)*(Events!$E$6:$E$158="Loan")*(Events!$F$6:$F$158="Asia")*Events!$H$6:$H$158)</x:f>
        <x:v>0</x:v>
      </x:c>
      <x:c r="H44" s="53" t="n">
        <x:f>J43*asia_repay</x:f>
        <x:v>0.21975856629560991</x:v>
      </x:c>
      <x:c r="I44" s="53" t="n">
        <x:f>0</x:f>
        <x:v>0</x:v>
      </x:c>
      <x:c r="J44" s="53" t="n">
        <x:f>J43+G44-H44-I44</x:f>
        <x:v>5.2742055910946375</x:v>
      </x:c>
      <x:c r="K44" s="53" t="n">
        <x:f>J43*asia_coupon</x:f>
        <x:v>0.30216802865646364</x:v>
      </x:c>
      <x:c r="L44" s="53" t="n">
        <x:f>SUMPRODUCT((Events!$B$6:$B$158&lt;=$A44)*(Events!$C$6:$C$158&gt;=$A44)*(Events!$E$6:$E$158="Loan")*(Events!$F$6:$F$158="Europe")*Events!$H$6:$H$158)</x:f>
        <x:v>0</x:v>
      </x:c>
      <x:c r="M44" s="53" t="n">
        <x:f>O43*Paths!AA44</x:f>
        <x:v>0.1389576976283035</x:v>
      </x:c>
      <x:c r="N44" s="53" t="n">
        <x:f>IF($A44=1918,russia_writeoff*(O43+L44),0)</x:f>
        <x:v>0</x:v>
      </x:c>
      <x:c r="O44" s="53" t="n">
        <x:f>O43+L44-M44-N44</x:f>
        <x:v>4.492965556648481</x:v>
      </x:c>
      <x:c r="P44" s="53" t="n">
        <x:f>O43*Paths!Z44*Paths!AB44</x:f>
        <x:v>0.2315961627138392</x:v>
      </x:c>
      <x:c r="Q44" s="53" t="n">
        <x:f>SUMPRODUCT((Events!$B$6:$B$158&lt;=$A44)*(Events!$C$6:$C$158&gt;=$A44)*(Events!$E$6:$E$158="Loan")*(Events!$F$6:$F$158="Rescue")*Events!$H$6:$H$158)</x:f>
        <x:v>0</x:v>
      </x:c>
      <x:c r="R44" s="53" t="n">
        <x:f>0</x:f>
        <x:v>0</x:v>
      </x:c>
      <x:c r="S44" s="53" t="n">
        <x:f>0</x:f>
        <x:v>0</x:v>
      </x:c>
      <x:c r="T44" s="53" t="n">
        <x:f>T43+Q44-R44-S44</x:f>
        <x:v>0</x:v>
      </x:c>
      <x:c r="U44" s="53" t="n">
        <x:f>T43*rescue_coupon</x:f>
        <x:v>0</x:v>
      </x:c>
      <x:c r="V44" s="53" t="n">
        <x:f>B44+G44+L44+Q44</x:f>
        <x:v>0</x:v>
      </x:c>
      <x:c r="W44" s="53" t="n">
        <x:f>C44+H44+M44+R44</x:f>
        <x:v>1.192351977731307</x:v>
      </x:c>
      <x:c r="X44" s="53" t="n">
        <x:f>E44+J44+O44+T44</x:f>
        <x:v>29.774428279120563</x:v>
      </x:c>
      <x:c r="Y44" s="53" t="n">
        <x:f>F44+K44+P44+U44</x:f>
        <x:v>1.5758088336295446</x:v>
      </x:c>
    </x:row>
    <x:row r="45">
      <x:c r="A45" s="58" t="n">
        <x:v>1885</x:v>
      </x:c>
      <x:c r="B45" s="53" t="n">
        <x:f>SUMPRODUCT((Events!$B$6:$B$158&lt;=$A45)*(Events!$C$6:$C$158&gt;=$A45)*(Events!$E$6:$E$158="Loan")*(Events!$F$6:$F$158="Continental")*Events!$H$6:$H$158)</x:f>
        <x:v>0</x:v>
      </x:c>
      <x:c r="C45" s="53" t="n">
        <x:f>E44*cont_repay</x:f>
        <x:v>0.8002902852550977</x:v>
      </x:c>
      <x:c r="D45" s="53" t="n">
        <x:f>0</x:f>
        <x:v>0</x:v>
      </x:c>
      <x:c r="E45" s="53" t="n">
        <x:f>E44+B45-C45-D45</x:f>
        <x:v>19.206966846122345</x:v>
      </x:c>
      <x:c r="F45" s="53" t="n">
        <x:f>E44*cont_coupon</x:f>
        <x:v>1.0003628565688722</x:v>
      </x:c>
      <x:c r="G45" s="53" t="n">
        <x:f>SUMPRODUCT((Events!$B$6:$B$158&lt;=$A45)*(Events!$C$6:$C$158&gt;=$A45)*(Events!$E$6:$E$158="Loan")*(Events!$F$6:$F$158="Asia")*Events!$H$6:$H$158)</x:f>
        <x:v>0.6</x:v>
      </x:c>
      <x:c r="H45" s="53" t="n">
        <x:f>J44*asia_repay</x:f>
        <x:v>0.2109682236437855</x:v>
      </x:c>
      <x:c r="I45" s="53" t="n">
        <x:f>0</x:f>
        <x:v>0</x:v>
      </x:c>
      <x:c r="J45" s="53" t="n">
        <x:f>J44+G45-H45-I45</x:f>
        <x:v>5.663237367450852</x:v>
      </x:c>
      <x:c r="K45" s="53" t="n">
        <x:f>J44*asia_coupon</x:f>
        <x:v>0.29008130751020506</x:v>
      </x:c>
      <x:c r="L45" s="53" t="n">
        <x:f>SUMPRODUCT((Events!$B$6:$B$158&lt;=$A45)*(Events!$C$6:$C$158&gt;=$A45)*(Events!$E$6:$E$158="Loan")*(Events!$F$6:$F$158="Europe")*Events!$H$6:$H$158)</x:f>
        <x:v>0</x:v>
      </x:c>
      <x:c r="M45" s="53" t="n">
        <x:f>O44*Paths!AA45</x:f>
        <x:v>0.13478896669945442</x:v>
      </x:c>
      <x:c r="N45" s="53" t="n">
        <x:f>IF($A45=1918,russia_writeoff*(O44+L45),0)</x:f>
        <x:v>0</x:v>
      </x:c>
      <x:c r="O45" s="53" t="n">
        <x:f>O44+L45-M45-N45</x:f>
        <x:v>4.358176589949027</x:v>
      </x:c>
      <x:c r="P45" s="53" t="n">
        <x:f>O44*Paths!Z45*Paths!AB45</x:f>
        <x:v>0.22464827783242405</x:v>
      </x:c>
      <x:c r="Q45" s="53" t="n">
        <x:f>SUMPRODUCT((Events!$B$6:$B$158&lt;=$A45)*(Events!$C$6:$C$158&gt;=$A45)*(Events!$E$6:$E$158="Loan")*(Events!$F$6:$F$158="Rescue")*Events!$H$6:$H$158)</x:f>
        <x:v>0</x:v>
      </x:c>
      <x:c r="R45" s="53" t="n">
        <x:f>0</x:f>
        <x:v>0</x:v>
      </x:c>
      <x:c r="S45" s="53" t="n">
        <x:f>0</x:f>
        <x:v>0</x:v>
      </x:c>
      <x:c r="T45" s="53" t="n">
        <x:f>T44+Q45-R45-S45</x:f>
        <x:v>0</x:v>
      </x:c>
      <x:c r="U45" s="53" t="n">
        <x:f>T44*rescue_coupon</x:f>
        <x:v>0</x:v>
      </x:c>
      <x:c r="V45" s="53" t="n">
        <x:f>B45+G45+L45+Q45</x:f>
        <x:v>0.6</x:v>
      </x:c>
      <x:c r="W45" s="53" t="n">
        <x:f>C45+H45+M45+R45</x:f>
        <x:v>1.1460474755983376</x:v>
      </x:c>
      <x:c r="X45" s="53" t="n">
        <x:f>E45+J45+O45+T45</x:f>
        <x:v>29.22838080352222</x:v>
      </x:c>
      <x:c r="Y45" s="53" t="n">
        <x:f>F45+K45+P45+U45</x:f>
        <x:v>1.5150924419115015</x:v>
      </x:c>
    </x:row>
    <x:row r="46">
      <x:c r="A46" s="58" t="n">
        <x:v>1886</x:v>
      </x:c>
      <x:c r="B46" s="53" t="n">
        <x:f>SUMPRODUCT((Events!$B$6:$B$158&lt;=$A46)*(Events!$C$6:$C$158&gt;=$A46)*(Events!$E$6:$E$158="Loan")*(Events!$F$6:$F$158="Continental")*Events!$H$6:$H$158)</x:f>
        <x:v>0</x:v>
      </x:c>
      <x:c r="C46" s="53" t="n">
        <x:f>E45*cont_repay</x:f>
        <x:v>0.7682786738448938</x:v>
      </x:c>
      <x:c r="D46" s="53" t="n">
        <x:f>0</x:f>
        <x:v>0</x:v>
      </x:c>
      <x:c r="E46" s="53" t="n">
        <x:f>E45+B46-C46-D46</x:f>
        <x:v>18.438688172277452</x:v>
      </x:c>
      <x:c r="F46" s="53" t="n">
        <x:f>E45*cont_coupon</x:f>
        <x:v>0.9603483423061173</x:v>
      </x:c>
      <x:c r="G46" s="53" t="n">
        <x:f>SUMPRODUCT((Events!$B$6:$B$158&lt;=$A46)*(Events!$C$6:$C$158&gt;=$A46)*(Events!$E$6:$E$158="Loan")*(Events!$F$6:$F$158="Asia")*Events!$H$6:$H$158)</x:f>
        <x:v>0</x:v>
      </x:c>
      <x:c r="H46" s="53" t="n">
        <x:f>J45*asia_repay</x:f>
        <x:v>0.22652949469803407</x:v>
      </x:c>
      <x:c r="I46" s="53" t="n">
        <x:f>0</x:f>
        <x:v>0</x:v>
      </x:c>
      <x:c r="J46" s="53" t="n">
        <x:f>J45+G46-H46-I46</x:f>
        <x:v>5.436707872752818</x:v>
      </x:c>
      <x:c r="K46" s="53" t="n">
        <x:f>J45*asia_coupon</x:f>
        <x:v>0.3114780552097968</x:v>
      </x:c>
      <x:c r="L46" s="53" t="n">
        <x:f>SUMPRODUCT((Events!$B$6:$B$158&lt;=$A46)*(Events!$C$6:$C$158&gt;=$A46)*(Events!$E$6:$E$158="Loan")*(Events!$F$6:$F$158="Europe")*Events!$H$6:$H$158)</x:f>
        <x:v>0</x:v>
      </x:c>
      <x:c r="M46" s="53" t="n">
        <x:f>O45*Paths!AA46</x:f>
        <x:v>0.1307452976984708</x:v>
      </x:c>
      <x:c r="N46" s="53" t="n">
        <x:f>IF($A46=1918,russia_writeoff*(O45+L46),0)</x:f>
        <x:v>0</x:v>
      </x:c>
      <x:c r="O46" s="53" t="n">
        <x:f>O45+L46-M46-N46</x:f>
        <x:v>4.227431292250556</x:v>
      </x:c>
      <x:c r="P46" s="53" t="n">
        <x:f>O45*Paths!Z46*Paths!AB46</x:f>
        <x:v>0.21790882949745136</x:v>
      </x:c>
      <x:c r="Q46" s="53" t="n">
        <x:f>SUMPRODUCT((Events!$B$6:$B$158&lt;=$A46)*(Events!$C$6:$C$158&gt;=$A46)*(Events!$E$6:$E$158="Loan")*(Events!$F$6:$F$158="Rescue")*Events!$H$6:$H$158)</x:f>
        <x:v>0</x:v>
      </x:c>
      <x:c r="R46" s="53" t="n">
        <x:f>0</x:f>
        <x:v>0</x:v>
      </x:c>
      <x:c r="S46" s="53" t="n">
        <x:f>0</x:f>
        <x:v>0</x:v>
      </x:c>
      <x:c r="T46" s="53" t="n">
        <x:f>T45+Q46-R46-S46</x:f>
        <x:v>0</x:v>
      </x:c>
      <x:c r="U46" s="53" t="n">
        <x:f>T45*rescue_coupon</x:f>
        <x:v>0</x:v>
      </x:c>
      <x:c r="V46" s="53" t="n">
        <x:f>B46+G46+L46+Q46</x:f>
        <x:v>0</x:v>
      </x:c>
      <x:c r="W46" s="53" t="n">
        <x:f>C46+H46+M46+R46</x:f>
        <x:v>1.1255534662413986</x:v>
      </x:c>
      <x:c r="X46" s="53" t="n">
        <x:f>E46+J46+O46+T46</x:f>
        <x:v>28.10282733728083</x:v>
      </x:c>
      <x:c r="Y46" s="53" t="n">
        <x:f>F46+K46+P46+U46</x:f>
        <x:v>1.4897352270133655</x:v>
      </x:c>
    </x:row>
    <x:row r="47">
      <x:c r="A47" s="58" t="n">
        <x:v>1887</x:v>
      </x:c>
      <x:c r="B47" s="53" t="n">
        <x:f>SUMPRODUCT((Events!$B$6:$B$158&lt;=$A47)*(Events!$C$6:$C$158&gt;=$A47)*(Events!$E$6:$E$158="Loan")*(Events!$F$6:$F$158="Continental")*Events!$H$6:$H$158)</x:f>
        <x:v>0</x:v>
      </x:c>
      <x:c r="C47" s="53" t="n">
        <x:f>E46*cont_repay</x:f>
        <x:v>0.737547526891098</x:v>
      </x:c>
      <x:c r="D47" s="53" t="n">
        <x:f>0</x:f>
        <x:v>0</x:v>
      </x:c>
      <x:c r="E47" s="53" t="n">
        <x:f>E46+B47-C47-D47</x:f>
        <x:v>17.701140645386353</x:v>
      </x:c>
      <x:c r="F47" s="53" t="n">
        <x:f>E46*cont_coupon</x:f>
        <x:v>0.9219344086138727</x:v>
      </x:c>
      <x:c r="G47" s="53" t="n">
        <x:f>SUMPRODUCT((Events!$B$6:$B$158&lt;=$A47)*(Events!$C$6:$C$158&gt;=$A47)*(Events!$E$6:$E$158="Loan")*(Events!$F$6:$F$158="Asia")*Events!$H$6:$H$158)</x:f>
        <x:v>0</x:v>
      </x:c>
      <x:c r="H47" s="53" t="n">
        <x:f>J46*asia_repay</x:f>
        <x:v>0.2174683149101127</x:v>
      </x:c>
      <x:c r="I47" s="53" t="n">
        <x:f>0</x:f>
        <x:v>0</x:v>
      </x:c>
      <x:c r="J47" s="53" t="n">
        <x:f>J46+G47-H47-I47</x:f>
        <x:v>5.219239557842705</x:v>
      </x:c>
      <x:c r="K47" s="53" t="n">
        <x:f>J46*asia_coupon</x:f>
        <x:v>0.299018933001405</x:v>
      </x:c>
      <x:c r="L47" s="53" t="n">
        <x:f>SUMPRODUCT((Events!$B$6:$B$158&lt;=$A47)*(Events!$C$6:$C$158&gt;=$A47)*(Events!$E$6:$E$158="Loan")*(Events!$F$6:$F$158="Europe")*Events!$H$6:$H$158)</x:f>
        <x:v>0</x:v>
      </x:c>
      <x:c r="M47" s="53" t="n">
        <x:f>O46*Paths!AA47</x:f>
        <x:v>0.12682293876751669</x:v>
      </x:c>
      <x:c r="N47" s="53" t="n">
        <x:f>IF($A47=1918,russia_writeoff*(O46+L47),0)</x:f>
        <x:v>0</x:v>
      </x:c>
      <x:c r="O47" s="53" t="n">
        <x:f>O46+L47-M47-N47</x:f>
        <x:v>4.1006083534830395</x:v>
      </x:c>
      <x:c r="P47" s="53" t="n">
        <x:f>O46*Paths!Z47*Paths!AB47</x:f>
        <x:v>0.21137156461252782</x:v>
      </x:c>
      <x:c r="Q47" s="53" t="n">
        <x:f>SUMPRODUCT((Events!$B$6:$B$158&lt;=$A47)*(Events!$C$6:$C$158&gt;=$A47)*(Events!$E$6:$E$158="Loan")*(Events!$F$6:$F$158="Rescue")*Events!$H$6:$H$158)</x:f>
        <x:v>0</x:v>
      </x:c>
      <x:c r="R47" s="53" t="n">
        <x:f>0</x:f>
        <x:v>0</x:v>
      </x:c>
      <x:c r="S47" s="53" t="n">
        <x:f>0</x:f>
        <x:v>0</x:v>
      </x:c>
      <x:c r="T47" s="53" t="n">
        <x:f>T46+Q47-R47-S47</x:f>
        <x:v>0</x:v>
      </x:c>
      <x:c r="U47" s="53" t="n">
        <x:f>T46*rescue_coupon</x:f>
        <x:v>0</x:v>
      </x:c>
      <x:c r="V47" s="53" t="n">
        <x:f>B47+G47+L47+Q47</x:f>
        <x:v>0</x:v>
      </x:c>
      <x:c r="W47" s="53" t="n">
        <x:f>C47+H47+M47+R47</x:f>
        <x:v>1.0818387805687273</x:v>
      </x:c>
      <x:c r="X47" s="53" t="n">
        <x:f>E47+J47+O47+T47</x:f>
        <x:v>27.020988556712098</x:v>
      </x:c>
      <x:c r="Y47" s="53" t="n">
        <x:f>F47+K47+P47+U47</x:f>
        <x:v>1.4323249062278054</x:v>
      </x:c>
    </x:row>
    <x:row r="48">
      <x:c r="A48" s="58" t="n">
        <x:v>1888</x:v>
      </x:c>
      <x:c r="B48" s="53" t="n">
        <x:f>SUMPRODUCT((Events!$B$6:$B$158&lt;=$A48)*(Events!$C$6:$C$158&gt;=$A48)*(Events!$E$6:$E$158="Loan")*(Events!$F$6:$F$158="Continental")*Events!$H$6:$H$158)</x:f>
        <x:v>3</x:v>
      </x:c>
      <x:c r="C48" s="53" t="n">
        <x:f>E47*cont_repay</x:f>
        <x:v>0.7080456258154542</x:v>
      </x:c>
      <x:c r="D48" s="53" t="n">
        <x:f>0</x:f>
        <x:v>0</x:v>
      </x:c>
      <x:c r="E48" s="53" t="n">
        <x:f>E47+B48-C48-D48</x:f>
        <x:v>19.993095019570898</x:v>
      </x:c>
      <x:c r="F48" s="53" t="n">
        <x:f>E47*cont_coupon</x:f>
        <x:v>0.8850570322693176</x:v>
      </x:c>
      <x:c r="G48" s="53" t="n">
        <x:f>SUMPRODUCT((Events!$B$6:$B$158&lt;=$A48)*(Events!$C$6:$C$158&gt;=$A48)*(Events!$E$6:$E$158="Loan")*(Events!$F$6:$F$158="Asia")*Events!$H$6:$H$158)</x:f>
        <x:v>0</x:v>
      </x:c>
      <x:c r="H48" s="53" t="n">
        <x:f>J47*asia_repay</x:f>
        <x:v>0.2087695823137082</x:v>
      </x:c>
      <x:c r="I48" s="53" t="n">
        <x:f>0</x:f>
        <x:v>0</x:v>
      </x:c>
      <x:c r="J48" s="53" t="n">
        <x:f>J47+G48-H48-I48</x:f>
        <x:v>5.010469975528997</x:v>
      </x:c>
      <x:c r="K48" s="53" t="n">
        <x:f>J47*asia_coupon</x:f>
        <x:v>0.2870581756813488</x:v>
      </x:c>
      <x:c r="L48" s="53" t="n">
        <x:f>SUMPRODUCT((Events!$B$6:$B$158&lt;=$A48)*(Events!$C$6:$C$158&gt;=$A48)*(Events!$E$6:$E$158="Loan")*(Events!$F$6:$F$158="Europe")*Events!$H$6:$H$158)</x:f>
        <x:v>0</x:v>
      </x:c>
      <x:c r="M48" s="53" t="n">
        <x:f>O47*Paths!AA48</x:f>
        <x:v>0.12301825060449117</x:v>
      </x:c>
      <x:c r="N48" s="53" t="n">
        <x:f>IF($A48=1918,russia_writeoff*(O47+L48),0)</x:f>
        <x:v>0</x:v>
      </x:c>
      <x:c r="O48" s="53" t="n">
        <x:f>O47+L48-M48-N48</x:f>
        <x:v>3.9775901028785485</x:v>
      </x:c>
      <x:c r="P48" s="53" t="n">
        <x:f>O47*Paths!Z48*Paths!AB48</x:f>
        <x:v>0.20503041767415198</x:v>
      </x:c>
      <x:c r="Q48" s="53" t="n">
        <x:f>SUMPRODUCT((Events!$B$6:$B$158&lt;=$A48)*(Events!$C$6:$C$158&gt;=$A48)*(Events!$E$6:$E$158="Loan")*(Events!$F$6:$F$158="Rescue")*Events!$H$6:$H$158)</x:f>
        <x:v>0</x:v>
      </x:c>
      <x:c r="R48" s="53" t="n">
        <x:f>0</x:f>
        <x:v>0</x:v>
      </x:c>
      <x:c r="S48" s="53" t="n">
        <x:f>0</x:f>
        <x:v>0</x:v>
      </x:c>
      <x:c r="T48" s="53" t="n">
        <x:f>T47+Q48-R48-S48</x:f>
        <x:v>0</x:v>
      </x:c>
      <x:c r="U48" s="53" t="n">
        <x:f>T47*rescue_coupon</x:f>
        <x:v>0</x:v>
      </x:c>
      <x:c r="V48" s="53" t="n">
        <x:f>B48+G48+L48+Q48</x:f>
        <x:v>3</x:v>
      </x:c>
      <x:c r="W48" s="53" t="n">
        <x:f>C48+H48+M48+R48</x:f>
        <x:v>1.0398334587336535</x:v>
      </x:c>
      <x:c r="X48" s="53" t="n">
        <x:f>E48+J48+O48+T48</x:f>
        <x:v>28.98115509797844</x:v>
      </x:c>
      <x:c r="Y48" s="53" t="n">
        <x:f>F48+K48+P48+U48</x:f>
        <x:v>1.3771456256248185</x:v>
      </x:c>
    </x:row>
    <x:row r="49">
      <x:c r="A49" s="58" t="n">
        <x:v>1889</x:v>
      </x:c>
      <x:c r="B49" s="53" t="n">
        <x:f>SUMPRODUCT((Events!$B$6:$B$158&lt;=$A49)*(Events!$C$6:$C$158&gt;=$A49)*(Events!$E$6:$E$158="Loan")*(Events!$F$6:$F$158="Continental")*Events!$H$6:$H$158)</x:f>
        <x:v>3</x:v>
      </x:c>
      <x:c r="C49" s="53" t="n">
        <x:f>E48*cont_repay</x:f>
        <x:v>0.7997238007828359</x:v>
      </x:c>
      <x:c r="D49" s="53" t="n">
        <x:f>0</x:f>
        <x:v>0</x:v>
      </x:c>
      <x:c r="E49" s="53" t="n">
        <x:f>E48+B49-C49-D49</x:f>
        <x:v>22.193371218788062</x:v>
      </x:c>
      <x:c r="F49" s="53" t="n">
        <x:f>E48*cont_coupon</x:f>
        <x:v>0.999654750978545</x:v>
      </x:c>
      <x:c r="G49" s="53" t="n">
        <x:f>SUMPRODUCT((Events!$B$6:$B$158&lt;=$A49)*(Events!$C$6:$C$158&gt;=$A49)*(Events!$E$6:$E$158="Loan")*(Events!$F$6:$F$158="Asia")*Events!$H$6:$H$158)</x:f>
        <x:v>0</x:v>
      </x:c>
      <x:c r="H49" s="53" t="n">
        <x:f>J48*asia_repay</x:f>
        <x:v>0.2004187990211599</x:v>
      </x:c>
      <x:c r="I49" s="53" t="n">
        <x:f>0</x:f>
        <x:v>0</x:v>
      </x:c>
      <x:c r="J49" s="53" t="n">
        <x:f>J48+G49-H49-I49</x:f>
        <x:v>4.810051176507837</x:v>
      </x:c>
      <x:c r="K49" s="53" t="n">
        <x:f>J48*asia_coupon</x:f>
        <x:v>0.27557584865409485</x:v>
      </x:c>
      <x:c r="L49" s="53" t="n">
        <x:f>SUMPRODUCT((Events!$B$6:$B$158&lt;=$A49)*(Events!$C$6:$C$158&gt;=$A49)*(Events!$E$6:$E$158="Loan")*(Events!$F$6:$F$158="Europe")*Events!$H$6:$H$158)</x:f>
        <x:v>0</x:v>
      </x:c>
      <x:c r="M49" s="53" t="n">
        <x:f>O48*Paths!AA49</x:f>
        <x:v>0.11932770308635646</x:v>
      </x:c>
      <x:c r="N49" s="53" t="n">
        <x:f>IF($A49=1918,russia_writeoff*(O48+L49),0)</x:f>
        <x:v>0</x:v>
      </x:c>
      <x:c r="O49" s="53" t="n">
        <x:f>O48+L49-M49-N49</x:f>
        <x:v>3.858262399792192</x:v>
      </x:c>
      <x:c r="P49" s="53" t="n">
        <x:f>O48*Paths!Z49*Paths!AB49</x:f>
        <x:v>0.19887950514392744</x:v>
      </x:c>
      <x:c r="Q49" s="53" t="n">
        <x:f>SUMPRODUCT((Events!$B$6:$B$158&lt;=$A49)*(Events!$C$6:$C$158&gt;=$A49)*(Events!$E$6:$E$158="Loan")*(Events!$F$6:$F$158="Rescue")*Events!$H$6:$H$158)</x:f>
        <x:v>0</x:v>
      </x:c>
      <x:c r="R49" s="53" t="n">
        <x:f>0</x:f>
        <x:v>0</x:v>
      </x:c>
      <x:c r="S49" s="53" t="n">
        <x:f>0</x:f>
        <x:v>0</x:v>
      </x:c>
      <x:c r="T49" s="53" t="n">
        <x:f>T48+Q49-R49-S49</x:f>
        <x:v>0</x:v>
      </x:c>
      <x:c r="U49" s="53" t="n">
        <x:f>T48*rescue_coupon</x:f>
        <x:v>0</x:v>
      </x:c>
      <x:c r="V49" s="53" t="n">
        <x:f>B49+G49+L49+Q49</x:f>
        <x:v>3</x:v>
      </x:c>
      <x:c r="W49" s="53" t="n">
        <x:f>C49+H49+M49+R49</x:f>
        <x:v>1.119470302890352</x:v>
      </x:c>
      <x:c r="X49" s="53" t="n">
        <x:f>E49+J49+O49+T49</x:f>
        <x:v>30.86168479508809</x:v>
      </x:c>
      <x:c r="Y49" s="53" t="n">
        <x:f>F49+K49+P49+U49</x:f>
        <x:v>1.4741101047765672</x:v>
      </x:c>
    </x:row>
    <x:row r="50">
      <x:c r="A50" s="58" t="n">
        <x:v>1890</x:v>
      </x:c>
      <x:c r="B50" s="53" t="n">
        <x:f>SUMPRODUCT((Events!$B$6:$B$158&lt;=$A50)*(Events!$C$6:$C$158&gt;=$A50)*(Events!$E$6:$E$158="Loan")*(Events!$F$6:$F$158="Continental")*Events!$H$6:$H$158)</x:f>
        <x:v>0</x:v>
      </x:c>
      <x:c r="C50" s="53" t="n">
        <x:f>E49*cont_repay</x:f>
        <x:v>0.8877348487515225</x:v>
      </x:c>
      <x:c r="D50" s="53" t="n">
        <x:f>0</x:f>
        <x:v>0</x:v>
      </x:c>
      <x:c r="E50" s="53" t="n">
        <x:f>E49+B50-C50-D50</x:f>
        <x:v>21.305636370036538</x:v>
      </x:c>
      <x:c r="F50" s="53" t="n">
        <x:f>E49*cont_coupon</x:f>
        <x:v>1.1096685609394032</x:v>
      </x:c>
      <x:c r="G50" s="53" t="n">
        <x:f>SUMPRODUCT((Events!$B$6:$B$158&lt;=$A50)*(Events!$C$6:$C$158&gt;=$A50)*(Events!$E$6:$E$158="Loan")*(Events!$F$6:$F$158="Asia")*Events!$H$6:$H$158)</x:f>
        <x:v>0</x:v>
      </x:c>
      <x:c r="H50" s="53" t="n">
        <x:f>J49*asia_repay</x:f>
        <x:v>0.1924020470603135</x:v>
      </x:c>
      <x:c r="I50" s="53" t="n">
        <x:f>0</x:f>
        <x:v>0</x:v>
      </x:c>
      <x:c r="J50" s="53" t="n">
        <x:f>J49+G50-H50-I50</x:f>
        <x:v>4.617649129447524</x:v>
      </x:c>
      <x:c r="K50" s="53" t="n">
        <x:f>J49*asia_coupon</x:f>
        <x:v>0.26455281470793107</x:v>
      </x:c>
      <x:c r="L50" s="53" t="n">
        <x:f>SUMPRODUCT((Events!$B$6:$B$158&lt;=$A50)*(Events!$C$6:$C$158&gt;=$A50)*(Events!$E$6:$E$158="Loan")*(Events!$F$6:$F$158="Europe")*Events!$H$6:$H$158)</x:f>
        <x:v>1.5</x:v>
      </x:c>
      <x:c r="M50" s="53" t="n">
        <x:f>O49*Paths!AA50</x:f>
        <x:v>0.11574787199376575</x:v>
      </x:c>
      <x:c r="N50" s="53" t="n">
        <x:f>IF($A50=1918,russia_writeoff*(O49+L50),0)</x:f>
        <x:v>0</x:v>
      </x:c>
      <x:c r="O50" s="53" t="n">
        <x:f>O49+L50-M50-N50</x:f>
        <x:v>5.242514527798426</x:v>
      </x:c>
      <x:c r="P50" s="53" t="n">
        <x:f>O49*Paths!Z50*Paths!AB50</x:f>
        <x:v>0.1929131199896096</x:v>
      </x:c>
      <x:c r="Q50" s="53" t="n">
        <x:f>SUMPRODUCT((Events!$B$6:$B$158&lt;=$A50)*(Events!$C$6:$C$158&gt;=$A50)*(Events!$E$6:$E$158="Loan")*(Events!$F$6:$F$158="Rescue")*Events!$H$6:$H$158)</x:f>
        <x:v>0</x:v>
      </x:c>
      <x:c r="R50" s="53" t="n">
        <x:f>0</x:f>
        <x:v>0</x:v>
      </x:c>
      <x:c r="S50" s="53" t="n">
        <x:f>0</x:f>
        <x:v>0</x:v>
      </x:c>
      <x:c r="T50" s="53" t="n">
        <x:f>T49+Q50-R50-S50</x:f>
        <x:v>0</x:v>
      </x:c>
      <x:c r="U50" s="53" t="n">
        <x:f>T49*rescue_coupon</x:f>
        <x:v>0</x:v>
      </x:c>
      <x:c r="V50" s="53" t="n">
        <x:f>B50+G50+L50+Q50</x:f>
        <x:v>1.5</x:v>
      </x:c>
      <x:c r="W50" s="53" t="n">
        <x:f>C50+H50+M50+R50</x:f>
        <x:v>1.1958847678056017</x:v>
      </x:c>
      <x:c r="X50" s="53" t="n">
        <x:f>E50+J50+O50+T50</x:f>
        <x:v>31.16580002728249</x:v>
      </x:c>
      <x:c r="Y50" s="53" t="n">
        <x:f>F50+K50+P50+U50</x:f>
        <x:v>1.567134495636944</x:v>
      </x:c>
    </x:row>
    <x:row r="51">
      <x:c r="A51" s="58" t="n">
        <x:v>1891</x:v>
      </x:c>
      <x:c r="B51" s="53" t="n">
        <x:f>SUMPRODUCT((Events!$B$6:$B$158&lt;=$A51)*(Events!$C$6:$C$158&gt;=$A51)*(Events!$E$6:$E$158="Loan")*(Events!$F$6:$F$158="Continental")*Events!$H$6:$H$158)</x:f>
        <x:v>0</x:v>
      </x:c>
      <x:c r="C51" s="53" t="n">
        <x:f>E50*cont_repay</x:f>
        <x:v>0.8522254548014615</x:v>
      </x:c>
      <x:c r="D51" s="53" t="n">
        <x:f>0</x:f>
        <x:v>0</x:v>
      </x:c>
      <x:c r="E51" s="53" t="n">
        <x:f>E50+B51-C51-D51</x:f>
        <x:v>20.453410915235075</x:v>
      </x:c>
      <x:c r="F51" s="53" t="n">
        <x:f>E50*cont_coupon</x:f>
        <x:v>1.065281818501827</x:v>
      </x:c>
      <x:c r="G51" s="53" t="n">
        <x:f>SUMPRODUCT((Events!$B$6:$B$158&lt;=$A51)*(Events!$C$6:$C$158&gt;=$A51)*(Events!$E$6:$E$158="Loan")*(Events!$F$6:$F$158="Asia")*Events!$H$6:$H$158)</x:f>
        <x:v>0</x:v>
      </x:c>
      <x:c r="H51" s="53" t="n">
        <x:f>J50*asia_repay</x:f>
        <x:v>0.18470596517790097</x:v>
      </x:c>
      <x:c r="I51" s="53" t="n">
        <x:f>0</x:f>
        <x:v>0</x:v>
      </x:c>
      <x:c r="J51" s="53" t="n">
        <x:f>J50+G51-H51-I51</x:f>
        <x:v>4.432943164269623</x:v>
      </x:c>
      <x:c r="K51" s="53" t="n">
        <x:f>J50*asia_coupon</x:f>
        <x:v>0.2539707021196138</x:v>
      </x:c>
      <x:c r="L51" s="53" t="n">
        <x:f>SUMPRODUCT((Events!$B$6:$B$158&lt;=$A51)*(Events!$C$6:$C$158&gt;=$A51)*(Events!$E$6:$E$158="Loan")*(Events!$F$6:$F$158="Europe")*Events!$H$6:$H$158)</x:f>
        <x:v>1.5</x:v>
      </x:c>
      <x:c r="M51" s="53" t="n">
        <x:f>O50*Paths!AA51</x:f>
        <x:v>0.1572754358339528</x:v>
      </x:c>
      <x:c r="N51" s="53" t="n">
        <x:f>IF($A51=1918,russia_writeoff*(O50+L51),0)</x:f>
        <x:v>0</x:v>
      </x:c>
      <x:c r="O51" s="53" t="n">
        <x:f>O50+L51-M51-N51</x:f>
        <x:v>6.585239091964473</x:v>
      </x:c>
      <x:c r="P51" s="53" t="n">
        <x:f>O50*Paths!Z51*Paths!AB51</x:f>
        <x:v>0.2621257263899213</x:v>
      </x:c>
      <x:c r="Q51" s="53" t="n">
        <x:f>SUMPRODUCT((Events!$B$6:$B$158&lt;=$A51)*(Events!$C$6:$C$158&gt;=$A51)*(Events!$E$6:$E$158="Loan")*(Events!$F$6:$F$158="Rescue")*Events!$H$6:$H$158)</x:f>
        <x:v>0</x:v>
      </x:c>
      <x:c r="R51" s="53" t="n">
        <x:f>0</x:f>
        <x:v>0</x:v>
      </x:c>
      <x:c r="S51" s="53" t="n">
        <x:f>0</x:f>
        <x:v>0</x:v>
      </x:c>
      <x:c r="T51" s="53" t="n">
        <x:f>T50+Q51-R51-S51</x:f>
        <x:v>0</x:v>
      </x:c>
      <x:c r="U51" s="53" t="n">
        <x:f>T50*rescue_coupon</x:f>
        <x:v>0</x:v>
      </x:c>
      <x:c r="V51" s="53" t="n">
        <x:f>B51+G51+L51+Q51</x:f>
        <x:v>1.5</x:v>
      </x:c>
      <x:c r="W51" s="53" t="n">
        <x:f>C51+H51+M51+R51</x:f>
        <x:v>1.1942068558133152</x:v>
      </x:c>
      <x:c r="X51" s="53" t="n">
        <x:f>E51+J51+O51+T51</x:f>
        <x:v>31.471593171469173</x:v>
      </x:c>
      <x:c r="Y51" s="53" t="n">
        <x:f>F51+K51+P51+U51</x:f>
        <x:v>1.581378247011362</x:v>
      </x:c>
    </x:row>
    <x:row r="52">
      <x:c r="A52" s="58" t="n">
        <x:v>1892</x:v>
      </x:c>
      <x:c r="B52" s="53" t="n">
        <x:f>SUMPRODUCT((Events!$B$6:$B$158&lt;=$A52)*(Events!$C$6:$C$158&gt;=$A52)*(Events!$E$6:$E$158="Loan")*(Events!$F$6:$F$158="Continental")*Events!$H$6:$H$158)</x:f>
        <x:v>0</x:v>
      </x:c>
      <x:c r="C52" s="53" t="n">
        <x:f>E51*cont_repay</x:f>
        <x:v>0.818136436609403</x:v>
      </x:c>
      <x:c r="D52" s="53" t="n">
        <x:f>0</x:f>
        <x:v>0</x:v>
      </x:c>
      <x:c r="E52" s="53" t="n">
        <x:f>E51+B52-C52-D52</x:f>
        <x:v>19.63527447862567</x:v>
      </x:c>
      <x:c r="F52" s="53" t="n">
        <x:f>E51*cont_coupon</x:f>
        <x:v>1.0226705457617538</x:v>
      </x:c>
      <x:c r="G52" s="53" t="n">
        <x:f>SUMPRODUCT((Events!$B$6:$B$158&lt;=$A52)*(Events!$C$6:$C$158&gt;=$A52)*(Events!$E$6:$E$158="Loan")*(Events!$F$6:$F$158="Asia")*Events!$H$6:$H$158)</x:f>
        <x:v>0</x:v>
      </x:c>
      <x:c r="H52" s="53" t="n">
        <x:f>J51*asia_repay</x:f>
        <x:v>0.1773177265707849</x:v>
      </x:c>
      <x:c r="I52" s="53" t="n">
        <x:f>0</x:f>
        <x:v>0</x:v>
      </x:c>
      <x:c r="J52" s="53" t="n">
        <x:f>J51+G52-H52-I52</x:f>
        <x:v>4.255625437698837</x:v>
      </x:c>
      <x:c r="K52" s="53" t="n">
        <x:f>J51*asia_coupon</x:f>
        <x:v>0.24381187403482923</x:v>
      </x:c>
      <x:c r="L52" s="53" t="n">
        <x:f>SUMPRODUCT((Events!$B$6:$B$158&lt;=$A52)*(Events!$C$6:$C$158&gt;=$A52)*(Events!$E$6:$E$158="Loan")*(Events!$F$6:$F$158="Europe")*Events!$H$6:$H$158)</x:f>
        <x:v>0</x:v>
      </x:c>
      <x:c r="M52" s="53" t="n">
        <x:f>O51*Paths!AA52</x:f>
        <x:v>0.19755717275893417</x:v>
      </x:c>
      <x:c r="N52" s="53" t="n">
        <x:f>IF($A52=1918,russia_writeoff*(O51+L52),0)</x:f>
        <x:v>0</x:v>
      </x:c>
      <x:c r="O52" s="53" t="n">
        <x:f>O51+L52-M52-N52</x:f>
        <x:v>6.387681919205539</x:v>
      </x:c>
      <x:c r="P52" s="53" t="n">
        <x:f>O51*Paths!Z52*Paths!AB52</x:f>
        <x:v>0.32926195459822366</x:v>
      </x:c>
      <x:c r="Q52" s="53" t="n">
        <x:f>SUMPRODUCT((Events!$B$6:$B$158&lt;=$A52)*(Events!$C$6:$C$158&gt;=$A52)*(Events!$E$6:$E$158="Loan")*(Events!$F$6:$F$158="Rescue")*Events!$H$6:$H$158)</x:f>
        <x:v>0</x:v>
      </x:c>
      <x:c r="R52" s="53" t="n">
        <x:f>0</x:f>
        <x:v>0</x:v>
      </x:c>
      <x:c r="S52" s="53" t="n">
        <x:f>0</x:f>
        <x:v>0</x:v>
      </x:c>
      <x:c r="T52" s="53" t="n">
        <x:f>T51+Q52-R52-S52</x:f>
        <x:v>0</x:v>
      </x:c>
      <x:c r="U52" s="53" t="n">
        <x:f>T51*rescue_coupon</x:f>
        <x:v>0</x:v>
      </x:c>
      <x:c r="V52" s="53" t="n">
        <x:f>B52+G52+L52+Q52</x:f>
        <x:v>0</x:v>
      </x:c>
      <x:c r="W52" s="53" t="n">
        <x:f>C52+H52+M52+R52</x:f>
        <x:v>1.1930113359391221</x:v>
      </x:c>
      <x:c r="X52" s="53" t="n">
        <x:f>E52+J52+O52+T52</x:f>
        <x:v>30.278581835530048</x:v>
      </x:c>
      <x:c r="Y52" s="53" t="n">
        <x:f>F52+K52+P52+U52</x:f>
        <x:v>1.5957443743948065</x:v>
      </x:c>
    </x:row>
    <x:row r="53">
      <x:c r="A53" s="58" t="n">
        <x:v>1893</x:v>
      </x:c>
      <x:c r="B53" s="53" t="n">
        <x:f>SUMPRODUCT((Events!$B$6:$B$158&lt;=$A53)*(Events!$C$6:$C$158&gt;=$A53)*(Events!$E$6:$E$158="Loan")*(Events!$F$6:$F$158="Continental")*Events!$H$6:$H$158)</x:f>
        <x:v>0</x:v>
      </x:c>
      <x:c r="C53" s="53" t="n">
        <x:f>E52*cont_repay</x:f>
        <x:v>0.7854109791450269</x:v>
      </x:c>
      <x:c r="D53" s="53" t="n">
        <x:f>0</x:f>
        <x:v>0</x:v>
      </x:c>
      <x:c r="E53" s="53" t="n">
        <x:f>E52+B53-C53-D53</x:f>
        <x:v>18.849863499480644</x:v>
      </x:c>
      <x:c r="F53" s="53" t="n">
        <x:f>E52*cont_coupon</x:f>
        <x:v>0.9817637239312836</x:v>
      </x:c>
      <x:c r="G53" s="53" t="n">
        <x:f>SUMPRODUCT((Events!$B$6:$B$158&lt;=$A53)*(Events!$C$6:$C$158&gt;=$A53)*(Events!$E$6:$E$158="Loan")*(Events!$F$6:$F$158="Asia")*Events!$H$6:$H$158)</x:f>
        <x:v>0</x:v>
      </x:c>
      <x:c r="H53" s="53" t="n">
        <x:f>J52*asia_repay</x:f>
        <x:v>0.1702250175079535</x:v>
      </x:c>
      <x:c r="I53" s="53" t="n">
        <x:f>0</x:f>
        <x:v>0</x:v>
      </x:c>
      <x:c r="J53" s="53" t="n">
        <x:f>J52+G53-H53-I53</x:f>
        <x:v>4.085400420190884</x:v>
      </x:c>
      <x:c r="K53" s="53" t="n">
        <x:f>J52*asia_coupon</x:f>
        <x:v>0.23405939907343606</x:v>
      </x:c>
      <x:c r="L53" s="53" t="n">
        <x:f>SUMPRODUCT((Events!$B$6:$B$158&lt;=$A53)*(Events!$C$6:$C$158&gt;=$A53)*(Events!$E$6:$E$158="Loan")*(Events!$F$6:$F$158="Europe")*Events!$H$6:$H$158)</x:f>
        <x:v>0</x:v>
      </x:c>
      <x:c r="M53" s="53" t="n">
        <x:f>O52*Paths!AA53</x:f>
        <x:v>0.19163045757616617</x:v>
      </x:c>
      <x:c r="N53" s="53" t="n">
        <x:f>IF($A53=1918,russia_writeoff*(O52+L53),0)</x:f>
        <x:v>0</x:v>
      </x:c>
      <x:c r="O53" s="53" t="n">
        <x:f>O52+L53-M53-N53</x:f>
        <x:v>6.196051461629373</x:v>
      </x:c>
      <x:c r="P53" s="53" t="n">
        <x:f>O52*Paths!Z53*Paths!AB53</x:f>
        <x:v>0.31938409596027695</x:v>
      </x:c>
      <x:c r="Q53" s="53" t="n">
        <x:f>SUMPRODUCT((Events!$B$6:$B$158&lt;=$A53)*(Events!$C$6:$C$158&gt;=$A53)*(Events!$E$6:$E$158="Loan")*(Events!$F$6:$F$158="Rescue")*Events!$H$6:$H$158)</x:f>
        <x:v>0</x:v>
      </x:c>
      <x:c r="R53" s="53" t="n">
        <x:f>0</x:f>
        <x:v>0</x:v>
      </x:c>
      <x:c r="S53" s="53" t="n">
        <x:f>0</x:f>
        <x:v>0</x:v>
      </x:c>
      <x:c r="T53" s="53" t="n">
        <x:f>T52+Q53-R53-S53</x:f>
        <x:v>0</x:v>
      </x:c>
      <x:c r="U53" s="53" t="n">
        <x:f>T52*rescue_coupon</x:f>
        <x:v>0</x:v>
      </x:c>
      <x:c r="V53" s="53" t="n">
        <x:f>B53+G53+L53+Q53</x:f>
        <x:v>0</x:v>
      </x:c>
      <x:c r="W53" s="53" t="n">
        <x:f>C53+H53+M53+R53</x:f>
        <x:v>1.1472664542291466</x:v>
      </x:c>
      <x:c r="X53" s="53" t="n">
        <x:f>E53+J53+O53+T53</x:f>
        <x:v>29.1313153813009</x:v>
      </x:c>
      <x:c r="Y53" s="53" t="n">
        <x:f>F53+K53+P53+U53</x:f>
        <x:v>1.5352072189649966</x:v>
      </x:c>
    </x:row>
    <x:row r="54">
      <x:c r="A54" s="58" t="n">
        <x:v>1894</x:v>
      </x:c>
      <x:c r="B54" s="53" t="n">
        <x:f>SUMPRODUCT((Events!$B$6:$B$158&lt;=$A54)*(Events!$C$6:$C$158&gt;=$A54)*(Events!$E$6:$E$158="Loan")*(Events!$F$6:$F$158="Continental")*Events!$H$6:$H$158)</x:f>
        <x:v>0</x:v>
      </x:c>
      <x:c r="C54" s="53" t="n">
        <x:f>E53*cont_repay</x:f>
        <x:v>0.7539945399792258</x:v>
      </x:c>
      <x:c r="D54" s="53" t="n">
        <x:f>0</x:f>
        <x:v>0</x:v>
      </x:c>
      <x:c r="E54" s="53" t="n">
        <x:f>E53+B54-C54-D54</x:f>
        <x:v>18.09586895950142</x:v>
      </x:c>
      <x:c r="F54" s="53" t="n">
        <x:f>E53*cont_coupon</x:f>
        <x:v>0.9424931749740323</x:v>
      </x:c>
      <x:c r="G54" s="53" t="n">
        <x:f>SUMPRODUCT((Events!$B$6:$B$158&lt;=$A54)*(Events!$C$6:$C$158&gt;=$A54)*(Events!$E$6:$E$158="Loan")*(Events!$F$6:$F$158="Asia")*Events!$H$6:$H$158)</x:f>
        <x:v>10</x:v>
      </x:c>
      <x:c r="H54" s="53" t="n">
        <x:f>J53*asia_repay</x:f>
        <x:v>0.16341601680763534</x:v>
      </x:c>
      <x:c r="I54" s="53" t="n">
        <x:f>0</x:f>
        <x:v>0</x:v>
      </x:c>
      <x:c r="J54" s="53" t="n">
        <x:f>J53+G54-H54-I54</x:f>
        <x:v>13.921984403383247</x:v>
      </x:c>
      <x:c r="K54" s="53" t="n">
        <x:f>J53*asia_coupon</x:f>
        <x:v>0.2246970231104986</x:v>
      </x:c>
      <x:c r="L54" s="53" t="n">
        <x:f>SUMPRODUCT((Events!$B$6:$B$158&lt;=$A54)*(Events!$C$6:$C$158&gt;=$A54)*(Events!$E$6:$E$158="Loan")*(Events!$F$6:$F$158="Europe")*Events!$H$6:$H$158)</x:f>
        <x:v>0</x:v>
      </x:c>
      <x:c r="M54" s="53" t="n">
        <x:f>O53*Paths!AA54</x:f>
        <x:v>0.18588154384888117</x:v>
      </x:c>
      <x:c r="N54" s="53" t="n">
        <x:f>IF($A54=1918,russia_writeoff*(O53+L54),0)</x:f>
        <x:v>0</x:v>
      </x:c>
      <x:c r="O54" s="53" t="n">
        <x:f>O53+L54-M54-N54</x:f>
        <x:v>6.010169917780492</x:v>
      </x:c>
      <x:c r="P54" s="53" t="n">
        <x:f>O53*Paths!Z54*Paths!AB54</x:f>
        <x:v>0.30980257308146864</x:v>
      </x:c>
      <x:c r="Q54" s="53" t="n">
        <x:f>SUMPRODUCT((Events!$B$6:$B$158&lt;=$A54)*(Events!$C$6:$C$158&gt;=$A54)*(Events!$E$6:$E$158="Loan")*(Events!$F$6:$F$158="Rescue")*Events!$H$6:$H$158)</x:f>
        <x:v>0</x:v>
      </x:c>
      <x:c r="R54" s="53" t="n">
        <x:f>0</x:f>
        <x:v>0</x:v>
      </x:c>
      <x:c r="S54" s="53" t="n">
        <x:f>0</x:f>
        <x:v>0</x:v>
      </x:c>
      <x:c r="T54" s="53" t="n">
        <x:f>T53+Q54-R54-S54</x:f>
        <x:v>0</x:v>
      </x:c>
      <x:c r="U54" s="53" t="n">
        <x:f>T53*rescue_coupon</x:f>
        <x:v>0</x:v>
      </x:c>
      <x:c r="V54" s="53" t="n">
        <x:f>B54+G54+L54+Q54</x:f>
        <x:v>10</x:v>
      </x:c>
      <x:c r="W54" s="53" t="n">
        <x:f>C54+H54+M54+R54</x:f>
        <x:v>1.1032921006357423</x:v>
      </x:c>
      <x:c r="X54" s="53" t="n">
        <x:f>E54+J54+O54+T54</x:f>
        <x:v>38.02802328066516</x:v>
      </x:c>
      <x:c r="Y54" s="53" t="n">
        <x:f>F54+K54+P54+U54</x:f>
        <x:v>1.4769927711659996</x:v>
      </x:c>
    </x:row>
    <x:row r="55">
      <x:c r="A55" s="58" t="n">
        <x:v>1895</x:v>
      </x:c>
      <x:c r="B55" s="53" t="n">
        <x:f>SUMPRODUCT((Events!$B$6:$B$158&lt;=$A55)*(Events!$C$6:$C$158&gt;=$A55)*(Events!$E$6:$E$158="Loan")*(Events!$F$6:$F$158="Continental")*Events!$H$6:$H$158)</x:f>
        <x:v>65</x:v>
      </x:c>
      <x:c r="C55" s="53" t="n">
        <x:f>E54*cont_repay</x:f>
        <x:v>0.7238347583800568</x:v>
      </x:c>
      <x:c r="D55" s="53" t="n">
        <x:f>0</x:f>
        <x:v>0</x:v>
      </x:c>
      <x:c r="E55" s="53" t="n">
        <x:f>E54+B55-C55-D55</x:f>
        <x:v>82.37203420112137</x:v>
      </x:c>
      <x:c r="F55" s="53" t="n">
        <x:f>E54*cont_coupon</x:f>
        <x:v>0.904793447975071</x:v>
      </x:c>
      <x:c r="G55" s="53" t="n">
        <x:f>SUMPRODUCT((Events!$B$6:$B$158&lt;=$A55)*(Events!$C$6:$C$158&gt;=$A55)*(Events!$E$6:$E$158="Loan")*(Events!$F$6:$F$158="Asia")*Events!$H$6:$H$158)</x:f>
        <x:v>15</x:v>
      </x:c>
      <x:c r="H55" s="53" t="n">
        <x:f>J54*asia_repay</x:f>
        <x:v>0.5568793761353299</x:v>
      </x:c>
      <x:c r="I55" s="53" t="n">
        <x:f>0</x:f>
        <x:v>0</x:v>
      </x:c>
      <x:c r="J55" s="53" t="n">
        <x:f>J54+G55-H55-I55</x:f>
        <x:v>28.365105027247917</x:v>
      </x:c>
      <x:c r="K55" s="53" t="n">
        <x:f>J54*asia_coupon</x:f>
        <x:v>0.7657091421860786</x:v>
      </x:c>
      <x:c r="L55" s="53" t="n">
        <x:f>SUMPRODUCT((Events!$B$6:$B$158&lt;=$A55)*(Events!$C$6:$C$158&gt;=$A55)*(Events!$E$6:$E$158="Loan")*(Events!$F$6:$F$158="Europe")*Events!$H$6:$H$158)</x:f>
        <x:v>0</x:v>
      </x:c>
      <x:c r="M55" s="53" t="n">
        <x:f>O54*Paths!AA55</x:f>
        <x:v>0.18030509753341475</x:v>
      </x:c>
      <x:c r="N55" s="53" t="n">
        <x:f>IF($A55=1918,russia_writeoff*(O54+L55),0)</x:f>
        <x:v>0</x:v>
      </x:c>
      <x:c r="O55" s="53" t="n">
        <x:f>O54+L55-M55-N55</x:f>
        <x:v>5.829864820247077</x:v>
      </x:c>
      <x:c r="P55" s="53" t="n">
        <x:f>O54*Paths!Z55*Paths!AB55</x:f>
        <x:v>0.3005084958890246</x:v>
      </x:c>
      <x:c r="Q55" s="53" t="n">
        <x:f>SUMPRODUCT((Events!$B$6:$B$158&lt;=$A55)*(Events!$C$6:$C$158&gt;=$A55)*(Events!$E$6:$E$158="Loan")*(Events!$F$6:$F$158="Rescue")*Events!$H$6:$H$158)</x:f>
        <x:v>0</x:v>
      </x:c>
      <x:c r="R55" s="53" t="n">
        <x:f>0</x:f>
        <x:v>0</x:v>
      </x:c>
      <x:c r="S55" s="53" t="n">
        <x:f>0</x:f>
        <x:v>0</x:v>
      </x:c>
      <x:c r="T55" s="53" t="n">
        <x:f>T54+Q55-R55-S55</x:f>
        <x:v>0</x:v>
      </x:c>
      <x:c r="U55" s="53" t="n">
        <x:f>T54*rescue_coupon</x:f>
        <x:v>0</x:v>
      </x:c>
      <x:c r="V55" s="53" t="n">
        <x:f>B55+G55+L55+Q55</x:f>
        <x:v>80</x:v>
      </x:c>
      <x:c r="W55" s="53" t="n">
        <x:f>C55+H55+M55+R55</x:f>
        <x:v>1.4610192320488016</x:v>
      </x:c>
      <x:c r="X55" s="53" t="n">
        <x:f>E55+J55+O55+T55</x:f>
        <x:v>116.56700404861637</x:v>
      </x:c>
      <x:c r="Y55" s="53" t="n">
        <x:f>F55+K55+P55+U55</x:f>
        <x:v>1.9710110860501744</x:v>
      </x:c>
    </x:row>
    <x:row r="56">
      <x:c r="A56" s="58" t="n">
        <x:v>1896</x:v>
      </x:c>
      <x:c r="B56" s="53" t="n">
        <x:f>SUMPRODUCT((Events!$B$6:$B$158&lt;=$A56)*(Events!$C$6:$C$158&gt;=$A56)*(Events!$E$6:$E$158="Loan")*(Events!$F$6:$F$158="Continental")*Events!$H$6:$H$158)</x:f>
        <x:v>0</x:v>
      </x:c>
      <x:c r="C56" s="53" t="n">
        <x:f>E55*cont_repay</x:f>
        <x:v>3.2948813680448548</x:v>
      </x:c>
      <x:c r="D56" s="53" t="n">
        <x:f>0</x:f>
        <x:v>0</x:v>
      </x:c>
      <x:c r="E56" s="53" t="n">
        <x:f>E55+B56-C56-D56</x:f>
        <x:v>79.07715283307651</x:v>
      </x:c>
      <x:c r="F56" s="53" t="n">
        <x:f>E55*cont_coupon</x:f>
        <x:v>4.118601710056068</x:v>
      </x:c>
      <x:c r="G56" s="53" t="n">
        <x:f>SUMPRODUCT((Events!$B$6:$B$158&lt;=$A56)*(Events!$C$6:$C$158&gt;=$A56)*(Events!$E$6:$E$158="Loan")*(Events!$F$6:$F$158="Asia")*Events!$H$6:$H$158)</x:f>
        <x:v>3</x:v>
      </x:c>
      <x:c r="H56" s="53" t="n">
        <x:f>J55*asia_repay</x:f>
        <x:v>1.1346042010899167</x:v>
      </x:c>
      <x:c r="I56" s="53" t="n">
        <x:f>0</x:f>
        <x:v>0</x:v>
      </x:c>
      <x:c r="J56" s="53" t="n">
        <x:f>J55+G56-H56-I56</x:f>
        <x:v>30.230500826158</x:v>
      </x:c>
      <x:c r="K56" s="53" t="n">
        <x:f>J55*asia_coupon</x:f>
        <x:v>1.5600807764986355</x:v>
      </x:c>
      <x:c r="L56" s="53" t="n">
        <x:f>SUMPRODUCT((Events!$B$6:$B$158&lt;=$A56)*(Events!$C$6:$C$158&gt;=$A56)*(Events!$E$6:$E$158="Loan")*(Events!$F$6:$F$158="Europe")*Events!$H$6:$H$158)</x:f>
        <x:v>0</x:v>
      </x:c>
      <x:c r="M56" s="53" t="n">
        <x:f>O55*Paths!AA56</x:f>
        <x:v>0.1748959446074123</x:v>
      </x:c>
      <x:c r="N56" s="53" t="n">
        <x:f>IF($A56=1918,russia_writeoff*(O55+L56),0)</x:f>
        <x:v>0</x:v>
      </x:c>
      <x:c r="O56" s="53" t="n">
        <x:f>O55+L56-M56-N56</x:f>
        <x:v>5.654968875639665</x:v>
      </x:c>
      <x:c r="P56" s="53" t="n">
        <x:f>O55*Paths!Z56*Paths!AB56</x:f>
        <x:v>0.29149324101235385</x:v>
      </x:c>
      <x:c r="Q56" s="53" t="n">
        <x:f>SUMPRODUCT((Events!$B$6:$B$158&lt;=$A56)*(Events!$C$6:$C$158&gt;=$A56)*(Events!$E$6:$E$158="Loan")*(Events!$F$6:$F$158="Rescue")*Events!$H$6:$H$158)</x:f>
        <x:v>0</x:v>
      </x:c>
      <x:c r="R56" s="53" t="n">
        <x:f>0</x:f>
        <x:v>0</x:v>
      </x:c>
      <x:c r="S56" s="53" t="n">
        <x:f>0</x:f>
        <x:v>0</x:v>
      </x:c>
      <x:c r="T56" s="53" t="n">
        <x:f>T55+Q56-R56-S56</x:f>
        <x:v>0</x:v>
      </x:c>
      <x:c r="U56" s="53" t="n">
        <x:f>T55*rescue_coupon</x:f>
        <x:v>0</x:v>
      </x:c>
      <x:c r="V56" s="53" t="n">
        <x:f>B56+G56+L56+Q56</x:f>
        <x:v>3</x:v>
      </x:c>
      <x:c r="W56" s="53" t="n">
        <x:f>C56+H56+M56+R56</x:f>
        <x:v>4.604381513742183</x:v>
      </x:c>
      <x:c r="X56" s="53" t="n">
        <x:f>E56+J56+O56+T56</x:f>
        <x:v>114.96262253487419</x:v>
      </x:c>
      <x:c r="Y56" s="53" t="n">
        <x:f>F56+K56+P56+U56</x:f>
        <x:v>5.9701757275670575</x:v>
      </x:c>
    </x:row>
    <x:row r="57">
      <x:c r="A57" s="58" t="n">
        <x:v>1897</x:v>
      </x:c>
      <x:c r="B57" s="53" t="n">
        <x:f>SUMPRODUCT((Events!$B$6:$B$158&lt;=$A57)*(Events!$C$6:$C$158&gt;=$A57)*(Events!$E$6:$E$158="Loan")*(Events!$F$6:$F$158="Continental")*Events!$H$6:$H$158)</x:f>
        <x:v>0</x:v>
      </x:c>
      <x:c r="C57" s="53" t="n">
        <x:f>E56*cont_repay</x:f>
        <x:v>3.1630861133230606</x:v>
      </x:c>
      <x:c r="D57" s="53" t="n">
        <x:f>0</x:f>
        <x:v>0</x:v>
      </x:c>
      <x:c r="E57" s="53" t="n">
        <x:f>E56+B57-C57-D57</x:f>
        <x:v>75.91406671975345</x:v>
      </x:c>
      <x:c r="F57" s="53" t="n">
        <x:f>E56*cont_coupon</x:f>
        <x:v>3.953857641653826</x:v>
      </x:c>
      <x:c r="G57" s="53" t="n">
        <x:f>SUMPRODUCT((Events!$B$6:$B$158&lt;=$A57)*(Events!$C$6:$C$158&gt;=$A57)*(Events!$E$6:$E$158="Loan")*(Events!$F$6:$F$158="Asia")*Events!$H$6:$H$158)</x:f>
        <x:v>23</x:v>
      </x:c>
      <x:c r="H57" s="53" t="n">
        <x:f>J56*asia_repay</x:f>
        <x:v>1.20922003304632</x:v>
      </x:c>
      <x:c r="I57" s="53" t="n">
        <x:f>0</x:f>
        <x:v>0</x:v>
      </x:c>
      <x:c r="J57" s="53" t="n">
        <x:f>J56+G57-H57-I57</x:f>
        <x:v>52.02128079311168</x:v>
      </x:c>
      <x:c r="K57" s="53" t="n">
        <x:f>J56*asia_coupon</x:f>
        <x:v>1.66267754543869</x:v>
      </x:c>
      <x:c r="L57" s="53" t="n">
        <x:f>SUMPRODUCT((Events!$B$6:$B$158&lt;=$A57)*(Events!$C$6:$C$158&gt;=$A57)*(Events!$E$6:$E$158="Loan")*(Events!$F$6:$F$158="Europe")*Events!$H$6:$H$158)</x:f>
        <x:v>0</x:v>
      </x:c>
      <x:c r="M57" s="53" t="n">
        <x:f>O56*Paths!AA57</x:f>
        <x:v>0.16964906626918994</x:v>
      </x:c>
      <x:c r="N57" s="53" t="n">
        <x:f>IF($A57=1918,russia_writeoff*(O56+L57),0)</x:f>
        <x:v>0</x:v>
      </x:c>
      <x:c r="O57" s="53" t="n">
        <x:f>O56+L57-M57-N57</x:f>
        <x:v>5.485319809370475</x:v>
      </x:c>
      <x:c r="P57" s="53" t="n">
        <x:f>O56*Paths!Z57*Paths!AB57</x:f>
        <x:v>0.28274844378198327</x:v>
      </x:c>
      <x:c r="Q57" s="53" t="n">
        <x:f>SUMPRODUCT((Events!$B$6:$B$158&lt;=$A57)*(Events!$C$6:$C$158&gt;=$A57)*(Events!$E$6:$E$158="Loan")*(Events!$F$6:$F$158="Rescue")*Events!$H$6:$H$158)</x:f>
        <x:v>0</x:v>
      </x:c>
      <x:c r="R57" s="53" t="n">
        <x:f>0</x:f>
        <x:v>0</x:v>
      </x:c>
      <x:c r="S57" s="53" t="n">
        <x:f>0</x:f>
        <x:v>0</x:v>
      </x:c>
      <x:c r="T57" s="53" t="n">
        <x:f>T56+Q57-R57-S57</x:f>
        <x:v>0</x:v>
      </x:c>
      <x:c r="U57" s="53" t="n">
        <x:f>T56*rescue_coupon</x:f>
        <x:v>0</x:v>
      </x:c>
      <x:c r="V57" s="53" t="n">
        <x:f>B57+G57+L57+Q57</x:f>
        <x:v>23</x:v>
      </x:c>
      <x:c r="W57" s="53" t="n">
        <x:f>C57+H57+M57+R57</x:f>
        <x:v>4.5419552126385705</x:v>
      </x:c>
      <x:c r="X57" s="53" t="n">
        <x:f>E57+J57+O57+T57</x:f>
        <x:v>133.4206673222356</x:v>
      </x:c>
      <x:c r="Y57" s="53" t="n">
        <x:f>F57+K57+P57+U57</x:f>
        <x:v>5.899283630874499</x:v>
      </x:c>
    </x:row>
    <x:row r="58">
      <x:c r="A58" s="58" t="n">
        <x:v>1898</x:v>
      </x:c>
      <x:c r="B58" s="53" t="n">
        <x:f>SUMPRODUCT((Events!$B$6:$B$158&lt;=$A58)*(Events!$C$6:$C$158&gt;=$A58)*(Events!$E$6:$E$158="Loan")*(Events!$F$6:$F$158="Continental")*Events!$H$6:$H$158)</x:f>
        <x:v>9</x:v>
      </x:c>
      <x:c r="C58" s="53" t="n">
        <x:f>E57*cont_repay</x:f>
        <x:v>3.036562668790138</x:v>
      </x:c>
      <x:c r="D58" s="53" t="n">
        <x:f>0</x:f>
        <x:v>0</x:v>
      </x:c>
      <x:c r="E58" s="53" t="n">
        <x:f>E57+B58-C58-D58</x:f>
        <x:v>81.87750405096331</x:v>
      </x:c>
      <x:c r="F58" s="53" t="n">
        <x:f>E57*cont_coupon</x:f>
        <x:v>3.795703335987673</x:v>
      </x:c>
      <x:c r="G58" s="53" t="n">
        <x:f>SUMPRODUCT((Events!$B$6:$B$158&lt;=$A58)*(Events!$C$6:$C$158&gt;=$A58)*(Events!$E$6:$E$158="Loan")*(Events!$F$6:$F$158="Asia")*Events!$H$6:$H$158)</x:f>
        <x:v>15</x:v>
      </x:c>
      <x:c r="H58" s="53" t="n">
        <x:f>J57*asia_repay</x:f>
        <x:v>2.080851231724467</x:v>
      </x:c>
      <x:c r="I58" s="53" t="n">
        <x:f>0</x:f>
        <x:v>0</x:v>
      </x:c>
      <x:c r="J58" s="53" t="n">
        <x:f>J57+G58-H58-I58</x:f>
        <x:v>64.94042956138722</x:v>
      </x:c>
      <x:c r="K58" s="53" t="n">
        <x:f>J57*asia_coupon</x:f>
        <x:v>2.8611704436211425</x:v>
      </x:c>
      <x:c r="L58" s="53" t="n">
        <x:f>SUMPRODUCT((Events!$B$6:$B$158&lt;=$A58)*(Events!$C$6:$C$158&gt;=$A58)*(Events!$E$6:$E$158="Loan")*(Events!$F$6:$F$158="Europe")*Events!$H$6:$H$158)</x:f>
        <x:v>0</x:v>
      </x:c>
      <x:c r="M58" s="53" t="n">
        <x:f>O57*Paths!AA58</x:f>
        <x:v>0.16455959428111425</x:v>
      </x:c>
      <x:c r="N58" s="53" t="n">
        <x:f>IF($A58=1918,russia_writeoff*(O57+L58),0)</x:f>
        <x:v>0</x:v>
      </x:c>
      <x:c r="O58" s="53" t="n">
        <x:f>O57+L58-M58-N58</x:f>
        <x:v>5.3207602150893605</x:v>
      </x:c>
      <x:c r="P58" s="53" t="n">
        <x:f>O57*Paths!Z58*Paths!AB58</x:f>
        <x:v>0.2742659904685238</x:v>
      </x:c>
      <x:c r="Q58" s="53" t="n">
        <x:f>SUMPRODUCT((Events!$B$6:$B$158&lt;=$A58)*(Events!$C$6:$C$158&gt;=$A58)*(Events!$E$6:$E$158="Loan")*(Events!$F$6:$F$158="Rescue")*Events!$H$6:$H$158)</x:f>
        <x:v>0</x:v>
      </x:c>
      <x:c r="R58" s="53" t="n">
        <x:f>0</x:f>
        <x:v>0</x:v>
      </x:c>
      <x:c r="S58" s="53" t="n">
        <x:f>0</x:f>
        <x:v>0</x:v>
      </x:c>
      <x:c r="T58" s="53" t="n">
        <x:f>T57+Q58-R58-S58</x:f>
        <x:v>0</x:v>
      </x:c>
      <x:c r="U58" s="53" t="n">
        <x:f>T57*rescue_coupon</x:f>
        <x:v>0</x:v>
      </x:c>
      <x:c r="V58" s="53" t="n">
        <x:f>B58+G58+L58+Q58</x:f>
        <x:v>24</x:v>
      </x:c>
      <x:c r="W58" s="53" t="n">
        <x:f>C58+H58+M58+R58</x:f>
        <x:v>5.28197349479572</x:v>
      </x:c>
      <x:c r="X58" s="53" t="n">
        <x:f>E58+J58+O58+T58</x:f>
        <x:v>152.1386938274399</x:v>
      </x:c>
      <x:c r="Y58" s="53" t="n">
        <x:f>F58+K58+P58+U58</x:f>
        <x:v>6.93113977007734</x:v>
      </x:c>
    </x:row>
    <x:row r="59">
      <x:c r="A59" s="58" t="n">
        <x:v>1899</x:v>
      </x:c>
      <x:c r="B59" s="53" t="n">
        <x:f>SUMPRODUCT((Events!$B$6:$B$158&lt;=$A59)*(Events!$C$6:$C$158&gt;=$A59)*(Events!$E$6:$E$158="Loan")*(Events!$F$6:$F$158="Continental")*Events!$H$6:$H$158)</x:f>
        <x:v>9</x:v>
      </x:c>
      <x:c r="C59" s="53" t="n">
        <x:f>E58*cont_repay</x:f>
        <x:v>3.2751001620385325</x:v>
      </x:c>
      <x:c r="D59" s="53" t="n">
        <x:f>0</x:f>
        <x:v>0</x:v>
      </x:c>
      <x:c r="E59" s="53" t="n">
        <x:f>E58+B59-C59-D59</x:f>
        <x:v>87.60240388892478</x:v>
      </x:c>
      <x:c r="F59" s="53" t="n">
        <x:f>E58*cont_coupon</x:f>
        <x:v>4.0938752025481655</x:v>
      </x:c>
      <x:c r="G59" s="53" t="n">
        <x:f>SUMPRODUCT((Events!$B$6:$B$158&lt;=$A59)*(Events!$C$6:$C$158&gt;=$A59)*(Events!$E$6:$E$158="Loan")*(Events!$F$6:$F$158="Asia")*Events!$H$6:$H$158)</x:f>
        <x:v>15</x:v>
      </x:c>
      <x:c r="H59" s="53" t="n">
        <x:f>J58*asia_repay</x:f>
        <x:v>2.597617182455489</x:v>
      </x:c>
      <x:c r="I59" s="53" t="n">
        <x:f>0</x:f>
        <x:v>0</x:v>
      </x:c>
      <x:c r="J59" s="53" t="n">
        <x:f>J58+G59-H59-I59</x:f>
        <x:v>77.34281237893173</x:v>
      </x:c>
      <x:c r="K59" s="53" t="n">
        <x:f>J58*asia_coupon</x:f>
        <x:v>3.571723625876297</x:v>
      </x:c>
      <x:c r="L59" s="53" t="n">
        <x:f>SUMPRODUCT((Events!$B$6:$B$158&lt;=$A59)*(Events!$C$6:$C$158&gt;=$A59)*(Events!$E$6:$E$158="Loan")*(Events!$F$6:$F$158="Europe")*Events!$H$6:$H$158)</x:f>
        <x:v>0</x:v>
      </x:c>
      <x:c r="M59" s="53" t="n">
        <x:f>O58*Paths!AA59</x:f>
        <x:v>0.15962280645268082</x:v>
      </x:c>
      <x:c r="N59" s="53" t="n">
        <x:f>IF($A59=1918,russia_writeoff*(O58+L59),0)</x:f>
        <x:v>0</x:v>
      </x:c>
      <x:c r="O59" s="53" t="n">
        <x:f>O58+L59-M59-N59</x:f>
        <x:v>5.161137408636679</x:v>
      </x:c>
      <x:c r="P59" s="53" t="n">
        <x:f>O58*Paths!Z59*Paths!AB59</x:f>
        <x:v>0.26603801075446804</x:v>
      </x:c>
      <x:c r="Q59" s="53" t="n">
        <x:f>SUMPRODUCT((Events!$B$6:$B$158&lt;=$A59)*(Events!$C$6:$C$158&gt;=$A59)*(Events!$E$6:$E$158="Loan")*(Events!$F$6:$F$158="Rescue")*Events!$H$6:$H$158)</x:f>
        <x:v>0</x:v>
      </x:c>
      <x:c r="R59" s="53" t="n">
        <x:f>0</x:f>
        <x:v>0</x:v>
      </x:c>
      <x:c r="S59" s="53" t="n">
        <x:f>0</x:f>
        <x:v>0</x:v>
      </x:c>
      <x:c r="T59" s="53" t="n">
        <x:f>T58+Q59-R59-S59</x:f>
        <x:v>0</x:v>
      </x:c>
      <x:c r="U59" s="53" t="n">
        <x:f>T58*rescue_coupon</x:f>
        <x:v>0</x:v>
      </x:c>
      <x:c r="V59" s="53" t="n">
        <x:f>B59+G59+L59+Q59</x:f>
        <x:v>24</x:v>
      </x:c>
      <x:c r="W59" s="53" t="n">
        <x:f>C59+H59+M59+R59</x:f>
        <x:v>6.032340150946703</x:v>
      </x:c>
      <x:c r="X59" s="53" t="n">
        <x:f>E59+J59+O59+T59</x:f>
        <x:v>170.10635367649317</x:v>
      </x:c>
      <x:c r="Y59" s="53" t="n">
        <x:f>F59+K59+P59+U59</x:f>
        <x:v>7.931636839178931</x:v>
      </x:c>
    </x:row>
    <x:row r="60">
      <x:c r="A60" s="58" t="n">
        <x:v>1900</x:v>
      </x:c>
      <x:c r="B60" s="53" t="n">
        <x:f>SUMPRODUCT((Events!$B$6:$B$158&lt;=$A60)*(Events!$C$6:$C$158&gt;=$A60)*(Events!$E$6:$E$158="Loan")*(Events!$F$6:$F$158="Continental")*Events!$H$6:$H$158)</x:f>
        <x:v>0</x:v>
      </x:c>
      <x:c r="C60" s="53" t="n">
        <x:f>E59*cont_repay</x:f>
        <x:v>3.5040961555569914</x:v>
      </x:c>
      <x:c r="D60" s="53" t="n">
        <x:f>0</x:f>
        <x:v>0</x:v>
      </x:c>
      <x:c r="E60" s="53" t="n">
        <x:f>E59+B60-C60-D60</x:f>
        <x:v>84.09830773336779</x:v>
      </x:c>
      <x:c r="F60" s="53" t="n">
        <x:f>E59*cont_coupon</x:f>
        <x:v>4.380120194446239</x:v>
      </x:c>
      <x:c r="G60" s="53" t="n">
        <x:f>SUMPRODUCT((Events!$B$6:$B$158&lt;=$A60)*(Events!$C$6:$C$158&gt;=$A60)*(Events!$E$6:$E$158="Loan")*(Events!$F$6:$F$158="Asia")*Events!$H$6:$H$158)</x:f>
        <x:v>0</x:v>
      </x:c>
      <x:c r="H60" s="53" t="n">
        <x:f>J59*asia_repay</x:f>
        <x:v>3.093712495157269</x:v>
      </x:c>
      <x:c r="I60" s="53" t="n">
        <x:f>0</x:f>
        <x:v>0</x:v>
      </x:c>
      <x:c r="J60" s="53" t="n">
        <x:f>J59+G60-H60-I60</x:f>
        <x:v>74.24909988377446</x:v>
      </x:c>
      <x:c r="K60" s="53" t="n">
        <x:f>J59*asia_coupon</x:f>
        <x:v>4.253854680841245</x:v>
      </x:c>
      <x:c r="L60" s="53" t="n">
        <x:f>SUMPRODUCT((Events!$B$6:$B$158&lt;=$A60)*(Events!$C$6:$C$158&gt;=$A60)*(Events!$E$6:$E$158="Loan")*(Events!$F$6:$F$158="Europe")*Events!$H$6:$H$158)</x:f>
        <x:v>0</x:v>
      </x:c>
      <x:c r="M60" s="53" t="n">
        <x:f>O59*Paths!AA60</x:f>
        <x:v>0.15483412225910037</x:v>
      </x:c>
      <x:c r="N60" s="53" t="n">
        <x:f>IF($A60=1918,russia_writeoff*(O59+L60),0)</x:f>
        <x:v>0</x:v>
      </x:c>
      <x:c r="O60" s="53" t="n">
        <x:f>O59+L60-M60-N60</x:f>
        <x:v>5.0063032863775785</x:v>
      </x:c>
      <x:c r="P60" s="53" t="n">
        <x:f>O59*Paths!Z60*Paths!AB60</x:f>
        <x:v>0.25805687043183395</x:v>
      </x:c>
      <x:c r="Q60" s="53" t="n">
        <x:f>SUMPRODUCT((Events!$B$6:$B$158&lt;=$A60)*(Events!$C$6:$C$158&gt;=$A60)*(Events!$E$6:$E$158="Loan")*(Events!$F$6:$F$158="Rescue")*Events!$H$6:$H$158)</x:f>
        <x:v>0</x:v>
      </x:c>
      <x:c r="R60" s="53" t="n">
        <x:f>0</x:f>
        <x:v>0</x:v>
      </x:c>
      <x:c r="S60" s="53" t="n">
        <x:f>0</x:f>
        <x:v>0</x:v>
      </x:c>
      <x:c r="T60" s="53" t="n">
        <x:f>T59+Q60-R60-S60</x:f>
        <x:v>0</x:v>
      </x:c>
      <x:c r="U60" s="53" t="n">
        <x:f>T59*rescue_coupon</x:f>
        <x:v>0</x:v>
      </x:c>
      <x:c r="V60" s="53" t="n">
        <x:f>B60+G60+L60+Q60</x:f>
        <x:v>0</x:v>
      </x:c>
      <x:c r="W60" s="53" t="n">
        <x:f>C60+H60+M60+R60</x:f>
        <x:v>6.752642772973361</x:v>
      </x:c>
      <x:c r="X60" s="53" t="n">
        <x:f>E60+J60+O60+T60</x:f>
        <x:v>163.35371090351984</x:v>
      </x:c>
      <x:c r="Y60" s="53" t="n">
        <x:f>F60+K60+P60+U60</x:f>
        <x:v>8.892031745719319</x:v>
      </x:c>
    </x:row>
    <x:row r="61">
      <x:c r="A61" s="58" t="n">
        <x:v>1901</x:v>
      </x:c>
      <x:c r="B61" s="53" t="n">
        <x:f>SUMPRODUCT((Events!$B$6:$B$158&lt;=$A61)*(Events!$C$6:$C$158&gt;=$A61)*(Events!$E$6:$E$158="Loan")*(Events!$F$6:$F$158="Continental")*Events!$H$6:$H$158)</x:f>
        <x:v>0</x:v>
      </x:c>
      <x:c r="C61" s="53" t="n">
        <x:f>E60*cont_repay</x:f>
        <x:v>3.3639323093347118</x:v>
      </x:c>
      <x:c r="D61" s="53" t="n">
        <x:f>0</x:f>
        <x:v>0</x:v>
      </x:c>
      <x:c r="E61" s="53" t="n">
        <x:f>E60+B61-C61-D61</x:f>
        <x:v>80.73437542403308</x:v>
      </x:c>
      <x:c r="F61" s="53" t="n">
        <x:f>E60*cont_coupon</x:f>
        <x:v>4.2049153866683895</x:v>
      </x:c>
      <x:c r="G61" s="53" t="n">
        <x:f>SUMPRODUCT((Events!$B$6:$B$158&lt;=$A61)*(Events!$C$6:$C$158&gt;=$A61)*(Events!$E$6:$E$158="Loan")*(Events!$F$6:$F$158="Asia")*Events!$H$6:$H$158)</x:f>
        <x:v>0</x:v>
      </x:c>
      <x:c r="H61" s="53" t="n">
        <x:f>J60*asia_repay</x:f>
        <x:v>2.9699639953509784</x:v>
      </x:c>
      <x:c r="I61" s="53" t="n">
        <x:f>0</x:f>
        <x:v>0</x:v>
      </x:c>
      <x:c r="J61" s="53" t="n">
        <x:f>J60+G61-H61-I61</x:f>
        <x:v>71.27913588842348</x:v>
      </x:c>
      <x:c r="K61" s="53" t="n">
        <x:f>J60*asia_coupon</x:f>
        <x:v>4.083700493607595</x:v>
      </x:c>
      <x:c r="L61" s="53" t="n">
        <x:f>SUMPRODUCT((Events!$B$6:$B$158&lt;=$A61)*(Events!$C$6:$C$158&gt;=$A61)*(Events!$E$6:$E$158="Loan")*(Events!$F$6:$F$158="Europe")*Events!$H$6:$H$158)</x:f>
        <x:v>0</x:v>
      </x:c>
      <x:c r="M61" s="53" t="n">
        <x:f>O60*Paths!AA61</x:f>
        <x:v>0.15018909859132734</x:v>
      </x:c>
      <x:c r="N61" s="53" t="n">
        <x:f>IF($A61=1918,russia_writeoff*(O60+L61),0)</x:f>
        <x:v>0</x:v>
      </x:c>
      <x:c r="O61" s="53" t="n">
        <x:f>O60+L61-M61-N61</x:f>
        <x:v>4.856114187786251</x:v>
      </x:c>
      <x:c r="P61" s="53" t="n">
        <x:f>O60*Paths!Z61*Paths!AB61</x:f>
        <x:v>0.25031516431887896</x:v>
      </x:c>
      <x:c r="Q61" s="53" t="n">
        <x:f>SUMPRODUCT((Events!$B$6:$B$158&lt;=$A61)*(Events!$C$6:$C$158&gt;=$A61)*(Events!$E$6:$E$158="Loan")*(Events!$F$6:$F$158="Rescue")*Events!$H$6:$H$158)</x:f>
        <x:v>0</x:v>
      </x:c>
      <x:c r="R61" s="53" t="n">
        <x:f>0</x:f>
        <x:v>0</x:v>
      </x:c>
      <x:c r="S61" s="53" t="n">
        <x:f>0</x:f>
        <x:v>0</x:v>
      </x:c>
      <x:c r="T61" s="53" t="n">
        <x:f>T60+Q61-R61-S61</x:f>
        <x:v>0</x:v>
      </x:c>
      <x:c r="U61" s="53" t="n">
        <x:f>T60*rescue_coupon</x:f>
        <x:v>0</x:v>
      </x:c>
      <x:c r="V61" s="53" t="n">
        <x:f>B61+G61+L61+Q61</x:f>
        <x:v>0</x:v>
      </x:c>
      <x:c r="W61" s="53" t="n">
        <x:f>C61+H61+M61+R61</x:f>
        <x:v>6.484085403277017</x:v>
      </x:c>
      <x:c r="X61" s="53" t="n">
        <x:f>E61+J61+O61+T61</x:f>
        <x:v>156.86962550024282</x:v>
      </x:c>
      <x:c r="Y61" s="53" t="n">
        <x:f>F61+K61+P61+U61</x:f>
        <x:v>8.538931044594863</x:v>
      </x:c>
    </x:row>
    <x:row r="62">
      <x:c r="A62" s="58" t="n">
        <x:v>1902</x:v>
      </x:c>
      <x:c r="B62" s="53" t="n">
        <x:f>SUMPRODUCT((Events!$B$6:$B$158&lt;=$A62)*(Events!$C$6:$C$158&gt;=$A62)*(Events!$E$6:$E$158="Loan")*(Events!$F$6:$F$158="Continental")*Events!$H$6:$H$158)</x:f>
        <x:v>0</x:v>
      </x:c>
      <x:c r="C62" s="53" t="n">
        <x:f>E61*cont_repay</x:f>
        <x:v>3.229375016961323</x:v>
      </x:c>
      <x:c r="D62" s="53" t="n">
        <x:f>0</x:f>
        <x:v>0</x:v>
      </x:c>
      <x:c r="E62" s="53" t="n">
        <x:f>E61+B62-C62-D62</x:f>
        <x:v>77.50500040707175</x:v>
      </x:c>
      <x:c r="F62" s="53" t="n">
        <x:f>E61*cont_coupon</x:f>
        <x:v>4.036718771201654</x:v>
      </x:c>
      <x:c r="G62" s="53" t="n">
        <x:f>SUMPRODUCT((Events!$B$6:$B$158&lt;=$A62)*(Events!$C$6:$C$158&gt;=$A62)*(Events!$E$6:$E$158="Loan")*(Events!$F$6:$F$158="Asia")*Events!$H$6:$H$158)</x:f>
        <x:v>0</x:v>
      </x:c>
      <x:c r="H62" s="53" t="n">
        <x:f>J61*asia_repay</x:f>
        <x:v>2.8511654355369394</x:v>
      </x:c>
      <x:c r="I62" s="53" t="n">
        <x:f>0</x:f>
        <x:v>0</x:v>
      </x:c>
      <x:c r="J62" s="53" t="n">
        <x:f>J61+G62-H62-I62</x:f>
        <x:v>68.42797045288654</x:v>
      </x:c>
      <x:c r="K62" s="53" t="n">
        <x:f>J61*asia_coupon</x:f>
        <x:v>3.9203524738632916</x:v>
      </x:c>
      <x:c r="L62" s="53" t="n">
        <x:f>SUMPRODUCT((Events!$B$6:$B$158&lt;=$A62)*(Events!$C$6:$C$158&gt;=$A62)*(Events!$E$6:$E$158="Loan")*(Events!$F$6:$F$158="Europe")*Events!$H$6:$H$158)</x:f>
        <x:v>0</x:v>
      </x:c>
      <x:c r="M62" s="53" t="n">
        <x:f>O61*Paths!AA62</x:f>
        <x:v>0.14568342563358752</x:v>
      </x:c>
      <x:c r="N62" s="53" t="n">
        <x:f>IF($A62=1918,russia_writeoff*(O61+L62),0)</x:f>
        <x:v>0</x:v>
      </x:c>
      <x:c r="O62" s="53" t="n">
        <x:f>O61+L62-M62-N62</x:f>
        <x:v>4.710430762152663</x:v>
      </x:c>
      <x:c r="P62" s="53" t="n">
        <x:f>O61*Paths!Z62*Paths!AB62</x:f>
        <x:v>0.24280570938931256</x:v>
      </x:c>
      <x:c r="Q62" s="53" t="n">
        <x:f>SUMPRODUCT((Events!$B$6:$B$158&lt;=$A62)*(Events!$C$6:$C$158&gt;=$A62)*(Events!$E$6:$E$158="Loan")*(Events!$F$6:$F$158="Rescue")*Events!$H$6:$H$158)</x:f>
        <x:v>0</x:v>
      </x:c>
      <x:c r="R62" s="53" t="n">
        <x:f>0</x:f>
        <x:v>0</x:v>
      </x:c>
      <x:c r="S62" s="53" t="n">
        <x:f>0</x:f>
        <x:v>0</x:v>
      </x:c>
      <x:c r="T62" s="53" t="n">
        <x:f>T61+Q62-R62-S62</x:f>
        <x:v>0</x:v>
      </x:c>
      <x:c r="U62" s="53" t="n">
        <x:f>T61*rescue_coupon</x:f>
        <x:v>0</x:v>
      </x:c>
      <x:c r="V62" s="53" t="n">
        <x:f>B62+G62+L62+Q62</x:f>
        <x:v>0</x:v>
      </x:c>
      <x:c r="W62" s="53" t="n">
        <x:f>C62+H62+M62+R62</x:f>
        <x:v>6.22622387813185</x:v>
      </x:c>
      <x:c r="X62" s="53" t="n">
        <x:f>E62+J62+O62+T62</x:f>
        <x:v>150.64340162211096</x:v>
      </x:c>
      <x:c r="Y62" s="53" t="n">
        <x:f>F62+K62+P62+U62</x:f>
        <x:v>8.199876954454258</x:v>
      </x:c>
    </x:row>
    <x:row r="63">
      <x:c r="A63" s="58" t="n">
        <x:v>1903</x:v>
      </x:c>
      <x:c r="B63" s="53" t="n">
        <x:f>SUMPRODUCT((Events!$B$6:$B$158&lt;=$A63)*(Events!$C$6:$C$158&gt;=$A63)*(Events!$E$6:$E$158="Loan")*(Events!$F$6:$F$158="Continental")*Events!$H$6:$H$158)</x:f>
        <x:v>0</x:v>
      </x:c>
      <x:c r="C63" s="53" t="n">
        <x:f>E62*cont_repay</x:f>
        <x:v>3.10020001628287</x:v>
      </x:c>
      <x:c r="D63" s="53" t="n">
        <x:f>0</x:f>
        <x:v>0</x:v>
      </x:c>
      <x:c r="E63" s="53" t="n">
        <x:f>E62+B63-C63-D63</x:f>
        <x:v>74.40480039078888</x:v>
      </x:c>
      <x:c r="F63" s="53" t="n">
        <x:f>E62*cont_coupon</x:f>
        <x:v>3.8752500203535876</x:v>
      </x:c>
      <x:c r="G63" s="53" t="n">
        <x:f>SUMPRODUCT((Events!$B$6:$B$158&lt;=$A63)*(Events!$C$6:$C$158&gt;=$A63)*(Events!$E$6:$E$158="Loan")*(Events!$F$6:$F$158="Asia")*Events!$H$6:$H$158)</x:f>
        <x:v>0</x:v>
      </x:c>
      <x:c r="H63" s="53" t="n">
        <x:f>J62*asia_repay</x:f>
        <x:v>2.7371188181154618</x:v>
      </x:c>
      <x:c r="I63" s="53" t="n">
        <x:f>0</x:f>
        <x:v>0</x:v>
      </x:c>
      <x:c r="J63" s="53" t="n">
        <x:f>J62+G63-H63-I63</x:f>
        <x:v>65.69085163477108</x:v>
      </x:c>
      <x:c r="K63" s="53" t="n">
        <x:f>J62*asia_coupon</x:f>
        <x:v>3.7635383749087596</x:v>
      </x:c>
      <x:c r="L63" s="53" t="n">
        <x:f>SUMPRODUCT((Events!$B$6:$B$158&lt;=$A63)*(Events!$C$6:$C$158&gt;=$A63)*(Events!$E$6:$E$158="Loan")*(Events!$F$6:$F$158="Europe")*Events!$H$6:$H$158)</x:f>
        <x:v>0</x:v>
      </x:c>
      <x:c r="M63" s="53" t="n">
        <x:f>O62*Paths!AA63</x:f>
        <x:v>0.1413129228645799</x:v>
      </x:c>
      <x:c r="N63" s="53" t="n">
        <x:f>IF($A63=1918,russia_writeoff*(O62+L63),0)</x:f>
        <x:v>0</x:v>
      </x:c>
      <x:c r="O63" s="53" t="n">
        <x:f>O62+L63-M63-N63</x:f>
        <x:v>4.569117839288084</x:v>
      </x:c>
      <x:c r="P63" s="53" t="n">
        <x:f>O62*Paths!Z63*Paths!AB63</x:f>
        <x:v>0.23552153810763318</x:v>
      </x:c>
      <x:c r="Q63" s="53" t="n">
        <x:f>SUMPRODUCT((Events!$B$6:$B$158&lt;=$A63)*(Events!$C$6:$C$158&gt;=$A63)*(Events!$E$6:$E$158="Loan")*(Events!$F$6:$F$158="Rescue")*Events!$H$6:$H$158)</x:f>
        <x:v>0</x:v>
      </x:c>
      <x:c r="R63" s="53" t="n">
        <x:f>0</x:f>
        <x:v>0</x:v>
      </x:c>
      <x:c r="S63" s="53" t="n">
        <x:f>0</x:f>
        <x:v>0</x:v>
      </x:c>
      <x:c r="T63" s="53" t="n">
        <x:f>T62+Q63-R63-S63</x:f>
        <x:v>0</x:v>
      </x:c>
      <x:c r="U63" s="53" t="n">
        <x:f>T62*rescue_coupon</x:f>
        <x:v>0</x:v>
      </x:c>
      <x:c r="V63" s="53" t="n">
        <x:f>B63+G63+L63+Q63</x:f>
        <x:v>0</x:v>
      </x:c>
      <x:c r="W63" s="53" t="n">
        <x:f>C63+H63+M63+R63</x:f>
        <x:v>5.978631757262911</x:v>
      </x:c>
      <x:c r="X63" s="53" t="n">
        <x:f>E63+J63+O63+T63</x:f>
        <x:v>144.66476986484804</x:v>
      </x:c>
      <x:c r="Y63" s="53" t="n">
        <x:f>F63+K63+P63+U63</x:f>
        <x:v>7.874309933369981</x:v>
      </x:c>
    </x:row>
    <x:row r="64">
      <x:c r="A64" s="58" t="n">
        <x:v>1904</x:v>
      </x:c>
      <x:c r="B64" s="53" t="n">
        <x:f>SUMPRODUCT((Events!$B$6:$B$158&lt;=$A64)*(Events!$C$6:$C$158&gt;=$A64)*(Events!$E$6:$E$158="Loan")*(Events!$F$6:$F$158="Continental")*Events!$H$6:$H$158)</x:f>
        <x:v>0</x:v>
      </x:c>
      <x:c r="C64" s="53" t="n">
        <x:f>E63*cont_repay</x:f>
        <x:v>2.9761920156315553</x:v>
      </x:c>
      <x:c r="D64" s="53" t="n">
        <x:f>0</x:f>
        <x:v>0</x:v>
      </x:c>
      <x:c r="E64" s="53" t="n">
        <x:f>E63+B64-C64-D64</x:f>
        <x:v>71.42860837515732</x:v>
      </x:c>
      <x:c r="F64" s="53" t="n">
        <x:f>E63*cont_coupon</x:f>
        <x:v>3.7202400195394443</x:v>
      </x:c>
      <x:c r="G64" s="53" t="n">
        <x:f>SUMPRODUCT((Events!$B$6:$B$158&lt;=$A64)*(Events!$C$6:$C$158&gt;=$A64)*(Events!$E$6:$E$158="Loan")*(Events!$F$6:$F$158="Asia")*Events!$H$6:$H$158)</x:f>
        <x:v>30</x:v>
      </x:c>
      <x:c r="H64" s="53" t="n">
        <x:f>J63*asia_repay</x:f>
        <x:v>2.627634065390843</x:v>
      </x:c>
      <x:c r="I64" s="53" t="n">
        <x:f>0</x:f>
        <x:v>0</x:v>
      </x:c>
      <x:c r="J64" s="53" t="n">
        <x:f>J63+G64-H64-I64</x:f>
        <x:v>93.06321756938024</x:v>
      </x:c>
      <x:c r="K64" s="53" t="n">
        <x:f>J63*asia_coupon</x:f>
        <x:v>3.6129968399124093</x:v>
      </x:c>
      <x:c r="L64" s="53" t="n">
        <x:f>SUMPRODUCT((Events!$B$6:$B$158&lt;=$A64)*(Events!$C$6:$C$158&gt;=$A64)*(Events!$E$6:$E$158="Loan")*(Events!$F$6:$F$158="Europe")*Events!$H$6:$H$158)</x:f>
        <x:v>0</x:v>
      </x:c>
      <x:c r="M64" s="53" t="n">
        <x:f>O63*Paths!AA64</x:f>
        <x:v>0.1370735351786425</x:v>
      </x:c>
      <x:c r="N64" s="53" t="n">
        <x:f>IF($A64=1918,russia_writeoff*(O63+L64),0)</x:f>
        <x:v>0</x:v>
      </x:c>
      <x:c r="O64" s="53" t="n">
        <x:f>O63+L64-M64-N64</x:f>
        <x:v>4.432044304109441</x:v>
      </x:c>
      <x:c r="P64" s="53" t="n">
        <x:f>O63*Paths!Z64*Paths!AB64</x:f>
        <x:v>0.2284558919644042</x:v>
      </x:c>
      <x:c r="Q64" s="53" t="n">
        <x:f>SUMPRODUCT((Events!$B$6:$B$158&lt;=$A64)*(Events!$C$6:$C$158&gt;=$A64)*(Events!$E$6:$E$158="Loan")*(Events!$F$6:$F$158="Rescue")*Events!$H$6:$H$158)</x:f>
        <x:v>0</x:v>
      </x:c>
      <x:c r="R64" s="53" t="n">
        <x:f>0</x:f>
        <x:v>0</x:v>
      </x:c>
      <x:c r="S64" s="53" t="n">
        <x:f>0</x:f>
        <x:v>0</x:v>
      </x:c>
      <x:c r="T64" s="53" t="n">
        <x:f>T63+Q64-R64-S64</x:f>
        <x:v>0</x:v>
      </x:c>
      <x:c r="U64" s="53" t="n">
        <x:f>T63*rescue_coupon</x:f>
        <x:v>0</x:v>
      </x:c>
      <x:c r="V64" s="53" t="n">
        <x:f>B64+G64+L64+Q64</x:f>
        <x:v>30</x:v>
      </x:c>
      <x:c r="W64" s="53" t="n">
        <x:f>C64+H64+M64+R64</x:f>
        <x:v>5.740899616201041</x:v>
      </x:c>
      <x:c r="X64" s="53" t="n">
        <x:f>E64+J64+O64+T64</x:f>
        <x:v>168.923870248647</x:v>
      </x:c>
      <x:c r="Y64" s="53" t="n">
        <x:f>F64+K64+P64+U64</x:f>
        <x:v>7.561692751416257</x:v>
      </x:c>
    </x:row>
    <x:row r="65">
      <x:c r="A65" s="58" t="n">
        <x:v>1905</x:v>
      </x:c>
      <x:c r="B65" s="53" t="n">
        <x:f>SUMPRODUCT((Events!$B$6:$B$158&lt;=$A65)*(Events!$C$6:$C$158&gt;=$A65)*(Events!$E$6:$E$158="Loan")*(Events!$F$6:$F$158="Continental")*Events!$H$6:$H$158)</x:f>
        <x:v>0</x:v>
      </x:c>
      <x:c r="C65" s="53" t="n">
        <x:f>E64*cont_repay</x:f>
        <x:v>2.857144335006293</x:v>
      </x:c>
      <x:c r="D65" s="53" t="n">
        <x:f>0</x:f>
        <x:v>0</x:v>
      </x:c>
      <x:c r="E65" s="53" t="n">
        <x:f>E64+B65-C65-D65</x:f>
        <x:v>68.57146404015103</x:v>
      </x:c>
      <x:c r="F65" s="53" t="n">
        <x:f>E64*cont_coupon</x:f>
        <x:v>3.5714304187578665</x:v>
      </x:c>
      <x:c r="G65" s="53" t="n">
        <x:f>SUMPRODUCT((Events!$B$6:$B$158&lt;=$A65)*(Events!$C$6:$C$158&gt;=$A65)*(Events!$E$6:$E$158="Loan")*(Events!$F$6:$F$158="Asia")*Events!$H$6:$H$158)</x:f>
        <x:v>30</x:v>
      </x:c>
      <x:c r="H65" s="53" t="n">
        <x:f>J64*asia_repay</x:f>
        <x:v>3.7225287027752096</x:v>
      </x:c>
      <x:c r="I65" s="53" t="n">
        <x:f>0</x:f>
        <x:v>0</x:v>
      </x:c>
      <x:c r="J65" s="53" t="n">
        <x:f>J64+G65-H65-I65</x:f>
        <x:v>119.34068886660503</x:v>
      </x:c>
      <x:c r="K65" s="53" t="n">
        <x:f>J64*asia_coupon</x:f>
        <x:v>5.118476966315914</x:v>
      </x:c>
      <x:c r="L65" s="53" t="n">
        <x:f>SUMPRODUCT((Events!$B$6:$B$158&lt;=$A65)*(Events!$C$6:$C$158&gt;=$A65)*(Events!$E$6:$E$158="Loan")*(Events!$F$6:$F$158="Europe")*Events!$H$6:$H$158)</x:f>
        <x:v>0</x:v>
      </x:c>
      <x:c r="M65" s="53" t="n">
        <x:f>O64*Paths!AA65</x:f>
        <x:v>0.13296132912328323</x:v>
      </x:c>
      <x:c r="N65" s="53" t="n">
        <x:f>IF($A65=1918,russia_writeoff*(O64+L65),0)</x:f>
        <x:v>0</x:v>
      </x:c>
      <x:c r="O65" s="53" t="n">
        <x:f>O64+L65-M65-N65</x:f>
        <x:v>4.299082974986158</x:v>
      </x:c>
      <x:c r="P65" s="53" t="n">
        <x:f>O64*Paths!Z65*Paths!AB65</x:f>
        <x:v>0.22160221520547208</x:v>
      </x:c>
      <x:c r="Q65" s="53" t="n">
        <x:f>SUMPRODUCT((Events!$B$6:$B$158&lt;=$A65)*(Events!$C$6:$C$158&gt;=$A65)*(Events!$E$6:$E$158="Loan")*(Events!$F$6:$F$158="Rescue")*Events!$H$6:$H$158)</x:f>
        <x:v>0</x:v>
      </x:c>
      <x:c r="R65" s="53" t="n">
        <x:f>0</x:f>
        <x:v>0</x:v>
      </x:c>
      <x:c r="S65" s="53" t="n">
        <x:f>0</x:f>
        <x:v>0</x:v>
      </x:c>
      <x:c r="T65" s="53" t="n">
        <x:f>T64+Q65-R65-S65</x:f>
        <x:v>0</x:v>
      </x:c>
      <x:c r="U65" s="53" t="n">
        <x:f>T64*rescue_coupon</x:f>
        <x:v>0</x:v>
      </x:c>
      <x:c r="V65" s="53" t="n">
        <x:f>B65+G65+L65+Q65</x:f>
        <x:v>30</x:v>
      </x:c>
      <x:c r="W65" s="53" t="n">
        <x:f>C65+H65+M65+R65</x:f>
        <x:v>6.712634366904785</x:v>
      </x:c>
      <x:c r="X65" s="53" t="n">
        <x:f>E65+J65+O65+T65</x:f>
        <x:v>192.21123588174223</x:v>
      </x:c>
      <x:c r="Y65" s="53" t="n">
        <x:f>F65+K65+P65+U65</x:f>
        <x:v>8.911509600279253</x:v>
      </x:c>
    </x:row>
    <x:row r="66">
      <x:c r="A66" s="58" t="n">
        <x:v>1906</x:v>
      </x:c>
      <x:c r="B66" s="53" t="n">
        <x:f>SUMPRODUCT((Events!$B$6:$B$158&lt;=$A66)*(Events!$C$6:$C$158&gt;=$A66)*(Events!$E$6:$E$158="Loan")*(Events!$F$6:$F$158="Continental")*Events!$H$6:$H$158)</x:f>
        <x:v>0</x:v>
      </x:c>
      <x:c r="C66" s="53" t="n">
        <x:f>E65*cont_repay</x:f>
        <x:v>2.7428585616060412</x:v>
      </x:c>
      <x:c r="D66" s="53" t="n">
        <x:f>0</x:f>
        <x:v>0</x:v>
      </x:c>
      <x:c r="E66" s="53" t="n">
        <x:f>E65+B66-C66-D66</x:f>
        <x:v>65.82860547854499</x:v>
      </x:c>
      <x:c r="F66" s="53" t="n">
        <x:f>E65*cont_coupon</x:f>
        <x:v>3.4285732020075517</x:v>
      </x:c>
      <x:c r="G66" s="53" t="n">
        <x:f>SUMPRODUCT((Events!$B$6:$B$158&lt;=$A66)*(Events!$C$6:$C$158&gt;=$A66)*(Events!$E$6:$E$158="Loan")*(Events!$F$6:$F$158="Asia")*Events!$H$6:$H$158)</x:f>
        <x:v>0</x:v>
      </x:c>
      <x:c r="H66" s="53" t="n">
        <x:f>J65*asia_repay</x:f>
        <x:v>4.773627554664201</x:v>
      </x:c>
      <x:c r="I66" s="53" t="n">
        <x:f>0</x:f>
        <x:v>0</x:v>
      </x:c>
      <x:c r="J66" s="53" t="n">
        <x:f>J65+G66-H66-I66</x:f>
        <x:v>114.56706131194083</x:v>
      </x:c>
      <x:c r="K66" s="53" t="n">
        <x:f>J65*asia_coupon</x:f>
        <x:v>6.563737887663277</x:v>
      </x:c>
      <x:c r="L66" s="53" t="n">
        <x:f>SUMPRODUCT((Events!$B$6:$B$158&lt;=$A66)*(Events!$C$6:$C$158&gt;=$A66)*(Events!$E$6:$E$158="Loan")*(Events!$F$6:$F$158="Europe")*Events!$H$6:$H$158)</x:f>
        <x:v>0</x:v>
      </x:c>
      <x:c r="M66" s="53" t="n">
        <x:f>O65*Paths!AA66</x:f>
        <x:v>0.12897248924958474</x:v>
      </x:c>
      <x:c r="N66" s="53" t="n">
        <x:f>IF($A66=1918,russia_writeoff*(O65+L66),0)</x:f>
        <x:v>0</x:v>
      </x:c>
      <x:c r="O66" s="53" t="n">
        <x:f>O65+L66-M66-N66</x:f>
        <x:v>4.170110485736573</x:v>
      </x:c>
      <x:c r="P66" s="53" t="n">
        <x:f>O65*Paths!Z66*Paths!AB66</x:f>
        <x:v>0.2149541487493079</x:v>
      </x:c>
      <x:c r="Q66" s="53" t="n">
        <x:f>SUMPRODUCT((Events!$B$6:$B$158&lt;=$A66)*(Events!$C$6:$C$158&gt;=$A66)*(Events!$E$6:$E$158="Loan")*(Events!$F$6:$F$158="Rescue")*Events!$H$6:$H$158)</x:f>
        <x:v>0</x:v>
      </x:c>
      <x:c r="R66" s="53" t="n">
        <x:f>0</x:f>
        <x:v>0</x:v>
      </x:c>
      <x:c r="S66" s="53" t="n">
        <x:f>0</x:f>
        <x:v>0</x:v>
      </x:c>
      <x:c r="T66" s="53" t="n">
        <x:f>T65+Q66-R66-S66</x:f>
        <x:v>0</x:v>
      </x:c>
      <x:c r="U66" s="53" t="n">
        <x:f>T65*rescue_coupon</x:f>
        <x:v>0</x:v>
      </x:c>
      <x:c r="V66" s="53" t="n">
        <x:f>B66+G66+L66+Q66</x:f>
        <x:v>0</x:v>
      </x:c>
      <x:c r="W66" s="53" t="n">
        <x:f>C66+H66+M66+R66</x:f>
        <x:v>7.645458605519827</x:v>
      </x:c>
      <x:c r="X66" s="53" t="n">
        <x:f>E66+J66+O66+T66</x:f>
        <x:v>184.5657772762224</x:v>
      </x:c>
      <x:c r="Y66" s="53" t="n">
        <x:f>F66+K66+P66+U66</x:f>
        <x:v>10.207265238420137</x:v>
      </x:c>
    </x:row>
    <x:row r="67">
      <x:c r="A67" s="58" t="n">
        <x:v>1907</x:v>
      </x:c>
      <x:c r="B67" s="53" t="n">
        <x:f>SUMPRODUCT((Events!$B$6:$B$158&lt;=$A67)*(Events!$C$6:$C$158&gt;=$A67)*(Events!$E$6:$E$158="Loan")*(Events!$F$6:$F$158="Continental")*Events!$H$6:$H$158)</x:f>
        <x:v>0</x:v>
      </x:c>
      <x:c r="C67" s="53" t="n">
        <x:f>E66*cont_repay</x:f>
        <x:v>2.6331442191417995</x:v>
      </x:c>
      <x:c r="D67" s="53" t="n">
        <x:f>0</x:f>
        <x:v>0</x:v>
      </x:c>
      <x:c r="E67" s="53" t="n">
        <x:f>E66+B67-C67-D67</x:f>
        <x:v>63.19546125940319</x:v>
      </x:c>
      <x:c r="F67" s="53" t="n">
        <x:f>E66*cont_coupon</x:f>
        <x:v>3.2914302739272494</x:v>
      </x:c>
      <x:c r="G67" s="53" t="n">
        <x:f>SUMPRODUCT((Events!$B$6:$B$158&lt;=$A67)*(Events!$C$6:$C$158&gt;=$A67)*(Events!$E$6:$E$158="Loan")*(Events!$F$6:$F$158="Asia")*Events!$H$6:$H$158)</x:f>
        <x:v>0</x:v>
      </x:c>
      <x:c r="H67" s="53" t="n">
        <x:f>J66*asia_repay</x:f>
        <x:v>4.582682452477633</x:v>
      </x:c>
      <x:c r="I67" s="53" t="n">
        <x:f>0</x:f>
        <x:v>0</x:v>
      </x:c>
      <x:c r="J67" s="53" t="n">
        <x:f>J66+G67-H67-I67</x:f>
        <x:v>109.9843788594632</x:v>
      </x:c>
      <x:c r="K67" s="53" t="n">
        <x:f>J66*asia_coupon</x:f>
        <x:v>6.301188372156746</x:v>
      </x:c>
      <x:c r="L67" s="53" t="n">
        <x:f>SUMPRODUCT((Events!$B$6:$B$158&lt;=$A67)*(Events!$C$6:$C$158&gt;=$A67)*(Events!$E$6:$E$158="Loan")*(Events!$F$6:$F$158="Europe")*Events!$H$6:$H$158)</x:f>
        <x:v>0</x:v>
      </x:c>
      <x:c r="M67" s="53" t="n">
        <x:f>O66*Paths!AA67</x:f>
        <x:v>0.1251033145720972</x:v>
      </x:c>
      <x:c r="N67" s="53" t="n">
        <x:f>IF($A67=1918,russia_writeoff*(O66+L67),0)</x:f>
        <x:v>0</x:v>
      </x:c>
      <x:c r="O67" s="53" t="n">
        <x:f>O66+L67-M67-N67</x:f>
        <x:v>4.0450071711644755</x:v>
      </x:c>
      <x:c r="P67" s="53" t="n">
        <x:f>O66*Paths!Z67*Paths!AB67</x:f>
        <x:v>0.20850552428682867</x:v>
      </x:c>
      <x:c r="Q67" s="53" t="n">
        <x:f>SUMPRODUCT((Events!$B$6:$B$158&lt;=$A67)*(Events!$C$6:$C$158&gt;=$A67)*(Events!$E$6:$E$158="Loan")*(Events!$F$6:$F$158="Rescue")*Events!$H$6:$H$158)</x:f>
        <x:v>0</x:v>
      </x:c>
      <x:c r="R67" s="53" t="n">
        <x:f>0</x:f>
        <x:v>0</x:v>
      </x:c>
      <x:c r="S67" s="53" t="n">
        <x:f>0</x:f>
        <x:v>0</x:v>
      </x:c>
      <x:c r="T67" s="53" t="n">
        <x:f>T66+Q67-R67-S67</x:f>
        <x:v>0</x:v>
      </x:c>
      <x:c r="U67" s="53" t="n">
        <x:f>T66*rescue_coupon</x:f>
        <x:v>0</x:v>
      </x:c>
      <x:c r="V67" s="53" t="n">
        <x:f>B67+G67+L67+Q67</x:f>
        <x:v>0</x:v>
      </x:c>
      <x:c r="W67" s="53" t="n">
        <x:f>C67+H67+M67+R67</x:f>
        <x:v>7.34092998619153</x:v>
      </x:c>
      <x:c r="X67" s="53" t="n">
        <x:f>E67+J67+O67+T67</x:f>
        <x:v>177.22484729003088</x:v>
      </x:c>
      <x:c r="Y67" s="53" t="n">
        <x:f>F67+K67+P67+U67</x:f>
        <x:v>9.801124170370823</x:v>
      </x:c>
    </x:row>
    <x:row r="68">
      <x:c r="A68" s="58" t="n">
        <x:v>1908</x:v>
      </x:c>
      <x:c r="B68" s="53" t="n">
        <x:f>SUMPRODUCT((Events!$B$6:$B$158&lt;=$A68)*(Events!$C$6:$C$158&gt;=$A68)*(Events!$E$6:$E$158="Loan")*(Events!$F$6:$F$158="Continental")*Events!$H$6:$H$158)</x:f>
        <x:v>0</x:v>
      </x:c>
      <x:c r="C68" s="53" t="n">
        <x:f>E67*cont_repay</x:f>
        <x:v>2.5278184503761274</x:v>
      </x:c>
      <x:c r="D68" s="53" t="n">
        <x:f>0</x:f>
        <x:v>0</x:v>
      </x:c>
      <x:c r="E68" s="53" t="n">
        <x:f>E67+B68-C68-D68</x:f>
        <x:v>60.66764280902706</x:v>
      </x:c>
      <x:c r="F68" s="53" t="n">
        <x:f>E67*cont_coupon</x:f>
        <x:v>3.1597730629701597</x:v>
      </x:c>
      <x:c r="G68" s="53" t="n">
        <x:f>SUMPRODUCT((Events!$B$6:$B$158&lt;=$A68)*(Events!$C$6:$C$158&gt;=$A68)*(Events!$E$6:$E$158="Loan")*(Events!$F$6:$F$158="Asia")*Events!$H$6:$H$158)</x:f>
        <x:v>0</x:v>
      </x:c>
      <x:c r="H68" s="53" t="n">
        <x:f>J67*asia_repay</x:f>
        <x:v>4.399375154378529</x:v>
      </x:c>
      <x:c r="I68" s="53" t="n">
        <x:f>0</x:f>
        <x:v>0</x:v>
      </x:c>
      <x:c r="J68" s="53" t="n">
        <x:f>J67+G68-H68-I68</x:f>
        <x:v>105.58500370508467</x:v>
      </x:c>
      <x:c r="K68" s="53" t="n">
        <x:f>J67*asia_coupon</x:f>
        <x:v>6.0491408372704765</x:v>
      </x:c>
      <x:c r="L68" s="53" t="n">
        <x:f>SUMPRODUCT((Events!$B$6:$B$158&lt;=$A68)*(Events!$C$6:$C$158&gt;=$A68)*(Events!$E$6:$E$158="Loan")*(Events!$F$6:$F$158="Europe")*Events!$H$6:$H$158)</x:f>
        <x:v>0</x:v>
      </x:c>
      <x:c r="M68" s="53" t="n">
        <x:f>O67*Paths!AA68</x:f>
        <x:v>0.12135021513493426</x:v>
      </x:c>
      <x:c r="N68" s="53" t="n">
        <x:f>IF($A68=1918,russia_writeoff*(O67+L68),0)</x:f>
        <x:v>0</x:v>
      </x:c>
      <x:c r="O68" s="53" t="n">
        <x:f>O67+L68-M68-N68</x:f>
        <x:v>3.923656956029541</x:v>
      </x:c>
      <x:c r="P68" s="53" t="n">
        <x:f>O67*Paths!Z68*Paths!AB68</x:f>
        <x:v>0.2022503585582238</x:v>
      </x:c>
      <x:c r="Q68" s="53" t="n">
        <x:f>SUMPRODUCT((Events!$B$6:$B$158&lt;=$A68)*(Events!$C$6:$C$158&gt;=$A68)*(Events!$E$6:$E$158="Loan")*(Events!$F$6:$F$158="Rescue")*Events!$H$6:$H$158)</x:f>
        <x:v>0</x:v>
      </x:c>
      <x:c r="R68" s="53" t="n">
        <x:f>0</x:f>
        <x:v>0</x:v>
      </x:c>
      <x:c r="S68" s="53" t="n">
        <x:f>0</x:f>
        <x:v>0</x:v>
      </x:c>
      <x:c r="T68" s="53" t="n">
        <x:f>T67+Q68-R68-S68</x:f>
        <x:v>0</x:v>
      </x:c>
      <x:c r="U68" s="53" t="n">
        <x:f>T67*rescue_coupon</x:f>
        <x:v>0</x:v>
      </x:c>
      <x:c r="V68" s="53" t="n">
        <x:f>B68+G68+L68+Q68</x:f>
        <x:v>0</x:v>
      </x:c>
      <x:c r="W68" s="53" t="n">
        <x:f>C68+H68+M68+R68</x:f>
        <x:v>7.0485438198895904</x:v>
      </x:c>
      <x:c r="X68" s="53" t="n">
        <x:f>E68+J68+O68+T68</x:f>
        <x:v>170.17630347014128</x:v>
      </x:c>
      <x:c r="Y68" s="53" t="n">
        <x:f>F68+K68+P68+U68</x:f>
        <x:v>9.41116425879886</x:v>
      </x:c>
    </x:row>
    <x:row r="69">
      <x:c r="A69" s="58" t="n">
        <x:v>1909</x:v>
      </x:c>
      <x:c r="B69" s="53" t="n">
        <x:f>SUMPRODUCT((Events!$B$6:$B$158&lt;=$A69)*(Events!$C$6:$C$158&gt;=$A69)*(Events!$E$6:$E$158="Loan")*(Events!$F$6:$F$158="Continental")*Events!$H$6:$H$158)</x:f>
        <x:v>0</x:v>
      </x:c>
      <x:c r="C69" s="53" t="n">
        <x:f>E68*cont_repay</x:f>
        <x:v>2.4267057123610822</x:v>
      </x:c>
      <x:c r="D69" s="53" t="n">
        <x:f>0</x:f>
        <x:v>0</x:v>
      </x:c>
      <x:c r="E69" s="53" t="n">
        <x:f>E68+B69-C69-D69</x:f>
        <x:v>58.240937096665974</x:v>
      </x:c>
      <x:c r="F69" s="53" t="n">
        <x:f>E68*cont_coupon</x:f>
        <x:v>3.0333821404513532</x:v>
      </x:c>
      <x:c r="G69" s="53" t="n">
        <x:f>SUMPRODUCT((Events!$B$6:$B$158&lt;=$A69)*(Events!$C$6:$C$158&gt;=$A69)*(Events!$E$6:$E$158="Loan")*(Events!$F$6:$F$158="Asia")*Events!$H$6:$H$158)</x:f>
        <x:v>0</x:v>
      </x:c>
      <x:c r="H69" s="53" t="n">
        <x:f>J68*asia_repay</x:f>
        <x:v>4.223400148203387</x:v>
      </x:c>
      <x:c r="I69" s="53" t="n">
        <x:f>0</x:f>
        <x:v>0</x:v>
      </x:c>
      <x:c r="J69" s="53" t="n">
        <x:f>J68+G69-H69-I69</x:f>
        <x:v>101.36160355688129</x:v>
      </x:c>
      <x:c r="K69" s="53" t="n">
        <x:f>J68*asia_coupon</x:f>
        <x:v>5.807175203779657</x:v>
      </x:c>
      <x:c r="L69" s="53" t="n">
        <x:f>SUMPRODUCT((Events!$B$6:$B$158&lt;=$A69)*(Events!$C$6:$C$158&gt;=$A69)*(Events!$E$6:$E$158="Loan")*(Events!$F$6:$F$158="Europe")*Events!$H$6:$H$158)</x:f>
        <x:v>0</x:v>
      </x:c>
      <x:c r="M69" s="53" t="n">
        <x:f>O68*Paths!AA69</x:f>
        <x:v>0.11770970868088623</x:v>
      </x:c>
      <x:c r="N69" s="53" t="n">
        <x:f>IF($A69=1918,russia_writeoff*(O68+L69),0)</x:f>
        <x:v>0</x:v>
      </x:c>
      <x:c r="O69" s="53" t="n">
        <x:f>O68+L69-M69-N69</x:f>
        <x:v>3.805947247348655</x:v>
      </x:c>
      <x:c r="P69" s="53" t="n">
        <x:f>O68*Paths!Z69*Paths!AB69</x:f>
        <x:v>0.19618284780147707</x:v>
      </x:c>
      <x:c r="Q69" s="53" t="n">
        <x:f>SUMPRODUCT((Events!$B$6:$B$158&lt;=$A69)*(Events!$C$6:$C$158&gt;=$A69)*(Events!$E$6:$E$158="Loan")*(Events!$F$6:$F$158="Rescue")*Events!$H$6:$H$158)</x:f>
        <x:v>0</x:v>
      </x:c>
      <x:c r="R69" s="53" t="n">
        <x:f>0</x:f>
        <x:v>0</x:v>
      </x:c>
      <x:c r="S69" s="53" t="n">
        <x:f>0</x:f>
        <x:v>0</x:v>
      </x:c>
      <x:c r="T69" s="53" t="n">
        <x:f>T68+Q69-R69-S69</x:f>
        <x:v>0</x:v>
      </x:c>
      <x:c r="U69" s="53" t="n">
        <x:f>T68*rescue_coupon</x:f>
        <x:v>0</x:v>
      </x:c>
      <x:c r="V69" s="53" t="n">
        <x:f>B69+G69+L69+Q69</x:f>
        <x:v>0</x:v>
      </x:c>
      <x:c r="W69" s="53" t="n">
        <x:f>C69+H69+M69+R69</x:f>
        <x:v>6.767815569245355</x:v>
      </x:c>
      <x:c r="X69" s="53" t="n">
        <x:f>E69+J69+O69+T69</x:f>
        <x:v>163.40848790089592</x:v>
      </x:c>
      <x:c r="Y69" s="53" t="n">
        <x:f>F69+K69+P69+U69</x:f>
        <x:v>9.036740192032488</x:v>
      </x:c>
    </x:row>
    <x:row r="70">
      <x:c r="A70" s="58" t="n">
        <x:v>1910</x:v>
      </x:c>
      <x:c r="B70" s="53" t="n">
        <x:f>SUMPRODUCT((Events!$B$6:$B$158&lt;=$A70)*(Events!$C$6:$C$158&gt;=$A70)*(Events!$E$6:$E$158="Loan")*(Events!$F$6:$F$158="Continental")*Events!$H$6:$H$158)</x:f>
        <x:v>0</x:v>
      </x:c>
      <x:c r="C70" s="53" t="n">
        <x:f>E69*cont_repay</x:f>
        <x:v>2.329637483866639</x:v>
      </x:c>
      <x:c r="D70" s="53" t="n">
        <x:f>0</x:f>
        <x:v>0</x:v>
      </x:c>
      <x:c r="E70" s="53" t="n">
        <x:f>E69+B70-C70-D70</x:f>
        <x:v>55.91129961279933</x:v>
      </x:c>
      <x:c r="F70" s="53" t="n">
        <x:f>E69*cont_coupon</x:f>
        <x:v>2.912046854833299</x:v>
      </x:c>
      <x:c r="G70" s="53" t="n">
        <x:f>SUMPRODUCT((Events!$B$6:$B$158&lt;=$A70)*(Events!$C$6:$C$158&gt;=$A70)*(Events!$E$6:$E$158="Loan")*(Events!$F$6:$F$158="Asia")*Events!$H$6:$H$158)</x:f>
        <x:v>0</x:v>
      </x:c>
      <x:c r="H70" s="53" t="n">
        <x:f>J69*asia_repay</x:f>
        <x:v>4.054464142275251</x:v>
      </x:c>
      <x:c r="I70" s="53" t="n">
        <x:f>0</x:f>
        <x:v>0</x:v>
      </x:c>
      <x:c r="J70" s="53" t="n">
        <x:f>J69+G70-H70-I70</x:f>
        <x:v>97.30713941460604</x:v>
      </x:c>
      <x:c r="K70" s="53" t="n">
        <x:f>J69*asia_coupon</x:f>
        <x:v>5.574888195628471</x:v>
      </x:c>
      <x:c r="L70" s="53" t="n">
        <x:f>SUMPRODUCT((Events!$B$6:$B$158&lt;=$A70)*(Events!$C$6:$C$158&gt;=$A70)*(Events!$E$6:$E$158="Loan")*(Events!$F$6:$F$158="Europe")*Events!$H$6:$H$158)</x:f>
        <x:v>0</x:v>
      </x:c>
      <x:c r="M70" s="53" t="n">
        <x:f>O69*Paths!AA70</x:f>
        <x:v>0.11417841742045964</x:v>
      </x:c>
      <x:c r="N70" s="53" t="n">
        <x:f>IF($A70=1918,russia_writeoff*(O69+L70),0)</x:f>
        <x:v>0</x:v>
      </x:c>
      <x:c r="O70" s="53" t="n">
        <x:f>O69+L70-M70-N70</x:f>
        <x:v>3.691768829928195</x:v>
      </x:c>
      <x:c r="P70" s="53" t="n">
        <x:f>O69*Paths!Z70*Paths!AB70</x:f>
        <x:v>0.19029736236743278</x:v>
      </x:c>
      <x:c r="Q70" s="53" t="n">
        <x:f>SUMPRODUCT((Events!$B$6:$B$158&lt;=$A70)*(Events!$C$6:$C$158&gt;=$A70)*(Events!$E$6:$E$158="Loan")*(Events!$F$6:$F$158="Rescue")*Events!$H$6:$H$158)</x:f>
        <x:v>0</x:v>
      </x:c>
      <x:c r="R70" s="53" t="n">
        <x:f>0</x:f>
        <x:v>0</x:v>
      </x:c>
      <x:c r="S70" s="53" t="n">
        <x:f>0</x:f>
        <x:v>0</x:v>
      </x:c>
      <x:c r="T70" s="53" t="n">
        <x:f>T69+Q70-R70-S70</x:f>
        <x:v>0</x:v>
      </x:c>
      <x:c r="U70" s="53" t="n">
        <x:f>T69*rescue_coupon</x:f>
        <x:v>0</x:v>
      </x:c>
      <x:c r="V70" s="53" t="n">
        <x:f>B70+G70+L70+Q70</x:f>
        <x:v>0</x:v>
      </x:c>
      <x:c r="W70" s="53" t="n">
        <x:f>C70+H70+M70+R70</x:f>
        <x:v>6.4982800435623504</x:v>
      </x:c>
      <x:c r="X70" s="53" t="n">
        <x:f>E70+J70+O70+T70</x:f>
        <x:v>156.91020785733357</x:v>
      </x:c>
      <x:c r="Y70" s="53" t="n">
        <x:f>F70+K70+P70+U70</x:f>
        <x:v>8.677232412829204</x:v>
      </x:c>
    </x:row>
    <x:row r="71">
      <x:c r="A71" s="58" t="n">
        <x:v>1911</x:v>
      </x:c>
      <x:c r="B71" s="53" t="n">
        <x:f>SUMPRODUCT((Events!$B$6:$B$158&lt;=$A71)*(Events!$C$6:$C$158&gt;=$A71)*(Events!$E$6:$E$158="Loan")*(Events!$F$6:$F$158="Continental")*Events!$H$6:$H$158)</x:f>
        <x:v>0</x:v>
      </x:c>
      <x:c r="C71" s="53" t="n">
        <x:f>E70*cont_repay</x:f>
        <x:v>2.2364519845119735</x:v>
      </x:c>
      <x:c r="D71" s="53" t="n">
        <x:f>0</x:f>
        <x:v>0</x:v>
      </x:c>
      <x:c r="E71" s="53" t="n">
        <x:f>E70+B71-C71-D71</x:f>
        <x:v>53.67484762828736</x:v>
      </x:c>
      <x:c r="F71" s="53" t="n">
        <x:f>E70*cont_coupon</x:f>
        <x:v>2.7955649806399667</x:v>
      </x:c>
      <x:c r="G71" s="53" t="n">
        <x:f>SUMPRODUCT((Events!$B$6:$B$158&lt;=$A71)*(Events!$C$6:$C$158&gt;=$A71)*(Events!$E$6:$E$158="Loan")*(Events!$F$6:$F$158="Asia")*Events!$H$6:$H$158)</x:f>
        <x:v>0</x:v>
      </x:c>
      <x:c r="H71" s="53" t="n">
        <x:f>J70*asia_repay</x:f>
        <x:v>3.892285576584242</x:v>
      </x:c>
      <x:c r="I71" s="53" t="n">
        <x:f>0</x:f>
        <x:v>0</x:v>
      </x:c>
      <x:c r="J71" s="53" t="n">
        <x:f>J70+G71-H71-I71</x:f>
        <x:v>93.4148538380218</x:v>
      </x:c>
      <x:c r="K71" s="53" t="n">
        <x:f>J70*asia_coupon</x:f>
        <x:v>5.351892667803332</x:v>
      </x:c>
      <x:c r="L71" s="53" t="n">
        <x:f>SUMPRODUCT((Events!$B$6:$B$158&lt;=$A71)*(Events!$C$6:$C$158&gt;=$A71)*(Events!$E$6:$E$158="Loan")*(Events!$F$6:$F$158="Europe")*Events!$H$6:$H$158)</x:f>
        <x:v>0</x:v>
      </x:c>
      <x:c r="M71" s="53" t="n">
        <x:f>O70*Paths!AA71</x:f>
        <x:v>0.11075306489784585</x:v>
      </x:c>
      <x:c r="N71" s="53" t="n">
        <x:f>IF($A71=1918,russia_writeoff*(O70+L71),0)</x:f>
        <x:v>0</x:v>
      </x:c>
      <x:c r="O71" s="53" t="n">
        <x:f>O70+L71-M71-N71</x:f>
        <x:v>3.5810157650303496</x:v>
      </x:c>
      <x:c r="P71" s="53" t="n">
        <x:f>O70*Paths!Z71*Paths!AB71</x:f>
        <x:v>0.18458844149640977</x:v>
      </x:c>
      <x:c r="Q71" s="53" t="n">
        <x:f>SUMPRODUCT((Events!$B$6:$B$158&lt;=$A71)*(Events!$C$6:$C$158&gt;=$A71)*(Events!$E$6:$E$158="Loan")*(Events!$F$6:$F$158="Rescue")*Events!$H$6:$H$158)</x:f>
        <x:v>0</x:v>
      </x:c>
      <x:c r="R71" s="53" t="n">
        <x:f>0</x:f>
        <x:v>0</x:v>
      </x:c>
      <x:c r="S71" s="53" t="n">
        <x:f>0</x:f>
        <x:v>0</x:v>
      </x:c>
      <x:c r="T71" s="53" t="n">
        <x:f>T70+Q71-R71-S71</x:f>
        <x:v>0</x:v>
      </x:c>
      <x:c r="U71" s="53" t="n">
        <x:f>T70*rescue_coupon</x:f>
        <x:v>0</x:v>
      </x:c>
      <x:c r="V71" s="53" t="n">
        <x:f>B71+G71+L71+Q71</x:f>
        <x:v>0</x:v>
      </x:c>
      <x:c r="W71" s="53" t="n">
        <x:f>C71+H71+M71+R71</x:f>
        <x:v>6.239490625994062</x:v>
      </x:c>
      <x:c r="X71" s="53" t="n">
        <x:f>E71+J71+O71+T71</x:f>
        <x:v>150.6707172313395</x:v>
      </x:c>
      <x:c r="Y71" s="53" t="n">
        <x:f>F71+K71+P71+U71</x:f>
        <x:v>8.332046089939707</x:v>
      </x:c>
    </x:row>
    <x:row r="72">
      <x:c r="A72" s="58" t="n">
        <x:v>1912</x:v>
      </x:c>
      <x:c r="B72" s="53" t="n">
        <x:f>SUMPRODUCT((Events!$B$6:$B$158&lt;=$A72)*(Events!$C$6:$C$158&gt;=$A72)*(Events!$E$6:$E$158="Loan")*(Events!$F$6:$F$158="Continental")*Events!$H$6:$H$158)</x:f>
        <x:v>0</x:v>
      </x:c>
      <x:c r="C72" s="53" t="n">
        <x:f>E71*cont_repay</x:f>
        <x:v>2.1469939051314944</x:v>
      </x:c>
      <x:c r="D72" s="53" t="n">
        <x:f>0</x:f>
        <x:v>0</x:v>
      </x:c>
      <x:c r="E72" s="53" t="n">
        <x:f>E71+B72-C72-D72</x:f>
        <x:v>51.527853723155864</x:v>
      </x:c>
      <x:c r="F72" s="53" t="n">
        <x:f>E71*cont_coupon</x:f>
        <x:v>2.683742381414368</x:v>
      </x:c>
      <x:c r="G72" s="53" t="n">
        <x:f>SUMPRODUCT((Events!$B$6:$B$158&lt;=$A72)*(Events!$C$6:$C$158&gt;=$A72)*(Events!$E$6:$E$158="Loan")*(Events!$F$6:$F$158="Asia")*Events!$H$6:$H$158)</x:f>
        <x:v>0</x:v>
      </x:c>
      <x:c r="H72" s="53" t="n">
        <x:f>J71*asia_repay</x:f>
        <x:v>3.736594153520872</x:v>
      </x:c>
      <x:c r="I72" s="53" t="n">
        <x:f>0</x:f>
        <x:v>0</x:v>
      </x:c>
      <x:c r="J72" s="53" t="n">
        <x:f>J71+G72-H72-I72</x:f>
        <x:v>89.67825968450093</x:v>
      </x:c>
      <x:c r="K72" s="53" t="n">
        <x:f>J71*asia_coupon</x:f>
        <x:v>5.137816961091199</x:v>
      </x:c>
      <x:c r="L72" s="53" t="n">
        <x:f>SUMPRODUCT((Events!$B$6:$B$158&lt;=$A72)*(Events!$C$6:$C$158&gt;=$A72)*(Events!$E$6:$E$158="Loan")*(Events!$F$6:$F$158="Europe")*Events!$H$6:$H$158)</x:f>
        <x:v>0</x:v>
      </x:c>
      <x:c r="M72" s="53" t="n">
        <x:f>O71*Paths!AA72</x:f>
        <x:v>0.10743047295091049</x:v>
      </x:c>
      <x:c r="N72" s="53" t="n">
        <x:f>IF($A72=1918,russia_writeoff*(O71+L72),0)</x:f>
        <x:v>0</x:v>
      </x:c>
      <x:c r="O72" s="53" t="n">
        <x:f>O71+L72-M72-N72</x:f>
        <x:v>3.4735852920794392</x:v>
      </x:c>
      <x:c r="P72" s="53" t="n">
        <x:f>O71*Paths!Z72*Paths!AB72</x:f>
        <x:v>0.1790507882515175</x:v>
      </x:c>
      <x:c r="Q72" s="53" t="n">
        <x:f>SUMPRODUCT((Events!$B$6:$B$158&lt;=$A72)*(Events!$C$6:$C$158&gt;=$A72)*(Events!$E$6:$E$158="Loan")*(Events!$F$6:$F$158="Rescue")*Events!$H$6:$H$158)</x:f>
        <x:v>0</x:v>
      </x:c>
      <x:c r="R72" s="53" t="n">
        <x:f>0</x:f>
        <x:v>0</x:v>
      </x:c>
      <x:c r="S72" s="53" t="n">
        <x:f>0</x:f>
        <x:v>0</x:v>
      </x:c>
      <x:c r="T72" s="53" t="n">
        <x:f>T71+Q72-R72-S72</x:f>
        <x:v>0</x:v>
      </x:c>
      <x:c r="U72" s="53" t="n">
        <x:f>T71*rescue_coupon</x:f>
        <x:v>0</x:v>
      </x:c>
      <x:c r="V72" s="53" t="n">
        <x:f>B72+G72+L72+Q72</x:f>
        <x:v>0</x:v>
      </x:c>
      <x:c r="W72" s="53" t="n">
        <x:f>C72+H72+M72+R72</x:f>
        <x:v>5.9910185316032765</x:v>
      </x:c>
      <x:c r="X72" s="53" t="n">
        <x:f>E72+J72+O72+T72</x:f>
        <x:v>144.67969869973624</x:v>
      </x:c>
      <x:c r="Y72" s="53" t="n">
        <x:f>F72+K72+P72+U72</x:f>
        <x:v>8.000610130757083</x:v>
      </x:c>
    </x:row>
    <x:row r="73">
      <x:c r="A73" s="58" t="n">
        <x:v>1913</x:v>
      </x:c>
      <x:c r="B73" s="53" t="n">
        <x:f>SUMPRODUCT((Events!$B$6:$B$158&lt;=$A73)*(Events!$C$6:$C$158&gt;=$A73)*(Events!$E$6:$E$158="Loan")*(Events!$F$6:$F$158="Continental")*Events!$H$6:$H$158)</x:f>
        <x:v>0</x:v>
      </x:c>
      <x:c r="C73" s="53" t="n">
        <x:f>E72*cont_repay</x:f>
        <x:v>2.061114148926235</x:v>
      </x:c>
      <x:c r="D73" s="53" t="n">
        <x:f>0</x:f>
        <x:v>0</x:v>
      </x:c>
      <x:c r="E73" s="53" t="n">
        <x:f>E72+B73-C73-D73</x:f>
        <x:v>49.46673957422963</x:v>
      </x:c>
      <x:c r="F73" s="53" t="n">
        <x:f>E72*cont_coupon</x:f>
        <x:v>2.5763926861577935</x:v>
      </x:c>
      <x:c r="G73" s="53" t="n">
        <x:f>SUMPRODUCT((Events!$B$6:$B$158&lt;=$A73)*(Events!$C$6:$C$158&gt;=$A73)*(Events!$E$6:$E$158="Loan")*(Events!$F$6:$F$158="Asia")*Events!$H$6:$H$158)</x:f>
        <x:v>0</x:v>
      </x:c>
      <x:c r="H73" s="53" t="n">
        <x:f>J72*asia_repay</x:f>
        <x:v>3.587130387380037</x:v>
      </x:c>
      <x:c r="I73" s="53" t="n">
        <x:f>0</x:f>
        <x:v>0</x:v>
      </x:c>
      <x:c r="J73" s="53" t="n">
        <x:f>J72+G73-H73-I73</x:f>
        <x:v>86.09112929712089</x:v>
      </x:c>
      <x:c r="K73" s="53" t="n">
        <x:f>J72*asia_coupon</x:f>
        <x:v>4.932304282647551</x:v>
      </x:c>
      <x:c r="L73" s="53" t="n">
        <x:f>SUMPRODUCT((Events!$B$6:$B$158&lt;=$A73)*(Events!$C$6:$C$158&gt;=$A73)*(Events!$E$6:$E$158="Loan")*(Events!$F$6:$F$158="Europe")*Events!$H$6:$H$158)</x:f>
        <x:v>0</x:v>
      </x:c>
      <x:c r="M73" s="53" t="n">
        <x:f>O72*Paths!AA73</x:f>
        <x:v>0.10420755876238318</x:v>
      </x:c>
      <x:c r="N73" s="53" t="n">
        <x:f>IF($A73=1918,russia_writeoff*(O72+L73),0)</x:f>
        <x:v>0</x:v>
      </x:c>
      <x:c r="O73" s="53" t="n">
        <x:f>O72+L73-M73-N73</x:f>
        <x:v>3.369377733317056</x:v>
      </x:c>
      <x:c r="P73" s="53" t="n">
        <x:f>O72*Paths!Z73*Paths!AB73</x:f>
        <x:v>0.17367926460397198</x:v>
      </x:c>
      <x:c r="Q73" s="53" t="n">
        <x:f>SUMPRODUCT((Events!$B$6:$B$158&lt;=$A73)*(Events!$C$6:$C$158&gt;=$A73)*(Events!$E$6:$E$158="Loan")*(Events!$F$6:$F$158="Rescue")*Events!$H$6:$H$158)</x:f>
        <x:v>0</x:v>
      </x:c>
      <x:c r="R73" s="53" t="n">
        <x:f>0</x:f>
        <x:v>0</x:v>
      </x:c>
      <x:c r="S73" s="53" t="n">
        <x:f>0</x:f>
        <x:v>0</x:v>
      </x:c>
      <x:c r="T73" s="53" t="n">
        <x:f>T72+Q73-R73-S73</x:f>
        <x:v>0</x:v>
      </x:c>
      <x:c r="U73" s="53" t="n">
        <x:f>T72*rescue_coupon</x:f>
        <x:v>0</x:v>
      </x:c>
      <x:c r="V73" s="53" t="n">
        <x:f>B73+G73+L73+Q73</x:f>
        <x:v>0</x:v>
      </x:c>
      <x:c r="W73" s="53" t="n">
        <x:f>C73+H73+M73+R73</x:f>
        <x:v>5.752452095068655</x:v>
      </x:c>
      <x:c r="X73" s="53" t="n">
        <x:f>E73+J73+O73+T73</x:f>
        <x:v>138.92724660466757</x:v>
      </x:c>
      <x:c r="Y73" s="53" t="n">
        <x:f>F73+K73+P73+U73</x:f>
        <x:v>7.682376233409316</x:v>
      </x:c>
    </x:row>
    <x:row r="74">
      <x:c r="A74" s="61" t="n">
        <x:v>1914</x:v>
      </x:c>
      <x:c r="B74" s="53" t="n">
        <x:f>SUMPRODUCT((Events!$B$6:$B$158&lt;=$A74)*(Events!$C$6:$C$158&gt;=$A74)*(Events!$E$6:$E$158="Loan")*(Events!$F$6:$F$158="Continental")*Events!$H$6:$H$158)</x:f>
        <x:v>0</x:v>
      </x:c>
      <x:c r="C74" s="53" t="n">
        <x:f>E73*cont_repay</x:f>
        <x:v>1.9786695829691852</x:v>
      </x:c>
      <x:c r="D74" s="53" t="n">
        <x:f>0</x:f>
        <x:v>0</x:v>
      </x:c>
      <x:c r="E74" s="53" t="n">
        <x:f>E73+B74-C74-D74</x:f>
        <x:v>47.488069991260446</x:v>
      </x:c>
      <x:c r="F74" s="53" t="n">
        <x:f>E73*cont_coupon</x:f>
        <x:v>2.4733369787114814</x:v>
      </x:c>
      <x:c r="G74" s="53" t="n">
        <x:f>SUMPRODUCT((Events!$B$6:$B$158&lt;=$A74)*(Events!$C$6:$C$158&gt;=$A74)*(Events!$E$6:$E$158="Loan")*(Events!$F$6:$F$158="Asia")*Events!$H$6:$H$158)</x:f>
        <x:v>0</x:v>
      </x:c>
      <x:c r="H74" s="53" t="n">
        <x:f>J73*asia_repay</x:f>
        <x:v>3.4436451718848353</x:v>
      </x:c>
      <x:c r="I74" s="53" t="n">
        <x:f>0</x:f>
        <x:v>0</x:v>
      </x:c>
      <x:c r="J74" s="53" t="n">
        <x:f>J73+G74-H74-I74</x:f>
        <x:v>82.64748412523605</x:v>
      </x:c>
      <x:c r="K74" s="53" t="n">
        <x:f>J73*asia_coupon</x:f>
        <x:v>4.735012111341649</x:v>
      </x:c>
      <x:c r="L74" s="53" t="n">
        <x:f>SUMPRODUCT((Events!$B$6:$B$158&lt;=$A74)*(Events!$C$6:$C$158&gt;=$A74)*(Events!$E$6:$E$158="Loan")*(Events!$F$6:$F$158="Europe")*Events!$H$6:$H$158)</x:f>
        <x:v>85</x:v>
      </x:c>
      <x:c r="M74" s="53" t="n">
        <x:f>O73*Paths!AA74</x:f>
        <x:v>0</x:v>
      </x:c>
      <x:c r="N74" s="53" t="n">
        <x:f>IF($A74=1918,russia_writeoff*(O73+L74),0)</x:f>
        <x:v>0</x:v>
      </x:c>
      <x:c r="O74" s="53" t="n">
        <x:f>O73+L74-M74-N74</x:f>
        <x:v>88.36937773331705</x:v>
      </x:c>
      <x:c r="P74" s="53" t="n">
        <x:f>O73*Paths!Z74*Paths!AB74</x:f>
        <x:v>0.1684688866658528</x:v>
      </x:c>
      <x:c r="Q74" s="53" t="n">
        <x:f>SUMPRODUCT((Events!$B$6:$B$158&lt;=$A74)*(Events!$C$6:$C$158&gt;=$A74)*(Events!$E$6:$E$158="Loan")*(Events!$F$6:$F$158="Rescue")*Events!$H$6:$H$158)</x:f>
        <x:v>0</x:v>
      </x:c>
      <x:c r="R74" s="53" t="n">
        <x:f>0</x:f>
        <x:v>0</x:v>
      </x:c>
      <x:c r="S74" s="53" t="n">
        <x:f>0</x:f>
        <x:v>0</x:v>
      </x:c>
      <x:c r="T74" s="53" t="n">
        <x:f>T73+Q74-R74-S74</x:f>
        <x:v>0</x:v>
      </x:c>
      <x:c r="U74" s="53" t="n">
        <x:f>T73*rescue_coupon</x:f>
        <x:v>0</x:v>
      </x:c>
      <x:c r="V74" s="53" t="n">
        <x:f>B74+G74+L74+Q74</x:f>
        <x:v>85</x:v>
      </x:c>
      <x:c r="W74" s="53" t="n">
        <x:f>C74+H74+M74+R74</x:f>
        <x:v>5.42231475485402</x:v>
      </x:c>
      <x:c r="X74" s="53" t="n">
        <x:f>E74+J74+O74+T74</x:f>
        <x:v>218.50493184981354</x:v>
      </x:c>
      <x:c r="Y74" s="53" t="n">
        <x:f>F74+K74+P74+U74</x:f>
        <x:v>7.376817976718983</x:v>
      </x:c>
    </x:row>
    <x:row r="75">
      <x:c r="A75" s="61" t="n">
        <x:v>1915</x:v>
      </x:c>
      <x:c r="B75" s="53" t="n">
        <x:f>SUMPRODUCT((Events!$B$6:$B$158&lt;=$A75)*(Events!$C$6:$C$158&gt;=$A75)*(Events!$E$6:$E$158="Loan")*(Events!$F$6:$F$158="Continental")*Events!$H$6:$H$158)</x:f>
        <x:v>0</x:v>
      </x:c>
      <x:c r="C75" s="53" t="n">
        <x:f>E74*cont_repay</x:f>
        <x:v>1.8995227996504178</x:v>
      </x:c>
      <x:c r="D75" s="53" t="n">
        <x:f>0</x:f>
        <x:v>0</x:v>
      </x:c>
      <x:c r="E75" s="53" t="n">
        <x:f>E74+B75-C75-D75</x:f>
        <x:v>45.588547191610026</x:v>
      </x:c>
      <x:c r="F75" s="53" t="n">
        <x:f>E74*cont_coupon</x:f>
        <x:v>2.3744034995630225</x:v>
      </x:c>
      <x:c r="G75" s="53" t="n">
        <x:f>SUMPRODUCT((Events!$B$6:$B$158&lt;=$A75)*(Events!$C$6:$C$158&gt;=$A75)*(Events!$E$6:$E$158="Loan")*(Events!$F$6:$F$158="Asia")*Events!$H$6:$H$158)</x:f>
        <x:v>0</x:v>
      </x:c>
      <x:c r="H75" s="53" t="n">
        <x:f>J74*asia_repay</x:f>
        <x:v>3.305899365009442</x:v>
      </x:c>
      <x:c r="I75" s="53" t="n">
        <x:f>0</x:f>
        <x:v>0</x:v>
      </x:c>
      <x:c r="J75" s="53" t="n">
        <x:f>J74+G75-H75-I75</x:f>
        <x:v>79.34158476022661</x:v>
      </x:c>
      <x:c r="K75" s="53" t="n">
        <x:f>J74*asia_coupon</x:f>
        <x:v>4.5456116268879825</x:v>
      </x:c>
      <x:c r="L75" s="53" t="n">
        <x:f>SUMPRODUCT((Events!$B$6:$B$158&lt;=$A75)*(Events!$C$6:$C$158&gt;=$A75)*(Events!$E$6:$E$158="Loan")*(Events!$F$6:$F$158="Europe")*Events!$H$6:$H$158)</x:f>
        <x:v>226.61</x:v>
      </x:c>
      <x:c r="M75" s="53" t="n">
        <x:f>O74*Paths!AA75</x:f>
        <x:v>0</x:v>
      </x:c>
      <x:c r="N75" s="53" t="n">
        <x:f>IF($A75=1918,russia_writeoff*(O74+L75),0)</x:f>
        <x:v>0</x:v>
      </x:c>
      <x:c r="O75" s="53" t="n">
        <x:f>O74+L75-M75-N75</x:f>
        <x:v>314.97937773331705</x:v>
      </x:c>
      <x:c r="P75" s="53" t="n">
        <x:f>O74*Paths!Z75*Paths!AB75</x:f>
        <x:v>4.418468886665853</x:v>
      </x:c>
      <x:c r="Q75" s="53" t="n">
        <x:f>SUMPRODUCT((Events!$B$6:$B$158&lt;=$A75)*(Events!$C$6:$C$158&gt;=$A75)*(Events!$E$6:$E$158="Loan")*(Events!$F$6:$F$158="Rescue")*Events!$H$6:$H$158)</x:f>
        <x:v>0</x:v>
      </x:c>
      <x:c r="R75" s="53" t="n">
        <x:f>0</x:f>
        <x:v>0</x:v>
      </x:c>
      <x:c r="S75" s="53" t="n">
        <x:f>0</x:f>
        <x:v>0</x:v>
      </x:c>
      <x:c r="T75" s="53" t="n">
        <x:f>T74+Q75-R75-S75</x:f>
        <x:v>0</x:v>
      </x:c>
      <x:c r="U75" s="53" t="n">
        <x:f>T74*rescue_coupon</x:f>
        <x:v>0</x:v>
      </x:c>
      <x:c r="V75" s="53" t="n">
        <x:f>B75+G75+L75+Q75</x:f>
        <x:v>226.61</x:v>
      </x:c>
      <x:c r="W75" s="53" t="n">
        <x:f>C75+H75+M75+R75</x:f>
        <x:v>5.2054221646598595</x:v>
      </x:c>
      <x:c r="X75" s="53" t="n">
        <x:f>E75+J75+O75+T75</x:f>
        <x:v>439.9095096851537</x:v>
      </x:c>
      <x:c r="Y75" s="53" t="n">
        <x:f>F75+K75+P75+U75</x:f>
        <x:v>11.338484013116858</x:v>
      </x:c>
    </x:row>
    <x:row r="76">
      <x:c r="A76" s="61" t="n">
        <x:v>1916</x:v>
      </x:c>
      <x:c r="B76" s="53" t="n">
        <x:f>SUMPRODUCT((Events!$B$6:$B$158&lt;=$A76)*(Events!$C$6:$C$158&gt;=$A76)*(Events!$E$6:$E$158="Loan")*(Events!$F$6:$F$158="Continental")*Events!$H$6:$H$158)</x:f>
        <x:v>0</x:v>
      </x:c>
      <x:c r="C76" s="53" t="n">
        <x:f>E75*cont_repay</x:f>
        <x:v>1.8235418876644012</x:v>
      </x:c>
      <x:c r="D76" s="53" t="n">
        <x:f>0</x:f>
        <x:v>0</x:v>
      </x:c>
      <x:c r="E76" s="53" t="n">
        <x:f>E75+B76-C76-D76</x:f>
        <x:v>43.76500530394563</x:v>
      </x:c>
      <x:c r="F76" s="53" t="n">
        <x:f>E75*cont_coupon</x:f>
        <x:v>2.2794273595805015</x:v>
      </x:c>
      <x:c r="G76" s="53" t="n">
        <x:f>SUMPRODUCT((Events!$B$6:$B$158&lt;=$A76)*(Events!$C$6:$C$158&gt;=$A76)*(Events!$E$6:$E$158="Loan")*(Events!$F$6:$F$158="Asia")*Events!$H$6:$H$158)</x:f>
        <x:v>0</x:v>
      </x:c>
      <x:c r="H76" s="53" t="n">
        <x:f>J75*asia_repay</x:f>
        <x:v>3.1736633904090645</x:v>
      </x:c>
      <x:c r="I76" s="53" t="n">
        <x:f>0</x:f>
        <x:v>0</x:v>
      </x:c>
      <x:c r="J76" s="53" t="n">
        <x:f>J75+G76-H76-I76</x:f>
        <x:v>76.16792136981755</x:v>
      </x:c>
      <x:c r="K76" s="53" t="n">
        <x:f>J75*asia_coupon</x:f>
        <x:v>4.363787161812463</x:v>
      </x:c>
      <x:c r="L76" s="53" t="n">
        <x:f>SUMPRODUCT((Events!$B$6:$B$158&lt;=$A76)*(Events!$C$6:$C$158&gt;=$A76)*(Events!$E$6:$E$158="Loan")*(Events!$F$6:$F$158="Europe")*Events!$H$6:$H$158)</x:f>
        <x:v>396.61</x:v>
      </x:c>
      <x:c r="M76" s="53" t="n">
        <x:f>O75*Paths!AA76</x:f>
        <x:v>0</x:v>
      </x:c>
      <x:c r="N76" s="53" t="n">
        <x:f>IF($A76=1918,russia_writeoff*(O75+L76),0)</x:f>
        <x:v>0</x:v>
      </x:c>
      <x:c r="O76" s="53" t="n">
        <x:f>O75+L76-M76-N76</x:f>
        <x:v>711.5893777333171</x:v>
      </x:c>
      <x:c r="P76" s="53" t="n">
        <x:f>O75*Paths!Z76*Paths!AB76</x:f>
        <x:v>15.748968886665853</x:v>
      </x:c>
      <x:c r="Q76" s="53" t="n">
        <x:f>SUMPRODUCT((Events!$B$6:$B$158&lt;=$A76)*(Events!$C$6:$C$158&gt;=$A76)*(Events!$E$6:$E$158="Loan")*(Events!$F$6:$F$158="Rescue")*Events!$H$6:$H$158)</x:f>
        <x:v>0</x:v>
      </x:c>
      <x:c r="R76" s="53" t="n">
        <x:f>0</x:f>
        <x:v>0</x:v>
      </x:c>
      <x:c r="S76" s="53" t="n">
        <x:f>0</x:f>
        <x:v>0</x:v>
      </x:c>
      <x:c r="T76" s="53" t="n">
        <x:f>T75+Q76-R76-S76</x:f>
        <x:v>0</x:v>
      </x:c>
      <x:c r="U76" s="53" t="n">
        <x:f>T75*rescue_coupon</x:f>
        <x:v>0</x:v>
      </x:c>
      <x:c r="V76" s="53" t="n">
        <x:f>B76+G76+L76+Q76</x:f>
        <x:v>396.61</x:v>
      </x:c>
      <x:c r="W76" s="53" t="n">
        <x:f>C76+H76+M76+R76</x:f>
        <x:v>4.997205278073466</x:v>
      </x:c>
      <x:c r="X76" s="53" t="n">
        <x:f>E76+J76+O76+T76</x:f>
        <x:v>831.5223044070802</x:v>
      </x:c>
      <x:c r="Y76" s="53" t="n">
        <x:f>F76+K76+P76+U76</x:f>
        <x:v>22.39218340805882</x:v>
      </x:c>
    </x:row>
    <x:row r="77">
      <x:c r="A77" s="61" t="n">
        <x:v>1917</x:v>
      </x:c>
      <x:c r="B77" s="53" t="n">
        <x:f>SUMPRODUCT((Events!$B$6:$B$158&lt;=$A77)*(Events!$C$6:$C$158&gt;=$A77)*(Events!$E$6:$E$158="Loan")*(Events!$F$6:$F$158="Continental")*Events!$H$6:$H$158)</x:f>
        <x:v>0</x:v>
      </x:c>
      <x:c r="C77" s="53" t="n">
        <x:f>E76*cont_repay</x:f>
        <x:v>1.7506002121578252</x:v>
      </x:c>
      <x:c r="D77" s="53" t="n">
        <x:f>0</x:f>
        <x:v>0</x:v>
      </x:c>
      <x:c r="E77" s="53" t="n">
        <x:f>E76+B77-C77-D77</x:f>
        <x:v>42.0144050917878</x:v>
      </x:c>
      <x:c r="F77" s="53" t="n">
        <x:f>E76*cont_coupon</x:f>
        <x:v>2.1882502651972815</x:v>
      </x:c>
      <x:c r="G77" s="53" t="n">
        <x:f>SUMPRODUCT((Events!$B$6:$B$158&lt;=$A77)*(Events!$C$6:$C$158&gt;=$A77)*(Events!$E$6:$E$158="Loan")*(Events!$F$6:$F$158="Asia")*Events!$H$6:$H$158)</x:f>
        <x:v>0</x:v>
      </x:c>
      <x:c r="H77" s="53" t="n">
        <x:f>J76*asia_repay</x:f>
        <x:v>3.046716854792702</x:v>
      </x:c>
      <x:c r="I77" s="53" t="n">
        <x:f>0</x:f>
        <x:v>0</x:v>
      </x:c>
      <x:c r="J77" s="53" t="n">
        <x:f>J76+G77-H77-I77</x:f>
        <x:v>73.12120451502484</x:v>
      </x:c>
      <x:c r="K77" s="53" t="n">
        <x:f>J76*asia_coupon</x:f>
        <x:v>4.189235675339965</x:v>
      </x:c>
      <x:c r="L77" s="53" t="n">
        <x:f>SUMPRODUCT((Events!$B$6:$B$158&lt;=$A77)*(Events!$C$6:$C$158&gt;=$A77)*(Events!$E$6:$E$158="Loan")*(Events!$F$6:$F$158="Europe")*Events!$H$6:$H$158)</x:f>
        <x:v>510</x:v>
      </x:c>
      <x:c r="M77" s="53" t="n">
        <x:f>O76*Paths!AA77</x:f>
        <x:v>0</x:v>
      </x:c>
      <x:c r="N77" s="53" t="n">
        <x:f>IF($A77=1918,russia_writeoff*(O76+L77),0)</x:f>
        <x:v>0</x:v>
      </x:c>
      <x:c r="O77" s="53" t="n">
        <x:f>O76+L77-M77-N77</x:f>
        <x:v>1221.5893777333172</x:v>
      </x:c>
      <x:c r="P77" s="53" t="n">
        <x:f>O76*Paths!Z77*Paths!AB77</x:f>
        <x:v>35.57946888666586</x:v>
      </x:c>
      <x:c r="Q77" s="53" t="n">
        <x:f>SUMPRODUCT((Events!$B$6:$B$158&lt;=$A77)*(Events!$C$6:$C$158&gt;=$A77)*(Events!$E$6:$E$158="Loan")*(Events!$F$6:$F$158="Rescue")*Events!$H$6:$H$158)</x:f>
        <x:v>0</x:v>
      </x:c>
      <x:c r="R77" s="53" t="n">
        <x:f>0</x:f>
        <x:v>0</x:v>
      </x:c>
      <x:c r="S77" s="53" t="n">
        <x:f>0</x:f>
        <x:v>0</x:v>
      </x:c>
      <x:c r="T77" s="53" t="n">
        <x:f>T76+Q77-R77-S77</x:f>
        <x:v>0</x:v>
      </x:c>
      <x:c r="U77" s="53" t="n">
        <x:f>T76*rescue_coupon</x:f>
        <x:v>0</x:v>
      </x:c>
      <x:c r="V77" s="53" t="n">
        <x:f>B77+G77+L77+Q77</x:f>
        <x:v>510</x:v>
      </x:c>
      <x:c r="W77" s="53" t="n">
        <x:f>C77+H77+M77+R77</x:f>
        <x:v>4.797317066950527</x:v>
      </x:c>
      <x:c r="X77" s="53" t="n">
        <x:f>E77+J77+O77+T77</x:f>
        <x:v>1336.7249873401297</x:v>
      </x:c>
      <x:c r="Y77" s="53" t="n">
        <x:f>F77+K77+P77+U77</x:f>
        <x:v>41.956954827203106</x:v>
      </x:c>
    </x:row>
    <x:row r="78">
      <x:c r="A78" s="61" t="n">
        <x:v>1918</x:v>
      </x:c>
      <x:c r="B78" s="53" t="n">
        <x:f>SUMPRODUCT((Events!$B$6:$B$158&lt;=$A78)*(Events!$C$6:$C$158&gt;=$A78)*(Events!$E$6:$E$158="Loan")*(Events!$F$6:$F$158="Continental")*Events!$H$6:$H$158)</x:f>
        <x:v>0</x:v>
      </x:c>
      <x:c r="C78" s="53" t="n">
        <x:f>E77*cont_repay</x:f>
        <x:v>1.680576203671512</x:v>
      </x:c>
      <x:c r="D78" s="53" t="n">
        <x:f>0</x:f>
        <x:v>0</x:v>
      </x:c>
      <x:c r="E78" s="53" t="n">
        <x:f>E77+B78-C78-D78</x:f>
        <x:v>40.33382888811629</x:v>
      </x:c>
      <x:c r="F78" s="53" t="n">
        <x:f>E77*cont_coupon</x:f>
        <x:v>2.10072025458939</x:v>
      </x:c>
      <x:c r="G78" s="53" t="n">
        <x:f>SUMPRODUCT((Events!$B$6:$B$158&lt;=$A78)*(Events!$C$6:$C$158&gt;=$A78)*(Events!$E$6:$E$158="Loan")*(Events!$F$6:$F$158="Asia")*Events!$H$6:$H$158)</x:f>
        <x:v>17</x:v>
      </x:c>
      <x:c r="H78" s="53" t="n">
        <x:f>J77*asia_repay</x:f>
        <x:v>2.9248481806009936</x:v>
      </x:c>
      <x:c r="I78" s="53" t="n">
        <x:f>0</x:f>
        <x:v>0</x:v>
      </x:c>
      <x:c r="J78" s="53" t="n">
        <x:f>J77+G78-H78-I78</x:f>
        <x:v>87.19635633442385</x:v>
      </x:c>
      <x:c r="K78" s="53" t="n">
        <x:f>J77*asia_coupon</x:f>
        <x:v>4.021666248326366</x:v>
      </x:c>
      <x:c r="L78" s="53" t="n">
        <x:f>SUMPRODUCT((Events!$B$6:$B$158&lt;=$A78)*(Events!$C$6:$C$158&gt;=$A78)*(Events!$E$6:$E$158="Loan")*(Events!$F$6:$F$158="Europe")*Events!$H$6:$H$158)</x:f>
        <x:v>481.78</x:v>
      </x:c>
      <x:c r="M78" s="53" t="n">
        <x:f>O77*Paths!AA78</x:f>
        <x:v>0</x:v>
      </x:c>
      <x:c r="N78" s="53" t="n">
        <x:f>IF($A78=1918,russia_writeoff*(O77+L78),0)</x:f>
        <x:v>204.40432532799804</x:v>
      </x:c>
      <x:c r="O78" s="53" t="n">
        <x:f>O77+L78-M78-N78</x:f>
        <x:v>1498.965052405319</x:v>
      </x:c>
      <x:c r="P78" s="53" t="n">
        <x:f>O77*Paths!Z78*Paths!AB78</x:f>
        <x:v>61.079468886665865</x:v>
      </x:c>
      <x:c r="Q78" s="53" t="n">
        <x:f>SUMPRODUCT((Events!$B$6:$B$158&lt;=$A78)*(Events!$C$6:$C$158&gt;=$A78)*(Events!$E$6:$E$158="Loan")*(Events!$F$6:$F$158="Rescue")*Events!$H$6:$H$158)</x:f>
        <x:v>0</x:v>
      </x:c>
      <x:c r="R78" s="53" t="n">
        <x:f>0</x:f>
        <x:v>0</x:v>
      </x:c>
      <x:c r="S78" s="53" t="n">
        <x:f>0</x:f>
        <x:v>0</x:v>
      </x:c>
      <x:c r="T78" s="53" t="n">
        <x:f>T77+Q78-R78-S78</x:f>
        <x:v>0</x:v>
      </x:c>
      <x:c r="U78" s="53" t="n">
        <x:f>T77*rescue_coupon</x:f>
        <x:v>0</x:v>
      </x:c>
      <x:c r="V78" s="53" t="n">
        <x:f>B78+G78+L78+Q78</x:f>
        <x:v>498.78</x:v>
      </x:c>
      <x:c r="W78" s="53" t="n">
        <x:f>C78+H78+M78+R78</x:f>
        <x:v>4.6054243842725056</x:v>
      </x:c>
      <x:c r="X78" s="53" t="n">
        <x:f>E78+J78+O78+T78</x:f>
        <x:v>1626.4952376278593</x:v>
      </x:c>
      <x:c r="Y78" s="53" t="n">
        <x:f>F78+K78+P78+U78</x:f>
        <x:v>67.20185538958162</x:v>
      </x:c>
    </x:row>
    <x:row r="79">
      <x:c r="A79" s="61" t="n">
        <x:v>1919</x:v>
      </x:c>
      <x:c r="B79" s="53" t="n">
        <x:f>SUMPRODUCT((Events!$B$6:$B$158&lt;=$A79)*(Events!$C$6:$C$158&gt;=$A79)*(Events!$E$6:$E$158="Loan")*(Events!$F$6:$F$158="Continental")*Events!$H$6:$H$158)</x:f>
        <x:v>0</x:v>
      </x:c>
      <x:c r="C79" s="53" t="n">
        <x:f>E78*cont_repay</x:f>
        <x:v>1.6133531555246514</x:v>
      </x:c>
      <x:c r="D79" s="53" t="n">
        <x:f>0</x:f>
        <x:v>0</x:v>
      </x:c>
      <x:c r="E79" s="53" t="n">
        <x:f>E78+B79-C79-D79</x:f>
        <x:v>38.72047573259164</x:v>
      </x:c>
      <x:c r="F79" s="53" t="n">
        <x:f>E78*cont_coupon</x:f>
        <x:v>2.0166914444058146</x:v>
      </x:c>
      <x:c r="G79" s="53" t="n">
        <x:f>SUMPRODUCT((Events!$B$6:$B$158&lt;=$A79)*(Events!$C$6:$C$158&gt;=$A79)*(Events!$E$6:$E$158="Loan")*(Events!$F$6:$F$158="Asia")*Events!$H$6:$H$158)</x:f>
        <x:v>17</x:v>
      </x:c>
      <x:c r="H79" s="53" t="n">
        <x:f>J78*asia_repay</x:f>
        <x:v>3.487854253376954</x:v>
      </x:c>
      <x:c r="I79" s="53" t="n">
        <x:f>0</x:f>
        <x:v>0</x:v>
      </x:c>
      <x:c r="J79" s="53" t="n">
        <x:f>J78+G79-H79-I79</x:f>
        <x:v>100.7085020810469</x:v>
      </x:c>
      <x:c r="K79" s="53" t="n">
        <x:f>J78*asia_coupon</x:f>
        <x:v>4.795799598393312</x:v>
      </x:c>
      <x:c r="L79" s="53" t="n">
        <x:f>SUMPRODUCT((Events!$B$6:$B$158&lt;=$A79)*(Events!$C$6:$C$158&gt;=$A79)*(Events!$E$6:$E$158="Loan")*(Events!$F$6:$F$158="Europe")*Events!$H$6:$H$158)</x:f>
        <x:v>0</x:v>
      </x:c>
      <x:c r="M79" s="53" t="n">
        <x:f>O78*Paths!AA79</x:f>
        <x:v>0</x:v>
      </x:c>
      <x:c r="N79" s="53" t="n">
        <x:f>IF($A79=1918,russia_writeoff*(O78+L79),0)</x:f>
        <x:v>0</x:v>
      </x:c>
      <x:c r="O79" s="53" t="n">
        <x:f>O78+L79-M79-N79</x:f>
        <x:v>1498.965052405319</x:v>
      </x:c>
      <x:c r="P79" s="53" t="n">
        <x:f>O78*Paths!Z79*Paths!AB79</x:f>
        <x:v>74.94825262026596</x:v>
      </x:c>
      <x:c r="Q79" s="53" t="n">
        <x:f>SUMPRODUCT((Events!$B$6:$B$158&lt;=$A79)*(Events!$C$6:$C$158&gt;=$A79)*(Events!$E$6:$E$158="Loan")*(Events!$F$6:$F$158="Rescue")*Events!$H$6:$H$158)</x:f>
        <x:v>0</x:v>
      </x:c>
      <x:c r="R79" s="53" t="n">
        <x:f>0</x:f>
        <x:v>0</x:v>
      </x:c>
      <x:c r="S79" s="53" t="n">
        <x:f>0</x:f>
        <x:v>0</x:v>
      </x:c>
      <x:c r="T79" s="53" t="n">
        <x:f>T78+Q79-R79-S79</x:f>
        <x:v>0</x:v>
      </x:c>
      <x:c r="U79" s="53" t="n">
        <x:f>T78*rescue_coupon</x:f>
        <x:v>0</x:v>
      </x:c>
      <x:c r="V79" s="53" t="n">
        <x:f>B79+G79+L79+Q79</x:f>
        <x:v>17</x:v>
      </x:c>
      <x:c r="W79" s="53" t="n">
        <x:f>C79+H79+M79+R79</x:f>
        <x:v>5.1012074089016055</x:v>
      </x:c>
      <x:c r="X79" s="53" t="n">
        <x:f>E79+J79+O79+T79</x:f>
        <x:v>1638.3940302189576</x:v>
      </x:c>
      <x:c r="Y79" s="53" t="n">
        <x:f>F79+K79+P79+U79</x:f>
        <x:v>81.76074366306509</x:v>
      </x:c>
    </x:row>
    <x:row r="80">
      <x:c r="A80" s="61" t="n">
        <x:v>1920</x:v>
      </x:c>
      <x:c r="B80" s="53" t="n">
        <x:f>SUMPRODUCT((Events!$B$6:$B$158&lt;=$A80)*(Events!$C$6:$C$158&gt;=$A80)*(Events!$E$6:$E$158="Loan")*(Events!$F$6:$F$158="Continental")*Events!$H$6:$H$158)</x:f>
        <x:v>0</x:v>
      </x:c>
      <x:c r="C80" s="53" t="n">
        <x:f>E79*cont_repay</x:f>
        <x:v>1.5488190293036654</x:v>
      </x:c>
      <x:c r="D80" s="53" t="n">
        <x:f>0</x:f>
        <x:v>0</x:v>
      </x:c>
      <x:c r="E80" s="53" t="n">
        <x:f>E79+B80-C80-D80</x:f>
        <x:v>37.17165670328797</x:v>
      </x:c>
      <x:c r="F80" s="53" t="n">
        <x:f>E79*cont_coupon</x:f>
        <x:v>1.936023786629582</x:v>
      </x:c>
      <x:c r="G80" s="53" t="n">
        <x:f>SUMPRODUCT((Events!$B$6:$B$158&lt;=$A80)*(Events!$C$6:$C$158&gt;=$A80)*(Events!$E$6:$E$158="Loan")*(Events!$F$6:$F$158="Asia")*Events!$H$6:$H$158)</x:f>
        <x:v>17</x:v>
      </x:c>
      <x:c r="H80" s="53" t="n">
        <x:f>J79*asia_repay</x:f>
        <x:v>4.0283400832418765</x:v>
      </x:c>
      <x:c r="I80" s="53" t="n">
        <x:f>0</x:f>
        <x:v>0</x:v>
      </x:c>
      <x:c r="J80" s="53" t="n">
        <x:f>J79+G80-H80-I80</x:f>
        <x:v>113.68016199780503</x:v>
      </x:c>
      <x:c r="K80" s="53" t="n">
        <x:f>J79*asia_coupon</x:f>
        <x:v>5.5389676144575795</x:v>
      </x:c>
      <x:c r="L80" s="53" t="n">
        <x:f>SUMPRODUCT((Events!$B$6:$B$158&lt;=$A80)*(Events!$C$6:$C$158&gt;=$A80)*(Events!$E$6:$E$158="Loan")*(Events!$F$6:$F$158="Europe")*Events!$H$6:$H$158)</x:f>
        <x:v>0</x:v>
      </x:c>
      <x:c r="M80" s="53" t="n">
        <x:f>O79*Paths!AA80</x:f>
        <x:v>0</x:v>
      </x:c>
      <x:c r="N80" s="53" t="n">
        <x:f>IF($A80=1918,russia_writeoff*(O79+L80),0)</x:f>
        <x:v>0</x:v>
      </x:c>
      <x:c r="O80" s="53" t="n">
        <x:f>O79+L80-M80-N80</x:f>
        <x:v>1498.965052405319</x:v>
      </x:c>
      <x:c r="P80" s="53" t="n">
        <x:f>O79*Paths!Z80*Paths!AB80</x:f>
        <x:v>74.94825262026596</x:v>
      </x:c>
      <x:c r="Q80" s="53" t="n">
        <x:f>SUMPRODUCT((Events!$B$6:$B$158&lt;=$A80)*(Events!$C$6:$C$158&gt;=$A80)*(Events!$E$6:$E$158="Loan")*(Events!$F$6:$F$158="Rescue")*Events!$H$6:$H$158)</x:f>
        <x:v>0</x:v>
      </x:c>
      <x:c r="R80" s="53" t="n">
        <x:f>0</x:f>
        <x:v>0</x:v>
      </x:c>
      <x:c r="S80" s="53" t="n">
        <x:f>0</x:f>
        <x:v>0</x:v>
      </x:c>
      <x:c r="T80" s="53" t="n">
        <x:f>T79+Q80-R80-S80</x:f>
        <x:v>0</x:v>
      </x:c>
      <x:c r="U80" s="53" t="n">
        <x:f>T79*rescue_coupon</x:f>
        <x:v>0</x:v>
      </x:c>
      <x:c r="V80" s="53" t="n">
        <x:f>B80+G80+L80+Q80</x:f>
        <x:v>17</x:v>
      </x:c>
      <x:c r="W80" s="53" t="n">
        <x:f>C80+H80+M80+R80</x:f>
        <x:v>5.577159112545542</x:v>
      </x:c>
      <x:c r="X80" s="53" t="n">
        <x:f>E80+J80+O80+T80</x:f>
        <x:v>1649.816871106412</x:v>
      </x:c>
      <x:c r="Y80" s="53" t="n">
        <x:f>F80+K80+P80+U80</x:f>
        <x:v>82.42324402135313</x:v>
      </x:c>
    </x:row>
    <x:row r="81">
      <x:c r="A81" s="61" t="n">
        <x:v>1921</x:v>
      </x:c>
      <x:c r="B81" s="53" t="n">
        <x:f>SUMPRODUCT((Events!$B$6:$B$158&lt;=$A81)*(Events!$C$6:$C$158&gt;=$A81)*(Events!$E$6:$E$158="Loan")*(Events!$F$6:$F$158="Continental")*Events!$H$6:$H$158)</x:f>
        <x:v>0</x:v>
      </x:c>
      <x:c r="C81" s="53" t="n">
        <x:f>E80*cont_repay</x:f>
        <x:v>1.486866268131519</x:v>
      </x:c>
      <x:c r="D81" s="53" t="n">
        <x:f>0</x:f>
        <x:v>0</x:v>
      </x:c>
      <x:c r="E81" s="53" t="n">
        <x:f>E80+B81-C81-D81</x:f>
        <x:v>35.68479043515645</x:v>
      </x:c>
      <x:c r="F81" s="53" t="n">
        <x:f>E80*cont_coupon</x:f>
        <x:v>1.8585828351643987</x:v>
      </x:c>
      <x:c r="G81" s="53" t="n">
        <x:f>SUMPRODUCT((Events!$B$6:$B$158&lt;=$A81)*(Events!$C$6:$C$158&gt;=$A81)*(Events!$E$6:$E$158="Loan")*(Events!$F$6:$F$158="Asia")*Events!$H$6:$H$158)</x:f>
        <x:v>17</x:v>
      </x:c>
      <x:c r="H81" s="53" t="n">
        <x:f>J80*asia_repay</x:f>
        <x:v>4.547206479912202</x:v>
      </x:c>
      <x:c r="I81" s="53" t="n">
        <x:f>0</x:f>
        <x:v>0</x:v>
      </x:c>
      <x:c r="J81" s="53" t="n">
        <x:f>J80+G81-H81-I81</x:f>
        <x:v>126.13295551789284</x:v>
      </x:c>
      <x:c r="K81" s="53" t="n">
        <x:f>J80*asia_coupon</x:f>
        <x:v>6.252408909879277</x:v>
      </x:c>
      <x:c r="L81" s="53" t="n">
        <x:f>SUMPRODUCT((Events!$B$6:$B$158&lt;=$A81)*(Events!$C$6:$C$158&gt;=$A81)*(Events!$E$6:$E$158="Loan")*(Events!$F$6:$F$158="Europe")*Events!$H$6:$H$158)</x:f>
        <x:v>0</x:v>
      </x:c>
      <x:c r="M81" s="53" t="n">
        <x:f>O80*Paths!AA81</x:f>
        <x:v>0</x:v>
      </x:c>
      <x:c r="N81" s="53" t="n">
        <x:f>IF($A81=1918,russia_writeoff*(O80+L81),0)</x:f>
        <x:v>0</x:v>
      </x:c>
      <x:c r="O81" s="53" t="n">
        <x:f>O80+L81-M81-N81</x:f>
        <x:v>1498.965052405319</x:v>
      </x:c>
      <x:c r="P81" s="53" t="n">
        <x:f>O80*Paths!Z81*Paths!AB81</x:f>
        <x:v>74.94825262026596</x:v>
      </x:c>
      <x:c r="Q81" s="53" t="n">
        <x:f>SUMPRODUCT((Events!$B$6:$B$158&lt;=$A81)*(Events!$C$6:$C$158&gt;=$A81)*(Events!$E$6:$E$158="Loan")*(Events!$F$6:$F$158="Rescue")*Events!$H$6:$H$158)</x:f>
        <x:v>0</x:v>
      </x:c>
      <x:c r="R81" s="53" t="n">
        <x:f>0</x:f>
        <x:v>0</x:v>
      </x:c>
      <x:c r="S81" s="53" t="n">
        <x:f>0</x:f>
        <x:v>0</x:v>
      </x:c>
      <x:c r="T81" s="53" t="n">
        <x:f>T80+Q81-R81-S81</x:f>
        <x:v>0</x:v>
      </x:c>
      <x:c r="U81" s="53" t="n">
        <x:f>T80*rescue_coupon</x:f>
        <x:v>0</x:v>
      </x:c>
      <x:c r="V81" s="53" t="n">
        <x:f>B81+G81+L81+Q81</x:f>
        <x:v>17</x:v>
      </x:c>
      <x:c r="W81" s="53" t="n">
        <x:f>C81+H81+M81+R81</x:f>
        <x:v>6.03407274804372</x:v>
      </x:c>
      <x:c r="X81" s="53" t="n">
        <x:f>E81+J81+O81+T81</x:f>
        <x:v>1660.7827983583684</x:v>
      </x:c>
      <x:c r="Y81" s="53" t="n">
        <x:f>F81+K81+P81+U81</x:f>
        <x:v>83.05924436530964</x:v>
      </x:c>
    </x:row>
    <x:row r="82">
      <x:c r="A82" s="61" t="n">
        <x:v>1922</x:v>
      </x:c>
      <x:c r="B82" s="53" t="n">
        <x:f>SUMPRODUCT((Events!$B$6:$B$158&lt;=$A82)*(Events!$C$6:$C$158&gt;=$A82)*(Events!$E$6:$E$158="Loan")*(Events!$F$6:$F$158="Continental")*Events!$H$6:$H$158)</x:f>
        <x:v>0</x:v>
      </x:c>
      <x:c r="C82" s="53" t="n">
        <x:f>E81*cont_repay</x:f>
        <x:v>1.427391617406258</x:v>
      </x:c>
      <x:c r="D82" s="53" t="n">
        <x:f>0</x:f>
        <x:v>0</x:v>
      </x:c>
      <x:c r="E82" s="53" t="n">
        <x:f>E81+B82-C82-D82</x:f>
        <x:v>34.25739881775019</x:v>
      </x:c>
      <x:c r="F82" s="53" t="n">
        <x:f>E81*cont_coupon</x:f>
        <x:v>1.7842395217578226</x:v>
      </x:c>
      <x:c r="G82" s="53" t="n">
        <x:f>SUMPRODUCT((Events!$B$6:$B$158&lt;=$A82)*(Events!$C$6:$C$158&gt;=$A82)*(Events!$E$6:$E$158="Loan")*(Events!$F$6:$F$158="Asia")*Events!$H$6:$H$158)</x:f>
        <x:v>17</x:v>
      </x:c>
      <x:c r="H82" s="53" t="n">
        <x:f>J81*asia_repay</x:f>
        <x:v>5.045318220715713</x:v>
      </x:c>
      <x:c r="I82" s="53" t="n">
        <x:f>0</x:f>
        <x:v>0</x:v>
      </x:c>
      <x:c r="J82" s="53" t="n">
        <x:f>J81+G82-H82-I82</x:f>
        <x:v>138.08763729717714</x:v>
      </x:c>
      <x:c r="K82" s="53" t="n">
        <x:f>J81*asia_coupon</x:f>
        <x:v>6.937312553484106</x:v>
      </x:c>
      <x:c r="L82" s="53" t="n">
        <x:f>SUMPRODUCT((Events!$B$6:$B$158&lt;=$A82)*(Events!$C$6:$C$158&gt;=$A82)*(Events!$E$6:$E$158="Loan")*(Events!$F$6:$F$158="Europe")*Events!$H$6:$H$158)</x:f>
        <x:v>0</x:v>
      </x:c>
      <x:c r="M82" s="53" t="n">
        <x:f>O81*Paths!AA82</x:f>
        <x:v>0</x:v>
      </x:c>
      <x:c r="N82" s="53" t="n">
        <x:f>IF($A82=1918,russia_writeoff*(O81+L82),0)</x:f>
        <x:v>0</x:v>
      </x:c>
      <x:c r="O82" s="53" t="n">
        <x:f>O81+L82-M82-N82</x:f>
        <x:v>1498.965052405319</x:v>
      </x:c>
      <x:c r="P82" s="53" t="n">
        <x:f>O81*Paths!Z82*Paths!AB82</x:f>
        <x:v>74.94825262026596</x:v>
      </x:c>
      <x:c r="Q82" s="53" t="n">
        <x:f>SUMPRODUCT((Events!$B$6:$B$158&lt;=$A82)*(Events!$C$6:$C$158&gt;=$A82)*(Events!$E$6:$E$158="Loan")*(Events!$F$6:$F$158="Rescue")*Events!$H$6:$H$158)</x:f>
        <x:v>0</x:v>
      </x:c>
      <x:c r="R82" s="53" t="n">
        <x:f>0</x:f>
        <x:v>0</x:v>
      </x:c>
      <x:c r="S82" s="53" t="n">
        <x:f>0</x:f>
        <x:v>0</x:v>
      </x:c>
      <x:c r="T82" s="53" t="n">
        <x:f>T81+Q82-R82-S82</x:f>
        <x:v>0</x:v>
      </x:c>
      <x:c r="U82" s="53" t="n">
        <x:f>T81*rescue_coupon</x:f>
        <x:v>0</x:v>
      </x:c>
      <x:c r="V82" s="53" t="n">
        <x:f>B82+G82+L82+Q82</x:f>
        <x:v>17</x:v>
      </x:c>
      <x:c r="W82" s="53" t="n">
        <x:f>C82+H82+M82+R82</x:f>
        <x:v>6.472709838121971</x:v>
      </x:c>
      <x:c r="X82" s="53" t="n">
        <x:f>E82+J82+O82+T82</x:f>
        <x:v>1671.3100885202464</x:v>
      </x:c>
      <x:c r="Y82" s="53" t="n">
        <x:f>F82+K82+P82+U82</x:f>
        <x:v>83.66980469550789</x:v>
      </x:c>
    </x:row>
    <x:row r="83">
      <x:c r="A83" s="58" t="n">
        <x:v>1923</x:v>
      </x:c>
      <x:c r="B83" s="53" t="n">
        <x:f>SUMPRODUCT((Events!$B$6:$B$158&lt;=$A83)*(Events!$C$6:$C$158&gt;=$A83)*(Events!$E$6:$E$158="Loan")*(Events!$F$6:$F$158="Continental")*Events!$H$6:$H$158)</x:f>
        <x:v>0</x:v>
      </x:c>
      <x:c r="C83" s="53" t="n">
        <x:f>E82*cont_repay</x:f>
        <x:v>1.3702959527100078</x:v>
      </x:c>
      <x:c r="D83" s="53" t="n">
        <x:f>0</x:f>
        <x:v>0</x:v>
      </x:c>
      <x:c r="E83" s="53" t="n">
        <x:f>E82+B83-C83-D83</x:f>
        <x:v>32.887102865040184</x:v>
      </x:c>
      <x:c r="F83" s="53" t="n">
        <x:f>E82*cont_coupon</x:f>
        <x:v>1.7128699408875097</x:v>
      </x:c>
      <x:c r="G83" s="53" t="n">
        <x:f>SUMPRODUCT((Events!$B$6:$B$158&lt;=$A83)*(Events!$C$6:$C$158&gt;=$A83)*(Events!$E$6:$E$158="Loan")*(Events!$F$6:$F$158="Asia")*Events!$H$6:$H$158)</x:f>
        <x:v>50</x:v>
      </x:c>
      <x:c r="H83" s="53" t="n">
        <x:f>J82*asia_repay</x:f>
        <x:v>5.523505491887086</x:v>
      </x:c>
      <x:c r="I83" s="53" t="n">
        <x:f>0</x:f>
        <x:v>0</x:v>
      </x:c>
      <x:c r="J83" s="53" t="n">
        <x:f>J82+G83-H83-I83</x:f>
        <x:v>182.56413180529006</x:v>
      </x:c>
      <x:c r="K83" s="53" t="n">
        <x:f>J82*asia_coupon</x:f>
        <x:v>7.594820051344743</x:v>
      </x:c>
      <x:c r="L83" s="53" t="n">
        <x:f>SUMPRODUCT((Events!$B$6:$B$158&lt;=$A83)*(Events!$C$6:$C$158&gt;=$A83)*(Events!$E$6:$E$158="Loan")*(Events!$F$6:$F$158="Europe")*Events!$H$6:$H$158)</x:f>
        <x:v>0</x:v>
      </x:c>
      <x:c r="M83" s="53" t="n">
        <x:f>O82*Paths!AA83</x:f>
        <x:v>23.983440838485105</x:v>
      </x:c>
      <x:c r="N83" s="53" t="n">
        <x:f>IF($A83=1918,russia_writeoff*(O82+L83),0)</x:f>
        <x:v>0</x:v>
      </x:c>
      <x:c r="O83" s="53" t="n">
        <x:f>O82+L83-M83-N83</x:f>
        <x:v>1474.9816115668339</x:v>
      </x:c>
      <x:c r="P83" s="53" t="n">
        <x:f>O82*Paths!Z83*Paths!AB83</x:f>
        <x:v>49.46584672937553</x:v>
      </x:c>
      <x:c r="Q83" s="53" t="n">
        <x:f>SUMPRODUCT((Events!$B$6:$B$158&lt;=$A83)*(Events!$C$6:$C$158&gt;=$A83)*(Events!$E$6:$E$158="Loan")*(Events!$F$6:$F$158="Rescue")*Events!$H$6:$H$158)</x:f>
        <x:v>0</x:v>
      </x:c>
      <x:c r="R83" s="53" t="n">
        <x:f>0</x:f>
        <x:v>0</x:v>
      </x:c>
      <x:c r="S83" s="53" t="n">
        <x:f>0</x:f>
        <x:v>0</x:v>
      </x:c>
      <x:c r="T83" s="53" t="n">
        <x:f>T82+Q83-R83-S83</x:f>
        <x:v>0</x:v>
      </x:c>
      <x:c r="U83" s="53" t="n">
        <x:f>T82*rescue_coupon</x:f>
        <x:v>0</x:v>
      </x:c>
      <x:c r="V83" s="53" t="n">
        <x:f>B83+G83+L83+Q83</x:f>
        <x:v>50</x:v>
      </x:c>
      <x:c r="W83" s="53" t="n">
        <x:f>C83+H83+M83+R83</x:f>
        <x:v>30.877242283082197</x:v>
      </x:c>
      <x:c r="X83" s="53" t="n">
        <x:f>E83+J83+O83+T83</x:f>
        <x:v>1690.432846237164</x:v>
      </x:c>
      <x:c r="Y83" s="53" t="n">
        <x:f>F83+K83+P83+U83</x:f>
        <x:v>58.77353672160778</x:v>
      </x:c>
    </x:row>
    <x:row r="84">
      <x:c r="A84" s="58" t="n">
        <x:v>1924</x:v>
      </x:c>
      <x:c r="B84" s="53" t="n">
        <x:f>SUMPRODUCT((Events!$B$6:$B$158&lt;=$A84)*(Events!$C$6:$C$158&gt;=$A84)*(Events!$E$6:$E$158="Loan")*(Events!$F$6:$F$158="Continental")*Events!$H$6:$H$158)</x:f>
        <x:v>0</x:v>
      </x:c>
      <x:c r="C84" s="53" t="n">
        <x:f>E83*cont_repay</x:f>
        <x:v>1.3154841146016074</x:v>
      </x:c>
      <x:c r="D84" s="53" t="n">
        <x:f>0</x:f>
        <x:v>0</x:v>
      </x:c>
      <x:c r="E84" s="53" t="n">
        <x:f>E83+B84-C84-D84</x:f>
        <x:v>31.571618750438578</x:v>
      </x:c>
      <x:c r="F84" s="53" t="n">
        <x:f>E83*cont_coupon</x:f>
        <x:v>1.6443551432520094</x:v>
      </x:c>
      <x:c r="G84" s="53" t="n">
        <x:f>SUMPRODUCT((Events!$B$6:$B$158&lt;=$A84)*(Events!$C$6:$C$158&gt;=$A84)*(Events!$E$6:$E$158="Loan")*(Events!$F$6:$F$158="Asia")*Events!$H$6:$H$158)</x:f>
        <x:v>0</x:v>
      </x:c>
      <x:c r="H84" s="53" t="n">
        <x:f>J83*asia_repay</x:f>
        <x:v>7.302565272211602</x:v>
      </x:c>
      <x:c r="I84" s="53" t="n">
        <x:f>0</x:f>
        <x:v>0</x:v>
      </x:c>
      <x:c r="J84" s="53" t="n">
        <x:f>J83+G84-H84-I84</x:f>
        <x:v>175.26156653307845</x:v>
      </x:c>
      <x:c r="K84" s="53" t="n">
        <x:f>J83*asia_coupon</x:f>
        <x:v>10.041027249290954</x:v>
      </x:c>
      <x:c r="L84" s="53" t="n">
        <x:f>SUMPRODUCT((Events!$B$6:$B$158&lt;=$A84)*(Events!$C$6:$C$158&gt;=$A84)*(Events!$E$6:$E$158="Loan")*(Events!$F$6:$F$158="Europe")*Events!$H$6:$H$158)</x:f>
        <x:v>0</x:v>
      </x:c>
      <x:c r="M84" s="53" t="n">
        <x:f>O83*Paths!AA84</x:f>
        <x:v>23.599705785069343</x:v>
      </x:c>
      <x:c r="N84" s="53" t="n">
        <x:f>IF($A84=1918,russia_writeoff*(O83+L84),0)</x:f>
        <x:v>0</x:v>
      </x:c>
      <x:c r="O84" s="53" t="n">
        <x:f>O83+L84-M84-N84</x:f>
        <x:v>1451.3819057817645</x:v>
      </x:c>
      <x:c r="P84" s="53" t="n">
        <x:f>O83*Paths!Z84*Paths!AB84</x:f>
        <x:v>48.67439318170552</x:v>
      </x:c>
      <x:c r="Q84" s="53" t="n">
        <x:f>SUMPRODUCT((Events!$B$6:$B$158&lt;=$A84)*(Events!$C$6:$C$158&gt;=$A84)*(Events!$E$6:$E$158="Loan")*(Events!$F$6:$F$158="Rescue")*Events!$H$6:$H$158)</x:f>
        <x:v>0</x:v>
      </x:c>
      <x:c r="R84" s="53" t="n">
        <x:f>0</x:f>
        <x:v>0</x:v>
      </x:c>
      <x:c r="S84" s="53" t="n">
        <x:f>0</x:f>
        <x:v>0</x:v>
      </x:c>
      <x:c r="T84" s="53" t="n">
        <x:f>T83+Q84-R84-S84</x:f>
        <x:v>0</x:v>
      </x:c>
      <x:c r="U84" s="53" t="n">
        <x:f>T83*rescue_coupon</x:f>
        <x:v>0</x:v>
      </x:c>
      <x:c r="V84" s="53" t="n">
        <x:f>B84+G84+L84+Q84</x:f>
        <x:v>0</x:v>
      </x:c>
      <x:c r="W84" s="53" t="n">
        <x:f>C84+H84+M84+R84</x:f>
        <x:v>32.21775517188255</x:v>
      </x:c>
      <x:c r="X84" s="53" t="n">
        <x:f>E84+J84+O84+T84</x:f>
        <x:v>1658.2150910652815</x:v>
      </x:c>
      <x:c r="Y84" s="53" t="n">
        <x:f>F84+K84+P84+U84</x:f>
        <x:v>60.35977557424848</x:v>
      </x:c>
    </x:row>
    <x:row r="85">
      <x:c r="A85" s="58" t="n">
        <x:v>1925</x:v>
      </x:c>
      <x:c r="B85" s="53" t="n">
        <x:f>SUMPRODUCT((Events!$B$6:$B$158&lt;=$A85)*(Events!$C$6:$C$158&gt;=$A85)*(Events!$E$6:$E$158="Loan")*(Events!$F$6:$F$158="Continental")*Events!$H$6:$H$158)</x:f>
        <x:v>0</x:v>
      </x:c>
      <x:c r="C85" s="53" t="n">
        <x:f>E84*cont_repay</x:f>
        <x:v>1.2628647500175432</x:v>
      </x:c>
      <x:c r="D85" s="53" t="n">
        <x:f>0</x:f>
        <x:v>0</x:v>
      </x:c>
      <x:c r="E85" s="53" t="n">
        <x:f>E84+B85-C85-D85</x:f>
        <x:v>30.308754000421036</x:v>
      </x:c>
      <x:c r="F85" s="53" t="n">
        <x:f>E84*cont_coupon</x:f>
        <x:v>1.578580937521929</x:v>
      </x:c>
      <x:c r="G85" s="53" t="n">
        <x:f>SUMPRODUCT((Events!$B$6:$B$158&lt;=$A85)*(Events!$C$6:$C$158&gt;=$A85)*(Events!$E$6:$E$158="Loan")*(Events!$F$6:$F$158="Asia")*Events!$H$6:$H$158)</x:f>
        <x:v>0</x:v>
      </x:c>
      <x:c r="H85" s="53" t="n">
        <x:f>J84*asia_repay</x:f>
        <x:v>7.010462661323138</x:v>
      </x:c>
      <x:c r="I85" s="53" t="n">
        <x:f>0</x:f>
        <x:v>0</x:v>
      </x:c>
      <x:c r="J85" s="53" t="n">
        <x:f>J84+G85-H85-I85</x:f>
        <x:v>168.2511038717553</x:v>
      </x:c>
      <x:c r="K85" s="53" t="n">
        <x:f>J84*asia_coupon</x:f>
        <x:v>9.639386159319315</x:v>
      </x:c>
      <x:c r="L85" s="53" t="n">
        <x:f>SUMPRODUCT((Events!$B$6:$B$158&lt;=$A85)*(Events!$C$6:$C$158&gt;=$A85)*(Events!$E$6:$E$158="Loan")*(Events!$F$6:$F$158="Europe")*Events!$H$6:$H$158)</x:f>
        <x:v>0</x:v>
      </x:c>
      <x:c r="M85" s="53" t="n">
        <x:f>O84*Paths!AA85</x:f>
        <x:v>23.222110492508232</x:v>
      </x:c>
      <x:c r="N85" s="53" t="n">
        <x:f>IF($A85=1918,russia_writeoff*(O84+L85),0)</x:f>
        <x:v>0</x:v>
      </x:c>
      <x:c r="O85" s="53" t="n">
        <x:f>O84+L85-M85-N85</x:f>
        <x:v>1428.1597952892564</x:v>
      </x:c>
      <x:c r="P85" s="53" t="n">
        <x:f>O84*Paths!Z85*Paths!AB85</x:f>
        <x:v>47.89560289079823</x:v>
      </x:c>
      <x:c r="Q85" s="53" t="n">
        <x:f>SUMPRODUCT((Events!$B$6:$B$158&lt;=$A85)*(Events!$C$6:$C$158&gt;=$A85)*(Events!$E$6:$E$158="Loan")*(Events!$F$6:$F$158="Rescue")*Events!$H$6:$H$158)</x:f>
        <x:v>0</x:v>
      </x:c>
      <x:c r="R85" s="53" t="n">
        <x:f>0</x:f>
        <x:v>0</x:v>
      </x:c>
      <x:c r="S85" s="53" t="n">
        <x:f>0</x:f>
        <x:v>0</x:v>
      </x:c>
      <x:c r="T85" s="53" t="n">
        <x:f>T84+Q85-R85-S85</x:f>
        <x:v>0</x:v>
      </x:c>
      <x:c r="U85" s="53" t="n">
        <x:f>T84*rescue_coupon</x:f>
        <x:v>0</x:v>
      </x:c>
      <x:c r="V85" s="53" t="n">
        <x:f>B85+G85+L85+Q85</x:f>
        <x:v>0</x:v>
      </x:c>
      <x:c r="W85" s="53" t="n">
        <x:f>C85+H85+M85+R85</x:f>
        <x:v>31.495437903848913</x:v>
      </x:c>
      <x:c r="X85" s="53" t="n">
        <x:f>E85+J85+O85+T85</x:f>
        <x:v>1626.7196531614327</x:v>
      </x:c>
      <x:c r="Y85" s="53" t="n">
        <x:f>F85+K85+P85+U85</x:f>
        <x:v>59.11356998763947</x:v>
      </x:c>
    </x:row>
    <x:row r="86">
      <x:c r="A86" s="58" t="n">
        <x:v>1926</x:v>
      </x:c>
      <x:c r="B86" s="53" t="n">
        <x:f>SUMPRODUCT((Events!$B$6:$B$158&lt;=$A86)*(Events!$C$6:$C$158&gt;=$A86)*(Events!$E$6:$E$158="Loan")*(Events!$F$6:$F$158="Continental")*Events!$H$6:$H$158)</x:f>
        <x:v>0</x:v>
      </x:c>
      <x:c r="C86" s="53" t="n">
        <x:f>E85*cont_repay</x:f>
        <x:v>1.2123501600168414</x:v>
      </x:c>
      <x:c r="D86" s="53" t="n">
        <x:f>0</x:f>
        <x:v>0</x:v>
      </x:c>
      <x:c r="E86" s="53" t="n">
        <x:f>E85+B86-C86-D86</x:f>
        <x:v>29.096403840404193</x:v>
      </x:c>
      <x:c r="F86" s="53" t="n">
        <x:f>E85*cont_coupon</x:f>
        <x:v>1.515437700021052</x:v>
      </x:c>
      <x:c r="G86" s="53" t="n">
        <x:f>SUMPRODUCT((Events!$B$6:$B$158&lt;=$A86)*(Events!$C$6:$C$158&gt;=$A86)*(Events!$E$6:$E$158="Loan")*(Events!$F$6:$F$158="Asia")*Events!$H$6:$H$158)</x:f>
        <x:v>0</x:v>
      </x:c>
      <x:c r="H86" s="53" t="n">
        <x:f>J85*asia_repay</x:f>
        <x:v>6.730044154870212</x:v>
      </x:c>
      <x:c r="I86" s="53" t="n">
        <x:f>0</x:f>
        <x:v>0</x:v>
      </x:c>
      <x:c r="J86" s="53" t="n">
        <x:f>J85+G86-H86-I86</x:f>
        <x:v>161.5210597168851</x:v>
      </x:c>
      <x:c r="K86" s="53" t="n">
        <x:f>J85*asia_coupon</x:f>
        <x:v>9.253810712946542</x:v>
      </x:c>
      <x:c r="L86" s="53" t="n">
        <x:f>SUMPRODUCT((Events!$B$6:$B$158&lt;=$A86)*(Events!$C$6:$C$158&gt;=$A86)*(Events!$E$6:$E$158="Loan")*(Events!$F$6:$F$158="Europe")*Events!$H$6:$H$158)</x:f>
        <x:v>0</x:v>
      </x:c>
      <x:c r="M86" s="53" t="n">
        <x:f>O85*Paths!AA86</x:f>
        <x:v>22.850556724628103</x:v>
      </x:c>
      <x:c r="N86" s="53" t="n">
        <x:f>IF($A86=1918,russia_writeoff*(O85+L86),0)</x:f>
        <x:v>0</x:v>
      </x:c>
      <x:c r="O86" s="53" t="n">
        <x:f>O85+L86-M86-N86</x:f>
        <x:v>1405.3092385646282</x:v>
      </x:c>
      <x:c r="P86" s="53" t="n">
        <x:f>O85*Paths!Z86*Paths!AB86</x:f>
        <x:v>47.129273244545466</x:v>
      </x:c>
      <x:c r="Q86" s="53" t="n">
        <x:f>SUMPRODUCT((Events!$B$6:$B$158&lt;=$A86)*(Events!$C$6:$C$158&gt;=$A86)*(Events!$E$6:$E$158="Loan")*(Events!$F$6:$F$158="Rescue")*Events!$H$6:$H$158)</x:f>
        <x:v>0</x:v>
      </x:c>
      <x:c r="R86" s="53" t="n">
        <x:f>0</x:f>
        <x:v>0</x:v>
      </x:c>
      <x:c r="S86" s="53" t="n">
        <x:f>0</x:f>
        <x:v>0</x:v>
      </x:c>
      <x:c r="T86" s="53" t="n">
        <x:f>T85+Q86-R86-S86</x:f>
        <x:v>0</x:v>
      </x:c>
      <x:c r="U86" s="53" t="n">
        <x:f>T85*rescue_coupon</x:f>
        <x:v>0</x:v>
      </x:c>
      <x:c r="V86" s="53" t="n">
        <x:f>B86+G86+L86+Q86</x:f>
        <x:v>0</x:v>
      </x:c>
      <x:c r="W86" s="53" t="n">
        <x:f>C86+H86+M86+R86</x:f>
        <x:v>30.792951039515156</x:v>
      </x:c>
      <x:c r="X86" s="53" t="n">
        <x:f>E86+J86+O86+T86</x:f>
        <x:v>1595.9267021219175</x:v>
      </x:c>
      <x:c r="Y86" s="53" t="n">
        <x:f>F86+K86+P86+U86</x:f>
        <x:v>57.89852165751306</x:v>
      </x:c>
    </x:row>
    <x:row r="87">
      <x:c r="A87" s="58" t="n">
        <x:v>1927</x:v>
      </x:c>
      <x:c r="B87" s="53" t="n">
        <x:f>SUMPRODUCT((Events!$B$6:$B$158&lt;=$A87)*(Events!$C$6:$C$158&gt;=$A87)*(Events!$E$6:$E$158="Loan")*(Events!$F$6:$F$158="Continental")*Events!$H$6:$H$158)</x:f>
        <x:v>0</x:v>
      </x:c>
      <x:c r="C87" s="53" t="n">
        <x:f>E86*cont_repay</x:f>
        <x:v>1.1638561536161678</x:v>
      </x:c>
      <x:c r="D87" s="53" t="n">
        <x:f>0</x:f>
        <x:v>0</x:v>
      </x:c>
      <x:c r="E87" s="53" t="n">
        <x:f>E86+B87-C87-D87</x:f>
        <x:v>27.932547686788027</x:v>
      </x:c>
      <x:c r="F87" s="53" t="n">
        <x:f>E86*cont_coupon</x:f>
        <x:v>1.4548201920202097</x:v>
      </x:c>
      <x:c r="G87" s="53" t="n">
        <x:f>SUMPRODUCT((Events!$B$6:$B$158&lt;=$A87)*(Events!$C$6:$C$158&gt;=$A87)*(Events!$E$6:$E$158="Loan")*(Events!$F$6:$F$158="Asia")*Events!$H$6:$H$158)+'Japan rescue'!D89</x:f>
        <x:v>165.6175846846823</x:v>
      </x:c>
      <x:c r="H87" s="53" t="n">
        <x:f>(J86-0)*asia_repay+'Japan rescue'!G89</x:f>
        <x:v>6.460842388675404</x:v>
      </x:c>
      <x:c r="I87" s="53" t="n">
        <x:f>0</x:f>
        <x:v>0</x:v>
      </x:c>
      <x:c r="J87" s="53" t="n">
        <x:f>J86+G87-H87-I87</x:f>
        <x:v>320.67780201289196</x:v>
      </x:c>
      <x:c r="K87" s="53" t="n">
        <x:f>(J86-0)*asia_coupon+'Japan rescue'!K89</x:f>
        <x:v>14.197222459728904</x:v>
      </x:c>
      <x:c r="L87" s="53" t="n">
        <x:f>SUMPRODUCT((Events!$B$6:$B$158&lt;=$A87)*(Events!$C$6:$C$158&gt;=$A87)*(Events!$E$6:$E$158="Loan")*(Events!$F$6:$F$158="Europe")*Events!$H$6:$H$158)</x:f>
        <x:v>0</x:v>
      </x:c>
      <x:c r="M87" s="53" t="n">
        <x:f>O86*Paths!AA87</x:f>
        <x:v>22.48494781703405</x:v>
      </x:c>
      <x:c r="N87" s="53" t="n">
        <x:f>IF($A87=1918,russia_writeoff*(O86+L87),0)</x:f>
        <x:v>0</x:v>
      </x:c>
      <x:c r="O87" s="53" t="n">
        <x:f>O86+L87-M87-N87</x:f>
        <x:v>1382.8242907475942</x:v>
      </x:c>
      <x:c r="P87" s="53" t="n">
        <x:f>O86*Paths!Z87*Paths!AB87</x:f>
        <x:v>46.375204872632736</x:v>
      </x:c>
      <x:c r="Q87" s="53" t="n">
        <x:f>SUMPRODUCT((Events!$B$6:$B$158&lt;=$A87)*(Events!$C$6:$C$158&gt;=$A87)*(Events!$E$6:$E$158="Loan")*(Events!$F$6:$F$158="Rescue")*Events!$H$6:$H$158)</x:f>
        <x:v>0</x:v>
      </x:c>
      <x:c r="R87" s="53" t="n">
        <x:f>0</x:f>
        <x:v>0</x:v>
      </x:c>
      <x:c r="S87" s="53" t="n">
        <x:f>0</x:f>
        <x:v>0</x:v>
      </x:c>
      <x:c r="T87" s="53" t="n">
        <x:f>T86+Q87-R87-S87</x:f>
        <x:v>0</x:v>
      </x:c>
      <x:c r="U87" s="53" t="n">
        <x:f>T86*rescue_coupon</x:f>
        <x:v>0</x:v>
      </x:c>
      <x:c r="V87" s="53" t="n">
        <x:f>B87+G87+L87+Q87</x:f>
        <x:v>165.6175846846823</x:v>
      </x:c>
      <x:c r="W87" s="53" t="n">
        <x:f>C87+H87+M87+R87</x:f>
        <x:v>30.109646359325623</x:v>
      </x:c>
      <x:c r="X87" s="53" t="n">
        <x:f>E87+J87+O87+T87</x:f>
        <x:v>1731.4346404472742</x:v>
      </x:c>
      <x:c r="Y87" s="53" t="n">
        <x:f>F87+K87+P87+U87</x:f>
        <x:v>62.02724752438185</x:v>
      </x:c>
    </x:row>
    <x:row r="88">
      <x:c r="A88" s="58" t="n">
        <x:v>1928</x:v>
      </x:c>
      <x:c r="B88" s="53" t="n">
        <x:f>SUMPRODUCT((Events!$B$6:$B$158&lt;=$A88)*(Events!$C$6:$C$158&gt;=$A88)*(Events!$E$6:$E$158="Loan")*(Events!$F$6:$F$158="Continental")*Events!$H$6:$H$158)</x:f>
        <x:v>0</x:v>
      </x:c>
      <x:c r="C88" s="53" t="n">
        <x:f>E87*cont_repay</x:f>
        <x:v>1.1173019074715211</x:v>
      </x:c>
      <x:c r="D88" s="53" t="n">
        <x:f>0</x:f>
        <x:v>0</x:v>
      </x:c>
      <x:c r="E88" s="53" t="n">
        <x:f>E87+B88-C88-D88</x:f>
        <x:v>26.815245779316506</x:v>
      </x:c>
      <x:c r="F88" s="53" t="n">
        <x:f>E87*cont_coupon</x:f>
        <x:v>1.3966273843394015</x:v>
      </x:c>
      <x:c r="G88" s="53" t="n">
        <x:f>SUMPRODUCT((Events!$B$6:$B$158&lt;=$A88)*(Events!$C$6:$C$158&gt;=$A88)*(Events!$E$6:$E$158="Loan")*(Events!$F$6:$F$158="Asia")*Events!$H$6:$H$158)+'Japan rescue'!D90</x:f>
        <x:v>0</x:v>
      </x:c>
      <x:c r="H88" s="53" t="n">
        <x:f>(J87-'Japan rescue'!I89)*asia_repay+'Japan rescue'!G90</x:f>
        <x:v>6.202408693128387</x:v>
      </x:c>
      <x:c r="I88" s="53" t="n">
        <x:f>0</x:f>
        <x:v>0</x:v>
      </x:c>
      <x:c r="J88" s="53" t="n">
        <x:f>J87+G88-H88-I88</x:f>
        <x:v>314.47539331976355</x:v>
      </x:c>
      <x:c r="K88" s="53" t="n">
        <x:f>(J87-'Japan rescue'!I89)*asia_coupon+'Japan rescue'!K90</x:f>
        <x:v>17.63727911070906</x:v>
      </x:c>
      <x:c r="L88" s="53" t="n">
        <x:f>SUMPRODUCT((Events!$B$6:$B$158&lt;=$A88)*(Events!$C$6:$C$158&gt;=$A88)*(Events!$E$6:$E$158="Loan")*(Events!$F$6:$F$158="Europe")*Events!$H$6:$H$158)</x:f>
        <x:v>0</x:v>
      </x:c>
      <x:c r="M88" s="53" t="n">
        <x:f>O87*Paths!AA88</x:f>
        <x:v>22.12518865196151</x:v>
      </x:c>
      <x:c r="N88" s="53" t="n">
        <x:f>IF($A88=1918,russia_writeoff*(O87+L88),0)</x:f>
        <x:v>0</x:v>
      </x:c>
      <x:c r="O88" s="53" t="n">
        <x:f>O87+L88-M88-N88</x:f>
        <x:v>1360.6991020956327</x:v>
      </x:c>
      <x:c r="P88" s="53" t="n">
        <x:f>O87*Paths!Z88*Paths!AB88</x:f>
        <x:v>45.63320159467061</x:v>
      </x:c>
      <x:c r="Q88" s="53" t="n">
        <x:f>SUMPRODUCT((Events!$B$6:$B$158&lt;=$A88)*(Events!$C$6:$C$158&gt;=$A88)*(Events!$E$6:$E$158="Loan")*(Events!$F$6:$F$158="Rescue")*Events!$H$6:$H$158)</x:f>
        <x:v>0</x:v>
      </x:c>
      <x:c r="R88" s="53" t="n">
        <x:f>0</x:f>
        <x:v>0</x:v>
      </x:c>
      <x:c r="S88" s="53" t="n">
        <x:f>0</x:f>
        <x:v>0</x:v>
      </x:c>
      <x:c r="T88" s="53" t="n">
        <x:f>T87+Q88-R88-S88</x:f>
        <x:v>0</x:v>
      </x:c>
      <x:c r="U88" s="53" t="n">
        <x:f>T87*rescue_coupon</x:f>
        <x:v>0</x:v>
      </x:c>
      <x:c r="V88" s="53" t="n">
        <x:f>B88+G88+L88+Q88</x:f>
        <x:v>0</x:v>
      </x:c>
      <x:c r="W88" s="53" t="n">
        <x:f>C88+H88+M88+R88</x:f>
        <x:v>29.444899252561417</x:v>
      </x:c>
      <x:c r="X88" s="53" t="n">
        <x:f>E88+J88+O88+T88</x:f>
        <x:v>1701.9897411947127</x:v>
      </x:c>
      <x:c r="Y88" s="53" t="n">
        <x:f>F88+K88+P88+U88</x:f>
        <x:v>64.66710808971906</x:v>
      </x:c>
    </x:row>
    <x:row r="89">
      <x:c r="A89" s="58" t="n">
        <x:v>1929</x:v>
      </x:c>
      <x:c r="B89" s="53" t="n">
        <x:f>SUMPRODUCT((Events!$B$6:$B$158&lt;=$A89)*(Events!$C$6:$C$158&gt;=$A89)*(Events!$E$6:$E$158="Loan")*(Events!$F$6:$F$158="Continental")*Events!$H$6:$H$158)</x:f>
        <x:v>0</x:v>
      </x:c>
      <x:c r="C89" s="53" t="n">
        <x:f>E88*cont_repay</x:f>
        <x:v>1.0726098311726602</x:v>
      </x:c>
      <x:c r="D89" s="53" t="n">
        <x:f>0</x:f>
        <x:v>0</x:v>
      </x:c>
      <x:c r="E89" s="53" t="n">
        <x:f>E88+B89-C89-D89</x:f>
        <x:v>25.742635948143846</x:v>
      </x:c>
      <x:c r="F89" s="53" t="n">
        <x:f>E88*cont_coupon</x:f>
        <x:v>1.3407622889658253</x:v>
      </x:c>
      <x:c r="G89" s="53" t="n">
        <x:f>SUMPRODUCT((Events!$B$6:$B$158&lt;=$A89)*(Events!$C$6:$C$158&gt;=$A89)*(Events!$E$6:$E$158="Loan")*(Events!$F$6:$F$158="Asia")*Events!$H$6:$H$158)+'Japan rescue'!D91</x:f>
        <x:v>0</x:v>
      </x:c>
      <x:c r="H89" s="53" t="n">
        <x:f>(J88-'Japan rescue'!I90)*asia_repay+'Japan rescue'!G91</x:f>
        <x:v>39.077829282339714</x:v>
      </x:c>
      <x:c r="I89" s="53" t="n">
        <x:f>0</x:f>
        <x:v>0</x:v>
      </x:c>
      <x:c r="J89" s="53" t="n">
        <x:f>J88+G89-H89-I89</x:f>
        <x:v>275.3975640374238</x:v>
      </x:c>
      <x:c r="K89" s="53" t="n">
        <x:f>(J88-'Japan rescue'!I90)*asia_coupon+'Japan rescue'!K91</x:f>
        <x:v>17.296146632586996</x:v>
      </x:c>
      <x:c r="L89" s="53" t="n">
        <x:f>SUMPRODUCT((Events!$B$6:$B$158&lt;=$A89)*(Events!$C$6:$C$158&gt;=$A89)*(Events!$E$6:$E$158="Loan")*(Events!$F$6:$F$158="Europe")*Events!$H$6:$H$158)</x:f>
        <x:v>0</x:v>
      </x:c>
      <x:c r="M89" s="53" t="n">
        <x:f>O88*Paths!AA89</x:f>
        <x:v>21.771185633530123</x:v>
      </x:c>
      <x:c r="N89" s="53" t="n">
        <x:f>IF($A89=1918,russia_writeoff*(O88+L89),0)</x:f>
        <x:v>0</x:v>
      </x:c>
      <x:c r="O89" s="53" t="n">
        <x:f>O88+L89-M89-N89</x:f>
        <x:v>1338.9279164621025</x:v>
      </x:c>
      <x:c r="P89" s="53" t="n">
        <x:f>O88*Paths!Z89*Paths!AB89</x:f>
        <x:v>44.903070369155884</x:v>
      </x:c>
      <x:c r="Q89" s="53" t="n">
        <x:f>SUMPRODUCT((Events!$B$6:$B$158&lt;=$A89)*(Events!$C$6:$C$158&gt;=$A89)*(Events!$E$6:$E$158="Loan")*(Events!$F$6:$F$158="Rescue")*Events!$H$6:$H$158)</x:f>
        <x:v>0</x:v>
      </x:c>
      <x:c r="R89" s="53" t="n">
        <x:f>0</x:f>
        <x:v>0</x:v>
      </x:c>
      <x:c r="S89" s="53" t="n">
        <x:f>0</x:f>
        <x:v>0</x:v>
      </x:c>
      <x:c r="T89" s="53" t="n">
        <x:f>T88+Q89-R89-S89</x:f>
        <x:v>0</x:v>
      </x:c>
      <x:c r="U89" s="53" t="n">
        <x:f>T88*rescue_coupon</x:f>
        <x:v>0</x:v>
      </x:c>
      <x:c r="V89" s="53" t="n">
        <x:f>B89+G89+L89+Q89</x:f>
        <x:v>0</x:v>
      </x:c>
      <x:c r="W89" s="53" t="n">
        <x:f>C89+H89+M89+R89</x:f>
        <x:v>61.9216247470425</x:v>
      </x:c>
      <x:c r="X89" s="53" t="n">
        <x:f>E89+J89+O89+T89</x:f>
        <x:v>1640.0681164476703</x:v>
      </x:c>
      <x:c r="Y89" s="53" t="n">
        <x:f>F89+K89+P89+U89</x:f>
        <x:v>63.53997929070871</x:v>
      </x:c>
    </x:row>
    <x:row r="90">
      <x:c r="A90" s="58" t="n">
        <x:v>1930</x:v>
      </x:c>
      <x:c r="B90" s="53" t="n">
        <x:f>SUMPRODUCT((Events!$B$6:$B$158&lt;=$A90)*(Events!$C$6:$C$158&gt;=$A90)*(Events!$E$6:$E$158="Loan")*(Events!$F$6:$F$158="Continental")*Events!$H$6:$H$158)</x:f>
        <x:v>0</x:v>
      </x:c>
      <x:c r="C90" s="53" t="n">
        <x:f>E89*cont_repay</x:f>
        <x:v>1.0297054379257538</x:v>
      </x:c>
      <x:c r="D90" s="53" t="n">
        <x:f>0</x:f>
        <x:v>0</x:v>
      </x:c>
      <x:c r="E90" s="53" t="n">
        <x:f>E89+B90-C90-D90</x:f>
        <x:v>24.712930510218094</x:v>
      </x:c>
      <x:c r="F90" s="53" t="n">
        <x:f>E89*cont_coupon</x:f>
        <x:v>1.2871317974071923</x:v>
      </x:c>
      <x:c r="G90" s="53" t="n">
        <x:f>SUMPRODUCT((Events!$B$6:$B$158&lt;=$A90)*(Events!$C$6:$C$158&gt;=$A90)*(Events!$E$6:$E$158="Loan")*(Events!$F$6:$F$158="Asia")*Events!$H$6:$H$158)+'Japan rescue'!D92</x:f>
        <x:v>0</x:v>
      </x:c>
      <x:c r="H90" s="53" t="n">
        <x:f>(J89-'Japan rescue'!I91)*asia_repay+'Japan rescue'!G92</x:f>
        <x:v>38.839656788523584</x:v>
      </x:c>
      <x:c r="I90" s="53" t="n">
        <x:f>0</x:f>
        <x:v>0</x:v>
      </x:c>
      <x:c r="J90" s="53" t="n">
        <x:f>J89+G90-H90-I90</x:f>
        <x:v>236.55790724890022</x:v>
      </x:c>
      <x:c r="K90" s="53" t="n">
        <x:f>(J89-'Japan rescue'!I91)*asia_coupon+'Japan rescue'!K92</x:f>
        <x:v>15.14686602205831</x:v>
      </x:c>
      <x:c r="L90" s="53" t="n">
        <x:f>SUMPRODUCT((Events!$B$6:$B$158&lt;=$A90)*(Events!$C$6:$C$158&gt;=$A90)*(Events!$E$6:$E$158="Loan")*(Events!$F$6:$F$158="Europe")*Events!$H$6:$H$158)</x:f>
        <x:v>0</x:v>
      </x:c>
      <x:c r="M90" s="53" t="n">
        <x:f>O89*Paths!AA90</x:f>
        <x:v>21.422846663393642</x:v>
      </x:c>
      <x:c r="N90" s="53" t="n">
        <x:f>IF($A90=1918,russia_writeoff*(O89+L90),0)</x:f>
        <x:v>0</x:v>
      </x:c>
      <x:c r="O90" s="53" t="n">
        <x:f>O89+L90-M90-N90</x:f>
        <x:v>1317.505069798709</x:v>
      </x:c>
      <x:c r="P90" s="53" t="n">
        <x:f>O89*Paths!Z90*Paths!AB90</x:f>
        <x:v>44.18462124324939</x:v>
      </x:c>
      <x:c r="Q90" s="53" t="n">
        <x:f>SUMPRODUCT((Events!$B$6:$B$158&lt;=$A90)*(Events!$C$6:$C$158&gt;=$A90)*(Events!$E$6:$E$158="Loan")*(Events!$F$6:$F$158="Rescue")*Events!$H$6:$H$158)</x:f>
        <x:v>0</x:v>
      </x:c>
      <x:c r="R90" s="53" t="n">
        <x:f>0</x:f>
        <x:v>0</x:v>
      </x:c>
      <x:c r="S90" s="53" t="n">
        <x:f>0</x:f>
        <x:v>0</x:v>
      </x:c>
      <x:c r="T90" s="53" t="n">
        <x:f>T89+Q90-R90-S90</x:f>
        <x:v>0</x:v>
      </x:c>
      <x:c r="U90" s="53" t="n">
        <x:f>T89*rescue_coupon</x:f>
        <x:v>0</x:v>
      </x:c>
      <x:c r="V90" s="53" t="n">
        <x:f>B90+G90+L90+Q90</x:f>
        <x:v>0</x:v>
      </x:c>
      <x:c r="W90" s="53" t="n">
        <x:f>C90+H90+M90+R90</x:f>
        <x:v>61.29220888984298</x:v>
      </x:c>
      <x:c r="X90" s="53" t="n">
        <x:f>E90+J90+O90+T90</x:f>
        <x:v>1578.7759075578274</x:v>
      </x:c>
      <x:c r="Y90" s="53" t="n">
        <x:f>F90+K90+P90+U90</x:f>
        <x:v>60.61861906271489</x:v>
      </x:c>
    </x:row>
    <x:row r="91">
      <x:c r="A91" s="58" t="n">
        <x:v>1931</x:v>
      </x:c>
      <x:c r="B91" s="53" t="n">
        <x:f>SUMPRODUCT((Events!$B$6:$B$158&lt;=$A91)*(Events!$C$6:$C$158&gt;=$A91)*(Events!$E$6:$E$158="Loan")*(Events!$F$6:$F$158="Continental")*Events!$H$6:$H$158)</x:f>
        <x:v>0</x:v>
      </x:c>
      <x:c r="C91" s="53" t="n">
        <x:f>E90*cont_repay</x:f>
        <x:v>0.9885172204087238</x:v>
      </x:c>
      <x:c r="D91" s="53" t="n">
        <x:f>0</x:f>
        <x:v>0</x:v>
      </x:c>
      <x:c r="E91" s="53" t="n">
        <x:f>E90+B91-C91-D91</x:f>
        <x:v>23.72441328980937</x:v>
      </x:c>
      <x:c r="F91" s="53" t="n">
        <x:f>E90*cont_coupon</x:f>
        <x:v>1.2356465255109048</x:v>
      </x:c>
      <x:c r="G91" s="53" t="n">
        <x:f>SUMPRODUCT((Events!$B$6:$B$158&lt;=$A91)*(Events!$C$6:$C$158&gt;=$A91)*(Events!$E$6:$E$158="Loan")*(Events!$F$6:$F$158="Asia")*Events!$H$6:$H$158)+'Japan rescue'!D93</x:f>
        <x:v>0</x:v>
      </x:c>
      <x:c r="H91" s="53" t="n">
        <x:f>(J90-'Japan rescue'!I92)*asia_repay+'Japan rescue'!G93</x:f>
        <x:v>38.6110111944601</x:v>
      </x:c>
      <x:c r="I91" s="53" t="n">
        <x:f>0</x:f>
        <x:v>0</x:v>
      </x:c>
      <x:c r="J91" s="53" t="n">
        <x:f>J90+G91-H91-I91</x:f>
        <x:v>197.94689605444012</x:v>
      </x:c>
      <x:c r="K91" s="53" t="n">
        <x:f>(J90-'Japan rescue'!I92)*asia_coupon+'Japan rescue'!K93</x:f>
        <x:v>13.010684898689512</x:v>
      </x:c>
      <x:c r="L91" s="53" t="n">
        <x:f>SUMPRODUCT((Events!$B$6:$B$158&lt;=$A91)*(Events!$C$6:$C$158&gt;=$A91)*(Events!$E$6:$E$158="Loan")*(Events!$F$6:$F$158="Europe")*Events!$H$6:$H$158)</x:f>
        <x:v>0</x:v>
      </x:c>
      <x:c r="M91" s="53" t="n">
        <x:f>O90*Paths!AA91</x:f>
        <x:v>0</x:v>
      </x:c>
      <x:c r="N91" s="53" t="n">
        <x:f>IF($A91=1918,russia_writeoff*(O90+L91),0)</x:f>
        <x:v>0</x:v>
      </x:c>
      <x:c r="O91" s="53" t="n">
        <x:f>O90+L91-M91-N91</x:f>
        <x:v>1317.505069798709</x:v>
      </x:c>
      <x:c r="P91" s="53" t="n">
        <x:f>O90*Paths!Z91*Paths!AB91</x:f>
        <x:v>0</x:v>
      </x:c>
      <x:c r="Q91" s="53" t="n">
        <x:f>SUMPRODUCT((Events!$B$6:$B$158&lt;=$A91)*(Events!$C$6:$C$158&gt;=$A91)*(Events!$E$6:$E$158="Loan")*(Events!$F$6:$F$158="Rescue")*Events!$H$6:$H$158)</x:f>
        <x:v>240</x:v>
      </x:c>
      <x:c r="R91" s="53" t="n">
        <x:f>0</x:f>
        <x:v>0</x:v>
      </x:c>
      <x:c r="S91" s="53" t="n">
        <x:f>0</x:f>
        <x:v>0</x:v>
      </x:c>
      <x:c r="T91" s="53" t="n">
        <x:f>T90+Q91-R91-S91</x:f>
        <x:v>240</x:v>
      </x:c>
      <x:c r="U91" s="53" t="n">
        <x:f>T90*rescue_coupon</x:f>
        <x:v>0</x:v>
      </x:c>
      <x:c r="V91" s="53" t="n">
        <x:f>B91+G91+L91+Q91</x:f>
        <x:v>240</x:v>
      </x:c>
      <x:c r="W91" s="53" t="n">
        <x:f>C91+H91+M91+R91</x:f>
        <x:v>39.59952841486882</x:v>
      </x:c>
      <x:c r="X91" s="53" t="n">
        <x:f>E91+J91+O91+T91</x:f>
        <x:v>1779.1763791429585</x:v>
      </x:c>
      <x:c r="Y91" s="53" t="n">
        <x:f>F91+K91+P91+U91</x:f>
        <x:v>14.246331424200417</x:v>
      </x:c>
    </x:row>
    <x:row r="92">
      <x:c r="A92" s="58" t="n">
        <x:v>1932</x:v>
      </x:c>
      <x:c r="B92" s="53" t="n">
        <x:f>SUMPRODUCT((Events!$B$6:$B$158&lt;=$A92)*(Events!$C$6:$C$158&gt;=$A92)*(Events!$E$6:$E$158="Loan")*(Events!$F$6:$F$158="Continental")*Events!$H$6:$H$158)</x:f>
        <x:v>0</x:v>
      </x:c>
      <x:c r="C92" s="53" t="n">
        <x:f>E91*cont_repay</x:f>
        <x:v>0.9489765315923748</x:v>
      </x:c>
      <x:c r="D92" s="53" t="n">
        <x:f>0</x:f>
        <x:v>0</x:v>
      </x:c>
      <x:c r="E92" s="53" t="n">
        <x:f>E91+B92-C92-D92</x:f>
        <x:v>22.775436758216994</x:v>
      </x:c>
      <x:c r="F92" s="53" t="n">
        <x:f>E91*cont_coupon</x:f>
        <x:v>1.1862206644904685</x:v>
      </x:c>
      <x:c r="G92" s="53" t="n">
        <x:f>SUMPRODUCT((Events!$B$6:$B$158&lt;=$A92)*(Events!$C$6:$C$158&gt;=$A92)*(Events!$E$6:$E$158="Loan")*(Events!$F$6:$F$158="Asia")*Events!$H$6:$H$158)+'Japan rescue'!D94</x:f>
        <x:v>0</x:v>
      </x:c>
      <x:c r="H92" s="53" t="n">
        <x:f>(J91-'Japan rescue'!I93)*asia_repay+'Japan rescue'!G94</x:f>
        <x:v>38.39151142415915</x:v>
      </x:c>
      <x:c r="I92" s="53" t="n">
        <x:f>0</x:f>
        <x:v>0</x:v>
      </x:c>
      <x:c r="J92" s="53" t="n">
        <x:f>J91+G92-H92-I92</x:f>
        <x:v>159.55538463028097</x:v>
      </x:c>
      <x:c r="K92" s="53" t="n">
        <x:f>(J91-'Japan rescue'!I93)*asia_coupon+'Japan rescue'!K94</x:f>
        <x:v>10.887079282994208</x:v>
      </x:c>
      <x:c r="L92" s="53" t="n">
        <x:f>SUMPRODUCT((Events!$B$6:$B$158&lt;=$A92)*(Events!$C$6:$C$158&gt;=$A92)*(Events!$E$6:$E$158="Loan")*(Events!$F$6:$F$158="Europe")*Events!$H$6:$H$158)</x:f>
        <x:v>0</x:v>
      </x:c>
      <x:c r="M92" s="53" t="n">
        <x:f>O91*Paths!AA92</x:f>
        <x:v>0</x:v>
      </x:c>
      <x:c r="N92" s="53" t="n">
        <x:f>IF($A92=1918,russia_writeoff*(O91+L92),0)</x:f>
        <x:v>0</x:v>
      </x:c>
      <x:c r="O92" s="53" t="n">
        <x:f>O91+L92-M92-N92</x:f>
        <x:v>1317.505069798709</x:v>
      </x:c>
      <x:c r="P92" s="53" t="n">
        <x:f>O91*Paths!Z92*Paths!AB92</x:f>
        <x:v>0</x:v>
      </x:c>
      <x:c r="Q92" s="53" t="n">
        <x:f>SUMPRODUCT((Events!$B$6:$B$158&lt;=$A92)*(Events!$C$6:$C$158&gt;=$A92)*(Events!$E$6:$E$158="Loan")*(Events!$F$6:$F$158="Rescue")*Events!$H$6:$H$158)</x:f>
        <x:v>160</x:v>
      </x:c>
      <x:c r="R92" s="53" t="n">
        <x:f>0</x:f>
        <x:v>0</x:v>
      </x:c>
      <x:c r="S92" s="53" t="n">
        <x:f>0</x:f>
        <x:v>0</x:v>
      </x:c>
      <x:c r="T92" s="53" t="n">
        <x:f>T91+Q92-R92-S92</x:f>
        <x:v>400</x:v>
      </x:c>
      <x:c r="U92" s="53" t="n">
        <x:f>T91*rescue_coupon</x:f>
        <x:v>9.6</x:v>
      </x:c>
      <x:c r="V92" s="53" t="n">
        <x:f>B92+G92+L92+Q92</x:f>
        <x:v>160</x:v>
      </x:c>
      <x:c r="W92" s="53" t="n">
        <x:f>C92+H92+M92+R92</x:f>
        <x:v>39.34048795575152</x:v>
      </x:c>
      <x:c r="X92" s="53" t="n">
        <x:f>E92+J92+O92+T92</x:f>
        <x:v>1899.835891187207</x:v>
      </x:c>
      <x:c r="Y92" s="53" t="n">
        <x:f>F92+K92+P92+U92</x:f>
        <x:v>21.673299947484676</x:v>
      </x:c>
    </x:row>
  </x:sheetData>
  <x:mergeCells>
    <x:mergeCell ref="B4:F4"/>
    <x:mergeCell ref="L4:P4"/>
    <x:mergeCell ref="V4:Y4"/>
    <x:mergeCell ref="Q4:U4"/>
    <x:mergeCell ref="G4:K4"/>
  </x:mergeCells>
  <x:pageMargins left="0.7" right="0.7" top="0.75" bottom="0.75" header="0.3" footer="0.3"/>
</x:worksheet>
</file>

<file path=xl/worksheets/sheet12.xml><?xml version="1.0" encoding="utf-8"?>
<x:worksheet xmlns:x="http://schemas.openxmlformats.org/spreadsheetml/2006/main">
  <x:sheetPr>
    <x:tabColor rgb="FFBF8F00"/>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s>
  <x:sheetData>
    <x:row r="1">
      <x:c r="A1" s="18" t="inlineStr">
        <x:is>
          <x:t xml:space="preserve">Gold and money</x:t>
        </x:is>
      </x:c>
    </x:row>
    <x:row r="2">
      <x:c r="A2" s="2" t="inlineStr">
        <x:is>
          <x:t xml:space="preserve">Monetary gold against the 40% cover rule, including the 1931-32 rescue and any Reserve Bank bond purchases.</x:t>
        </x:is>
      </x:c>
    </x:row>
    <x:row r="3">
      <x:c r="A3" s="19" t="inlineStr">
        <x:is>
          <x:t xml:space="preserve">Years run down the page. Blue = input you can change · black = formula · green = link to another sheet. Hover a column heading for its definition.</x:t>
        </x:is>
      </x:c>
    </x:row>
    <x:row r="4">
      <x:c r="B4" s="56" t="inlineStr">
        <x:is>
          <x:t xml:space="preserve">Monetary gold, $m</x:t>
        </x:is>
      </x:c>
      <x:c r="G4" s="56" t="inlineStr">
        <x:is>
          <x:t xml:space="preserve">Money, $m</x:t>
        </x:is>
      </x:c>
    </x:row>
    <x:row r="5" ht="54" customHeight="1">
      <x:c r="A5" s="57" t="inlineStr">
        <x:is>
          <x:t xml:space="preserve">Year</x:t>
        </x:is>
      </x:c>
      <x:c r="B5" s="6" t="inlineStr">
        <x:is>
          <x:t xml:space="preserve">Gold at start of year</x:t>
        </x:is>
      </x:c>
      <x:c r="C5" s="6" t="inlineStr">
        <x:is>
          <x:t xml:space="preserve">From new gold output</x:t>
        </x:is>
      </x:c>
      <x:c r="D5" s="6" t="inlineStr">
        <x:is>
          <x:t xml:space="preserve">From the external surplus</x:t>
        </x:is>
      </x:c>
      <x:c r="E5" s="6" t="inlineStr">
        <x:is>
          <x:t xml:space="preserve">Paid out in gold (purchases &amp; rescues)</x:t>
        </x:is>
      </x:c>
      <x:c r="F5" s="6" t="inlineStr">
        <x:is>
          <x:t xml:space="preserve">Gold at end of year</x:t>
        </x:is>
      </x:c>
      <x:c r="G5" s="6" t="inlineStr">
        <x:is>
          <x:t xml:space="preserve">Reserve Bank buys Treasury bonds</x:t>
        </x:is>
      </x:c>
      <x:c r="H5" s="6" t="inlineStr">
        <x:is>
          <x:t xml:space="preserve">Reserve Bank holdings of bonds</x:t>
        </x:is>
      </x:c>
      <x:c r="I5" s="6" t="inlineStr">
        <x:is>
          <x:t xml:space="preserve">Notes and bank reserves</x:t>
        </x:is>
      </x:c>
      <x:c r="J5" s="6" t="inlineStr">
        <x:is>
          <x:t xml:space="preserve">Gold required as cover</x:t>
        </x:is>
      </x:c>
      <x:c r="K5" s="6" t="inlineStr">
        <x:is>
          <x:t xml:space="preserve">Gold above requirement</x:t>
        </x:is>
      </x:c>
      <x:c r="L5" s="6" t="inlineStr">
        <x:is>
          <x:t xml:space="preserve">Gold cover</x:t>
        </x:is>
      </x:c>
      <x:c r="M5" s="6" t="inlineStr">
        <x:is>
          <x:t xml:space="preserve">Share of world monetary gold</x:t>
        </x:is>
      </x:c>
    </x:row>
    <x:row r="6">
      <x:c r="A6" s="58" t="n">
        <x:v>1846</x:v>
      </x:c>
      <x:c r="B6" s="53" t="n">
        <x:f>0</x:f>
        <x:v>0</x:v>
      </x:c>
      <x:c r="C6" s="69" t="n">
        <x:f>Resources!R6</x:f>
        <x:v>0</x:v>
      </x:c>
      <x:c r="D6" s="53" t="n">
        <x:f>IF($A6&gt;=1850,Economy!O6*ext_gold,0)</x:f>
        <x:v>0</x:v>
      </x:c>
      <x:c r="E6" s="53" t="n">
        <x:f>SUMPRODUCT((Events!$B$6:$B$158&lt;=$A6)*(Events!$C$6:$C$158&gt;=$A6)*(Events!$E$6:$E$158="Loan")*(Events!$J$6:$J$158="Yes")*Events!$H$6:$H$158)+SUMPRODUCT((Events!$B$6:$B$158&lt;=$A6)*(Events!$C$6:$C$158&gt;=$A6)*(Events!$E$6:$E$158="Purchase")*(Events!$J$6:$J$158="Yes")*Events!$H$6:$H$158)</x:f>
        <x:v>0</x:v>
      </x:c>
      <x:c r="F6" s="53" t="n">
        <x:f>MAX(0,B6+C6+D6-E6)</x:f>
        <x:v>0</x:v>
      </x:c>
      <x:c r="G6" s="53" t="n">
        <x:f>IF(OR($A6=1931,$A6=1932),cb_buy/2,0)</x:f>
        <x:v>0</x:v>
      </x:c>
      <x:c r="H6" s="53" t="n">
        <x:f>0</x:f>
        <x:v>0</x:v>
      </x:c>
      <x:c r="I6" s="53" t="n">
        <x:f>Economy!O6*money_ratio+H6</x:f>
        <x:v>1.3370227500000003</x:v>
      </x:c>
      <x:c r="J6" s="53" t="n">
        <x:f>I6*gold_cover</x:f>
        <x:v>0.5348091000000001</x:v>
      </x:c>
      <x:c r="K6" s="53" t="n">
        <x:f>F6-J6</x:f>
        <x:v>-0.5348091000000001</x:v>
      </x:c>
      <x:c r="L6" s="63" t="n">
        <x:f>IF(I6&gt;0,F6/I6,0)</x:f>
        <x:v>0</x:v>
      </x:c>
      <x:c r="M6" s="63" t="n">
        <x:f>IF(Paths!AD6&gt;0,F6/Paths!AD6,0)</x:f>
        <x:v>0</x:v>
      </x:c>
    </x:row>
    <x:row r="7">
      <x:c r="A7" s="58" t="n">
        <x:v>1847</x:v>
      </x:c>
      <x:c r="B7" s="53" t="n">
        <x:f>F6</x:f>
        <x:v>0</x:v>
      </x:c>
      <x:c r="C7" s="69" t="n">
        <x:f>Resources!R7</x:f>
        <x:v>0</x:v>
      </x:c>
      <x:c r="D7" s="53" t="n">
        <x:f>IF($A7&gt;=1850,Economy!O7*ext_gold,0)</x:f>
        <x:v>0</x:v>
      </x:c>
      <x:c r="E7" s="53" t="n">
        <x:f>SUMPRODUCT((Events!$B$6:$B$158&lt;=$A7)*(Events!$C$6:$C$158&gt;=$A7)*(Events!$E$6:$E$158="Loan")*(Events!$J$6:$J$158="Yes")*Events!$H$6:$H$158)+SUMPRODUCT((Events!$B$6:$B$158&lt;=$A7)*(Events!$C$6:$C$158&gt;=$A7)*(Events!$E$6:$E$158="Purchase")*(Events!$J$6:$J$158="Yes")*Events!$H$6:$H$158)</x:f>
        <x:v>0</x:v>
      </x:c>
      <x:c r="F7" s="53" t="n">
        <x:f>MAX(0,B7+C7+D7-E7)</x:f>
        <x:v>0</x:v>
      </x:c>
      <x:c r="G7" s="53" t="n">
        <x:f>IF(OR($A7=1931,$A7=1932),cb_buy/2,0)</x:f>
        <x:v>0</x:v>
      </x:c>
      <x:c r="H7" s="53" t="n">
        <x:f>H6+G7</x:f>
        <x:v>0</x:v>
      </x:c>
      <x:c r="I7" s="53" t="n">
        <x:f>Economy!O7*money_ratio+H7</x:f>
        <x:v>1.4275228149</x:v>
      </x:c>
      <x:c r="J7" s="53" t="n">
        <x:f>I7*gold_cover</x:f>
        <x:v>0.5710091259600001</x:v>
      </x:c>
      <x:c r="K7" s="53" t="n">
        <x:f>F7-J7</x:f>
        <x:v>-0.5710091259600001</x:v>
      </x:c>
      <x:c r="L7" s="63" t="n">
        <x:f>IF(I7&gt;0,F7/I7,0)</x:f>
        <x:v>0</x:v>
      </x:c>
      <x:c r="M7" s="63" t="n">
        <x:f>IF(Paths!AD7&gt;0,F7/Paths!AD7,0)</x:f>
        <x:v>0</x:v>
      </x:c>
    </x:row>
    <x:row r="8">
      <x:c r="A8" s="58" t="n">
        <x:v>1848</x:v>
      </x:c>
      <x:c r="B8" s="53" t="n">
        <x:f>F7</x:f>
        <x:v>0</x:v>
      </x:c>
      <x:c r="C8" s="69" t="n">
        <x:f>Resources!R8</x:f>
        <x:v>2</x:v>
      </x:c>
      <x:c r="D8" s="53" t="n">
        <x:f>IF($A8&gt;=1850,Economy!O8*ext_gold,0)</x:f>
        <x:v>0</x:v>
      </x:c>
      <x:c r="E8" s="53" t="n">
        <x:f>SUMPRODUCT((Events!$B$6:$B$158&lt;=$A8)*(Events!$C$6:$C$158&gt;=$A8)*(Events!$E$6:$E$158="Loan")*(Events!$J$6:$J$158="Yes")*Events!$H$6:$H$158)+SUMPRODUCT((Events!$B$6:$B$158&lt;=$A8)*(Events!$C$6:$C$158&gt;=$A8)*(Events!$E$6:$E$158="Purchase")*(Events!$J$6:$J$158="Yes")*Events!$H$6:$H$158)</x:f>
        <x:v>0</x:v>
      </x:c>
      <x:c r="F8" s="53" t="n">
        <x:f>MAX(0,B8+C8+D8-E8)</x:f>
        <x:v>2</x:v>
      </x:c>
      <x:c r="G8" s="53" t="n">
        <x:f>IF(OR($A8=1931,$A8=1932),cb_buy/2,0)</x:f>
        <x:v>0</x:v>
      </x:c>
      <x:c r="H8" s="53" t="n">
        <x:f>H7+G8</x:f>
        <x:v>0</x:v>
      </x:c>
      <x:c r="I8" s="53" t="n">
        <x:f>Economy!O8*money_ratio+H8</x:f>
        <x:v>2.052132215320768</x:v>
      </x:c>
      <x:c r="J8" s="53" t="n">
        <x:f>I8*gold_cover</x:f>
        <x:v>0.8208528861283073</x:v>
      </x:c>
      <x:c r="K8" s="53" t="n">
        <x:f>F8-J8</x:f>
        <x:v>1.1791471138716927</x:v>
      </x:c>
      <x:c r="L8" s="63" t="n">
        <x:f>IF(I8&gt;0,F8/I8,0)</x:f>
        <x:v>0.974596073814562</x:v>
      </x:c>
      <x:c r="M8" s="63" t="n">
        <x:f>IF(Paths!AD8&gt;0,F8/Paths!AD8,0)</x:f>
        <x:v>0.0013333333333333333</x:v>
      </x:c>
    </x:row>
    <x:row r="9">
      <x:c r="A9" s="58" t="n">
        <x:v>1849</x:v>
      </x:c>
      <x:c r="B9" s="53" t="n">
        <x:f>F8</x:f>
        <x:v>2</x:v>
      </x:c>
      <x:c r="C9" s="69" t="n">
        <x:f>Resources!R9</x:f>
        <x:v>8</x:v>
      </x:c>
      <x:c r="D9" s="53" t="n">
        <x:f>IF($A9&gt;=1850,Economy!O9*ext_gold,0)</x:f>
        <x:v>0</x:v>
      </x:c>
      <x:c r="E9" s="53" t="n">
        <x:f>SUMPRODUCT((Events!$B$6:$B$158&lt;=$A9)*(Events!$C$6:$C$158&gt;=$A9)*(Events!$E$6:$E$158="Loan")*(Events!$J$6:$J$158="Yes")*Events!$H$6:$H$158)+SUMPRODUCT((Events!$B$6:$B$158&lt;=$A9)*(Events!$C$6:$C$158&gt;=$A9)*(Events!$E$6:$E$158="Purchase")*(Events!$J$6:$J$158="Yes")*Events!$H$6:$H$158)</x:f>
        <x:v>0</x:v>
      </x:c>
      <x:c r="F9" s="53" t="n">
        <x:f>MAX(0,B9+C9+D9-E9)</x:f>
        <x:v>10</x:v>
      </x:c>
      <x:c r="G9" s="53" t="n">
        <x:f>IF(OR($A9=1931,$A9=1932),cb_buy/2,0)</x:f>
        <x:v>0</x:v>
      </x:c>
      <x:c r="H9" s="53" t="n">
        <x:f>H8+G9</x:f>
        <x:v>0</x:v>
      </x:c>
      <x:c r="I9" s="53" t="n">
        <x:f>Economy!O9*money_ratio+H9</x:f>
        <x:v>4.9282314998724095</x:v>
      </x:c>
      <x:c r="J9" s="53" t="n">
        <x:f>I9*gold_cover</x:f>
        <x:v>1.9712925999489639</x:v>
      </x:c>
      <x:c r="K9" s="53" t="n">
        <x:f>F9-J9</x:f>
        <x:v>8.028707400051037</x:v>
      </x:c>
      <x:c r="L9" s="63" t="n">
        <x:f>IF(I9&gt;0,F9/I9,0)</x:f>
        <x:v>2.0291254581402876</x:v>
      </x:c>
      <x:c r="M9" s="63" t="n">
        <x:f>IF(Paths!AD9&gt;0,F9/Paths!AD9,0)</x:f>
        <x:v>0.006666666666666667</x:v>
      </x:c>
    </x:row>
    <x:row r="10">
      <x:c r="A10" s="58" t="n">
        <x:v>1850</x:v>
      </x:c>
      <x:c r="B10" s="53" t="n">
        <x:f>F9</x:f>
        <x:v>10</x:v>
      </x:c>
      <x:c r="C10" s="69" t="n">
        <x:f>Resources!R10</x:f>
        <x:v>8.200000000000001</x:v>
      </x:c>
      <x:c r="D10" s="53" t="n">
        <x:f>IF($A10&gt;=1850,Economy!O10*ext_gold,0)</x:f>
        <x:v>0.1546760651055059</x:v>
      </x:c>
      <x:c r="E10" s="53" t="n">
        <x:f>SUMPRODUCT((Events!$B$6:$B$158&lt;=$A10)*(Events!$C$6:$C$158&gt;=$A10)*(Events!$E$6:$E$158="Loan")*(Events!$J$6:$J$158="Yes")*Events!$H$6:$H$158)+SUMPRODUCT((Events!$B$6:$B$158&lt;=$A10)*(Events!$C$6:$C$158&gt;=$A10)*(Events!$E$6:$E$158="Purchase")*(Events!$J$6:$J$158="Yes")*Events!$H$6:$H$158)</x:f>
        <x:v>0</x:v>
      </x:c>
      <x:c r="F10" s="53" t="n">
        <x:f>MAX(0,B10+C10+D10-E10)</x:f>
        <x:v>18.354676065105508</x:v>
      </x:c>
      <x:c r="G10" s="53" t="n">
        <x:f>IF(OR($A10=1931,$A10=1932),cb_buy/2,0)</x:f>
        <x:v>0</x:v>
      </x:c>
      <x:c r="H10" s="53" t="n">
        <x:f>H9+G10</x:f>
        <x:v>0</x:v>
      </x:c>
      <x:c r="I10" s="53" t="n">
        <x:f>Economy!O10*money_ratio+H10</x:f>
        <x:v>5.413662278692707</x:v>
      </x:c>
      <x:c r="J10" s="53" t="n">
        <x:f>I10*gold_cover</x:f>
        <x:v>2.1654649114770828</x:v>
      </x:c>
      <x:c r="K10" s="53" t="n">
        <x:f>F10-J10</x:f>
        <x:v>16.189211153628424</x:v>
      </x:c>
      <x:c r="L10" s="63" t="n">
        <x:f>IF(I10&gt;0,F10/I10,0)</x:f>
        <x:v>3.3904361077983243</x:v>
      </x:c>
      <x:c r="M10" s="63" t="n">
        <x:f>IF(Paths!AD10&gt;0,F10/Paths!AD10,0)</x:f>
        <x:v>0.012236450710070339</x:v>
      </x:c>
    </x:row>
    <x:row r="11">
      <x:c r="A11" s="58" t="n">
        <x:v>1851</x:v>
      </x:c>
      <x:c r="B11" s="53" t="n">
        <x:f>F10</x:f>
        <x:v>18.354676065105508</x:v>
      </x:c>
      <x:c r="C11" s="69" t="n">
        <x:f>Resources!R11</x:f>
        <x:v>15</x:v>
      </x:c>
      <x:c r="D11" s="53" t="n">
        <x:f>IF($A11&gt;=1850,Economy!O11*ext_gold,0)</x:f>
        <x:v>0.21138781306433171</x:v>
      </x:c>
      <x:c r="E11" s="53" t="n">
        <x:f>SUMPRODUCT((Events!$B$6:$B$158&lt;=$A11)*(Events!$C$6:$C$158&gt;=$A11)*(Events!$E$6:$E$158="Loan")*(Events!$J$6:$J$158="Yes")*Events!$H$6:$H$158)+SUMPRODUCT((Events!$B$6:$B$158&lt;=$A11)*(Events!$C$6:$C$158&gt;=$A11)*(Events!$E$6:$E$158="Purchase")*(Events!$J$6:$J$158="Yes")*Events!$H$6:$H$158)</x:f>
        <x:v>0</x:v>
      </x:c>
      <x:c r="F11" s="53" t="n">
        <x:f>MAX(0,B11+C11+D11-E11)</x:f>
        <x:v>33.56606387816984</x:v>
      </x:c>
      <x:c r="G11" s="53" t="n">
        <x:f>IF(OR($A11=1931,$A11=1932),cb_buy/2,0)</x:f>
        <x:v>0</x:v>
      </x:c>
      <x:c r="H11" s="53" t="n">
        <x:f>H10+G11</x:f>
        <x:v>0</x:v>
      </x:c>
      <x:c r="I11" s="53" t="n">
        <x:f>Economy!O11*money_ratio+H11</x:f>
        <x:v>7.398573457251611</x:v>
      </x:c>
      <x:c r="J11" s="53" t="n">
        <x:f>I11*gold_cover</x:f>
        <x:v>2.9594293829006446</x:v>
      </x:c>
      <x:c r="K11" s="53" t="n">
        <x:f>F11-J11</x:f>
        <x:v>30.606634495269198</x:v>
      </x:c>
      <x:c r="L11" s="63" t="n">
        <x:f>IF(I11&gt;0,F11/I11,0)</x:f>
        <x:v>4.536829170124752</x:v>
      </x:c>
      <x:c r="M11" s="63" t="n">
        <x:f>IF(Paths!AD11&gt;0,F11/Paths!AD11,0)</x:f>
        <x:v>0.021867142591641592</x:v>
      </x:c>
    </x:row>
    <x:row r="12">
      <x:c r="A12" s="58" t="n">
        <x:v>1852</x:v>
      </x:c>
      <x:c r="B12" s="53" t="n">
        <x:f>F11</x:f>
        <x:v>33.56606387816984</x:v>
      </x:c>
      <x:c r="C12" s="69" t="n">
        <x:f>Resources!R12</x:f>
        <x:v>16.2</x:v>
      </x:c>
      <x:c r="D12" s="53" t="n">
        <x:f>IF($A12&gt;=1850,Economy!O12*ext_gold,0)</x:f>
        <x:v>0.2376047092542929</x:v>
      </x:c>
      <x:c r="E12" s="53" t="n">
        <x:f>SUMPRODUCT((Events!$B$6:$B$158&lt;=$A12)*(Events!$C$6:$C$158&gt;=$A12)*(Events!$E$6:$E$158="Loan")*(Events!$J$6:$J$158="Yes")*Events!$H$6:$H$158)+SUMPRODUCT((Events!$B$6:$B$158&lt;=$A12)*(Events!$C$6:$C$158&gt;=$A12)*(Events!$E$6:$E$158="Purchase")*(Events!$J$6:$J$158="Yes")*Events!$H$6:$H$158)</x:f>
        <x:v>0</x:v>
      </x:c>
      <x:c r="F12" s="53" t="n">
        <x:f>MAX(0,B12+C12+D12-E12)</x:f>
        <x:v>50.00366858742414</x:v>
      </x:c>
      <x:c r="G12" s="53" t="n">
        <x:f>IF(OR($A12=1931,$A12=1932),cb_buy/2,0)</x:f>
        <x:v>0</x:v>
      </x:c>
      <x:c r="H12" s="53" t="n">
        <x:f>H11+G12</x:f>
        <x:v>0</x:v>
      </x:c>
      <x:c r="I12" s="53" t="n">
        <x:f>Economy!O12*money_ratio+H12</x:f>
        <x:v>8.316164823900252</x:v>
      </x:c>
      <x:c r="J12" s="53" t="n">
        <x:f>I12*gold_cover</x:f>
        <x:v>3.3264659295601007</x:v>
      </x:c>
      <x:c r="K12" s="53" t="n">
        <x:f>F12-J12</x:f>
        <x:v>46.677202657864036</x:v>
      </x:c>
      <x:c r="L12" s="63" t="n">
        <x:f>IF(I12&gt;0,F12/I12,0)</x:f>
        <x:v>6.0128279857700795</x:v>
      </x:c>
      <x:c r="M12" s="63" t="n">
        <x:f>IF(Paths!AD12&gt;0,F12/Paths!AD12,0)</x:f>
        <x:v>0.03184947043784977</x:v>
      </x:c>
    </x:row>
    <x:row r="13">
      <x:c r="A13" s="58" t="n">
        <x:v>1853</x:v>
      </x:c>
      <x:c r="B13" s="53" t="n">
        <x:f>F12</x:f>
        <x:v>50.00366858742414</x:v>
      </x:c>
      <x:c r="C13" s="69" t="n">
        <x:f>Resources!R13</x:f>
        <x:v>13.4</x:v>
      </x:c>
      <x:c r="D13" s="53" t="n">
        <x:f>IF($A13&gt;=1850,Economy!O13*ext_gold,0)</x:f>
        <x:v>0.23842933299325927</x:v>
      </x:c>
      <x:c r="E13" s="53" t="n">
        <x:f>SUMPRODUCT((Events!$B$6:$B$158&lt;=$A13)*(Events!$C$6:$C$158&gt;=$A13)*(Events!$E$6:$E$158="Loan")*(Events!$J$6:$J$158="Yes")*Events!$H$6:$H$158)+SUMPRODUCT((Events!$B$6:$B$158&lt;=$A13)*(Events!$C$6:$C$158&gt;=$A13)*(Events!$E$6:$E$158="Purchase")*(Events!$J$6:$J$158="Yes")*Events!$H$6:$H$158)</x:f>
        <x:v>0</x:v>
      </x:c>
      <x:c r="F13" s="53" t="n">
        <x:f>MAX(0,B13+C13+D13-E13)</x:f>
        <x:v>63.64209792041739</x:v>
      </x:c>
      <x:c r="G13" s="53" t="n">
        <x:f>IF(OR($A13=1931,$A13=1932),cb_buy/2,0)</x:f>
        <x:v>0</x:v>
      </x:c>
      <x:c r="H13" s="53" t="n">
        <x:f>H12+G13</x:f>
        <x:v>0</x:v>
      </x:c>
      <x:c r="I13" s="53" t="n">
        <x:f>Economy!O13*money_ratio+H13</x:f>
        <x:v>8.345026654764075</x:v>
      </x:c>
      <x:c r="J13" s="53" t="n">
        <x:f>I13*gold_cover</x:f>
        <x:v>3.33801066190563</x:v>
      </x:c>
      <x:c r="K13" s="53" t="n">
        <x:f>F13-J13</x:f>
        <x:v>60.304087258511764</x:v>
      </x:c>
      <x:c r="L13" s="63" t="n">
        <x:f>IF(I13&gt;0,F13/I13,0)</x:f>
        <x:v>7.626350466368479</x:v>
      </x:c>
      <x:c r="M13" s="63" t="n">
        <x:f>IF(Paths!AD13&gt;0,F13/Paths!AD13,0)</x:f>
        <x:v>0.03965239745820398</x:v>
      </x:c>
    </x:row>
    <x:row r="14">
      <x:c r="A14" s="58" t="n">
        <x:v>1854</x:v>
      </x:c>
      <x:c r="B14" s="53" t="n">
        <x:f>F13</x:f>
        <x:v>63.64209792041739</x:v>
      </x:c>
      <x:c r="C14" s="69" t="n">
        <x:f>Resources!R14</x:f>
        <x:v>13.8</x:v>
      </x:c>
      <x:c r="D14" s="53" t="n">
        <x:f>IF($A14&gt;=1850,Economy!O14*ext_gold,0)</x:f>
        <x:v>0.2565827229234213</x:v>
      </x:c>
      <x:c r="E14" s="53" t="n">
        <x:f>SUMPRODUCT((Events!$B$6:$B$158&lt;=$A14)*(Events!$C$6:$C$158&gt;=$A14)*(Events!$E$6:$E$158="Loan")*(Events!$J$6:$J$158="Yes")*Events!$H$6:$H$158)+SUMPRODUCT((Events!$B$6:$B$158&lt;=$A14)*(Events!$C$6:$C$158&gt;=$A14)*(Events!$E$6:$E$158="Purchase")*(Events!$J$6:$J$158="Yes")*Events!$H$6:$H$158)</x:f>
        <x:v>0</x:v>
      </x:c>
      <x:c r="F14" s="53" t="n">
        <x:f>MAX(0,B14+C14+D14-E14)</x:f>
        <x:v>77.69868064334082</x:v>
      </x:c>
      <x:c r="G14" s="53" t="n">
        <x:f>IF(OR($A14=1931,$A14=1932),cb_buy/2,0)</x:f>
        <x:v>0</x:v>
      </x:c>
      <x:c r="H14" s="53" t="n">
        <x:f>H13+G14</x:f>
        <x:v>0</x:v>
      </x:c>
      <x:c r="I14" s="53" t="n">
        <x:f>Economy!O14*money_ratio+H14</x:f>
        <x:v>8.980395302319748</x:v>
      </x:c>
      <x:c r="J14" s="53" t="n">
        <x:f>I14*gold_cover</x:f>
        <x:v>3.592158120927899</x:v>
      </x:c>
      <x:c r="K14" s="53" t="n">
        <x:f>F14-J14</x:f>
        <x:v>74.10652252241292</x:v>
      </x:c>
      <x:c r="L14" s="63" t="n">
        <x:f>IF(I14&gt;0,F14/I14,0)</x:f>
        <x:v>8.652033460405722</x:v>
      </x:c>
      <x:c r="M14" s="63" t="n">
        <x:f>IF(Paths!AD14&gt;0,F14/Paths!AD14,0)</x:f>
        <x:v>0.04737724429472001</x:v>
      </x:c>
    </x:row>
    <x:row r="15">
      <x:c r="A15" s="58" t="n">
        <x:v>1855</x:v>
      </x:c>
      <x:c r="B15" s="53" t="n">
        <x:f>F14</x:f>
        <x:v>77.69868064334082</x:v>
      </x:c>
      <x:c r="C15" s="69" t="n">
        <x:f>Resources!R15</x:f>
        <x:v>11</x:v>
      </x:c>
      <x:c r="D15" s="53" t="n">
        <x:f>IF($A15&gt;=1850,Economy!O15*ext_gold,0)</x:f>
        <x:v>0.25157669446280106</x:v>
      </x:c>
      <x:c r="E15" s="53" t="n">
        <x:f>SUMPRODUCT((Events!$B$6:$B$158&lt;=$A15)*(Events!$C$6:$C$158&gt;=$A15)*(Events!$E$6:$E$158="Loan")*(Events!$J$6:$J$158="Yes")*Events!$H$6:$H$158)+SUMPRODUCT((Events!$B$6:$B$158&lt;=$A15)*(Events!$C$6:$C$158&gt;=$A15)*(Events!$E$6:$E$158="Purchase")*(Events!$J$6:$J$158="Yes")*Events!$H$6:$H$158)</x:f>
        <x:v>0</x:v>
      </x:c>
      <x:c r="F15" s="53" t="n">
        <x:f>MAX(0,B15+C15+D15-E15)</x:f>
        <x:v>88.95025733780362</x:v>
      </x:c>
      <x:c r="G15" s="53" t="n">
        <x:f>IF(OR($A15=1931,$A15=1932),cb_buy/2,0)</x:f>
        <x:v>0</x:v>
      </x:c>
      <x:c r="H15" s="53" t="n">
        <x:f>H14+G15</x:f>
        <x:v>0</x:v>
      </x:c>
      <x:c r="I15" s="53" t="n">
        <x:f>Economy!O15*money_ratio+H15</x:f>
        <x:v>8.805184306198038</x:v>
      </x:c>
      <x:c r="J15" s="53" t="n">
        <x:f>I15*gold_cover</x:f>
        <x:v>3.5220737224792154</x:v>
      </x:c>
      <x:c r="K15" s="53" t="n">
        <x:f>F15-J15</x:f>
        <x:v>85.4281836153244</x:v>
      </x:c>
      <x:c r="L15" s="63" t="n">
        <x:f>IF(I15&gt;0,F15/I15,0)</x:f>
        <x:v>10.102032421421416</x:v>
      </x:c>
      <x:c r="M15" s="63" t="n">
        <x:f>IF(Paths!AD15&gt;0,F15/Paths!AD15,0)</x:f>
        <x:v>0.05310463124644992</x:v>
      </x:c>
    </x:row>
    <x:row r="16">
      <x:c r="A16" s="58" t="n">
        <x:v>1856</x:v>
      </x:c>
      <x:c r="B16" s="53" t="n">
        <x:f>F15</x:f>
        <x:v>88.95025733780362</x:v>
      </x:c>
      <x:c r="C16" s="69" t="n">
        <x:f>Resources!R16</x:f>
        <x:v>11.4</x:v>
      </x:c>
      <x:c r="D16" s="53" t="n">
        <x:f>IF($A16&gt;=1850,Economy!O16*ext_gold,0)</x:f>
        <x:v>0.282997440834694</x:v>
      </x:c>
      <x:c r="E16" s="53" t="n">
        <x:f>SUMPRODUCT((Events!$B$6:$B$158&lt;=$A16)*(Events!$C$6:$C$158&gt;=$A16)*(Events!$E$6:$E$158="Loan")*(Events!$J$6:$J$158="Yes")*Events!$H$6:$H$158)+SUMPRODUCT((Events!$B$6:$B$158&lt;=$A16)*(Events!$C$6:$C$158&gt;=$A16)*(Events!$E$6:$E$158="Purchase")*(Events!$J$6:$J$158="Yes")*Events!$H$6:$H$158)</x:f>
        <x:v>0</x:v>
      </x:c>
      <x:c r="F16" s="53" t="n">
        <x:f>MAX(0,B16+C16+D16-E16)</x:f>
        <x:v>100.63325477863832</x:v>
      </x:c>
      <x:c r="G16" s="53" t="n">
        <x:f>IF(OR($A16=1931,$A16=1932),cb_buy/2,0)</x:f>
        <x:v>0</x:v>
      </x:c>
      <x:c r="H16" s="53" t="n">
        <x:f>H15+G16</x:f>
        <x:v>0</x:v>
      </x:c>
      <x:c r="I16" s="53" t="n">
        <x:f>Economy!O16*money_ratio+H16</x:f>
        <x:v>9.904910429214292</x:v>
      </x:c>
      <x:c r="J16" s="53" t="n">
        <x:f>I16*gold_cover</x:f>
        <x:v>3.961964171685717</x:v>
      </x:c>
      <x:c r="K16" s="53" t="n">
        <x:f>F16-J16</x:f>
        <x:v>96.6712906069526</x:v>
      </x:c>
      <x:c r="L16" s="63" t="n">
        <x:f>IF(I16&gt;0,F16/I16,0)</x:f>
        <x:v>10.159935871991632</x:v>
      </x:c>
      <x:c r="M16" s="63" t="n">
        <x:f>IF(Paths!AD16&gt;0,F16/Paths!AD16,0)</x:f>
        <x:v>0.05884985659569492</x:v>
      </x:c>
    </x:row>
    <x:row r="17">
      <x:c r="A17" s="58" t="n">
        <x:v>1857</x:v>
      </x:c>
      <x:c r="B17" s="53" t="n">
        <x:f>F16</x:f>
        <x:v>100.63325477863832</x:v>
      </x:c>
      <x:c r="C17" s="69" t="n">
        <x:f>Resources!R17</x:f>
        <x:v>8.6</x:v>
      </x:c>
      <x:c r="D17" s="53" t="n">
        <x:f>IF($A17&gt;=1850,Economy!O17*ext_gold,0)</x:f>
        <x:v>0.28692446116180104</x:v>
      </x:c>
      <x:c r="E17" s="53" t="n">
        <x:f>SUMPRODUCT((Events!$B$6:$B$158&lt;=$A17)*(Events!$C$6:$C$158&gt;=$A17)*(Events!$E$6:$E$158="Loan")*(Events!$J$6:$J$158="Yes")*Events!$H$6:$H$158)+SUMPRODUCT((Events!$B$6:$B$158&lt;=$A17)*(Events!$C$6:$C$158&gt;=$A17)*(Events!$E$6:$E$158="Purchase")*(Events!$J$6:$J$158="Yes")*Events!$H$6:$H$158)</x:f>
        <x:v>0</x:v>
      </x:c>
      <x:c r="F17" s="53" t="n">
        <x:f>MAX(0,B17+C17+D17-E17)</x:f>
        <x:v>109.52017923980011</x:v>
      </x:c>
      <x:c r="G17" s="53" t="n">
        <x:f>IF(OR($A17=1931,$A17=1932),cb_buy/2,0)</x:f>
        <x:v>0</x:v>
      </x:c>
      <x:c r="H17" s="53" t="n">
        <x:f>H16+G17</x:f>
        <x:v>0</x:v>
      </x:c>
      <x:c r="I17" s="53" t="n">
        <x:f>Economy!O17*money_ratio+H17</x:f>
        <x:v>10.042356140663038</x:v>
      </x:c>
      <x:c r="J17" s="53" t="n">
        <x:f>I17*gold_cover</x:f>
        <x:v>4.016942456265215</x:v>
      </x:c>
      <x:c r="K17" s="53" t="n">
        <x:f>F17-J17</x:f>
        <x:v>105.5032367835349</x:v>
      </x:c>
      <x:c r="L17" s="63" t="n">
        <x:f>IF(I17&gt;0,F17/I17,0)</x:f>
        <x:v>10.905825057959868</x:v>
      </x:c>
      <x:c r="M17" s="63" t="n">
        <x:f>IF(Paths!AD17&gt;0,F17/Paths!AD17,0)</x:f>
        <x:v>0.06276228036664763</x:v>
      </x:c>
    </x:row>
    <x:row r="18">
      <x:c r="A18" s="58" t="n">
        <x:v>1858</x:v>
      </x:c>
      <x:c r="B18" s="53" t="n">
        <x:f>F17</x:f>
        <x:v>109.52017923980011</x:v>
      </x:c>
      <x:c r="C18" s="69" t="n">
        <x:f>Resources!R18</x:f>
        <x:v>9.4</x:v>
      </x:c>
      <x:c r="D18" s="53" t="n">
        <x:f>IF($A18&gt;=1850,Economy!O18*ext_gold,0)</x:f>
        <x:v>0.3113106167636495</x:v>
      </x:c>
      <x:c r="E18" s="53" t="n">
        <x:f>SUMPRODUCT((Events!$B$6:$B$158&lt;=$A18)*(Events!$C$6:$C$158&gt;=$A18)*(Events!$E$6:$E$158="Loan")*(Events!$J$6:$J$158="Yes")*Events!$H$6:$H$158)+SUMPRODUCT((Events!$B$6:$B$158&lt;=$A18)*(Events!$C$6:$C$158&gt;=$A18)*(Events!$E$6:$E$158="Purchase")*(Events!$J$6:$J$158="Yes")*Events!$H$6:$H$158)</x:f>
        <x:v>0</x:v>
      </x:c>
      <x:c r="F18" s="53" t="n">
        <x:f>MAX(0,B18+C18+D18-E18)</x:f>
        <x:v>119.23148985656377</x:v>
      </x:c>
      <x:c r="G18" s="53" t="n">
        <x:f>IF(OR($A18=1931,$A18=1932),cb_buy/2,0)</x:f>
        <x:v>0</x:v>
      </x:c>
      <x:c r="H18" s="53" t="n">
        <x:f>H17+G18</x:f>
        <x:v>0</x:v>
      </x:c>
      <x:c r="I18" s="53" t="n">
        <x:f>Economy!O18*money_ratio+H18</x:f>
        <x:v>10.895871586727734</x:v>
      </x:c>
      <x:c r="J18" s="53" t="n">
        <x:f>I18*gold_cover</x:f>
        <x:v>4.358348634691094</x:v>
      </x:c>
      <x:c r="K18" s="53" t="n">
        <x:f>F18-J18</x:f>
        <x:v>114.87314122187267</x:v>
      </x:c>
      <x:c r="L18" s="63" t="n">
        <x:f>IF(I18&gt;0,F18/I18,0)</x:f>
        <x:v>10.942813423186786</x:v>
      </x:c>
      <x:c r="M18" s="63" t="n">
        <x:f>IF(Paths!AD18&gt;0,F18/Paths!AD18,0)</x:f>
        <x:v>0.06698398306548527</x:v>
      </x:c>
    </x:row>
    <x:row r="19">
      <x:c r="A19" s="58" t="n">
        <x:v>1859</x:v>
      </x:c>
      <x:c r="B19" s="53" t="n">
        <x:f>F18</x:f>
        <x:v>119.23148985656377</x:v>
      </x:c>
      <x:c r="C19" s="69" t="n">
        <x:f>Resources!R19</x:f>
        <x:v>9.200000000000001</x:v>
      </x:c>
      <x:c r="D19" s="53" t="n">
        <x:f>IF($A19&gt;=1850,Economy!O19*ext_gold,0)</x:f>
        <x:v>0.33209556425988607</x:v>
      </x:c>
      <x:c r="E19" s="53" t="n">
        <x:f>SUMPRODUCT((Events!$B$6:$B$158&lt;=$A19)*(Events!$C$6:$C$158&gt;=$A19)*(Events!$E$6:$E$158="Loan")*(Events!$J$6:$J$158="Yes")*Events!$H$6:$H$158)+SUMPRODUCT((Events!$B$6:$B$158&lt;=$A19)*(Events!$C$6:$C$158&gt;=$A19)*(Events!$E$6:$E$158="Purchase")*(Events!$J$6:$J$158="Yes")*Events!$H$6:$H$158)</x:f>
        <x:v>0</x:v>
      </x:c>
      <x:c r="F19" s="53" t="n">
        <x:f>MAX(0,B19+C19+D19-E19)</x:f>
        <x:v>128.76358542082363</x:v>
      </x:c>
      <x:c r="G19" s="53" t="n">
        <x:f>IF(OR($A19=1931,$A19=1932),cb_buy/2,0)</x:f>
        <x:v>0</x:v>
      </x:c>
      <x:c r="H19" s="53" t="n">
        <x:f>H18+G19</x:f>
        <x:v>0</x:v>
      </x:c>
      <x:c r="I19" s="53" t="n">
        <x:f>Economy!O19*money_ratio+H19</x:f>
        <x:v>11.623344749096013</x:v>
      </x:c>
      <x:c r="J19" s="53" t="n">
        <x:f>I19*gold_cover</x:f>
        <x:v>4.649337899638406</x:v>
      </x:c>
      <x:c r="K19" s="53" t="n">
        <x:f>F19-J19</x:f>
        <x:v>124.11424752118522</x:v>
      </x:c>
      <x:c r="L19" s="63" t="n">
        <x:f>IF(I19&gt;0,F19/I19,0)</x:f>
        <x:v>11.07801482278481</x:v>
      </x:c>
      <x:c r="M19" s="63" t="n">
        <x:f>IF(Paths!AD19&gt;0,F19/Paths!AD19,0)</x:f>
        <x:v>0.0709441241988009</x:v>
      </x:c>
    </x:row>
    <x:row r="20">
      <x:c r="A20" s="58" t="n">
        <x:v>1860</x:v>
      </x:c>
      <x:c r="B20" s="53" t="n">
        <x:f>F19</x:f>
        <x:v>128.76358542082363</x:v>
      </x:c>
      <x:c r="C20" s="69" t="n">
        <x:f>Resources!R20</x:f>
        <x:v>9</x:v>
      </x:c>
      <x:c r="D20" s="53" t="n">
        <x:f>IF($A20&gt;=1850,Economy!O20*ext_gold,0)</x:f>
        <x:v>0.35001073465055527</x:v>
      </x:c>
      <x:c r="E20" s="53" t="n">
        <x:f>SUMPRODUCT((Events!$B$6:$B$158&lt;=$A20)*(Events!$C$6:$C$158&gt;=$A20)*(Events!$E$6:$E$158="Loan")*(Events!$J$6:$J$158="Yes")*Events!$H$6:$H$158)+SUMPRODUCT((Events!$B$6:$B$158&lt;=$A20)*(Events!$C$6:$C$158&gt;=$A20)*(Events!$E$6:$E$158="Purchase")*(Events!$J$6:$J$158="Yes")*Events!$H$6:$H$158)</x:f>
        <x:v>0</x:v>
      </x:c>
      <x:c r="F20" s="53" t="n">
        <x:f>MAX(0,B20+C20+D20-E20)</x:f>
        <x:v>138.1135961554742</x:v>
      </x:c>
      <x:c r="G20" s="53" t="n">
        <x:f>IF(OR($A20=1931,$A20=1932),cb_buy/2,0)</x:f>
        <x:v>0</x:v>
      </x:c>
      <x:c r="H20" s="53" t="n">
        <x:f>H19+G20</x:f>
        <x:v>0</x:v>
      </x:c>
      <x:c r="I20" s="53" t="n">
        <x:f>Economy!O20*money_ratio+H20</x:f>
        <x:v>12.250375712769435</x:v>
      </x:c>
      <x:c r="J20" s="53" t="n">
        <x:f>I20*gold_cover</x:f>
        <x:v>4.900150285107774</x:v>
      </x:c>
      <x:c r="K20" s="53" t="n">
        <x:f>F20-J20</x:f>
        <x:v>133.21344587036643</x:v>
      </x:c>
      <x:c r="L20" s="63" t="n">
        <x:f>IF(I20&gt;0,F20/I20,0)</x:f>
        <x:v>11.274233492406982</x:v>
      </x:c>
      <x:c r="M20" s="63" t="n">
        <x:f>IF(Paths!AD20&gt;0,F20/Paths!AD20,0)</x:f>
        <x:v>0.07465599792187795</x:v>
      </x:c>
    </x:row>
    <x:row r="21">
      <x:c r="A21" s="61" t="n">
        <x:v>1861</x:v>
      </x:c>
      <x:c r="B21" s="53" t="n">
        <x:f>F20</x:f>
        <x:v>138.1135961554742</x:v>
      </x:c>
      <x:c r="C21" s="69" t="n">
        <x:f>Resources!R21</x:f>
        <x:v>8.200000000000001</x:v>
      </x:c>
      <x:c r="D21" s="53" t="n">
        <x:f>IF($A21&gt;=1850,Economy!O21*ext_gold,0)</x:f>
        <x:v>0.36093384574599324</x:v>
      </x:c>
      <x:c r="E21" s="53" t="n">
        <x:f>SUMPRODUCT((Events!$B$6:$B$158&lt;=$A21)*(Events!$C$6:$C$158&gt;=$A21)*(Events!$E$6:$E$158="Loan")*(Events!$J$6:$J$158="Yes")*Events!$H$6:$H$158)+SUMPRODUCT((Events!$B$6:$B$158&lt;=$A21)*(Events!$C$6:$C$158&gt;=$A21)*(Events!$E$6:$E$158="Purchase")*(Events!$J$6:$J$158="Yes")*Events!$H$6:$H$158)</x:f>
        <x:v>0</x:v>
      </x:c>
      <x:c r="F21" s="53" t="n">
        <x:f>MAX(0,B21+C21+D21-E21)</x:f>
        <x:v>146.67453000122018</x:v>
      </x:c>
      <x:c r="G21" s="53" t="n">
        <x:f>IF(OR($A21=1931,$A21=1932),cb_buy/2,0)</x:f>
        <x:v>0</x:v>
      </x:c>
      <x:c r="H21" s="53" t="n">
        <x:f>H20+G21</x:f>
        <x:v>0</x:v>
      </x:c>
      <x:c r="I21" s="53" t="n">
        <x:f>Economy!O21*money_ratio+H21</x:f>
        <x:v>12.632684601109764</x:v>
      </x:c>
      <x:c r="J21" s="53" t="n">
        <x:f>I21*gold_cover</x:f>
        <x:v>5.053073840443906</x:v>
      </x:c>
      <x:c r="K21" s="53" t="n">
        <x:f>F21-J21</x:f>
        <x:v>141.62145616077626</x:v>
      </x:c>
      <x:c r="L21" s="63" t="n">
        <x:f>IF(I21&gt;0,F21/I21,0)</x:f>
        <x:v>11.610717328313177</x:v>
      </x:c>
      <x:c r="M21" s="63" t="n">
        <x:f>IF(Paths!AD21&gt;0,F21/Paths!AD21,0)</x:f>
        <x:v>0.07781142175131044</x:v>
      </x:c>
    </x:row>
    <x:row r="22">
      <x:c r="A22" s="61" t="n">
        <x:v>1862</x:v>
      </x:c>
      <x:c r="B22" s="53" t="n">
        <x:f>F21</x:f>
        <x:v>146.67453000122018</x:v>
      </x:c>
      <x:c r="C22" s="69" t="n">
        <x:f>Resources!R22</x:f>
        <x:v>7.6000000000000005</x:v>
      </x:c>
      <x:c r="D22" s="53" t="n">
        <x:f>IF($A22&gt;=1850,Economy!O22*ext_gold,0)</x:f>
        <x:v>0.4159124567087357</x:v>
      </x:c>
      <x:c r="E22" s="53" t="n">
        <x:f>SUMPRODUCT((Events!$B$6:$B$158&lt;=$A22)*(Events!$C$6:$C$158&gt;=$A22)*(Events!$E$6:$E$158="Loan")*(Events!$J$6:$J$158="Yes")*Events!$H$6:$H$158)+SUMPRODUCT((Events!$B$6:$B$158&lt;=$A22)*(Events!$C$6:$C$158&gt;=$A22)*(Events!$E$6:$E$158="Purchase")*(Events!$J$6:$J$158="Yes")*Events!$H$6:$H$158)</x:f>
        <x:v>0</x:v>
      </x:c>
      <x:c r="F22" s="53" t="n">
        <x:f>MAX(0,B22+C22+D22-E22)</x:f>
        <x:v>154.6904424579289</x:v>
      </x:c>
      <x:c r="G22" s="53" t="n">
        <x:f>IF(OR($A22=1931,$A22=1932),cb_buy/2,0)</x:f>
        <x:v>0</x:v>
      </x:c>
      <x:c r="H22" s="53" t="n">
        <x:f>H21+G22</x:f>
        <x:v>0</x:v>
      </x:c>
      <x:c r="I22" s="53" t="n">
        <x:f>Economy!O22*money_ratio+H22</x:f>
        <x:v>14.556935984805751</x:v>
      </x:c>
      <x:c r="J22" s="53" t="n">
        <x:f>I22*gold_cover</x:f>
        <x:v>5.822774393922301</x:v>
      </x:c>
      <x:c r="K22" s="53" t="n">
        <x:f>F22-J22</x:f>
        <x:v>148.8676680640066</x:v>
      </x:c>
      <x:c r="L22" s="63" t="n">
        <x:f>IF(I22&gt;0,F22/I22,0)</x:f>
        <x:v>10.626579839287045</x:v>
      </x:c>
      <x:c r="M22" s="63" t="n">
        <x:f>IF(Paths!AD22&gt;0,F22/Paths!AD22,0)</x:f>
        <x:v>0.0805679387801713</x:v>
      </x:c>
    </x:row>
    <x:row r="23">
      <x:c r="A23" s="61" t="n">
        <x:v>1863</x:v>
      </x:c>
      <x:c r="B23" s="53" t="n">
        <x:f>F22</x:f>
        <x:v>154.6904424579289</x:v>
      </x:c>
      <x:c r="C23" s="69" t="n">
        <x:f>Resources!R23</x:f>
        <x:v>7.6000000000000005</x:v>
      </x:c>
      <x:c r="D23" s="53" t="n">
        <x:f>IF($A23&gt;=1850,Economy!O23*ext_gold,0)</x:f>
        <x:v>0.5183114556219331</x:v>
      </x:c>
      <x:c r="E23" s="53" t="n">
        <x:f>SUMPRODUCT((Events!$B$6:$B$158&lt;=$A23)*(Events!$C$6:$C$158&gt;=$A23)*(Events!$E$6:$E$158="Loan")*(Events!$J$6:$J$158="Yes")*Events!$H$6:$H$158)+SUMPRODUCT((Events!$B$6:$B$158&lt;=$A23)*(Events!$C$6:$C$158&gt;=$A23)*(Events!$E$6:$E$158="Purchase")*(Events!$J$6:$J$158="Yes")*Events!$H$6:$H$158)</x:f>
        <x:v>0</x:v>
      </x:c>
      <x:c r="F23" s="53" t="n">
        <x:f>MAX(0,B23+C23+D23-E23)</x:f>
        <x:v>162.80875391355082</x:v>
      </x:c>
      <x:c r="G23" s="53" t="n">
        <x:f>IF(OR($A23=1931,$A23=1932),cb_buy/2,0)</x:f>
        <x:v>0</x:v>
      </x:c>
      <x:c r="H23" s="53" t="n">
        <x:f>H22+G23</x:f>
        <x:v>0</x:v>
      </x:c>
      <x:c r="I23" s="53" t="n">
        <x:f>Economy!O23*money_ratio+H23</x:f>
        <x:v>18.140900946767662</x:v>
      </x:c>
      <x:c r="J23" s="53" t="n">
        <x:f>I23*gold_cover</x:f>
        <x:v>7.256360378707065</x:v>
      </x:c>
      <x:c r="K23" s="53" t="n">
        <x:f>F23-J23</x:f>
        <x:v>155.55239353484376</x:v>
      </x:c>
      <x:c r="L23" s="63" t="n">
        <x:f>IF(I23&gt;0,F23/I23,0)</x:f>
        <x:v>8.97467851190489</x:v>
      </x:c>
      <x:c r="M23" s="63" t="n">
        <x:f>IF(Paths!AD23&gt;0,F23/Paths!AD23,0)</x:f>
        <x:v>0.08327813499414365</x:v>
      </x:c>
    </x:row>
    <x:row r="24">
      <x:c r="A24" s="61" t="n">
        <x:v>1864</x:v>
      </x:c>
      <x:c r="B24" s="53" t="n">
        <x:f>F23</x:f>
        <x:v>162.80875391355082</x:v>
      </x:c>
      <x:c r="C24" s="69" t="n">
        <x:f>Resources!R24</x:f>
        <x:v>11.8</x:v>
      </x:c>
      <x:c r="D24" s="53" t="n">
        <x:f>IF($A24&gt;=1850,Economy!O24*ext_gold,0)</x:f>
        <x:v>0.6289723809366202</x:v>
      </x:c>
      <x:c r="E24" s="53" t="n">
        <x:f>SUMPRODUCT((Events!$B$6:$B$158&lt;=$A24)*(Events!$C$6:$C$158&gt;=$A24)*(Events!$E$6:$E$158="Loan")*(Events!$J$6:$J$158="Yes")*Events!$H$6:$H$158)+SUMPRODUCT((Events!$B$6:$B$158&lt;=$A24)*(Events!$C$6:$C$158&gt;=$A24)*(Events!$E$6:$E$158="Purchase")*(Events!$J$6:$J$158="Yes")*Events!$H$6:$H$158)</x:f>
        <x:v>0</x:v>
      </x:c>
      <x:c r="F24" s="53" t="n">
        <x:f>MAX(0,B24+C24+D24-E24)</x:f>
        <x:v>175.23772629448746</x:v>
      </x:c>
      <x:c r="G24" s="53" t="n">
        <x:f>IF(OR($A24=1931,$A24=1932),cb_buy/2,0)</x:f>
        <x:v>0</x:v>
      </x:c>
      <x:c r="H24" s="53" t="n">
        <x:f>H23+G24</x:f>
        <x:v>0</x:v>
      </x:c>
      <x:c r="I24" s="53" t="n">
        <x:f>Economy!O24*money_ratio+H24</x:f>
        <x:v>22.014033332781707</x:v>
      </x:c>
      <x:c r="J24" s="53" t="n">
        <x:f>I24*gold_cover</x:f>
        <x:v>8.805613333112683</x:v>
      </x:c>
      <x:c r="K24" s="53" t="n">
        <x:f>F24-J24</x:f>
        <x:v>166.43211296137477</x:v>
      </x:c>
      <x:c r="L24" s="63" t="n">
        <x:f>IF(I24&gt;0,F24/I24,0)</x:f>
        <x:v>7.960273505788514</x:v>
      </x:c>
      <x:c r="M24" s="63" t="n">
        <x:f>IF(Paths!AD24&gt;0,F24/Paths!AD24,0)</x:f>
        <x:v>0.0880591589419535</x:v>
      </x:c>
    </x:row>
    <x:row r="25">
      <x:c r="A25" s="61" t="n">
        <x:v>1865</x:v>
      </x:c>
      <x:c r="B25" s="53" t="n">
        <x:f>F24</x:f>
        <x:v>175.23772629448746</x:v>
      </x:c>
      <x:c r="C25" s="69" t="n">
        <x:f>Resources!R25</x:f>
        <x:v>11.600000000000001</x:v>
      </x:c>
      <x:c r="D25" s="53" t="n">
        <x:f>IF($A25&gt;=1850,Economy!O25*ext_gold,0)</x:f>
        <x:v>0.6863176002805057</x:v>
      </x:c>
      <x:c r="E25" s="53" t="n">
        <x:f>SUMPRODUCT((Events!$B$6:$B$158&lt;=$A25)*(Events!$C$6:$C$158&gt;=$A25)*(Events!$E$6:$E$158="Loan")*(Events!$J$6:$J$158="Yes")*Events!$H$6:$H$158)+SUMPRODUCT((Events!$B$6:$B$158&lt;=$A25)*(Events!$C$6:$C$158&gt;=$A25)*(Events!$E$6:$E$158="Purchase")*(Events!$J$6:$J$158="Yes")*Events!$H$6:$H$158)</x:f>
        <x:v>0</x:v>
      </x:c>
      <x:c r="F25" s="53" t="n">
        <x:f>MAX(0,B25+C25+D25-E25)</x:f>
        <x:v>187.52404389476797</x:v>
      </x:c>
      <x:c r="G25" s="53" t="n">
        <x:f>IF(OR($A25=1931,$A25=1932),cb_buy/2,0)</x:f>
        <x:v>0</x:v>
      </x:c>
      <x:c r="H25" s="53" t="n">
        <x:f>H24+G25</x:f>
        <x:v>0</x:v>
      </x:c>
      <x:c r="I25" s="53" t="n">
        <x:f>Economy!O25*money_ratio+H25</x:f>
        <x:v>24.0211160098177</x:v>
      </x:c>
      <x:c r="J25" s="53" t="n">
        <x:f>I25*gold_cover</x:f>
        <x:v>9.608446403927081</x:v>
      </x:c>
      <x:c r="K25" s="53" t="n">
        <x:f>F25-J25</x:f>
        <x:v>177.9155974908409</x:v>
      </x:c>
      <x:c r="L25" s="63" t="n">
        <x:f>IF(I25&gt;0,F25/I25,0)</x:f>
        <x:v>7.80663328956593</x:v>
      </x:c>
      <x:c r="M25" s="63" t="n">
        <x:f>IF(Paths!AD25&gt;0,F25/Paths!AD25,0)</x:f>
        <x:v>0.09260446612087307</x:v>
      </x:c>
    </x:row>
    <x:row r="26">
      <x:c r="A26" s="58" t="n">
        <x:v>1866</x:v>
      </x:c>
      <x:c r="B26" s="53" t="n">
        <x:f>F25</x:f>
        <x:v>187.52404389476797</x:v>
      </x:c>
      <x:c r="C26" s="69" t="n">
        <x:f>Resources!R26</x:f>
        <x:v>11.200000000000001</x:v>
      </x:c>
      <x:c r="D26" s="53" t="n">
        <x:f>IF($A26&gt;=1850,Economy!O26*ext_gold,0)</x:f>
        <x:v>0.7335026881756715</x:v>
      </x:c>
      <x:c r="E26" s="53" t="n">
        <x:f>SUMPRODUCT((Events!$B$6:$B$158&lt;=$A26)*(Events!$C$6:$C$158&gt;=$A26)*(Events!$E$6:$E$158="Loan")*(Events!$J$6:$J$158="Yes")*Events!$H$6:$H$158)+SUMPRODUCT((Events!$B$6:$B$158&lt;=$A26)*(Events!$C$6:$C$158&gt;=$A26)*(Events!$E$6:$E$158="Purchase")*(Events!$J$6:$J$158="Yes")*Events!$H$6:$H$158)</x:f>
        <x:v>5.714285714285714</x:v>
      </x:c>
      <x:c r="F26" s="53" t="n">
        <x:f>MAX(0,B26+C26+D26-E26)</x:f>
        <x:v>193.7432608686579</x:v>
      </x:c>
      <x:c r="G26" s="53" t="n">
        <x:f>IF(OR($A26=1931,$A26=1932),cb_buy/2,0)</x:f>
        <x:v>0</x:v>
      </x:c>
      <x:c r="H26" s="53" t="n">
        <x:f>H25+G26</x:f>
        <x:v>0</x:v>
      </x:c>
      <x:c r="I26" s="53" t="n">
        <x:f>Economy!O26*money_ratio+H26</x:f>
        <x:v>25.672594086148507</x:v>
      </x:c>
      <x:c r="J26" s="53" t="n">
        <x:f>I26*gold_cover</x:f>
        <x:v>10.269037634459403</x:v>
      </x:c>
      <x:c r="K26" s="53" t="n">
        <x:f>F26-J26</x:f>
        <x:v>183.4742232341985</x:v>
      </x:c>
      <x:c r="L26" s="63" t="n">
        <x:f>IF(I26&gt;0,F26/I26,0)</x:f>
        <x:v>7.5466959131017814</x:v>
      </x:c>
      <x:c r="M26" s="63" t="n">
        <x:f>IF(Paths!AD26&gt;0,F26/Paths!AD26,0)</x:f>
        <x:v>0.09405012663527082</x:v>
      </x:c>
    </x:row>
    <x:row r="27">
      <x:c r="A27" s="58" t="n">
        <x:v>1867</x:v>
      </x:c>
      <x:c r="B27" s="53" t="n">
        <x:f>F26</x:f>
        <x:v>193.7432608686579</x:v>
      </x:c>
      <x:c r="C27" s="69" t="n">
        <x:f>Resources!R27</x:f>
        <x:v>10</x:v>
      </x:c>
      <x:c r="D27" s="53" t="n">
        <x:f>IF($A27&gt;=1850,Economy!O27*ext_gold,0)</x:f>
        <x:v>0.797796439901777</x:v>
      </x:c>
      <x:c r="E27" s="53" t="n">
        <x:f>SUMPRODUCT((Events!$B$6:$B$158&lt;=$A27)*(Events!$C$6:$C$158&gt;=$A27)*(Events!$E$6:$E$158="Loan")*(Events!$J$6:$J$158="Yes")*Events!$H$6:$H$158)+SUMPRODUCT((Events!$B$6:$B$158&lt;=$A27)*(Events!$C$6:$C$158&gt;=$A27)*(Events!$E$6:$E$158="Purchase")*(Events!$J$6:$J$158="Yes")*Events!$H$6:$H$158)</x:f>
        <x:v>27.914285714285715</x:v>
      </x:c>
      <x:c r="F27" s="53" t="n">
        <x:f>MAX(0,B27+C27+D27-E27)</x:f>
        <x:v>176.62677159427398</x:v>
      </x:c>
      <x:c r="G27" s="53" t="n">
        <x:f>IF(OR($A27=1931,$A27=1932),cb_buy/2,0)</x:f>
        <x:v>0</x:v>
      </x:c>
      <x:c r="H27" s="53" t="n">
        <x:f>H26+G27</x:f>
        <x:v>0</x:v>
      </x:c>
      <x:c r="I27" s="53" t="n">
        <x:f>Economy!O27*money_ratio+H27</x:f>
        <x:v>27.922875396562194</x:v>
      </x:c>
      <x:c r="J27" s="53" t="n">
        <x:f>I27*gold_cover</x:f>
        <x:v>11.169150158624879</x:v>
      </x:c>
      <x:c r="K27" s="53" t="n">
        <x:f>F27-J27</x:f>
        <x:v>165.4576214356491</x:v>
      </x:c>
      <x:c r="L27" s="63" t="n">
        <x:f>IF(I27&gt;0,F27/I27,0)</x:f>
        <x:v>6.325522321244176</x:v>
      </x:c>
      <x:c r="M27" s="63" t="n">
        <x:f>IF(Paths!AD27&gt;0,F27/Paths!AD27,0)</x:f>
        <x:v>0.08430872152471311</x:v>
      </x:c>
    </x:row>
    <x:row r="28">
      <x:c r="A28" s="58" t="n">
        <x:v>1868</x:v>
      </x:c>
      <x:c r="B28" s="53" t="n">
        <x:f>F27</x:f>
        <x:v>176.62677159427398</x:v>
      </x:c>
      <x:c r="C28" s="69" t="n">
        <x:f>Resources!R28</x:f>
        <x:v>8.533333333333335</x:v>
      </x:c>
      <x:c r="D28" s="53" t="n">
        <x:f>IF($A28&gt;=1850,Economy!O28*ext_gold,0)</x:f>
        <x:v>0.8685213444710554</x:v>
      </x:c>
      <x:c r="E28" s="53" t="n">
        <x:f>SUMPRODUCT((Events!$B$6:$B$158&lt;=$A28)*(Events!$C$6:$C$158&gt;=$A28)*(Events!$E$6:$E$158="Loan")*(Events!$J$6:$J$158="Yes")*Events!$H$6:$H$158)+SUMPRODUCT((Events!$B$6:$B$158&lt;=$A28)*(Events!$C$6:$C$158&gt;=$A28)*(Events!$E$6:$E$158="Purchase")*(Events!$J$6:$J$158="Yes")*Events!$H$6:$H$158)</x:f>
        <x:v>5.714285714285714</x:v>
      </x:c>
      <x:c r="F28" s="53" t="n">
        <x:f>MAX(0,B28+C28+D28-E28)</x:f>
        <x:v>180.31434055779263</x:v>
      </x:c>
      <x:c r="G28" s="53" t="n">
        <x:f>IF(OR($A28=1931,$A28=1932),cb_buy/2,0)</x:f>
        <x:v>0</x:v>
      </x:c>
      <x:c r="H28" s="53" t="n">
        <x:f>H27+G28</x:f>
        <x:v>0</x:v>
      </x:c>
      <x:c r="I28" s="53" t="n">
        <x:f>Economy!O28*money_ratio+H28</x:f>
        <x:v>30.39824705648694</x:v>
      </x:c>
      <x:c r="J28" s="53" t="n">
        <x:f>I28*gold_cover</x:f>
        <x:v>12.159298822594778</x:v>
      </x:c>
      <x:c r="K28" s="53" t="n">
        <x:f>F28-J28</x:f>
        <x:v>168.15504173519787</x:v>
      </x:c>
      <x:c r="L28" s="63" t="n">
        <x:f>IF(I28&gt;0,F28/I28,0)</x:f>
        <x:v>5.931734820850922</x:v>
      </x:c>
      <x:c r="M28" s="63" t="n">
        <x:f>IF(Paths!AD28&gt;0,F28/Paths!AD28,0)</x:f>
        <x:v>0.08465461998018434</x:v>
      </x:c>
    </x:row>
    <x:row r="29">
      <x:c r="A29" s="58" t="n">
        <x:v>1869</x:v>
      </x:c>
      <x:c r="B29" s="53" t="n">
        <x:f>F28</x:f>
        <x:v>180.31434055779263</x:v>
      </x:c>
      <x:c r="C29" s="69" t="n">
        <x:f>Resources!R29</x:f>
        <x:v>8.466666666666667</x:v>
      </x:c>
      <x:c r="D29" s="53" t="n">
        <x:f>IF($A29&gt;=1850,Economy!O29*ext_gold,0)</x:f>
        <x:v>0.9432241279164582</x:v>
      </x:c>
      <x:c r="E29" s="53" t="n">
        <x:f>SUMPRODUCT((Events!$B$6:$B$158&lt;=$A29)*(Events!$C$6:$C$158&gt;=$A29)*(Events!$E$6:$E$158="Loan")*(Events!$J$6:$J$158="Yes")*Events!$H$6:$H$158)+SUMPRODUCT((Events!$B$6:$B$158&lt;=$A29)*(Events!$C$6:$C$158&gt;=$A29)*(Events!$E$6:$E$158="Purchase")*(Events!$J$6:$J$158="Yes")*Events!$H$6:$H$158)</x:f>
        <x:v>5.714285714285714</x:v>
      </x:c>
      <x:c r="F29" s="53" t="n">
        <x:f>MAX(0,B29+C29+D29-E29)</x:f>
        <x:v>184.00994563809004</x:v>
      </x:c>
      <x:c r="G29" s="53" t="n">
        <x:f>IF(OR($A29=1931,$A29=1932),cb_buy/2,0)</x:f>
        <x:v>0</x:v>
      </x:c>
      <x:c r="H29" s="53" t="n">
        <x:f>H28+G29</x:f>
        <x:v>0</x:v>
      </x:c>
      <x:c r="I29" s="53" t="n">
        <x:f>Economy!O29*money_ratio+H29</x:f>
        <x:v>33.01284447707604</x:v>
      </x:c>
      <x:c r="J29" s="53" t="n">
        <x:f>I29*gold_cover</x:f>
        <x:v>13.205137790830415</x:v>
      </x:c>
      <x:c r="K29" s="53" t="n">
        <x:f>F29-J29</x:f>
        <x:v>170.80480784725964</x:v>
      </x:c>
      <x:c r="L29" s="63" t="n">
        <x:f>IF(I29&gt;0,F29/I29,0)</x:f>
        <x:v>5.573889452811789</x:v>
      </x:c>
      <x:c r="M29" s="63" t="n">
        <x:f>IF(Paths!AD29&gt;0,F29/Paths!AD29,0)</x:f>
        <x:v>0.08499304648410626</x:v>
      </x:c>
    </x:row>
    <x:row r="30">
      <x:c r="A30" s="61" t="n">
        <x:v>1870</x:v>
      </x:c>
      <x:c r="B30" s="53" t="n">
        <x:f>F29</x:f>
        <x:v>184.00994563809004</x:v>
      </x:c>
      <x:c r="C30" s="69" t="n">
        <x:f>Resources!R30</x:f>
        <x:v>8.4</x:v>
      </x:c>
      <x:c r="D30" s="53" t="n">
        <x:f>IF($A30&gt;=1850,Economy!O30*ext_gold,0)</x:f>
        <x:v>1.028953898688528</x:v>
      </x:c>
      <x:c r="E30" s="53" t="n">
        <x:f>SUMPRODUCT((Events!$B$6:$B$158&lt;=$A30)*(Events!$C$6:$C$158&gt;=$A30)*(Events!$E$6:$E$158="Loan")*(Events!$J$6:$J$158="Yes")*Events!$H$6:$H$158)+SUMPRODUCT((Events!$B$6:$B$158&lt;=$A30)*(Events!$C$6:$C$158&gt;=$A30)*(Events!$E$6:$E$158="Purchase")*(Events!$J$6:$J$158="Yes")*Events!$H$6:$H$158)</x:f>
        <x:v>5.714285714285714</x:v>
      </x:c>
      <x:c r="F30" s="53" t="n">
        <x:f>MAX(0,B30+C30+D30-E30)</x:f>
        <x:v>187.72461382249287</x:v>
      </x:c>
      <x:c r="G30" s="53" t="n">
        <x:f>IF(OR($A30=1931,$A30=1932),cb_buy/2,0)</x:f>
        <x:v>0</x:v>
      </x:c>
      <x:c r="H30" s="53" t="n">
        <x:f>H29+G30</x:f>
        <x:v>0</x:v>
      </x:c>
      <x:c r="I30" s="53" t="n">
        <x:f>Economy!O30*money_ratio+H30</x:f>
        <x:v>36.01338645409848</x:v>
      </x:c>
      <x:c r="J30" s="53" t="n">
        <x:f>I30*gold_cover</x:f>
        <x:v>14.405354581639394</x:v>
      </x:c>
      <x:c r="K30" s="53" t="n">
        <x:f>F30-J30</x:f>
        <x:v>173.31925924085348</x:v>
      </x:c>
      <x:c r="L30" s="63" t="n">
        <x:f>IF(I30&gt;0,F30/I30,0)</x:f>
        <x:v>5.212634309238336</x:v>
      </x:c>
      <x:c r="M30" s="63" t="n">
        <x:f>IF(Paths!AD30&gt;0,F30/Paths!AD30,0)</x:f>
        <x:v>0.08532936991931495</x:v>
      </x:c>
    </x:row>
    <x:row r="31">
      <x:c r="A31" s="61" t="n">
        <x:v>1871</x:v>
      </x:c>
      <x:c r="B31" s="53" t="n">
        <x:f>F30</x:f>
        <x:v>187.72461382249287</x:v>
      </x:c>
      <x:c r="C31" s="69" t="n">
        <x:f>Resources!R31</x:f>
        <x:v>8.9</x:v>
      </x:c>
      <x:c r="D31" s="53" t="n">
        <x:f>IF($A31&gt;=1850,Economy!O31*ext_gold,0)</x:f>
        <x:v>1.1059871739033575</x:v>
      </x:c>
      <x:c r="E31" s="53" t="n">
        <x:f>SUMPRODUCT((Events!$B$6:$B$158&lt;=$A31)*(Events!$C$6:$C$158&gt;=$A31)*(Events!$E$6:$E$158="Loan")*(Events!$J$6:$J$158="Yes")*Events!$H$6:$H$158)+SUMPRODUCT((Events!$B$6:$B$158&lt;=$A31)*(Events!$C$6:$C$158&gt;=$A31)*(Events!$E$6:$E$158="Purchase")*(Events!$J$6:$J$158="Yes")*Events!$H$6:$H$158)</x:f>
        <x:v>5.714285714285714</x:v>
      </x:c>
      <x:c r="F31" s="53" t="n">
        <x:f>MAX(0,B31+C31+D31-E31)</x:f>
        <x:v>192.0163152821105</x:v>
      </x:c>
      <x:c r="G31" s="53" t="n">
        <x:f>IF(OR($A31=1931,$A31=1932),cb_buy/2,0)</x:f>
        <x:v>0</x:v>
      </x:c>
      <x:c r="H31" s="53" t="n">
        <x:f>H30+G31</x:f>
        <x:v>0</x:v>
      </x:c>
      <x:c r="I31" s="53" t="n">
        <x:f>Economy!O31*money_ratio+H31</x:f>
        <x:v>38.709551086617516</x:v>
      </x:c>
      <x:c r="J31" s="53" t="n">
        <x:f>I31*gold_cover</x:f>
        <x:v>15.483820434647008</x:v>
      </x:c>
      <x:c r="K31" s="53" t="n">
        <x:f>F31-J31</x:f>
        <x:v>176.53249484746348</x:v>
      </x:c>
      <x:c r="L31" s="63" t="n">
        <x:f>IF(I31&gt;0,F31/I31,0)</x:f>
        <x:v>4.960437666984298</x:v>
      </x:c>
      <x:c r="M31" s="63" t="n">
        <x:f>IF(Paths!AD31&gt;0,F31/Paths!AD31,0)</x:f>
        <x:v>0.08477541513558963</x:v>
      </x:c>
    </x:row>
    <x:row r="32">
      <x:c r="A32" s="58" t="n">
        <x:v>1872</x:v>
      </x:c>
      <x:c r="B32" s="53" t="n">
        <x:f>F31</x:f>
        <x:v>192.0163152821105</x:v>
      </x:c>
      <x:c r="C32" s="69" t="n">
        <x:f>Resources!R32</x:f>
        <x:v>9.4</x:v>
      </x:c>
      <x:c r="D32" s="53" t="n">
        <x:f>IF($A32&gt;=1850,Economy!O32*ext_gold,0)</x:f>
        <x:v>1.1851969435131278</x:v>
      </x:c>
      <x:c r="E32" s="53" t="n">
        <x:f>SUMPRODUCT((Events!$B$6:$B$158&lt;=$A32)*(Events!$C$6:$C$158&gt;=$A32)*(Events!$E$6:$E$158="Loan")*(Events!$J$6:$J$158="Yes")*Events!$H$6:$H$158)+SUMPRODUCT((Events!$B$6:$B$158&lt;=$A32)*(Events!$C$6:$C$158&gt;=$A32)*(Events!$E$6:$E$158="Purchase")*(Events!$J$6:$J$158="Yes")*Events!$H$6:$H$158)</x:f>
        <x:v>5.714285714285714</x:v>
      </x:c>
      <x:c r="F32" s="53" t="n">
        <x:f>MAX(0,B32+C32+D32-E32)</x:f>
        <x:v>196.8872265113379</x:v>
      </x:c>
      <x:c r="G32" s="53" t="n">
        <x:f>IF(OR($A32=1931,$A32=1932),cb_buy/2,0)</x:f>
        <x:v>0</x:v>
      </x:c>
      <x:c r="H32" s="53" t="n">
        <x:f>H31+G32</x:f>
        <x:v>0</x:v>
      </x:c>
      <x:c r="I32" s="53" t="n">
        <x:f>Economy!O32*money_ratio+H32</x:f>
        <x:v>41.481893022959476</x:v>
      </x:c>
      <x:c r="J32" s="53" t="n">
        <x:f>I32*gold_cover</x:f>
        <x:v>16.59275720918379</x:v>
      </x:c>
      <x:c r="K32" s="53" t="n">
        <x:f>F32-J32</x:f>
        <x:v>180.2944693021541</x:v>
      </x:c>
      <x:c r="L32" s="63" t="n">
        <x:f>IF(I32&gt;0,F32/I32,0)</x:f>
        <x:v>4.746341407378983</x:v>
      </x:c>
      <x:c r="M32" s="63" t="n">
        <x:f>IF(Paths!AD32&gt;0,F32/Paths!AD32,0)</x:f>
        <x:v>0.0845009555842652</x:v>
      </x:c>
    </x:row>
    <x:row r="33">
      <x:c r="A33" s="58" t="n">
        <x:v>1873</x:v>
      </x:c>
      <x:c r="B33" s="53" t="n">
        <x:f>F32</x:f>
        <x:v>196.8872265113379</x:v>
      </x:c>
      <x:c r="C33" s="69" t="n">
        <x:f>Resources!R33</x:f>
        <x:v>11</x:v>
      </x:c>
      <x:c r="D33" s="53" t="n">
        <x:f>IF($A33&gt;=1850,Economy!O33*ext_gold,0)</x:f>
        <x:v>1.2571492259318509</x:v>
      </x:c>
      <x:c r="E33" s="53" t="n">
        <x:f>SUMPRODUCT((Events!$B$6:$B$158&lt;=$A33)*(Events!$C$6:$C$158&gt;=$A33)*(Events!$E$6:$E$158="Loan")*(Events!$J$6:$J$158="Yes")*Events!$H$6:$H$158)+SUMPRODUCT((Events!$B$6:$B$158&lt;=$A33)*(Events!$C$6:$C$158&gt;=$A33)*(Events!$E$6:$E$158="Purchase")*(Events!$J$6:$J$158="Yes")*Events!$H$6:$H$158)</x:f>
        <x:v>0</x:v>
      </x:c>
      <x:c r="F33" s="53" t="n">
        <x:f>MAX(0,B33+C33+D33-E33)</x:f>
        <x:v>209.14437573726974</x:v>
      </x:c>
      <x:c r="G33" s="53" t="n">
        <x:f>IF(OR($A33=1931,$A33=1932),cb_buy/2,0)</x:f>
        <x:v>0</x:v>
      </x:c>
      <x:c r="H33" s="53" t="n">
        <x:f>H32+G33</x:f>
        <x:v>0</x:v>
      </x:c>
      <x:c r="I33" s="53" t="n">
        <x:f>Economy!O33*money_ratio+H33</x:f>
        <x:v>44.000222907614784</x:v>
      </x:c>
      <x:c r="J33" s="53" t="n">
        <x:f>I33*gold_cover</x:f>
        <x:v>17.600089163045915</x:v>
      </x:c>
      <x:c r="K33" s="53" t="n">
        <x:f>F33-J33</x:f>
        <x:v>191.54428657422383</x:v>
      </x:c>
      <x:c r="L33" s="63" t="n">
        <x:f>IF(I33&gt;0,F33/I33,0)</x:f>
        <x:v>4.753257186364724</x:v>
      </x:c>
      <x:c r="M33" s="63" t="n">
        <x:f>IF(Paths!AD33&gt;0,F33/Paths!AD33,0)</x:f>
        <x:v>0.0873254178443715</x:v>
      </x:c>
    </x:row>
    <x:row r="34">
      <x:c r="A34" s="58" t="n">
        <x:v>1874</x:v>
      </x:c>
      <x:c r="B34" s="53" t="n">
        <x:f>F33</x:f>
        <x:v>209.14437573726974</x:v>
      </x:c>
      <x:c r="C34" s="69" t="n">
        <x:f>Resources!R34</x:f>
        <x:v>11.700000000000001</x:v>
      </x:c>
      <x:c r="D34" s="53" t="n">
        <x:f>IF($A34&gt;=1850,Economy!O34*ext_gold,0)</x:f>
        <x:v>1.3407244541316299</x:v>
      </x:c>
      <x:c r="E34" s="53" t="n">
        <x:f>SUMPRODUCT((Events!$B$6:$B$158&lt;=$A34)*(Events!$C$6:$C$158&gt;=$A34)*(Events!$E$6:$E$158="Loan")*(Events!$J$6:$J$158="Yes")*Events!$H$6:$H$158)+SUMPRODUCT((Events!$B$6:$B$158&lt;=$A34)*(Events!$C$6:$C$158&gt;=$A34)*(Events!$E$6:$E$158="Purchase")*(Events!$J$6:$J$158="Yes")*Events!$H$6:$H$158)</x:f>
        <x:v>0</x:v>
      </x:c>
      <x:c r="F34" s="53" t="n">
        <x:f>MAX(0,B34+C34+D34-E34)</x:f>
        <x:v>222.18510019140135</x:v>
      </x:c>
      <x:c r="G34" s="53" t="n">
        <x:f>IF(OR($A34=1931,$A34=1932),cb_buy/2,0)</x:f>
        <x:v>0</x:v>
      </x:c>
      <x:c r="H34" s="53" t="n">
        <x:f>H33+G34</x:f>
        <x:v>0</x:v>
      </x:c>
      <x:c r="I34" s="53" t="n">
        <x:f>Economy!O34*money_ratio+H34</x:f>
        <x:v>46.92535589460705</x:v>
      </x:c>
      <x:c r="J34" s="53" t="n">
        <x:f>I34*gold_cover</x:f>
        <x:v>18.770142357842822</x:v>
      </x:c>
      <x:c r="K34" s="53" t="n">
        <x:f>F34-J34</x:f>
        <x:v>203.41495783355853</x:v>
      </x:c>
      <x:c r="L34" s="63" t="n">
        <x:f>IF(I34&gt;0,F34/I34,0)</x:f>
        <x:v>4.734862335203647</x:v>
      </x:c>
      <x:c r="M34" s="63" t="n">
        <x:f>IF(Paths!AD34&gt;0,F34/Paths!AD34,0)</x:f>
        <x:v>0.09031914641926884</x:v>
      </x:c>
    </x:row>
    <x:row r="35">
      <x:c r="A35" s="58" t="n">
        <x:v>1875</x:v>
      </x:c>
      <x:c r="B35" s="53" t="n">
        <x:f>F34</x:f>
        <x:v>222.18510019140135</x:v>
      </x:c>
      <x:c r="C35" s="69" t="n">
        <x:f>Resources!R35</x:f>
        <x:v>12.4</x:v>
      </x:c>
      <x:c r="D35" s="53" t="n">
        <x:f>IF($A35&gt;=1850,Economy!O35*ext_gold,0)</x:f>
        <x:v>1.4524332892806753</x:v>
      </x:c>
      <x:c r="E35" s="53" t="n">
        <x:f>SUMPRODUCT((Events!$B$6:$B$158&lt;=$A35)*(Events!$C$6:$C$158&gt;=$A35)*(Events!$E$6:$E$158="Loan")*(Events!$J$6:$J$158="Yes")*Events!$H$6:$H$158)+SUMPRODUCT((Events!$B$6:$B$158&lt;=$A35)*(Events!$C$6:$C$158&gt;=$A35)*(Events!$E$6:$E$158="Purchase")*(Events!$J$6:$J$158="Yes")*Events!$H$6:$H$158)</x:f>
        <x:v>0</x:v>
      </x:c>
      <x:c r="F35" s="53" t="n">
        <x:f>MAX(0,B35+C35+D35-E35)</x:f>
        <x:v>236.03753348068201</x:v>
      </x:c>
      <x:c r="G35" s="53" t="n">
        <x:f>IF(OR($A35=1931,$A35=1932),cb_buy/2,0)</x:f>
        <x:v>0</x:v>
      </x:c>
      <x:c r="H35" s="53" t="n">
        <x:f>H34+G35</x:f>
        <x:v>0</x:v>
      </x:c>
      <x:c r="I35" s="53" t="n">
        <x:f>Economy!O35*money_ratio+H35</x:f>
        <x:v>50.83516512482364</x:v>
      </x:c>
      <x:c r="J35" s="53" t="n">
        <x:f>I35*gold_cover</x:f>
        <x:v>20.334066049929458</x:v>
      </x:c>
      <x:c r="K35" s="53" t="n">
        <x:f>F35-J35</x:f>
        <x:v>215.70346743075257</x:v>
      </x:c>
      <x:c r="L35" s="63" t="n">
        <x:f>IF(I35&gt;0,F35/I35,0)</x:f>
        <x:v>4.6431939957527755</x:v>
      </x:c>
      <x:c r="M35" s="63" t="n">
        <x:f>IF(Paths!AD35&gt;0,F35/Paths!AD35,0)</x:f>
        <x:v>0.09348021127947803</x:v>
      </x:c>
    </x:row>
    <x:row r="36">
      <x:c r="A36" s="58" t="n">
        <x:v>1876</x:v>
      </x:c>
      <x:c r="B36" s="53" t="n">
        <x:f>F35</x:f>
        <x:v>236.03753348068201</x:v>
      </x:c>
      <x:c r="C36" s="69" t="n">
        <x:f>Resources!R36</x:f>
        <x:v>13.52</x:v>
      </x:c>
      <x:c r="D36" s="53" t="n">
        <x:f>IF($A36&gt;=1850,Economy!O36*ext_gold,0)</x:f>
        <x:v>1.5834401638327094</x:v>
      </x:c>
      <x:c r="E36" s="53" t="n">
        <x:f>SUMPRODUCT((Events!$B$6:$B$158&lt;=$A36)*(Events!$C$6:$C$158&gt;=$A36)*(Events!$E$6:$E$158="Loan")*(Events!$J$6:$J$158="Yes")*Events!$H$6:$H$158)+SUMPRODUCT((Events!$B$6:$B$158&lt;=$A36)*(Events!$C$6:$C$158&gt;=$A36)*(Events!$E$6:$E$158="Purchase")*(Events!$J$6:$J$158="Yes")*Events!$H$6:$H$158)</x:f>
        <x:v>20</x:v>
      </x:c>
      <x:c r="F36" s="53" t="n">
        <x:f>MAX(0,B36+C36+D36-E36)</x:f>
        <x:v>231.14097364451473</x:v>
      </x:c>
      <x:c r="G36" s="53" t="n">
        <x:f>IF(OR($A36=1931,$A36=1932),cb_buy/2,0)</x:f>
        <x:v>0</x:v>
      </x:c>
      <x:c r="H36" s="53" t="n">
        <x:f>H35+G36</x:f>
        <x:v>0</x:v>
      </x:c>
      <x:c r="I36" s="53" t="n">
        <x:f>Economy!O36*money_ratio+H36</x:f>
        <x:v>55.42040573414483</x:v>
      </x:c>
      <x:c r="J36" s="53" t="n">
        <x:f>I36*gold_cover</x:f>
        <x:v>22.168162293657932</x:v>
      </x:c>
      <x:c r="K36" s="53" t="n">
        <x:f>F36-J36</x:f>
        <x:v>208.9728113508568</x:v>
      </x:c>
      <x:c r="L36" s="63" t="n">
        <x:f>IF(I36&gt;0,F36/I36,0)</x:f>
        <x:v>4.170683534027385</x:v>
      </x:c>
      <x:c r="M36" s="63" t="n">
        <x:f>IF(Paths!AD36&gt;0,F36/Paths!AD36,0)</x:f>
        <x:v>0.08924361916776631</x:v>
      </x:c>
    </x:row>
    <x:row r="37">
      <x:c r="A37" s="58" t="n">
        <x:v>1877</x:v>
      </x:c>
      <x:c r="B37" s="53" t="n">
        <x:f>F36</x:f>
        <x:v>231.14097364451473</x:v>
      </x:c>
      <x:c r="C37" s="69" t="n">
        <x:f>Resources!R37</x:f>
        <x:v>14.64</x:v>
      </x:c>
      <x:c r="D37" s="53" t="n">
        <x:f>IF($A37&gt;=1850,Economy!O37*ext_gold,0)</x:f>
        <x:v>1.6580970868551672</x:v>
      </x:c>
      <x:c r="E37" s="53" t="n">
        <x:f>SUMPRODUCT((Events!$B$6:$B$158&lt;=$A37)*(Events!$C$6:$C$158&gt;=$A37)*(Events!$E$6:$E$158="Loan")*(Events!$J$6:$J$158="Yes")*Events!$H$6:$H$158)+SUMPRODUCT((Events!$B$6:$B$158&lt;=$A37)*(Events!$C$6:$C$158&gt;=$A37)*(Events!$E$6:$E$158="Purchase")*(Events!$J$6:$J$158="Yes")*Events!$H$6:$H$158)</x:f>
        <x:v>0</x:v>
      </x:c>
      <x:c r="F37" s="53" t="n">
        <x:f>MAX(0,B37+C37+D37-E37)</x:f>
        <x:v>247.43907073136992</x:v>
      </x:c>
      <x:c r="G37" s="53" t="n">
        <x:f>IF(OR($A37=1931,$A37=1932),cb_buy/2,0)</x:f>
        <x:v>0</x:v>
      </x:c>
      <x:c r="H37" s="53" t="n">
        <x:f>H36+G37</x:f>
        <x:v>0</x:v>
      </x:c>
      <x:c r="I37" s="53" t="n">
        <x:f>Economy!O37*money_ratio+H37</x:f>
        <x:v>58.03339803993086</x:v>
      </x:c>
      <x:c r="J37" s="53" t="n">
        <x:f>I37*gold_cover</x:f>
        <x:v>23.213359215972346</x:v>
      </x:c>
      <x:c r="K37" s="53" t="n">
        <x:f>F37-J37</x:f>
        <x:v>224.22571151539756</x:v>
      </x:c>
      <x:c r="L37" s="63" t="n">
        <x:f>IF(I37&gt;0,F37/I37,0)</x:f>
        <x:v>4.263735695109828</x:v>
      </x:c>
      <x:c r="M37" s="63" t="n">
        <x:f>IF(Paths!AD37&gt;0,F37/Paths!AD37,0)</x:f>
        <x:v>0.09319739010597737</x:v>
      </x:c>
    </x:row>
    <x:row r="38">
      <x:c r="A38" s="58" t="n">
        <x:v>1878</x:v>
      </x:c>
      <x:c r="B38" s="53" t="n">
        <x:f>F37</x:f>
        <x:v>247.43907073136992</x:v>
      </x:c>
      <x:c r="C38" s="69" t="n">
        <x:f>Resources!R38</x:f>
        <x:v>11.36</x:v>
      </x:c>
      <x:c r="D38" s="53" t="n">
        <x:f>IF($A38&gt;=1850,Economy!O38*ext_gold,0)</x:f>
        <x:v>1.7666326467906983</x:v>
      </x:c>
      <x:c r="E38" s="53" t="n">
        <x:f>SUMPRODUCT((Events!$B$6:$B$158&lt;=$A38)*(Events!$C$6:$C$158&gt;=$A38)*(Events!$E$6:$E$158="Loan")*(Events!$J$6:$J$158="Yes")*Events!$H$6:$H$158)+SUMPRODUCT((Events!$B$6:$B$158&lt;=$A38)*(Events!$C$6:$C$158&gt;=$A38)*(Events!$E$6:$E$158="Purchase")*(Events!$J$6:$J$158="Yes")*Events!$H$6:$H$158)</x:f>
        <x:v>0</x:v>
      </x:c>
      <x:c r="F38" s="53" t="n">
        <x:f>MAX(0,B38+C38+D38-E38)</x:f>
        <x:v>260.5657033781606</x:v>
      </x:c>
      <x:c r="G38" s="53" t="n">
        <x:f>IF(OR($A38=1931,$A38=1932),cb_buy/2,0)</x:f>
        <x:v>0</x:v>
      </x:c>
      <x:c r="H38" s="53" t="n">
        <x:f>H37+G38</x:f>
        <x:v>0</x:v>
      </x:c>
      <x:c r="I38" s="53" t="n">
        <x:f>Economy!O38*money_ratio+H38</x:f>
        <x:v>61.83214263767445</x:v>
      </x:c>
      <x:c r="J38" s="53" t="n">
        <x:f>I38*gold_cover</x:f>
        <x:v>24.732857055069783</x:v>
      </x:c>
      <x:c r="K38" s="53" t="n">
        <x:f>F38-J38</x:f>
        <x:v>235.83284632309082</x:v>
      </x:c>
      <x:c r="L38" s="63" t="n">
        <x:f>IF(I38&gt;0,F38/I38,0)</x:f>
        <x:v>4.214081742323407</x:v>
      </x:c>
      <x:c r="M38" s="63" t="n">
        <x:f>IF(Paths!AD38&gt;0,F38/Paths!AD38,0)</x:f>
        <x:v>0.09579621447726493</x:v>
      </x:c>
    </x:row>
    <x:row r="39">
      <x:c r="A39" s="58" t="n">
        <x:v>1879</x:v>
      </x:c>
      <x:c r="B39" s="53" t="n">
        <x:f>F38</x:f>
        <x:v>260.5657033781606</x:v>
      </x:c>
      <x:c r="C39" s="69" t="n">
        <x:f>Resources!R39</x:f>
        <x:v>8.88</x:v>
      </x:c>
      <x:c r="D39" s="53" t="n">
        <x:f>IF($A39&gt;=1850,Economy!O39*ext_gold,0)</x:f>
        <x:v>1.8524052707522332</x:v>
      </x:c>
      <x:c r="E39" s="53" t="n">
        <x:f>SUMPRODUCT((Events!$B$6:$B$158&lt;=$A39)*(Events!$C$6:$C$158&gt;=$A39)*(Events!$E$6:$E$158="Loan")*(Events!$J$6:$J$158="Yes")*Events!$H$6:$H$158)+SUMPRODUCT((Events!$B$6:$B$158&lt;=$A39)*(Events!$C$6:$C$158&gt;=$A39)*(Events!$E$6:$E$158="Purchase")*(Events!$J$6:$J$158="Yes")*Events!$H$6:$H$158)</x:f>
        <x:v>0</x:v>
      </x:c>
      <x:c r="F39" s="53" t="n">
        <x:f>MAX(0,B39+C39+D39-E39)</x:f>
        <x:v>271.29810864891283</x:v>
      </x:c>
      <x:c r="G39" s="53" t="n">
        <x:f>IF(OR($A39=1931,$A39=1932),cb_buy/2,0)</x:f>
        <x:v>0</x:v>
      </x:c>
      <x:c r="H39" s="53" t="n">
        <x:f>H38+G39</x:f>
        <x:v>0</x:v>
      </x:c>
      <x:c r="I39" s="53" t="n">
        <x:f>Economy!O39*money_ratio+H39</x:f>
        <x:v>64.83418447632816</x:v>
      </x:c>
      <x:c r="J39" s="53" t="n">
        <x:f>I39*gold_cover</x:f>
        <x:v>25.933673790531266</x:v>
      </x:c>
      <x:c r="K39" s="53" t="n">
        <x:f>F39-J39</x:f>
        <x:v>245.36443485838157</x:v>
      </x:c>
      <x:c r="L39" s="63" t="n">
        <x:f>IF(I39&gt;0,F39/I39,0)</x:f>
        <x:v>4.184491728248196</x:v>
      </x:c>
      <x:c r="M39" s="63" t="n">
        <x:f>IF(Paths!AD39&gt;0,F39/Paths!AD39,0)</x:f>
        <x:v>0.09741404260284123</x:v>
      </x:c>
    </x:row>
    <x:row r="40">
      <x:c r="A40" s="58" t="n">
        <x:v>1880</x:v>
      </x:c>
      <x:c r="B40" s="53" t="n">
        <x:f>F39</x:f>
        <x:v>271.29810864891283</x:v>
      </x:c>
      <x:c r="C40" s="69" t="n">
        <x:f>Resources!R40</x:f>
        <x:v>8.42</x:v>
      </x:c>
      <x:c r="D40" s="53" t="n">
        <x:f>IF($A40&gt;=1850,Economy!O40*ext_gold,0)</x:f>
        <x:v>1.956954549861717</x:v>
      </x:c>
      <x:c r="E40" s="53" t="n">
        <x:f>SUMPRODUCT((Events!$B$6:$B$158&lt;=$A40)*(Events!$C$6:$C$158&gt;=$A40)*(Events!$E$6:$E$158="Loan")*(Events!$J$6:$J$158="Yes")*Events!$H$6:$H$158)+SUMPRODUCT((Events!$B$6:$B$158&lt;=$A40)*(Events!$C$6:$C$158&gt;=$A40)*(Events!$E$6:$E$158="Purchase")*(Events!$J$6:$J$158="Yes")*Events!$H$6:$H$158)</x:f>
        <x:v>10</x:v>
      </x:c>
      <x:c r="F40" s="53" t="n">
        <x:f>MAX(0,B40+C40+D40-E40)</x:f>
        <x:v>271.6750631987746</x:v>
      </x:c>
      <x:c r="G40" s="53" t="n">
        <x:f>IF(OR($A40=1931,$A40=1932),cb_buy/2,0)</x:f>
        <x:v>0</x:v>
      </x:c>
      <x:c r="H40" s="53" t="n">
        <x:f>H39+G40</x:f>
        <x:v>0</x:v>
      </x:c>
      <x:c r="I40" s="53" t="n">
        <x:f>Economy!O40*money_ratio+H40</x:f>
        <x:v>68.4934092451601</x:v>
      </x:c>
      <x:c r="J40" s="53" t="n">
        <x:f>I40*gold_cover</x:f>
        <x:v>27.39736369806404</x:v>
      </x:c>
      <x:c r="K40" s="53" t="n">
        <x:f>F40-J40</x:f>
        <x:v>244.27769950071053</x:v>
      </x:c>
      <x:c r="L40" s="63" t="n">
        <x:f>IF(I40&gt;0,F40/I40,0)</x:f>
        <x:v>3.9664409494694817</x:v>
      </x:c>
      <x:c r="M40" s="63" t="n">
        <x:f>IF(Paths!AD40&gt;0,F40/Paths!AD40,0)</x:f>
        <x:v>0.09532458357851739</x:v>
      </x:c>
    </x:row>
    <x:row r="41">
      <x:c r="A41" s="58" t="n">
        <x:v>1881</x:v>
      </x:c>
      <x:c r="B41" s="53" t="n">
        <x:f>F40</x:f>
        <x:v>271.6750631987746</x:v>
      </x:c>
      <x:c r="C41" s="69" t="n">
        <x:f>Resources!R41</x:f>
        <x:v>8.156</x:v>
      </x:c>
      <x:c r="D41" s="53" t="n">
        <x:f>IF($A41&gt;=1850,Economy!O41*ext_gold,0)</x:f>
        <x:v>2.078608490248722</x:v>
      </x:c>
      <x:c r="E41" s="53" t="n">
        <x:f>SUMPRODUCT((Events!$B$6:$B$158&lt;=$A41)*(Events!$C$6:$C$158&gt;=$A41)*(Events!$E$6:$E$158="Loan")*(Events!$J$6:$J$158="Yes")*Events!$H$6:$H$158)+SUMPRODUCT((Events!$B$6:$B$158&lt;=$A41)*(Events!$C$6:$C$158&gt;=$A41)*(Events!$E$6:$E$158="Purchase")*(Events!$J$6:$J$158="Yes")*Events!$H$6:$H$158)</x:f>
        <x:v>0</x:v>
      </x:c>
      <x:c r="F41" s="53" t="n">
        <x:f>MAX(0,B41+C41+D41-E41)</x:f>
        <x:v>281.9096716890233</x:v>
      </x:c>
      <x:c r="G41" s="53" t="n">
        <x:f>IF(OR($A41=1931,$A41=1932),cb_buy/2,0)</x:f>
        <x:v>0</x:v>
      </x:c>
      <x:c r="H41" s="53" t="n">
        <x:f>H40+G41</x:f>
        <x:v>0</x:v>
      </x:c>
      <x:c r="I41" s="53" t="n">
        <x:f>Economy!O41*money_ratio+H41</x:f>
        <x:v>72.75129715870527</x:v>
      </x:c>
      <x:c r="J41" s="53" t="n">
        <x:f>I41*gold_cover</x:f>
        <x:v>29.100518863482108</x:v>
      </x:c>
      <x:c r="K41" s="53" t="n">
        <x:f>F41-J41</x:f>
        <x:v>252.8091528255412</x:v>
      </x:c>
      <x:c r="L41" s="63" t="n">
        <x:f>IF(I41&gt;0,F41/I41,0)</x:f>
        <x:v>3.874977941273595</x:v>
      </x:c>
      <x:c r="M41" s="63" t="n">
        <x:f>IF(Paths!AD41&gt;0,F41/Paths!AD41,0)</x:f>
        <x:v>0.09671000744048827</x:v>
      </x:c>
    </x:row>
    <x:row r="42">
      <x:c r="A42" s="58" t="n">
        <x:v>1882</x:v>
      </x:c>
      <x:c r="B42" s="53" t="n">
        <x:f>F41</x:f>
        <x:v>281.9096716890233</x:v>
      </x:c>
      <x:c r="C42" s="69" t="n">
        <x:f>Resources!R42</x:f>
        <x:v>7.892</x:v>
      </x:c>
      <x:c r="D42" s="53" t="n">
        <x:f>IF($A42&gt;=1850,Economy!O42*ext_gold,0)</x:f>
        <x:v>2.199657004965852</x:v>
      </x:c>
      <x:c r="E42" s="53" t="n">
        <x:f>SUMPRODUCT((Events!$B$6:$B$158&lt;=$A42)*(Events!$C$6:$C$158&gt;=$A42)*(Events!$E$6:$E$158="Loan")*(Events!$J$6:$J$158="Yes")*Events!$H$6:$H$158)+SUMPRODUCT((Events!$B$6:$B$158&lt;=$A42)*(Events!$C$6:$C$158&gt;=$A42)*(Events!$E$6:$E$158="Purchase")*(Events!$J$6:$J$158="Yes")*Events!$H$6:$H$158)</x:f>
        <x:v>0</x:v>
      </x:c>
      <x:c r="F42" s="53" t="n">
        <x:f>MAX(0,B42+C42+D42-E42)</x:f>
        <x:v>292.00132869398914</x:v>
      </x:c>
      <x:c r="G42" s="53" t="n">
        <x:f>IF(OR($A42=1931,$A42=1932),cb_buy/2,0)</x:f>
        <x:v>0</x:v>
      </x:c>
      <x:c r="H42" s="53" t="n">
        <x:f>H41+G42</x:f>
        <x:v>0</x:v>
      </x:c>
      <x:c r="I42" s="53" t="n">
        <x:f>Economy!O42*money_ratio+H42</x:f>
        <x:v>76.98799517380482</x:v>
      </x:c>
      <x:c r="J42" s="53" t="n">
        <x:f>I42*gold_cover</x:f>
        <x:v>30.79519806952193</x:v>
      </x:c>
      <x:c r="K42" s="53" t="n">
        <x:f>F42-J42</x:f>
        <x:v>261.2061306244672</x:v>
      </x:c>
      <x:c r="L42" s="63" t="n">
        <x:f>IF(I42&gt;0,F42/I42,0)</x:f>
        <x:v>3.7928163739655694</x:v>
      </x:c>
      <x:c r="M42" s="63" t="n">
        <x:f>IF(Paths!AD42&gt;0,F42/Paths!AD42,0)</x:f>
        <x:v>0.09798702305167421</x:v>
      </x:c>
    </x:row>
    <x:row r="43">
      <x:c r="A43" s="58" t="n">
        <x:v>1883</x:v>
      </x:c>
      <x:c r="B43" s="53" t="n">
        <x:f>F42</x:f>
        <x:v>292.00132869398914</x:v>
      </x:c>
      <x:c r="C43" s="69" t="n">
        <x:f>Resources!R43</x:f>
        <x:v>7.628</x:v>
      </x:c>
      <x:c r="D43" s="53" t="n">
        <x:f>IF($A43&gt;=1850,Economy!O43*ext_gold,0)</x:f>
        <x:v>2.3249951234010657</x:v>
      </x:c>
      <x:c r="E43" s="53" t="n">
        <x:f>SUMPRODUCT((Events!$B$6:$B$158&lt;=$A43)*(Events!$C$6:$C$158&gt;=$A43)*(Events!$E$6:$E$158="Loan")*(Events!$J$6:$J$158="Yes")*Events!$H$6:$H$158)+SUMPRODUCT((Events!$B$6:$B$158&lt;=$A43)*(Events!$C$6:$C$158&gt;=$A43)*(Events!$E$6:$E$158="Purchase")*(Events!$J$6:$J$158="Yes")*Events!$H$6:$H$158)</x:f>
        <x:v>0</x:v>
      </x:c>
      <x:c r="F43" s="53" t="n">
        <x:f>MAX(0,B43+C43+D43-E43)</x:f>
        <x:v>301.95432381739016</x:v>
      </x:c>
      <x:c r="G43" s="53" t="n">
        <x:f>IF(OR($A43=1931,$A43=1932),cb_buy/2,0)</x:f>
        <x:v>0</x:v>
      </x:c>
      <x:c r="H43" s="53" t="n">
        <x:f>H42+G43</x:f>
        <x:v>0</x:v>
      </x:c>
      <x:c r="I43" s="53" t="n">
        <x:f>Economy!O43*money_ratio+H43</x:f>
        <x:v>81.3748293190373</x:v>
      </x:c>
      <x:c r="J43" s="53" t="n">
        <x:f>I43*gold_cover</x:f>
        <x:v>32.549931727614926</x:v>
      </x:c>
      <x:c r="K43" s="53" t="n">
        <x:f>F43-J43</x:f>
        <x:v>269.40439208977523</x:v>
      </x:c>
      <x:c r="L43" s="63" t="n">
        <x:f>IF(I43&gt;0,F43/I43,0)</x:f>
        <x:v>3.710659995777702</x:v>
      </x:c>
      <x:c r="M43" s="63" t="n">
        <x:f>IF(Paths!AD43&gt;0,F43/Paths!AD43,0)</x:f>
        <x:v>0.09916398154922501</x:v>
      </x:c>
    </x:row>
    <x:row r="44">
      <x:c r="A44" s="58" t="n">
        <x:v>1884</x:v>
      </x:c>
      <x:c r="B44" s="53" t="n">
        <x:f>F43</x:f>
        <x:v>301.95432381739016</x:v>
      </x:c>
      <x:c r="C44" s="69" t="n">
        <x:f>Resources!R44</x:f>
        <x:v>7.364000000000001</x:v>
      </x:c>
      <x:c r="D44" s="53" t="n">
        <x:f>IF($A44&gt;=1850,Economy!O44*ext_gold,0)</x:f>
        <x:v>2.407515544674892</x:v>
      </x:c>
      <x:c r="E44" s="53" t="n">
        <x:f>SUMPRODUCT((Events!$B$6:$B$158&lt;=$A44)*(Events!$C$6:$C$158&gt;=$A44)*(Events!$E$6:$E$158="Loan")*(Events!$J$6:$J$158="Yes")*Events!$H$6:$H$158)+SUMPRODUCT((Events!$B$6:$B$158&lt;=$A44)*(Events!$C$6:$C$158&gt;=$A44)*(Events!$E$6:$E$158="Purchase")*(Events!$J$6:$J$158="Yes")*Events!$H$6:$H$158)</x:f>
        <x:v>0</x:v>
      </x:c>
      <x:c r="F44" s="53" t="n">
        <x:f>MAX(0,B44+C44+D44-E44)</x:f>
        <x:v>311.725839362065</x:v>
      </x:c>
      <x:c r="G44" s="53" t="n">
        <x:f>IF(OR($A44=1931,$A44=1932),cb_buy/2,0)</x:f>
        <x:v>0</x:v>
      </x:c>
      <x:c r="H44" s="53" t="n">
        <x:f>H43+G44</x:f>
        <x:v>0</x:v>
      </x:c>
      <x:c r="I44" s="53" t="n">
        <x:f>Economy!O44*money_ratio+H44</x:f>
        <x:v>84.26304406362122</x:v>
      </x:c>
      <x:c r="J44" s="53" t="n">
        <x:f>I44*gold_cover</x:f>
        <x:v>33.70521762544849</x:v>
      </x:c>
      <x:c r="K44" s="53" t="n">
        <x:f>F44-J44</x:f>
        <x:v>278.02062173661653</x:v>
      </x:c>
      <x:c r="L44" s="63" t="n">
        <x:f>IF(I44&gt;0,F44/I44,0)</x:f>
        <x:v>3.699437194871601</x:v>
      </x:c>
      <x:c r="M44" s="63" t="n">
        <x:f>IF(Paths!AD44&gt;0,F44/Paths!AD44,0)</x:f>
        <x:v>0.10023338886240032</x:v>
      </x:c>
    </x:row>
    <x:row r="45">
      <x:c r="A45" s="58" t="n">
        <x:v>1885</x:v>
      </x:c>
      <x:c r="B45" s="53" t="n">
        <x:f>F44</x:f>
        <x:v>311.725839362065</x:v>
      </x:c>
      <x:c r="C45" s="69" t="n">
        <x:f>Resources!R45</x:f>
        <x:v>7.1000000000000005</x:v>
      </x:c>
      <x:c r="D45" s="53" t="n">
        <x:f>IF($A45&gt;=1850,Economy!O45*ext_gold,0)</x:f>
        <x:v>2.5434343042046375</x:v>
      </x:c>
      <x:c r="E45" s="53" t="n">
        <x:f>SUMPRODUCT((Events!$B$6:$B$158&lt;=$A45)*(Events!$C$6:$C$158&gt;=$A45)*(Events!$E$6:$E$158="Loan")*(Events!$J$6:$J$158="Yes")*Events!$H$6:$H$158)+SUMPRODUCT((Events!$B$6:$B$158&lt;=$A45)*(Events!$C$6:$C$158&gt;=$A45)*(Events!$E$6:$E$158="Purchase")*(Events!$J$6:$J$158="Yes")*Events!$H$6:$H$158)</x:f>
        <x:v>0</x:v>
      </x:c>
      <x:c r="F45" s="53" t="n">
        <x:f>MAX(0,B45+C45+D45-E45)</x:f>
        <x:v>321.3692736662697</x:v>
      </x:c>
      <x:c r="G45" s="53" t="n">
        <x:f>IF(OR($A45=1931,$A45=1932),cb_buy/2,0)</x:f>
        <x:v>0</x:v>
      </x:c>
      <x:c r="H45" s="53" t="n">
        <x:f>H44+G45</x:f>
        <x:v>0</x:v>
      </x:c>
      <x:c r="I45" s="53" t="n">
        <x:f>Economy!O45*money_ratio+H45</x:f>
        <x:v>89.02020064716233</x:v>
      </x:c>
      <x:c r="J45" s="53" t="n">
        <x:f>I45*gold_cover</x:f>
        <x:v>35.60808025886493</x:v>
      </x:c>
      <x:c r="K45" s="53" t="n">
        <x:f>F45-J45</x:f>
        <x:v>285.7611934074048</x:v>
      </x:c>
      <x:c r="L45" s="63" t="n">
        <x:f>IF(I45&gt;0,F45/I45,0)</x:f>
        <x:v>3.6100713245978726</x:v>
      </x:c>
      <x:c r="M45" s="63" t="n">
        <x:f>IF(Paths!AD45&gt;0,F45/Paths!AD45,0)</x:f>
        <x:v>0.10121866887126604</x:v>
      </x:c>
    </x:row>
    <x:row r="46">
      <x:c r="A46" s="58" t="n">
        <x:v>1886</x:v>
      </x:c>
      <x:c r="B46" s="53" t="n">
        <x:f>F45</x:f>
        <x:v>321.3692736662697</x:v>
      </x:c>
      <x:c r="C46" s="69" t="n">
        <x:f>Resources!R46</x:f>
        <x:v>7.200000000000002</x:v>
      </x:c>
      <x:c r="D46" s="53" t="n">
        <x:f>IF($A46&gt;=1850,Economy!O46*ext_gold,0)</x:f>
        <x:v>2.773081853566232</x:v>
      </x:c>
      <x:c r="E46" s="53" t="n">
        <x:f>SUMPRODUCT((Events!$B$6:$B$158&lt;=$A46)*(Events!$C$6:$C$158&gt;=$A46)*(Events!$E$6:$E$158="Loan")*(Events!$J$6:$J$158="Yes")*Events!$H$6:$H$158)+SUMPRODUCT((Events!$B$6:$B$158&lt;=$A46)*(Events!$C$6:$C$158&gt;=$A46)*(Events!$E$6:$E$158="Purchase")*(Events!$J$6:$J$158="Yes")*Events!$H$6:$H$158)</x:f>
        <x:v>0</x:v>
      </x:c>
      <x:c r="F46" s="53" t="n">
        <x:f>MAX(0,B46+C46+D46-E46)</x:f>
        <x:v>331.3423555198359</x:v>
      </x:c>
      <x:c r="G46" s="53" t="n">
        <x:f>IF(OR($A46=1931,$A46=1932),cb_buy/2,0)</x:f>
        <x:v>0</x:v>
      </x:c>
      <x:c r="H46" s="53" t="n">
        <x:f>H45+G46</x:f>
        <x:v>0</x:v>
      </x:c>
      <x:c r="I46" s="53" t="n">
        <x:f>Economy!O46*money_ratio+H46</x:f>
        <x:v>97.05786487481812</x:v>
      </x:c>
      <x:c r="J46" s="53" t="n">
        <x:f>I46*gold_cover</x:f>
        <x:v>38.82314594992725</x:v>
      </x:c>
      <x:c r="K46" s="53" t="n">
        <x:f>F46-J46</x:f>
        <x:v>292.51920956990864</x:v>
      </x:c>
      <x:c r="L46" s="63" t="n">
        <x:f>IF(I46&gt;0,F46/I46,0)</x:f>
        <x:v>3.413864048495089</x:v>
      </x:c>
      <x:c r="M46" s="63" t="n">
        <x:f>IF(Paths!AD46&gt;0,F46/Paths!AD46,0)</x:f>
        <x:v>0.10226615911106046</x:v>
      </x:c>
    </x:row>
    <x:row r="47">
      <x:c r="A47" s="58" t="n">
        <x:v>1887</x:v>
      </x:c>
      <x:c r="B47" s="53" t="n">
        <x:f>F46</x:f>
        <x:v>331.3423555198359</x:v>
      </x:c>
      <x:c r="C47" s="69" t="n">
        <x:f>Resources!R47</x:f>
        <x:v>7.300000000000001</x:v>
      </x:c>
      <x:c r="D47" s="53" t="n">
        <x:f>IF($A47&gt;=1850,Economy!O47*ext_gold,0)</x:f>
        <x:v>2.968994529227824</x:v>
      </x:c>
      <x:c r="E47" s="53" t="n">
        <x:f>SUMPRODUCT((Events!$B$6:$B$158&lt;=$A47)*(Events!$C$6:$C$158&gt;=$A47)*(Events!$E$6:$E$158="Loan")*(Events!$J$6:$J$158="Yes")*Events!$H$6:$H$158)+SUMPRODUCT((Events!$B$6:$B$158&lt;=$A47)*(Events!$C$6:$C$158&gt;=$A47)*(Events!$E$6:$E$158="Purchase")*(Events!$J$6:$J$158="Yes")*Events!$H$6:$H$158)</x:f>
        <x:v>0</x:v>
      </x:c>
      <x:c r="F47" s="53" t="n">
        <x:f>MAX(0,B47+C47+D47-E47)</x:f>
        <x:v>341.61135004906373</x:v>
      </x:c>
      <x:c r="G47" s="53" t="n">
        <x:f>IF(OR($A47=1931,$A47=1932),cb_buy/2,0)</x:f>
        <x:v>0</x:v>
      </x:c>
      <x:c r="H47" s="53" t="n">
        <x:f>H46+G47</x:f>
        <x:v>0</x:v>
      </x:c>
      <x:c r="I47" s="53" t="n">
        <x:f>Economy!O47*money_ratio+H47</x:f>
        <x:v>103.91480852297384</x:v>
      </x:c>
      <x:c r="J47" s="53" t="n">
        <x:f>I47*gold_cover</x:f>
        <x:v>41.56592340918954</x:v>
      </x:c>
      <x:c r="K47" s="53" t="n">
        <x:f>F47-J47</x:f>
        <x:v>300.0454266398742</x:v>
      </x:c>
      <x:c r="L47" s="63" t="n">
        <x:f>IF(I47&gt;0,F47/I47,0)</x:f>
        <x:v>3.2874174037816672</x:v>
      </x:c>
      <x:c r="M47" s="63" t="n">
        <x:f>IF(Paths!AD47&gt;0,F47/Paths!AD47,0)</x:f>
        <x:v>0.10336198186053365</x:v>
      </x:c>
    </x:row>
    <x:row r="48">
      <x:c r="A48" s="58" t="n">
        <x:v>1888</x:v>
      </x:c>
      <x:c r="B48" s="53" t="n">
        <x:f>F47</x:f>
        <x:v>341.61135004906373</x:v>
      </x:c>
      <x:c r="C48" s="69" t="n">
        <x:f>Resources!R48</x:f>
        <x:v>7.4</x:v>
      </x:c>
      <x:c r="D48" s="53" t="n">
        <x:f>IF($A48&gt;=1850,Economy!O48*ext_gold,0)</x:f>
        <x:v>3.1854877573498865</x:v>
      </x:c>
      <x:c r="E48" s="53" t="n">
        <x:f>SUMPRODUCT((Events!$B$6:$B$158&lt;=$A48)*(Events!$C$6:$C$158&gt;=$A48)*(Events!$E$6:$E$158="Loan")*(Events!$J$6:$J$158="Yes")*Events!$H$6:$H$158)+SUMPRODUCT((Events!$B$6:$B$158&lt;=$A48)*(Events!$C$6:$C$158&gt;=$A48)*(Events!$E$6:$E$158="Purchase")*(Events!$J$6:$J$158="Yes")*Events!$H$6:$H$158)</x:f>
        <x:v>0</x:v>
      </x:c>
      <x:c r="F48" s="53" t="n">
        <x:f>MAX(0,B48+C48+D48-E48)</x:f>
        <x:v>352.1968378064136</x:v>
      </x:c>
      <x:c r="G48" s="53" t="n">
        <x:f>IF(OR($A48=1931,$A48=1932),cb_buy/2,0)</x:f>
        <x:v>0</x:v>
      </x:c>
      <x:c r="H48" s="53" t="n">
        <x:f>H47+G48</x:f>
        <x:v>0</x:v>
      </x:c>
      <x:c r="I48" s="53" t="n">
        <x:f>Economy!O48*money_ratio+H48</x:f>
        <x:v>111.49207150724604</x:v>
      </x:c>
      <x:c r="J48" s="53" t="n">
        <x:f>I48*gold_cover</x:f>
        <x:v>44.59682860289842</x:v>
      </x:c>
      <x:c r="K48" s="53" t="n">
        <x:f>F48-J48</x:f>
        <x:v>307.6000092035152</x:v>
      </x:c>
      <x:c r="L48" s="63" t="n">
        <x:f>IF(I48&gt;0,F48/I48,0)</x:f>
        <x:v>3.1589406586953928</x:v>
      </x:c>
      <x:c r="M48" s="63" t="n">
        <x:f>IF(Paths!AD48&gt;0,F48/Paths!AD48,0)</x:f>
        <x:v>0.10450944742030077</x:v>
      </x:c>
    </x:row>
    <x:row r="49">
      <x:c r="A49" s="58" t="n">
        <x:v>1889</x:v>
      </x:c>
      <x:c r="B49" s="53" t="n">
        <x:f>F48</x:f>
        <x:v>352.1968378064136</x:v>
      </x:c>
      <x:c r="C49" s="69" t="n">
        <x:f>Resources!R49</x:f>
        <x:v>7.499999999999999</x:v>
      </x:c>
      <x:c r="D49" s="53" t="n">
        <x:f>IF($A49&gt;=1850,Economy!O49*ext_gold,0)</x:f>
        <x:v>3.401247315260385</x:v>
      </x:c>
      <x:c r="E49" s="53" t="n">
        <x:f>SUMPRODUCT((Events!$B$6:$B$158&lt;=$A49)*(Events!$C$6:$C$158&gt;=$A49)*(Events!$E$6:$E$158="Loan")*(Events!$J$6:$J$158="Yes")*Events!$H$6:$H$158)+SUMPRODUCT((Events!$B$6:$B$158&lt;=$A49)*(Events!$C$6:$C$158&gt;=$A49)*(Events!$E$6:$E$158="Purchase")*(Events!$J$6:$J$158="Yes")*Events!$H$6:$H$158)</x:f>
        <x:v>30</x:v>
      </x:c>
      <x:c r="F49" s="53" t="n">
        <x:f>MAX(0,B49+C49+D49-E49)</x:f>
        <x:v>333.098085121674</x:v>
      </x:c>
      <x:c r="G49" s="53" t="n">
        <x:f>IF(OR($A49=1931,$A49=1932),cb_buy/2,0)</x:f>
        <x:v>0</x:v>
      </x:c>
      <x:c r="H49" s="53" t="n">
        <x:f>H48+G49</x:f>
        <x:v>0</x:v>
      </x:c>
      <x:c r="I49" s="53" t="n">
        <x:f>Economy!O49*money_ratio+H49</x:f>
        <x:v>119.04365603411348</x:v>
      </x:c>
      <x:c r="J49" s="53" t="n">
        <x:f>I49*gold_cover</x:f>
        <x:v>47.6174624136454</x:v>
      </x:c>
      <x:c r="K49" s="53" t="n">
        <x:f>F49-J49</x:f>
        <x:v>285.4806227080286</x:v>
      </x:c>
      <x:c r="L49" s="63" t="n">
        <x:f>IF(I49&gt;0,F49/I49,0)</x:f>
        <x:v>2.798117062418013</x:v>
      </x:c>
      <x:c r="M49" s="63" t="n">
        <x:f>IF(Paths!AD49&gt;0,F49/Paths!AD49,0)</x:f>
        <x:v>0.09697178606162271</x:v>
      </x:c>
    </x:row>
    <x:row r="50">
      <x:c r="A50" s="58" t="n">
        <x:v>1890</x:v>
      </x:c>
      <x:c r="B50" s="53" t="n">
        <x:f>F49</x:f>
        <x:v>333.098085121674</x:v>
      </x:c>
      <x:c r="C50" s="69" t="n">
        <x:f>Resources!R50</x:f>
        <x:v>7.6000000000000005</x:v>
      </x:c>
      <x:c r="D50" s="53" t="n">
        <x:f>IF($A50&gt;=1850,Economy!O50*ext_gold,0)</x:f>
        <x:v>3.7011623357540206</x:v>
      </x:c>
      <x:c r="E50" s="53" t="n">
        <x:f>SUMPRODUCT((Events!$B$6:$B$158&lt;=$A50)*(Events!$C$6:$C$158&gt;=$A50)*(Events!$E$6:$E$158="Loan")*(Events!$J$6:$J$158="Yes")*Events!$H$6:$H$158)+SUMPRODUCT((Events!$B$6:$B$158&lt;=$A50)*(Events!$C$6:$C$158&gt;=$A50)*(Events!$E$6:$E$158="Purchase")*(Events!$J$6:$J$158="Yes")*Events!$H$6:$H$158)</x:f>
        <x:v>1.5</x:v>
      </x:c>
      <x:c r="F50" s="53" t="n">
        <x:f>MAX(0,B50+C50+D50-E50)</x:f>
        <x:v>342.89924745742803</x:v>
      </x:c>
      <x:c r="G50" s="53" t="n">
        <x:f>IF(OR($A50=1931,$A50=1932),cb_buy/2,0)</x:f>
        <x:v>0</x:v>
      </x:c>
      <x:c r="H50" s="53" t="n">
        <x:f>H49+G50</x:f>
        <x:v>0</x:v>
      </x:c>
      <x:c r="I50" s="53" t="n">
        <x:f>Economy!O50*money_ratio+H50</x:f>
        <x:v>129.54068175139074</x:v>
      </x:c>
      <x:c r="J50" s="53" t="n">
        <x:f>I50*gold_cover</x:f>
        <x:v>51.8162727005563</x:v>
      </x:c>
      <x:c r="K50" s="53" t="n">
        <x:f>F50-J50</x:f>
        <x:v>291.08297475687175</x:v>
      </x:c>
      <x:c r="L50" s="63" t="n">
        <x:f>IF(I50&gt;0,F50/I50,0)</x:f>
        <x:v>2.6470390831777966</x:v>
      </x:c>
      <x:c r="M50" s="63" t="n">
        <x:f>IF(Paths!AD50&gt;0,F50/Paths!AD50,0)</x:f>
        <x:v>0.09797121355926515</x:v>
      </x:c>
    </x:row>
    <x:row r="51">
      <x:c r="A51" s="58" t="n">
        <x:v>1891</x:v>
      </x:c>
      <x:c r="B51" s="53" t="n">
        <x:f>F50</x:f>
        <x:v>342.89924745742803</x:v>
      </x:c>
      <x:c r="C51" s="69" t="n">
        <x:f>Resources!R51</x:f>
        <x:v>7.640000000000001</x:v>
      </x:c>
      <x:c r="D51" s="53" t="n">
        <x:f>IF($A51&gt;=1850,Economy!O51*ext_gold,0)</x:f>
        <x:v>3.977578351575808</x:v>
      </x:c>
      <x:c r="E51" s="53" t="n">
        <x:f>SUMPRODUCT((Events!$B$6:$B$158&lt;=$A51)*(Events!$C$6:$C$158&gt;=$A51)*(Events!$E$6:$E$158="Loan")*(Events!$J$6:$J$158="Yes")*Events!$H$6:$H$158)+SUMPRODUCT((Events!$B$6:$B$158&lt;=$A51)*(Events!$C$6:$C$158&gt;=$A51)*(Events!$E$6:$E$158="Purchase")*(Events!$J$6:$J$158="Yes")*Events!$H$6:$H$158)</x:f>
        <x:v>1.5</x:v>
      </x:c>
      <x:c r="F51" s="53" t="n">
        <x:f>MAX(0,B51+C51+D51-E51)</x:f>
        <x:v>353.0168258090038</x:v>
      </x:c>
      <x:c r="G51" s="53" t="n">
        <x:f>IF(OR($A51=1931,$A51=1932),cb_buy/2,0)</x:f>
        <x:v>0</x:v>
      </x:c>
      <x:c r="H51" s="53" t="n">
        <x:f>H50+G51</x:f>
        <x:v>0</x:v>
      </x:c>
      <x:c r="I51" s="53" t="n">
        <x:f>Economy!O51*money_ratio+H51</x:f>
        <x:v>139.21524230515328</x:v>
      </x:c>
      <x:c r="J51" s="53" t="n">
        <x:f>I51*gold_cover</x:f>
        <x:v>55.68609692206132</x:v>
      </x:c>
      <x:c r="K51" s="53" t="n">
        <x:f>F51-J51</x:f>
        <x:v>297.3307288869425</x:v>
      </x:c>
      <x:c r="L51" s="63" t="n">
        <x:f>IF(I51&gt;0,F51/I51,0)</x:f>
        <x:v>2.535762751001126</x:v>
      </x:c>
      <x:c r="M51" s="63" t="n">
        <x:f>IF(Paths!AD51&gt;0,F51/Paths!AD51,0)</x:f>
        <x:v>0.09724981427245284</x:v>
      </x:c>
    </x:row>
    <x:row r="52">
      <x:c r="A52" s="58" t="n">
        <x:v>1892</x:v>
      </x:c>
      <x:c r="B52" s="53" t="n">
        <x:f>F51</x:f>
        <x:v>353.0168258090038</x:v>
      </x:c>
      <x:c r="C52" s="69" t="n">
        <x:f>Resources!R52</x:f>
        <x:v>7.68</x:v>
      </x:c>
      <x:c r="D52" s="53" t="n">
        <x:f>IF($A52&gt;=1850,Economy!O52*ext_gold,0)</x:f>
        <x:v>4.263839146317888</x:v>
      </x:c>
      <x:c r="E52" s="53" t="n">
        <x:f>SUMPRODUCT((Events!$B$6:$B$158&lt;=$A52)*(Events!$C$6:$C$158&gt;=$A52)*(Events!$E$6:$E$158="Loan")*(Events!$J$6:$J$158="Yes")*Events!$H$6:$H$158)+SUMPRODUCT((Events!$B$6:$B$158&lt;=$A52)*(Events!$C$6:$C$158&gt;=$A52)*(Events!$E$6:$E$158="Purchase")*(Events!$J$6:$J$158="Yes")*Events!$H$6:$H$158)</x:f>
        <x:v>0</x:v>
      </x:c>
      <x:c r="F52" s="53" t="n">
        <x:f>MAX(0,B52+C52+D52-E52)</x:f>
        <x:v>364.9606649553217</x:v>
      </x:c>
      <x:c r="G52" s="53" t="n">
        <x:f>IF(OR($A52=1931,$A52=1932),cb_buy/2,0)</x:f>
        <x:v>0</x:v>
      </x:c>
      <x:c r="H52" s="53" t="n">
        <x:f>H51+G52</x:f>
        <x:v>0</x:v>
      </x:c>
      <x:c r="I52" s="53" t="n">
        <x:f>Economy!O52*money_ratio+H52</x:f>
        <x:v>149.23437012112612</x:v>
      </x:c>
      <x:c r="J52" s="53" t="n">
        <x:f>I52*gold_cover</x:f>
        <x:v>59.69374804845045</x:v>
      </x:c>
      <x:c r="K52" s="53" t="n">
        <x:f>F52-J52</x:f>
        <x:v>305.26691690687124</x:v>
      </x:c>
      <x:c r="L52" s="63" t="n">
        <x:f>IF(I52&gt;0,F52/I52,0)</x:f>
        <x:v>2.4455536928865733</x:v>
      </x:c>
      <x:c r="M52" s="63" t="n">
        <x:f>IF(Paths!AD52&gt;0,F52/Paths!AD52,0)</x:f>
        <x:v>0.09706400663705364</x:v>
      </x:c>
    </x:row>
    <x:row r="53">
      <x:c r="A53" s="58" t="n">
        <x:v>1893</x:v>
      </x:c>
      <x:c r="B53" s="53" t="n">
        <x:f>F52</x:f>
        <x:v>364.9606649553217</x:v>
      </x:c>
      <x:c r="C53" s="69" t="n">
        <x:f>Resources!R53</x:f>
        <x:v>7.720000000000001</x:v>
      </x:c>
      <x:c r="D53" s="53" t="n">
        <x:f>IF($A53&gt;=1850,Economy!O53*ext_gold,0)</x:f>
        <x:v>4.338846201811414</x:v>
      </x:c>
      <x:c r="E53" s="53" t="n">
        <x:f>SUMPRODUCT((Events!$B$6:$B$158&lt;=$A53)*(Events!$C$6:$C$158&gt;=$A53)*(Events!$E$6:$E$158="Loan")*(Events!$J$6:$J$158="Yes")*Events!$H$6:$H$158)+SUMPRODUCT((Events!$B$6:$B$158&lt;=$A53)*(Events!$C$6:$C$158&gt;=$A53)*(Events!$E$6:$E$158="Purchase")*(Events!$J$6:$J$158="Yes")*Events!$H$6:$H$158)</x:f>
        <x:v>0</x:v>
      </x:c>
      <x:c r="F53" s="53" t="n">
        <x:f>MAX(0,B53+C53+D53-E53)</x:f>
        <x:v>377.01951115713314</x:v>
      </x:c>
      <x:c r="G53" s="53" t="n">
        <x:f>IF(OR($A53=1931,$A53=1932),cb_buy/2,0)</x:f>
        <x:v>0</x:v>
      </x:c>
      <x:c r="H53" s="53" t="n">
        <x:f>H52+G53</x:f>
        <x:v>0</x:v>
      </x:c>
      <x:c r="I53" s="53" t="n">
        <x:f>Economy!O53*money_ratio+H53</x:f>
        <x:v>151.8596170633995</x:v>
      </x:c>
      <x:c r="J53" s="53" t="n">
        <x:f>I53*gold_cover</x:f>
        <x:v>60.7438468253598</x:v>
      </x:c>
      <x:c r="K53" s="53" t="n">
        <x:f>F53-J53</x:f>
        <x:v>316.2756643317733</x:v>
      </x:c>
      <x:c r="L53" s="63" t="n">
        <x:f>IF(I53&gt;0,F53/I53,0)</x:f>
        <x:v>2.4826844585004597</x:v>
      </x:c>
      <x:c r="M53" s="63" t="n">
        <x:f>IF(Paths!AD53&gt;0,F53/Paths!AD53,0)</x:f>
        <x:v>0.09692018281674374</x:v>
      </x:c>
    </x:row>
    <x:row r="54">
      <x:c r="A54" s="58" t="n">
        <x:v>1894</x:v>
      </x:c>
      <x:c r="B54" s="53" t="n">
        <x:f>F53</x:f>
        <x:v>377.01951115713314</x:v>
      </x:c>
      <x:c r="C54" s="69" t="n">
        <x:f>Resources!R54</x:f>
        <x:v>7.76</x:v>
      </x:c>
      <x:c r="D54" s="53" t="n">
        <x:f>IF($A54&gt;=1850,Economy!O54*ext_gold,0)</x:f>
        <x:v>4.580930367328326</x:v>
      </x:c>
      <x:c r="E54" s="53" t="n">
        <x:f>SUMPRODUCT((Events!$B$6:$B$158&lt;=$A54)*(Events!$C$6:$C$158&gt;=$A54)*(Events!$E$6:$E$158="Loan")*(Events!$J$6:$J$158="Yes")*Events!$H$6:$H$158)+SUMPRODUCT((Events!$B$6:$B$158&lt;=$A54)*(Events!$C$6:$C$158&gt;=$A54)*(Events!$E$6:$E$158="Purchase")*(Events!$J$6:$J$158="Yes")*Events!$H$6:$H$158)</x:f>
        <x:v>0</x:v>
      </x:c>
      <x:c r="F54" s="53" t="n">
        <x:f>MAX(0,B54+C54+D54-E54)</x:f>
        <x:v>389.36044152446146</x:v>
      </x:c>
      <x:c r="G54" s="53" t="n">
        <x:f>IF(OR($A54=1931,$A54=1932),cb_buy/2,0)</x:f>
        <x:v>0</x:v>
      </x:c>
      <x:c r="H54" s="53" t="n">
        <x:f>H53+G54</x:f>
        <x:v>0</x:v>
      </x:c>
      <x:c r="I54" s="53" t="n">
        <x:f>Economy!O54*money_ratio+H54</x:f>
        <x:v>160.33256285649145</x:v>
      </x:c>
      <x:c r="J54" s="53" t="n">
        <x:f>I54*gold_cover</x:f>
        <x:v>64.13302514259658</x:v>
      </x:c>
      <x:c r="K54" s="53" t="n">
        <x:f>F54-J54</x:f>
        <x:v>325.2274163818649</x:v>
      </x:c>
      <x:c r="L54" s="63" t="n">
        <x:f>IF(I54&gt;0,F54/I54,0)</x:f>
        <x:v>2.428455172097296</x:v>
      </x:c>
      <x:c r="M54" s="63" t="n">
        <x:f>IF(Paths!AD54&gt;0,F54/Paths!AD54,0)</x:f>
        <x:v>0.09685583122499042</x:v>
      </x:c>
    </x:row>
    <x:row r="55">
      <x:c r="A55" s="58" t="n">
        <x:v>1895</x:v>
      </x:c>
      <x:c r="B55" s="53" t="n">
        <x:f>F54</x:f>
        <x:v>389.36044152446146</x:v>
      </x:c>
      <x:c r="C55" s="69" t="n">
        <x:f>Resources!R55</x:f>
        <x:v>7.800000000000001</x:v>
      </x:c>
      <x:c r="D55" s="53" t="n">
        <x:f>IF($A55&gt;=1850,Economy!O55*ext_gold,0)</x:f>
        <x:v>5.024844930736277</x:v>
      </x:c>
      <x:c r="E55" s="53" t="n">
        <x:f>SUMPRODUCT((Events!$B$6:$B$158&lt;=$A55)*(Events!$C$6:$C$158&gt;=$A55)*(Events!$E$6:$E$158="Loan")*(Events!$J$6:$J$158="Yes")*Events!$H$6:$H$158)+SUMPRODUCT((Events!$B$6:$B$158&lt;=$A55)*(Events!$C$6:$C$158&gt;=$A55)*(Events!$E$6:$E$158="Purchase")*(Events!$J$6:$J$158="Yes")*Events!$H$6:$H$158)</x:f>
        <x:v>65</x:v>
      </x:c>
      <x:c r="F55" s="53" t="n">
        <x:f>MAX(0,B55+C55+D55-E55)</x:f>
        <x:v>337.18528645519774</x:v>
      </x:c>
      <x:c r="G55" s="53" t="n">
        <x:f>IF(OR($A55=1931,$A55=1932),cb_buy/2,0)</x:f>
        <x:v>0</x:v>
      </x:c>
      <x:c r="H55" s="53" t="n">
        <x:f>H54+G55</x:f>
        <x:v>0</x:v>
      </x:c>
      <x:c r="I55" s="53" t="n">
        <x:f>Economy!O55*money_ratio+H55</x:f>
        <x:v>175.86957257576972</x:v>
      </x:c>
      <x:c r="J55" s="53" t="n">
        <x:f>I55*gold_cover</x:f>
        <x:v>70.34782903030789</x:v>
      </x:c>
      <x:c r="K55" s="53" t="n">
        <x:f>F55-J55</x:f>
        <x:v>266.83745742488986</x:v>
      </x:c>
      <x:c r="L55" s="63" t="n">
        <x:f>IF(I55&gt;0,F55/I55,0)</x:f>
        <x:v>1.917246295176663</x:v>
      </x:c>
      <x:c r="M55" s="63" t="n">
        <x:f>IF(Paths!AD55&gt;0,F55/Paths!AD55,0)</x:f>
        <x:v>0.0812494666157103</x:v>
      </x:c>
    </x:row>
    <x:row r="56">
      <x:c r="A56" s="58" t="n">
        <x:v>1896</x:v>
      </x:c>
      <x:c r="B56" s="53" t="n">
        <x:f>F55</x:f>
        <x:v>337.18528645519774</x:v>
      </x:c>
      <x:c r="C56" s="69" t="n">
        <x:f>Resources!R56</x:f>
        <x:v>7.96</x:v>
      </x:c>
      <x:c r="D56" s="53" t="n">
        <x:f>IF($A56&gt;=1850,Economy!O56*ext_gold,0)</x:f>
        <x:v>5.375810108921813</x:v>
      </x:c>
      <x:c r="E56" s="53" t="n">
        <x:f>SUMPRODUCT((Events!$B$6:$B$158&lt;=$A56)*(Events!$C$6:$C$158&gt;=$A56)*(Events!$E$6:$E$158="Loan")*(Events!$J$6:$J$158="Yes")*Events!$H$6:$H$158)+SUMPRODUCT((Events!$B$6:$B$158&lt;=$A56)*(Events!$C$6:$C$158&gt;=$A56)*(Events!$E$6:$E$158="Purchase")*(Events!$J$6:$J$158="Yes")*Events!$H$6:$H$158)</x:f>
        <x:v>0</x:v>
      </x:c>
      <x:c r="F56" s="53" t="n">
        <x:f>MAX(0,B56+C56+D56-E56)</x:f>
        <x:v>350.52109656411955</x:v>
      </x:c>
      <x:c r="G56" s="53" t="n">
        <x:f>IF(OR($A56=1931,$A56=1932),cb_buy/2,0)</x:f>
        <x:v>0</x:v>
      </x:c>
      <x:c r="H56" s="53" t="n">
        <x:f>H55+G56</x:f>
        <x:v>0</x:v>
      </x:c>
      <x:c r="I56" s="53" t="n">
        <x:f>Economy!O56*money_ratio+H56</x:f>
        <x:v>188.1533538122635</x:v>
      </x:c>
      <x:c r="J56" s="53" t="n">
        <x:f>I56*gold_cover</x:f>
        <x:v>75.2613415249054</x:v>
      </x:c>
      <x:c r="K56" s="53" t="n">
        <x:f>F56-J56</x:f>
        <x:v>275.25975503921416</x:v>
      </x:c>
      <x:c r="L56" s="63" t="n">
        <x:f>IF(I56&gt;0,F56/I56,0)</x:f>
        <x:v>1.8629542841626094</x:v>
      </x:c>
      <x:c r="M56" s="63" t="n">
        <x:f>IF(Paths!AD56&gt;0,F56/Paths!AD56,0)</x:f>
        <x:v>0.08189745246825222</x:v>
      </x:c>
    </x:row>
    <x:row r="57">
      <x:c r="A57" s="58" t="n">
        <x:v>1897</x:v>
      </x:c>
      <x:c r="B57" s="53" t="n">
        <x:f>F56</x:f>
        <x:v>350.52109656411955</x:v>
      </x:c>
      <x:c r="C57" s="69" t="n">
        <x:f>Resources!R57</x:f>
        <x:v>8.3</x:v>
      </x:c>
      <x:c r="D57" s="53" t="n">
        <x:f>IF($A57&gt;=1850,Economy!O57*ext_gold,0)</x:f>
        <x:v>6.065236459829942</x:v>
      </x:c>
      <x:c r="E57" s="53" t="n">
        <x:f>SUMPRODUCT((Events!$B$6:$B$158&lt;=$A57)*(Events!$C$6:$C$158&gt;=$A57)*(Events!$E$6:$E$158="Loan")*(Events!$J$6:$J$158="Yes")*Events!$H$6:$H$158)+SUMPRODUCT((Events!$B$6:$B$158&lt;=$A57)*(Events!$C$6:$C$158&gt;=$A57)*(Events!$E$6:$E$158="Purchase")*(Events!$J$6:$J$158="Yes")*Events!$H$6:$H$158)</x:f>
        <x:v>20</x:v>
      </x:c>
      <x:c r="F57" s="53" t="n">
        <x:f>MAX(0,B57+C57+D57-E57)</x:f>
        <x:v>344.8863330239495</x:v>
      </x:c>
      <x:c r="G57" s="53" t="n">
        <x:f>IF(OR($A57=1931,$A57=1932),cb_buy/2,0)</x:f>
        <x:v>0</x:v>
      </x:c>
      <x:c r="H57" s="53" t="n">
        <x:f>H56+G57</x:f>
        <x:v>0</x:v>
      </x:c>
      <x:c r="I57" s="53" t="n">
        <x:f>Economy!O57*money_ratio+H57</x:f>
        <x:v>212.28327609404798</x:v>
      </x:c>
      <x:c r="J57" s="53" t="n">
        <x:f>I57*gold_cover</x:f>
        <x:v>84.9133104376192</x:v>
      </x:c>
      <x:c r="K57" s="53" t="n">
        <x:f>F57-J57</x:f>
        <x:v>259.9730225863303</x:v>
      </x:c>
      <x:c r="L57" s="63" t="n">
        <x:f>IF(I57&gt;0,F57/I57,0)</x:f>
        <x:v>1.6246514533304748</x:v>
      </x:c>
      <x:c r="M57" s="63" t="n">
        <x:f>IF(Paths!AD57&gt;0,F57/Paths!AD57,0)</x:f>
        <x:v>0.07820551769250556</x:v>
      </x:c>
    </x:row>
    <x:row r="58">
      <x:c r="A58" s="58" t="n">
        <x:v>1898</x:v>
      </x:c>
      <x:c r="B58" s="53" t="n">
        <x:f>F57</x:f>
        <x:v>344.8863330239495</x:v>
      </x:c>
      <x:c r="C58" s="69" t="n">
        <x:f>Resources!R58</x:f>
        <x:v>8.6</x:v>
      </x:c>
      <x:c r="D58" s="53" t="n">
        <x:f>IF($A58&gt;=1850,Economy!O58*ext_gold,0)</x:f>
        <x:v>6.677252015227354</x:v>
      </x:c>
      <x:c r="E58" s="53" t="n">
        <x:f>SUMPRODUCT((Events!$B$6:$B$158&lt;=$A58)*(Events!$C$6:$C$158&gt;=$A58)*(Events!$E$6:$E$158="Loan")*(Events!$J$6:$J$158="Yes")*Events!$H$6:$H$158)+SUMPRODUCT((Events!$B$6:$B$158&lt;=$A58)*(Events!$C$6:$C$158&gt;=$A58)*(Events!$E$6:$E$158="Purchase")*(Events!$J$6:$J$158="Yes")*Events!$H$6:$H$158)</x:f>
        <x:v>0</x:v>
      </x:c>
      <x:c r="F58" s="53" t="n">
        <x:f>MAX(0,B58+C58+D58-E58)</x:f>
        <x:v>360.16358503917684</x:v>
      </x:c>
      <x:c r="G58" s="53" t="n">
        <x:f>IF(OR($A58=1931,$A58=1932),cb_buy/2,0)</x:f>
        <x:v>0</x:v>
      </x:c>
      <x:c r="H58" s="53" t="n">
        <x:f>H57+G58</x:f>
        <x:v>0</x:v>
      </x:c>
      <x:c r="I58" s="53" t="n">
        <x:f>Economy!O58*money_ratio+H58</x:f>
        <x:v>233.7038205329574</x:v>
      </x:c>
      <x:c r="J58" s="53" t="n">
        <x:f>I58*gold_cover</x:f>
        <x:v>93.48152821318297</x:v>
      </x:c>
      <x:c r="K58" s="53" t="n">
        <x:f>F58-J58</x:f>
        <x:v>266.68205682599387</x:v>
      </x:c>
      <x:c r="L58" s="63" t="n">
        <x:f>IF(I58&gt;0,F58/I58,0)</x:f>
        <x:v>1.5411112416469281</x:v>
      </x:c>
      <x:c r="M58" s="63" t="n">
        <x:f>IF(Paths!AD58&gt;0,F58/Paths!AD58,0)</x:f>
        <x:v>0.07933118613197727</x:v>
      </x:c>
    </x:row>
    <x:row r="59">
      <x:c r="A59" s="58" t="n">
        <x:v>1899</x:v>
      </x:c>
      <x:c r="B59" s="53" t="n">
        <x:f>F58</x:f>
        <x:v>360.16358503917684</x:v>
      </x:c>
      <x:c r="C59" s="69" t="n">
        <x:f>Resources!R59</x:f>
        <x:v>9.5</x:v>
      </x:c>
      <x:c r="D59" s="53" t="n">
        <x:f>IF($A59&gt;=1850,Economy!O59*ext_gold,0)</x:f>
        <x:v>7.331680488201859</x:v>
      </x:c>
      <x:c r="E59" s="53" t="n">
        <x:f>SUMPRODUCT((Events!$B$6:$B$158&lt;=$A59)*(Events!$C$6:$C$158&gt;=$A59)*(Events!$E$6:$E$158="Loan")*(Events!$J$6:$J$158="Yes")*Events!$H$6:$H$158)+SUMPRODUCT((Events!$B$6:$B$158&lt;=$A59)*(Events!$C$6:$C$158&gt;=$A59)*(Events!$E$6:$E$158="Purchase")*(Events!$J$6:$J$158="Yes")*Events!$H$6:$H$158)</x:f>
        <x:v>0</x:v>
      </x:c>
      <x:c r="F59" s="53" t="n">
        <x:f>MAX(0,B59+C59+D59-E59)</x:f>
        <x:v>376.9952655273787</x:v>
      </x:c>
      <x:c r="G59" s="53" t="n">
        <x:f>IF(OR($A59=1931,$A59=1932),cb_buy/2,0)</x:f>
        <x:v>0</x:v>
      </x:c>
      <x:c r="H59" s="53" t="n">
        <x:f>H58+G59</x:f>
        <x:v>0</x:v>
      </x:c>
      <x:c r="I59" s="53" t="n">
        <x:f>Economy!O59*money_ratio+H59</x:f>
        <x:v>256.60881708706506</x:v>
      </x:c>
      <x:c r="J59" s="53" t="n">
        <x:f>I59*gold_cover</x:f>
        <x:v>102.64352683482603</x:v>
      </x:c>
      <x:c r="K59" s="53" t="n">
        <x:f>F59-J59</x:f>
        <x:v>274.35173869255266</x:v>
      </x:c>
      <x:c r="L59" s="63" t="n">
        <x:f>IF(I59&gt;0,F59/I59,0)</x:f>
        <x:v>1.469143850187609</x:v>
      </x:c>
      <x:c r="M59" s="63" t="n">
        <x:f>IF(Paths!AD59&gt;0,F59/Paths!AD59,0)</x:f>
        <x:v>0.08072703758616247</x:v>
      </x:c>
    </x:row>
    <x:row r="60">
      <x:c r="A60" s="58" t="n">
        <x:v>1900</x:v>
      </x:c>
      <x:c r="B60" s="53" t="n">
        <x:f>F59</x:f>
        <x:v>376.9952655273787</x:v>
      </x:c>
      <x:c r="C60" s="69" t="n">
        <x:f>Resources!R60</x:f>
        <x:v>10.4</x:v>
      </x:c>
      <x:c r="D60" s="53" t="n">
        <x:f>IF($A60&gt;=1850,Economy!O60*ext_gold,0)</x:f>
        <x:v>8.061986084025468</x:v>
      </x:c>
      <x:c r="E60" s="53" t="n">
        <x:f>SUMPRODUCT((Events!$B$6:$B$158&lt;=$A60)*(Events!$C$6:$C$158&gt;=$A60)*(Events!$E$6:$E$158="Loan")*(Events!$J$6:$J$158="Yes")*Events!$H$6:$H$158)+SUMPRODUCT((Events!$B$6:$B$158&lt;=$A60)*(Events!$C$6:$C$158&gt;=$A60)*(Events!$E$6:$E$158="Purchase")*(Events!$J$6:$J$158="Yes")*Events!$H$6:$H$158)</x:f>
        <x:v>0</x:v>
      </x:c>
      <x:c r="F60" s="53" t="n">
        <x:f>MAX(0,B60+C60+D60-E60)</x:f>
        <x:v>395.45725161140416</x:v>
      </x:c>
      <x:c r="G60" s="53" t="n">
        <x:f>IF(OR($A60=1931,$A60=1932),cb_buy/2,0)</x:f>
        <x:v>0</x:v>
      </x:c>
      <x:c r="H60" s="53" t="n">
        <x:f>H59+G60</x:f>
        <x:v>0</x:v>
      </x:c>
      <x:c r="I60" s="53" t="n">
        <x:f>Economy!O60*money_ratio+H60</x:f>
        <x:v>282.1695129408914</x:v>
      </x:c>
      <x:c r="J60" s="53" t="n">
        <x:f>I60*gold_cover</x:f>
        <x:v>112.86780517635657</x:v>
      </x:c>
      <x:c r="K60" s="53" t="n">
        <x:f>F60-J60</x:f>
        <x:v>282.5894464350476</x:v>
      </x:c>
      <x:c r="L60" s="63" t="n">
        <x:f>IF(I60&gt;0,F60/I60,0)</x:f>
        <x:v>1.4014882312755175</x:v>
      </x:c>
      <x:c r="M60" s="63" t="n">
        <x:f>IF(Paths!AD60&gt;0,F60/Paths!AD60,0)</x:f>
        <x:v>0.08238692741904254</x:v>
      </x:c>
    </x:row>
    <x:row r="61">
      <x:c r="A61" s="58" t="n">
        <x:v>1901</x:v>
      </x:c>
      <x:c r="B61" s="53" t="n">
        <x:f>F60</x:f>
        <x:v>395.45725161140416</x:v>
      </x:c>
      <x:c r="C61" s="69" t="n">
        <x:f>Resources!R61</x:f>
        <x:v>11.240000000000002</x:v>
      </x:c>
      <x:c r="D61" s="53" t="n">
        <x:f>IF($A61&gt;=1850,Economy!O61*ext_gold,0)</x:f>
        <x:v>8.817132482301787</x:v>
      </x:c>
      <x:c r="E61" s="53" t="n">
        <x:f>SUMPRODUCT((Events!$B$6:$B$158&lt;=$A61)*(Events!$C$6:$C$158&gt;=$A61)*(Events!$E$6:$E$158="Loan")*(Events!$J$6:$J$158="Yes")*Events!$H$6:$H$158)+SUMPRODUCT((Events!$B$6:$B$158&lt;=$A61)*(Events!$C$6:$C$158&gt;=$A61)*(Events!$E$6:$E$158="Purchase")*(Events!$J$6:$J$158="Yes")*Events!$H$6:$H$158)</x:f>
        <x:v>0</x:v>
      </x:c>
      <x:c r="F61" s="53" t="n">
        <x:f>MAX(0,B61+C61+D61-E61)</x:f>
        <x:v>415.514384093706</x:v>
      </x:c>
      <x:c r="G61" s="53" t="n">
        <x:f>IF(OR($A61=1931,$A61=1932),cb_buy/2,0)</x:f>
        <x:v>0</x:v>
      </x:c>
      <x:c r="H61" s="53" t="n">
        <x:f>H60+G61</x:f>
        <x:v>0</x:v>
      </x:c>
      <x:c r="I61" s="53" t="n">
        <x:f>Economy!O61*money_ratio+H61</x:f>
        <x:v>308.59963688056257</x:v>
      </x:c>
      <x:c r="J61" s="53" t="n">
        <x:f>I61*gold_cover</x:f>
        <x:v>123.43985475222503</x:v>
      </x:c>
      <x:c r="K61" s="53" t="n">
        <x:f>F61-J61</x:f>
        <x:v>292.07452934148097</x:v>
      </x:c>
      <x:c r="L61" s="63" t="n">
        <x:f>IF(I61&gt;0,F61/I61,0)</x:f>
        <x:v>1.3464513059505727</x:v>
      </x:c>
      <x:c r="M61" s="63" t="n">
        <x:f>IF(Paths!AD61&gt;0,F61/Paths!AD61,0)</x:f>
        <x:v>0.0823453000582057</x:v>
      </x:c>
    </x:row>
    <x:row r="62">
      <x:c r="A62" s="58" t="n">
        <x:v>1902</x:v>
      </x:c>
      <x:c r="B62" s="53" t="n">
        <x:f>F61</x:f>
        <x:v>415.514384093706</x:v>
      </x:c>
      <x:c r="C62" s="69" t="n">
        <x:f>Resources!R62</x:f>
        <x:v>12.180000000000001</x:v>
      </x:c>
      <x:c r="D62" s="53" t="n">
        <x:f>IF($A62&gt;=1850,Economy!O62*ext_gold,0)</x:f>
        <x:v>9.656162727085857</x:v>
      </x:c>
      <x:c r="E62" s="53" t="n">
        <x:f>SUMPRODUCT((Events!$B$6:$B$158&lt;=$A62)*(Events!$C$6:$C$158&gt;=$A62)*(Events!$E$6:$E$158="Loan")*(Events!$J$6:$J$158="Yes")*Events!$H$6:$H$158)+SUMPRODUCT((Events!$B$6:$B$158&lt;=$A62)*(Events!$C$6:$C$158&gt;=$A62)*(Events!$E$6:$E$158="Purchase")*(Events!$J$6:$J$158="Yes")*Events!$H$6:$H$158)</x:f>
        <x:v>0</x:v>
      </x:c>
      <x:c r="F62" s="53" t="n">
        <x:f>MAX(0,B62+C62+D62-E62)</x:f>
        <x:v>437.35054682079186</x:v>
      </x:c>
      <x:c r="G62" s="53" t="n">
        <x:f>IF(OR($A62=1931,$A62=1932),cb_buy/2,0)</x:f>
        <x:v>0</x:v>
      </x:c>
      <x:c r="H62" s="53" t="n">
        <x:f>H61+G62</x:f>
        <x:v>0</x:v>
      </x:c>
      <x:c r="I62" s="53" t="n">
        <x:f>Economy!O62*money_ratio+H62</x:f>
        <x:v>337.965695448005</x:v>
      </x:c>
      <x:c r="J62" s="53" t="n">
        <x:f>I62*gold_cover</x:f>
        <x:v>135.18627817920202</x:v>
      </x:c>
      <x:c r="K62" s="53" t="n">
        <x:f>F62-J62</x:f>
        <x:v>302.16426864158984</x:v>
      </x:c>
      <x:c r="L62" s="63" t="n">
        <x:f>IF(I62&gt;0,F62/I62,0)</x:f>
        <x:v>1.294067867571716</x:v>
      </x:c>
      <x:c r="M62" s="63" t="n">
        <x:f>IF(Paths!AD62&gt;0,F62/Paths!AD62,0)</x:f>
        <x:v>0.08264371633045954</x:v>
      </x:c>
    </x:row>
    <x:row r="63">
      <x:c r="A63" s="58" t="n">
        <x:v>1903</x:v>
      </x:c>
      <x:c r="B63" s="53" t="n">
        <x:f>F62</x:f>
        <x:v>437.35054682079186</x:v>
      </x:c>
      <x:c r="C63" s="69" t="n">
        <x:f>Resources!R63</x:f>
        <x:v>13.120000000000001</x:v>
      </x:c>
      <x:c r="D63" s="53" t="n">
        <x:f>IF($A63&gt;=1850,Economy!O63*ext_gold,0)</x:f>
        <x:v>10.585809239540383</x:v>
      </x:c>
      <x:c r="E63" s="53" t="n">
        <x:f>SUMPRODUCT((Events!$B$6:$B$158&lt;=$A63)*(Events!$C$6:$C$158&gt;=$A63)*(Events!$E$6:$E$158="Loan")*(Events!$J$6:$J$158="Yes")*Events!$H$6:$H$158)+SUMPRODUCT((Events!$B$6:$B$158&lt;=$A63)*(Events!$C$6:$C$158&gt;=$A63)*(Events!$E$6:$E$158="Purchase")*(Events!$J$6:$J$158="Yes")*Events!$H$6:$H$158)</x:f>
        <x:v>0</x:v>
      </x:c>
      <x:c r="F63" s="53" t="n">
        <x:f>MAX(0,B63+C63+D63-E63)</x:f>
        <x:v>461.05635606033223</x:v>
      </x:c>
      <x:c r="G63" s="53" t="n">
        <x:f>IF(OR($A63=1931,$A63=1932),cb_buy/2,0)</x:f>
        <x:v>0</x:v>
      </x:c>
      <x:c r="H63" s="53" t="n">
        <x:f>H62+G63</x:f>
        <x:v>0</x:v>
      </x:c>
      <x:c r="I63" s="53" t="n">
        <x:f>Economy!O63*money_ratio+H63</x:f>
        <x:v>370.5033233839135</x:v>
      </x:c>
      <x:c r="J63" s="53" t="n">
        <x:f>I63*gold_cover</x:f>
        <x:v>148.2013293535654</x:v>
      </x:c>
      <x:c r="K63" s="53" t="n">
        <x:f>F63-J63</x:f>
        <x:v>312.8550267067668</x:v>
      </x:c>
      <x:c r="L63" s="63" t="n">
        <x:f>IF(I63&gt;0,F63/I63,0)</x:f>
        <x:v>1.2444054532341893</x:v>
      </x:c>
      <x:c r="M63" s="63" t="n">
        <x:f>IF(Paths!AD63&gt;0,F63/Paths!AD63,0)</x:f>
        <x:v>0.08325322427958329</x:v>
      </x:c>
    </x:row>
    <x:row r="64">
      <x:c r="A64" s="58" t="n">
        <x:v>1904</x:v>
      </x:c>
      <x:c r="B64" s="53" t="n">
        <x:f>F63</x:f>
        <x:v>461.05635606033223</x:v>
      </x:c>
      <x:c r="C64" s="69" t="n">
        <x:f>Resources!R64</x:f>
        <x:v>14.159999999999998</x:v>
      </x:c>
      <x:c r="D64" s="53" t="n">
        <x:f>IF($A64&gt;=1850,Economy!O64*ext_gold,0)</x:f>
        <x:v>11.600922878544097</x:v>
      </x:c>
      <x:c r="E64" s="53" t="n">
        <x:f>SUMPRODUCT((Events!$B$6:$B$158&lt;=$A64)*(Events!$C$6:$C$158&gt;=$A64)*(Events!$E$6:$E$158="Loan")*(Events!$J$6:$J$158="Yes")*Events!$H$6:$H$158)+SUMPRODUCT((Events!$B$6:$B$158&lt;=$A64)*(Events!$C$6:$C$158&gt;=$A64)*(Events!$E$6:$E$158="Purchase")*(Events!$J$6:$J$158="Yes")*Events!$H$6:$H$158)</x:f>
        <x:v>0</x:v>
      </x:c>
      <x:c r="F64" s="53" t="n">
        <x:f>MAX(0,B64+C64+D64-E64)</x:f>
        <x:v>486.81727893887637</x:v>
      </x:c>
      <x:c r="G64" s="53" t="n">
        <x:f>IF(OR($A64=1931,$A64=1932),cb_buy/2,0)</x:f>
        <x:v>0</x:v>
      </x:c>
      <x:c r="H64" s="53" t="n">
        <x:f>H63+G64</x:f>
        <x:v>0</x:v>
      </x:c>
      <x:c r="I64" s="53" t="n">
        <x:f>Economy!O64*money_ratio+H64</x:f>
        <x:v>406.03230074904343</x:v>
      </x:c>
      <x:c r="J64" s="53" t="n">
        <x:f>I64*gold_cover</x:f>
        <x:v>162.41292029961738</x:v>
      </x:c>
      <x:c r="K64" s="53" t="n">
        <x:f>F64-J64</x:f>
        <x:v>324.404358639259</x:v>
      </x:c>
      <x:c r="L64" s="63" t="n">
        <x:f>IF(I64&gt;0,F64/I64,0)</x:f>
        <x:v>1.1989619496793773</x:v>
      </x:c>
      <x:c r="M64" s="63" t="n">
        <x:f>IF(Paths!AD64&gt;0,F64/Paths!AD64,0)</x:f>
        <x:v>0.08415164718044535</x:v>
      </x:c>
    </x:row>
    <x:row r="65">
      <x:c r="A65" s="58" t="n">
        <x:v>1905</x:v>
      </x:c>
      <x:c r="B65" s="53" t="n">
        <x:f>F64</x:f>
        <x:v>486.81727893887637</x:v>
      </x:c>
      <x:c r="C65" s="69" t="n">
        <x:f>Resources!R65</x:f>
        <x:v>15.2</x:v>
      </x:c>
      <x:c r="D65" s="53" t="n">
        <x:f>IF($A65&gt;=1850,Economy!O65*ext_gold,0)</x:f>
        <x:v>12.676342779560208</x:v>
      </x:c>
      <x:c r="E65" s="53" t="n">
        <x:f>SUMPRODUCT((Events!$B$6:$B$158&lt;=$A65)*(Events!$C$6:$C$158&gt;=$A65)*(Events!$E$6:$E$158="Loan")*(Events!$J$6:$J$158="Yes")*Events!$H$6:$H$158)+SUMPRODUCT((Events!$B$6:$B$158&lt;=$A65)*(Events!$C$6:$C$158&gt;=$A65)*(Events!$E$6:$E$158="Purchase")*(Events!$J$6:$J$158="Yes")*Events!$H$6:$H$158)</x:f>
        <x:v>0</x:v>
      </x:c>
      <x:c r="F65" s="53" t="n">
        <x:f>MAX(0,B65+C65+D65-E65)</x:f>
        <x:v>514.6936217184366</x:v>
      </x:c>
      <x:c r="G65" s="53" t="n">
        <x:f>IF(OR($A65=1931,$A65=1932),cb_buy/2,0)</x:f>
        <x:v>0</x:v>
      </x:c>
      <x:c r="H65" s="53" t="n">
        <x:f>H64+G65</x:f>
        <x:v>0</x:v>
      </x:c>
      <x:c r="I65" s="53" t="n">
        <x:f>Economy!O65*money_ratio+H65</x:f>
        <x:v>443.6719972846073</x:v>
      </x:c>
      <x:c r="J65" s="53" t="n">
        <x:f>I65*gold_cover</x:f>
        <x:v>177.46879891384293</x:v>
      </x:c>
      <x:c r="K65" s="53" t="n">
        <x:f>F65-J65</x:f>
        <x:v>337.22482280459366</x:v>
      </x:c>
      <x:c r="L65" s="63" t="n">
        <x:f>IF(I65&gt;0,F65/I65,0)</x:f>
        <x:v>1.1600768695534107</x:v>
      </x:c>
      <x:c r="M65" s="63" t="n">
        <x:f>IF(Paths!AD65&gt;0,F65/Paths!AD65,0)</x:f>
        <x:v>0.08534134002958657</x:v>
      </x:c>
    </x:row>
    <x:row r="66">
      <x:c r="A66" s="58" t="n">
        <x:v>1906</x:v>
      </x:c>
      <x:c r="B66" s="53" t="n">
        <x:f>F65</x:f>
        <x:v>514.6936217184366</x:v>
      </x:c>
      <x:c r="C66" s="69" t="n">
        <x:f>Resources!R66</x:f>
        <x:v>17.34</x:v>
      </x:c>
      <x:c r="D66" s="53" t="n">
        <x:f>IF($A66&gt;=1850,Economy!O66*ext_gold,0)</x:f>
        <x:v>14.034305557778266</x:v>
      </x:c>
      <x:c r="E66" s="53" t="n">
        <x:f>SUMPRODUCT((Events!$B$6:$B$158&lt;=$A66)*(Events!$C$6:$C$158&gt;=$A66)*(Events!$E$6:$E$158="Loan")*(Events!$J$6:$J$158="Yes")*Events!$H$6:$H$158)+SUMPRODUCT((Events!$B$6:$B$158&lt;=$A66)*(Events!$C$6:$C$158&gt;=$A66)*(Events!$E$6:$E$158="Purchase")*(Events!$J$6:$J$158="Yes")*Events!$H$6:$H$158)</x:f>
        <x:v>0</x:v>
      </x:c>
      <x:c r="F66" s="53" t="n">
        <x:f>MAX(0,B66+C66+D66-E66)</x:f>
        <x:v>546.0679272762148</x:v>
      </x:c>
      <x:c r="G66" s="53" t="n">
        <x:f>IF(OR($A66=1931,$A66=1932),cb_buy/2,0)</x:f>
        <x:v>0</x:v>
      </x:c>
      <x:c r="H66" s="53" t="n">
        <x:f>H65+G66</x:f>
        <x:v>0</x:v>
      </x:c>
      <x:c r="I66" s="53" t="n">
        <x:f>Economy!O66*money_ratio+H66</x:f>
        <x:v>491.2006945222393</x:v>
      </x:c>
      <x:c r="J66" s="53" t="n">
        <x:f>I66*gold_cover</x:f>
        <x:v>196.48027780889572</x:v>
      </x:c>
      <x:c r="K66" s="53" t="n">
        <x:f>F66-J66</x:f>
        <x:v>349.5876494673191</x:v>
      </x:c>
      <x:c r="L66" s="63" t="n">
        <x:f>IF(I66&gt;0,F66/I66,0)</x:f>
        <x:v>1.111700234478173</x:v>
      </x:c>
      <x:c r="M66" s="63" t="n">
        <x:f>IF(Paths!AD66&gt;0,F66/Paths!AD66,0)</x:f>
        <x:v>0.08699504974927749</x:v>
      </x:c>
    </x:row>
    <x:row r="67">
      <x:c r="A67" s="58" t="n">
        <x:v>1907</x:v>
      </x:c>
      <x:c r="B67" s="53" t="n">
        <x:f>F66</x:f>
        <x:v>546.0679272762148</x:v>
      </x:c>
      <x:c r="C67" s="69" t="n">
        <x:f>Resources!R67</x:f>
        <x:v>17.78</x:v>
      </x:c>
      <x:c r="D67" s="53" t="n">
        <x:f>IF($A67&gt;=1850,Economy!O67*ext_gold,0)</x:f>
        <x:v>15.287757139625185</x:v>
      </x:c>
      <x:c r="E67" s="53" t="n">
        <x:f>SUMPRODUCT((Events!$B$6:$B$158&lt;=$A67)*(Events!$C$6:$C$158&gt;=$A67)*(Events!$E$6:$E$158="Loan")*(Events!$J$6:$J$158="Yes")*Events!$H$6:$H$158)+SUMPRODUCT((Events!$B$6:$B$158&lt;=$A67)*(Events!$C$6:$C$158&gt;=$A67)*(Events!$E$6:$E$158="Purchase")*(Events!$J$6:$J$158="Yes")*Events!$H$6:$H$158)</x:f>
        <x:v>0</x:v>
      </x:c>
      <x:c r="F67" s="53" t="n">
        <x:f>MAX(0,B67+C67+D67-E67)</x:f>
        <x:v>579.13568441584</x:v>
      </x:c>
      <x:c r="G67" s="53" t="n">
        <x:f>IF(OR($A67=1931,$A67=1932),cb_buy/2,0)</x:f>
        <x:v>0</x:v>
      </x:c>
      <x:c r="H67" s="53" t="n">
        <x:f>H66+G67</x:f>
        <x:v>0</x:v>
      </x:c>
      <x:c r="I67" s="53" t="n">
        <x:f>Economy!O67*money_ratio+H67</x:f>
        <x:v>535.0714998868815</x:v>
      </x:c>
      <x:c r="J67" s="53" t="n">
        <x:f>I67*gold_cover</x:f>
        <x:v>214.02859995475262</x:v>
      </x:c>
      <x:c r="K67" s="53" t="n">
        <x:f>F67-J67</x:f>
        <x:v>365.1070844610874</x:v>
      </x:c>
      <x:c r="L67" s="63" t="n">
        <x:f>IF(I67&gt;0,F67/I67,0)</x:f>
        <x:v>1.08235195583819</x:v>
      </x:c>
      <x:c r="M67" s="63" t="n">
        <x:f>IF(Paths!AD67&gt;0,F67/Paths!AD67,0)</x:f>
        <x:v>0.08878364010667485</x:v>
      </x:c>
    </x:row>
    <x:row r="68">
      <x:c r="A68" s="58" t="n">
        <x:v>1908</x:v>
      </x:c>
      <x:c r="B68" s="53" t="n">
        <x:f>F67</x:f>
        <x:v>579.13568441584</x:v>
      </x:c>
      <x:c r="C68" s="69" t="n">
        <x:f>Resources!R68</x:f>
        <x:v>17.85333333333333</x:v>
      </x:c>
      <x:c r="D68" s="53" t="n">
        <x:f>IF($A68&gt;=1850,Economy!O68*ext_gold,0)</x:f>
        <x:v>16.205581456470693</x:v>
      </x:c>
      <x:c r="E68" s="53" t="n">
        <x:f>SUMPRODUCT((Events!$B$6:$B$158&lt;=$A68)*(Events!$C$6:$C$158&gt;=$A68)*(Events!$E$6:$E$158="Loan")*(Events!$J$6:$J$158="Yes")*Events!$H$6:$H$158)+SUMPRODUCT((Events!$B$6:$B$158&lt;=$A68)*(Events!$C$6:$C$158&gt;=$A68)*(Events!$E$6:$E$158="Purchase")*(Events!$J$6:$J$158="Yes")*Events!$H$6:$H$158)</x:f>
        <x:v>0</x:v>
      </x:c>
      <x:c r="F68" s="53" t="n">
        <x:f>MAX(0,B68+C68+D68-E68)</x:f>
        <x:v>613.1945992056441</x:v>
      </x:c>
      <x:c r="G68" s="53" t="n">
        <x:f>IF(OR($A68=1931,$A68=1932),cb_buy/2,0)</x:f>
        <x:v>0</x:v>
      </x:c>
      <x:c r="H68" s="53" t="n">
        <x:f>H67+G68</x:f>
        <x:v>0</x:v>
      </x:c>
      <x:c r="I68" s="53" t="n">
        <x:f>Economy!O68*money_ratio+H68</x:f>
        <x:v>567.1953509764743</x:v>
      </x:c>
      <x:c r="J68" s="53" t="n">
        <x:f>I68*gold_cover</x:f>
        <x:v>226.87814039058972</x:v>
      </x:c>
      <x:c r="K68" s="53" t="n">
        <x:f>F68-J68</x:f>
        <x:v>386.3164588150544</x:v>
      </x:c>
      <x:c r="L68" s="63" t="n">
        <x:f>IF(I68&gt;0,F68/I68,0)</x:f>
        <x:v>1.0810994803641782</x:v>
      </x:c>
      <x:c r="M68" s="63" t="n">
        <x:f>IF(Paths!AD68&gt;0,F68/Paths!AD68,0)</x:f>
        <x:v>0.09058865404131246</x:v>
      </x:c>
    </x:row>
    <x:row r="69">
      <x:c r="A69" s="58" t="n">
        <x:v>1909</x:v>
      </x:c>
      <x:c r="B69" s="53" t="n">
        <x:f>F68</x:f>
        <x:v>613.1945992056441</x:v>
      </x:c>
      <x:c r="C69" s="69" t="n">
        <x:f>Resources!R69</x:f>
        <x:v>17.926666666666666</x:v>
      </x:c>
      <x:c r="D69" s="53" t="n">
        <x:f>IF($A69&gt;=1850,Economy!O69*ext_gold,0)</x:f>
        <x:v>18.67908800518913</x:v>
      </x:c>
      <x:c r="E69" s="53" t="n">
        <x:f>SUMPRODUCT((Events!$B$6:$B$158&lt;=$A69)*(Events!$C$6:$C$158&gt;=$A69)*(Events!$E$6:$E$158="Loan")*(Events!$J$6:$J$158="Yes")*Events!$H$6:$H$158)+SUMPRODUCT((Events!$B$6:$B$158&lt;=$A69)*(Events!$C$6:$C$158&gt;=$A69)*(Events!$E$6:$E$158="Purchase")*(Events!$J$6:$J$158="Yes")*Events!$H$6:$H$158)</x:f>
        <x:v>0</x:v>
      </x:c>
      <x:c r="F69" s="53" t="n">
        <x:f>MAX(0,B69+C69+D69-E69)</x:f>
        <x:v>649.8003538774998</x:v>
      </x:c>
      <x:c r="G69" s="53" t="n">
        <x:f>IF(OR($A69=1931,$A69=1932),cb_buy/2,0)</x:f>
        <x:v>0</x:v>
      </x:c>
      <x:c r="H69" s="53" t="n">
        <x:f>H68+G69</x:f>
        <x:v>0</x:v>
      </x:c>
      <x:c r="I69" s="53" t="n">
        <x:f>Economy!O69*money_ratio+H69</x:f>
        <x:v>653.7680801816196</x:v>
      </x:c>
      <x:c r="J69" s="53" t="n">
        <x:f>I69*gold_cover</x:f>
        <x:v>261.5072320726478</x:v>
      </x:c>
      <x:c r="K69" s="53" t="n">
        <x:f>F69-J69</x:f>
        <x:v>388.293121804852</x:v>
      </x:c>
      <x:c r="L69" s="63" t="n">
        <x:f>IF(I69&gt;0,F69/I69,0)</x:f>
        <x:v>0.9939309880301628</x:v>
      </x:c>
      <x:c r="M69" s="63" t="n">
        <x:f>IF(Paths!AD69&gt;0,F69/Paths!AD69,0)</x:f>
        <x:v>0.09263012884925158</x:v>
      </x:c>
    </x:row>
    <x:row r="70">
      <x:c r="A70" s="58" t="n">
        <x:v>1910</x:v>
      </x:c>
      <x:c r="B70" s="53" t="n">
        <x:f>F69</x:f>
        <x:v>649.8003538774998</x:v>
      </x:c>
      <x:c r="C70" s="69" t="n">
        <x:f>Resources!R70</x:f>
        <x:v>18</x:v>
      </x:c>
      <x:c r="D70" s="53" t="n">
        <x:f>IF($A70&gt;=1850,Economy!O70*ext_gold,0)</x:f>
        <x:v>20.457269890613926</x:v>
      </x:c>
      <x:c r="E70" s="53" t="n">
        <x:f>SUMPRODUCT((Events!$B$6:$B$158&lt;=$A70)*(Events!$C$6:$C$158&gt;=$A70)*(Events!$E$6:$E$158="Loan")*(Events!$J$6:$J$158="Yes")*Events!$H$6:$H$158)+SUMPRODUCT((Events!$B$6:$B$158&lt;=$A70)*(Events!$C$6:$C$158&gt;=$A70)*(Events!$E$6:$E$158="Purchase")*(Events!$J$6:$J$158="Yes")*Events!$H$6:$H$158)</x:f>
        <x:v>0</x:v>
      </x:c>
      <x:c r="F70" s="53" t="n">
        <x:f>MAX(0,B70+C70+D70-E70)</x:f>
        <x:v>688.2576237681137</x:v>
      </x:c>
      <x:c r="G70" s="53" t="n">
        <x:f>IF(OR($A70=1931,$A70=1932),cb_buy/2,0)</x:f>
        <x:v>0</x:v>
      </x:c>
      <x:c r="H70" s="53" t="n">
        <x:f>H69+G70</x:f>
        <x:v>0</x:v>
      </x:c>
      <x:c r="I70" s="53" t="n">
        <x:f>Economy!O70*money_ratio+H70</x:f>
        <x:v>716.0044461714875</x:v>
      </x:c>
      <x:c r="J70" s="53" t="n">
        <x:f>I70*gold_cover</x:f>
        <x:v>286.401778468595</x:v>
      </x:c>
      <x:c r="K70" s="53" t="n">
        <x:f>F70-J70</x:f>
        <x:v>401.8558452995187</x:v>
      </x:c>
      <x:c r="L70" s="63" t="n">
        <x:f>IF(I70&gt;0,F70/I70,0)</x:f>
        <x:v>0.9612476953855</x:v>
      </x:c>
      <x:c r="M70" s="63" t="n">
        <x:f>IF(Paths!AD70&gt;0,F70/Paths!AD70,0)</x:f>
        <x:v>0.09477521671276697</x:v>
      </x:c>
    </x:row>
    <x:row r="71">
      <x:c r="A71" s="58" t="n">
        <x:v>1911</x:v>
      </x:c>
      <x:c r="B71" s="53" t="n">
        <x:f>F70</x:f>
        <x:v>688.2576237681137</x:v>
      </x:c>
      <x:c r="C71" s="69" t="n">
        <x:f>Resources!R71</x:f>
        <x:v>17.94</x:v>
      </x:c>
      <x:c r="D71" s="53" t="n">
        <x:f>IF($A71&gt;=1850,Economy!O71*ext_gold,0)</x:f>
        <x:v>22.29642414593643</x:v>
      </x:c>
      <x:c r="E71" s="53" t="n">
        <x:f>SUMPRODUCT((Events!$B$6:$B$158&lt;=$A71)*(Events!$C$6:$C$158&gt;=$A71)*(Events!$E$6:$E$158="Loan")*(Events!$J$6:$J$158="Yes")*Events!$H$6:$H$158)+SUMPRODUCT((Events!$B$6:$B$158&lt;=$A71)*(Events!$C$6:$C$158&gt;=$A71)*(Events!$E$6:$E$158="Purchase")*(Events!$J$6:$J$158="Yes")*Events!$H$6:$H$158)</x:f>
        <x:v>0</x:v>
      </x:c>
      <x:c r="F71" s="53" t="n">
        <x:f>MAX(0,B71+C71+D71-E71)</x:f>
        <x:v>728.4940479140502</x:v>
      </x:c>
      <x:c r="G71" s="53" t="n">
        <x:f>IF(OR($A71=1931,$A71=1932),cb_buy/2,0)</x:f>
        <x:v>0</x:v>
      </x:c>
      <x:c r="H71" s="53" t="n">
        <x:f>H70+G71</x:f>
        <x:v>0</x:v>
      </x:c>
      <x:c r="I71" s="53" t="n">
        <x:f>Economy!O71*money_ratio+H71</x:f>
        <x:v>780.3748451077752</x:v>
      </x:c>
      <x:c r="J71" s="53" t="n">
        <x:f>I71*gold_cover</x:f>
        <x:v>312.14993804311007</x:v>
      </x:c>
      <x:c r="K71" s="53" t="n">
        <x:f>F71-J71</x:f>
        <x:v>416.3441098709401</x:v>
      </x:c>
      <x:c r="L71" s="63" t="n">
        <x:f>IF(I71&gt;0,F71/I71,0)</x:f>
        <x:v>0.9335181066906892</x:v>
      </x:c>
      <x:c r="M71" s="63" t="n">
        <x:f>IF(Paths!AD71&gt;0,F71/Paths!AD71,0)</x:f>
        <x:v>0.09702904207699123</x:v>
      </x:c>
    </x:row>
    <x:row r="72">
      <x:c r="A72" s="58" t="n">
        <x:v>1912</x:v>
      </x:c>
      <x:c r="B72" s="53" t="n">
        <x:f>F71</x:f>
        <x:v>728.4940479140502</x:v>
      </x:c>
      <x:c r="C72" s="69" t="n">
        <x:f>Resources!R72</x:f>
        <x:v>17.880000000000003</x:v>
      </x:c>
      <x:c r="D72" s="53" t="n">
        <x:f>IF($A72&gt;=1850,Economy!O72*ext_gold,0)</x:f>
        <x:v>24.318502709582532</x:v>
      </x:c>
      <x:c r="E72" s="53" t="n">
        <x:f>SUMPRODUCT((Events!$B$6:$B$158&lt;=$A72)*(Events!$C$6:$C$158&gt;=$A72)*(Events!$E$6:$E$158="Loan")*(Events!$J$6:$J$158="Yes")*Events!$H$6:$H$158)+SUMPRODUCT((Events!$B$6:$B$158&lt;=$A72)*(Events!$C$6:$C$158&gt;=$A72)*(Events!$E$6:$E$158="Purchase")*(Events!$J$6:$J$158="Yes")*Events!$H$6:$H$158)</x:f>
        <x:v>0</x:v>
      </x:c>
      <x:c r="F72" s="53" t="n">
        <x:f>MAX(0,B72+C72+D72-E72)</x:f>
        <x:v>770.6925506236327</x:v>
      </x:c>
      <x:c r="G72" s="53" t="n">
        <x:f>IF(OR($A72=1931,$A72=1932),cb_buy/2,0)</x:f>
        <x:v>0</x:v>
      </x:c>
      <x:c r="H72" s="53" t="n">
        <x:f>H71+G72</x:f>
        <x:v>0</x:v>
      </x:c>
      <x:c r="I72" s="53" t="n">
        <x:f>Economy!O72*money_ratio+H72</x:f>
        <x:v>851.1475948353886</x:v>
      </x:c>
      <x:c r="J72" s="53" t="n">
        <x:f>I72*gold_cover</x:f>
        <x:v>340.4590379341555</x:v>
      </x:c>
      <x:c r="K72" s="53" t="n">
        <x:f>F72-J72</x:f>
        <x:v>430.23351268947715</x:v>
      </x:c>
      <x:c r="L72" s="63" t="n">
        <x:f>IF(I72&gt;0,F72/I72,0)</x:f>
        <x:v>0.9054746266100699</x:v>
      </x:c>
      <x:c r="M72" s="63" t="n">
        <x:f>IF(Paths!AD72&gt;0,F72/Paths!AD72,0)</x:f>
        <x:v>0.09939290051891059</x:v>
      </x:c>
    </x:row>
    <x:row r="73">
      <x:c r="A73" s="58" t="n">
        <x:v>1913</x:v>
      </x:c>
      <x:c r="B73" s="53" t="n">
        <x:f>F72</x:f>
        <x:v>770.6925506236327</x:v>
      </x:c>
      <x:c r="C73" s="69" t="n">
        <x:f>Resources!R73</x:f>
        <x:v>17.82</x:v>
      </x:c>
      <x:c r="D73" s="53" t="n">
        <x:f>IF($A73&gt;=1850,Economy!O73*ext_gold,0)</x:f>
        <x:v>26.47273470534089</x:v>
      </x:c>
      <x:c r="E73" s="53" t="n">
        <x:f>SUMPRODUCT((Events!$B$6:$B$158&lt;=$A73)*(Events!$C$6:$C$158&gt;=$A73)*(Events!$E$6:$E$158="Loan")*(Events!$J$6:$J$158="Yes")*Events!$H$6:$H$158)+SUMPRODUCT((Events!$B$6:$B$158&lt;=$A73)*(Events!$C$6:$C$158&gt;=$A73)*(Events!$E$6:$E$158="Purchase")*(Events!$J$6:$J$158="Yes")*Events!$H$6:$H$158)</x:f>
        <x:v>0</x:v>
      </x:c>
      <x:c r="F73" s="53" t="n">
        <x:f>MAX(0,B73+C73+D73-E73)</x:f>
        <x:v>814.9852853289736</x:v>
      </x:c>
      <x:c r="G73" s="53" t="n">
        <x:f>IF(OR($A73=1931,$A73=1932),cb_buy/2,0)</x:f>
        <x:v>0</x:v>
      </x:c>
      <x:c r="H73" s="53" t="n">
        <x:f>H72+G73</x:f>
        <x:v>0</x:v>
      </x:c>
      <x:c r="I73" s="53" t="n">
        <x:f>Economy!O73*money_ratio+H73</x:f>
        <x:v>926.5457146869312</x:v>
      </x:c>
      <x:c r="J73" s="53" t="n">
        <x:f>I73*gold_cover</x:f>
        <x:v>370.6182858747725</x:v>
      </x:c>
      <x:c r="K73" s="53" t="n">
        <x:f>F73-J73</x:f>
        <x:v>444.36699945420116</x:v>
      </x:c>
      <x:c r="L73" s="63" t="n">
        <x:f>IF(I73&gt;0,F73/I73,0)</x:f>
        <x:v>0.8795953317903451</x:v>
      </x:c>
      <x:c r="M73" s="63" t="n">
        <x:f>IF(Paths!AD73&gt;0,F73/Paths!AD73,0)</x:f>
        <x:v>0.1018731606661217</x:v>
      </x:c>
    </x:row>
    <x:row r="74">
      <x:c r="A74" s="61" t="n">
        <x:v>1914</x:v>
      </x:c>
      <x:c r="B74" s="53" t="n">
        <x:f>F73</x:f>
        <x:v>814.9852853289736</x:v>
      </x:c>
      <x:c r="C74" s="69" t="n">
        <x:f>Resources!R74</x:f>
        <x:v>17.66</x:v>
      </x:c>
      <x:c r="D74" s="53" t="n">
        <x:f>IF($A74&gt;=1850,Economy!O74*ext_gold,0)</x:f>
        <x:v>27.590206390127598</x:v>
      </x:c>
      <x:c r="E74" s="53" t="n">
        <x:f>SUMPRODUCT((Events!$B$6:$B$158&lt;=$A74)*(Events!$C$6:$C$158&gt;=$A74)*(Events!$E$6:$E$158="Loan")*(Events!$J$6:$J$158="Yes")*Events!$H$6:$H$158)+SUMPRODUCT((Events!$B$6:$B$158&lt;=$A74)*(Events!$C$6:$C$158&gt;=$A74)*(Events!$E$6:$E$158="Purchase")*(Events!$J$6:$J$158="Yes")*Events!$H$6:$H$158)</x:f>
        <x:v>0</x:v>
      </x:c>
      <x:c r="F74" s="53" t="n">
        <x:f>MAX(0,B74+C74+D74-E74)</x:f>
        <x:v>860.2354917191012</x:v>
      </x:c>
      <x:c r="G74" s="53" t="n">
        <x:f>IF(OR($A74=1931,$A74=1932),cb_buy/2,0)</x:f>
        <x:v>0</x:v>
      </x:c>
      <x:c r="H74" s="53" t="n">
        <x:f>H73+G74</x:f>
        <x:v>0</x:v>
      </x:c>
      <x:c r="I74" s="53" t="n">
        <x:f>Economy!O74*money_ratio+H74</x:f>
        <x:v>965.6572236544661</x:v>
      </x:c>
      <x:c r="J74" s="53" t="n">
        <x:f>I74*gold_cover</x:f>
        <x:v>386.2628894617865</x:v>
      </x:c>
      <x:c r="K74" s="53" t="n">
        <x:f>F74-J74</x:f>
        <x:v>473.97260225731475</x:v>
      </x:c>
      <x:c r="L74" s="63" t="n">
        <x:f>IF(I74&gt;0,F74/I74,0)</x:f>
        <x:v>0.8908290339957244</x:v>
      </x:c>
      <x:c r="M74" s="63" t="n">
        <x:f>IF(Paths!AD74&gt;0,F74/Paths!AD74,0)</x:f>
        <x:v>0.10658350783287092</x:v>
      </x:c>
    </x:row>
    <x:row r="75">
      <x:c r="A75" s="61" t="n">
        <x:v>1915</x:v>
      </x:c>
      <x:c r="B75" s="53" t="n">
        <x:f>F74</x:f>
        <x:v>860.2354917191012</x:v>
      </x:c>
      <x:c r="C75" s="69" t="n">
        <x:f>Resources!R75</x:f>
        <x:v>17.5</x:v>
      </x:c>
      <x:c r="D75" s="53" t="n">
        <x:f>IF($A75&gt;=1850,Economy!O75*ext_gold,0)</x:f>
        <x:v>30.88005798269036</x:v>
      </x:c>
      <x:c r="E75" s="53" t="n">
        <x:f>SUMPRODUCT((Events!$B$6:$B$158&lt;=$A75)*(Events!$C$6:$C$158&gt;=$A75)*(Events!$E$6:$E$158="Loan")*(Events!$J$6:$J$158="Yes")*Events!$H$6:$H$158)+SUMPRODUCT((Events!$B$6:$B$158&lt;=$A75)*(Events!$C$6:$C$158&gt;=$A75)*(Events!$E$6:$E$158="Purchase")*(Events!$J$6:$J$158="Yes")*Events!$H$6:$H$158)</x:f>
        <x:v>0</x:v>
      </x:c>
      <x:c r="F75" s="53" t="n">
        <x:f>MAX(0,B75+C75+D75-E75)</x:f>
        <x:v>908.6155497017916</x:v>
      </x:c>
      <x:c r="G75" s="53" t="n">
        <x:f>IF(OR($A75=1931,$A75=1932),cb_buy/2,0)</x:f>
        <x:v>0</x:v>
      </x:c>
      <x:c r="H75" s="53" t="n">
        <x:f>H74+G75</x:f>
        <x:v>0</x:v>
      </x:c>
      <x:c r="I75" s="53" t="n">
        <x:f>Economy!O75*money_ratio+H75</x:f>
        <x:v>1080.8020293941627</x:v>
      </x:c>
      <x:c r="J75" s="53" t="n">
        <x:f>I75*gold_cover</x:f>
        <x:v>432.32081175766507</x:v>
      </x:c>
      <x:c r="K75" s="53" t="n">
        <x:f>F75-J75</x:f>
        <x:v>476.2947379441265</x:v>
      </x:c>
      <x:c r="L75" s="63" t="n">
        <x:f>IF(I75&gt;0,F75/I75,0)</x:f>
        <x:v>0.8406863838062099</x:v>
      </x:c>
      <x:c r="M75" s="63" t="n">
        <x:f>IF(Paths!AD75&gt;0,F75/Paths!AD75,0)</x:f>
        <x:v>0.1115824081667434</x:v>
      </x:c>
    </x:row>
    <x:row r="76">
      <x:c r="A76" s="61" t="n">
        <x:v>1916</x:v>
      </x:c>
      <x:c r="B76" s="53" t="n">
        <x:f>F75</x:f>
        <x:v>908.6155497017916</x:v>
      </x:c>
      <x:c r="C76" s="69" t="n">
        <x:f>Resources!R76</x:f>
        <x:v>16.36</x:v>
      </x:c>
      <x:c r="D76" s="53" t="n">
        <x:f>IF($A76&gt;=1850,Economy!O76*ext_gold,0)</x:f>
        <x:v>36.628986286289546</x:v>
      </x:c>
      <x:c r="E76" s="53" t="n">
        <x:f>SUMPRODUCT((Events!$B$6:$B$158&lt;=$A76)*(Events!$C$6:$C$158&gt;=$A76)*(Events!$E$6:$E$158="Loan")*(Events!$J$6:$J$158="Yes")*Events!$H$6:$H$158)+SUMPRODUCT((Events!$B$6:$B$158&lt;=$A76)*(Events!$C$6:$C$158&gt;=$A76)*(Events!$E$6:$E$158="Purchase")*(Events!$J$6:$J$158="Yes")*Events!$H$6:$H$158)</x:f>
        <x:v>0</x:v>
      </x:c>
      <x:c r="F76" s="53" t="n">
        <x:f>MAX(0,B76+C76+D76-E76)</x:f>
        <x:v>961.6045359880811</x:v>
      </x:c>
      <x:c r="G76" s="53" t="n">
        <x:f>IF(OR($A76=1931,$A76=1932),cb_buy/2,0)</x:f>
        <x:v>0</x:v>
      </x:c>
      <x:c r="H76" s="53" t="n">
        <x:f>H75+G76</x:f>
        <x:v>0</x:v>
      </x:c>
      <x:c r="I76" s="53" t="n">
        <x:f>Economy!O76*money_ratio+H76</x:f>
        <x:v>1282.0145200201343</x:v>
      </x:c>
      <x:c r="J76" s="53" t="n">
        <x:f>I76*gold_cover</x:f>
        <x:v>512.8058080080538</x:v>
      </x:c>
      <x:c r="K76" s="53" t="n">
        <x:f>F76-J76</x:f>
        <x:v>448.79872798002737</x:v>
      </x:c>
      <x:c r="L76" s="63" t="n">
        <x:f>IF(I76&gt;0,F76/I76,0)</x:f>
        <x:v>0.7500730459534725</x:v>
      </x:c>
      <x:c r="M76" s="63" t="n">
        <x:f>IF(Paths!AD76&gt;0,F76/Paths!AD76,0)</x:f>
        <x:v>0.117068971997575</x:v>
      </x:c>
    </x:row>
    <x:row r="77">
      <x:c r="A77" s="61" t="n">
        <x:v>1917</x:v>
      </x:c>
      <x:c r="B77" s="53" t="n">
        <x:f>F76</x:f>
        <x:v>961.6045359880811</x:v>
      </x:c>
      <x:c r="C77" s="69" t="n">
        <x:f>Resources!R77</x:f>
        <x:v>15.22</x:v>
      </x:c>
      <x:c r="D77" s="53" t="n">
        <x:f>IF($A77&gt;=1850,Economy!O77*ext_gold,0)</x:f>
        <x:v>46.06746691835271</x:v>
      </x:c>
      <x:c r="E77" s="53" t="n">
        <x:f>SUMPRODUCT((Events!$B$6:$B$158&lt;=$A77)*(Events!$C$6:$C$158&gt;=$A77)*(Events!$E$6:$E$158="Loan")*(Events!$J$6:$J$158="Yes")*Events!$H$6:$H$158)+SUMPRODUCT((Events!$B$6:$B$158&lt;=$A77)*(Events!$C$6:$C$158&gt;=$A77)*(Events!$E$6:$E$158="Purchase")*(Events!$J$6:$J$158="Yes")*Events!$H$6:$H$158)</x:f>
        <x:v>0</x:v>
      </x:c>
      <x:c r="F77" s="53" t="n">
        <x:f>MAX(0,B77+C77+D77-E77)</x:f>
        <x:v>1022.8920029064338</x:v>
      </x:c>
      <x:c r="G77" s="53" t="n">
        <x:f>IF(OR($A77=1931,$A77=1932),cb_buy/2,0)</x:f>
        <x:v>0</x:v>
      </x:c>
      <x:c r="H77" s="53" t="n">
        <x:f>H76+G77</x:f>
        <x:v>0</x:v>
      </x:c>
      <x:c r="I77" s="53" t="n">
        <x:f>Economy!O77*money_ratio+H77</x:f>
        <x:v>1612.361342142345</x:v>
      </x:c>
      <x:c r="J77" s="53" t="n">
        <x:f>I77*gold_cover</x:f>
        <x:v>644.944536856938</x:v>
      </x:c>
      <x:c r="K77" s="53" t="n">
        <x:f>F77-J77</x:f>
        <x:v>377.9474660494958</x:v>
      </x:c>
      <x:c r="L77" s="63" t="n">
        <x:f>IF(I77&gt;0,F77/I77,0)</x:f>
        <x:v>0.6344061818967435</x:v>
      </x:c>
      <x:c r="M77" s="63" t="n">
        <x:f>IF(Paths!AD77&gt;0,F77/Paths!AD77,0)</x:f>
        <x:v>0.12344822627400844</x:v>
      </x:c>
    </x:row>
    <x:row r="78">
      <x:c r="A78" s="61" t="n">
        <x:v>1918</x:v>
      </x:c>
      <x:c r="B78" s="53" t="n">
        <x:f>F77</x:f>
        <x:v>1022.8920029064338</x:v>
      </x:c>
      <x:c r="C78" s="69" t="n">
        <x:f>Resources!R78</x:f>
        <x:v>14.08</x:v>
      </x:c>
      <x:c r="D78" s="53" t="n">
        <x:f>IF($A78&gt;=1850,Economy!O78*ext_gold,0)</x:f>
        <x:v>55.41500945096877</x:v>
      </x:c>
      <x:c r="E78" s="53" t="n">
        <x:f>SUMPRODUCT((Events!$B$6:$B$158&lt;=$A78)*(Events!$C$6:$C$158&gt;=$A78)*(Events!$E$6:$E$158="Loan")*(Events!$J$6:$J$158="Yes")*Events!$H$6:$H$158)+SUMPRODUCT((Events!$B$6:$B$158&lt;=$A78)*(Events!$C$6:$C$158&gt;=$A78)*(Events!$E$6:$E$158="Purchase")*(Events!$J$6:$J$158="Yes")*Events!$H$6:$H$158)</x:f>
        <x:v>0</x:v>
      </x:c>
      <x:c r="F78" s="53" t="n">
        <x:f>MAX(0,B78+C78+D78-E78)</x:f>
        <x:v>1092.3870123574025</x:v>
      </x:c>
      <x:c r="G78" s="53" t="n">
        <x:f>IF(OR($A78=1931,$A78=1932),cb_buy/2,0)</x:f>
        <x:v>0</x:v>
      </x:c>
      <x:c r="H78" s="53" t="n">
        <x:f>H77+G78</x:f>
        <x:v>0</x:v>
      </x:c>
      <x:c r="I78" s="53" t="n">
        <x:f>Economy!O78*money_ratio+H78</x:f>
        <x:v>1939.525330783907</x:v>
      </x:c>
      <x:c r="J78" s="53" t="n">
        <x:f>I78*gold_cover</x:f>
        <x:v>775.8101323135629</x:v>
      </x:c>
      <x:c r="K78" s="53" t="n">
        <x:f>F78-J78</x:f>
        <x:v>316.57688004383954</x:v>
      </x:c>
      <x:c r="L78" s="63" t="n">
        <x:f>IF(I78&gt;0,F78/I78,0)</x:f>
        <x:v>0.5632238955682457</x:v>
      </x:c>
      <x:c r="M78" s="63" t="n">
        <x:f>IF(Paths!AD78&gt;0,F78/Paths!AD78,0)</x:f>
        <x:v>0.13071521028567698</x:v>
      </x:c>
    </x:row>
    <x:row r="79">
      <x:c r="A79" s="61" t="n">
        <x:v>1919</x:v>
      </x:c>
      <x:c r="B79" s="53" t="n">
        <x:f>F78</x:f>
        <x:v>1092.3870123574025</x:v>
      </x:c>
      <x:c r="C79" s="69" t="n">
        <x:f>Resources!R79</x:f>
        <x:v>12.940000000000001</x:v>
      </x:c>
      <x:c r="D79" s="53" t="n">
        <x:f>IF($A79&gt;=1850,Economy!O79*ext_gold,0)</x:f>
        <x:v>62.90744857844385</x:v>
      </x:c>
      <x:c r="E79" s="53" t="n">
        <x:f>SUMPRODUCT((Events!$B$6:$B$158&lt;=$A79)*(Events!$C$6:$C$158&gt;=$A79)*(Events!$E$6:$E$158="Loan")*(Events!$J$6:$J$158="Yes")*Events!$H$6:$H$158)+SUMPRODUCT((Events!$B$6:$B$158&lt;=$A79)*(Events!$C$6:$C$158&gt;=$A79)*(Events!$E$6:$E$158="Purchase")*(Events!$J$6:$J$158="Yes")*Events!$H$6:$H$158)</x:f>
        <x:v>0</x:v>
      </x:c>
      <x:c r="F79" s="53" t="n">
        <x:f>MAX(0,B79+C79+D79-E79)</x:f>
        <x:v>1168.2344609358463</x:v>
      </x:c>
      <x:c r="G79" s="53" t="n">
        <x:f>IF(OR($A79=1931,$A79=1932),cb_buy/2,0)</x:f>
        <x:v>0</x:v>
      </x:c>
      <x:c r="H79" s="53" t="n">
        <x:f>H78+G79</x:f>
        <x:v>0</x:v>
      </x:c>
      <x:c r="I79" s="53" t="n">
        <x:f>Economy!O79*money_ratio+H79</x:f>
        <x:v>2201.7607002455347</x:v>
      </x:c>
      <x:c r="J79" s="53" t="n">
        <x:f>I79*gold_cover</x:f>
        <x:v>880.704280098214</x:v>
      </x:c>
      <x:c r="K79" s="53" t="n">
        <x:f>F79-J79</x:f>
        <x:v>287.5301808376323</x:v>
      </x:c>
      <x:c r="L79" s="63" t="n">
        <x:f>IF(I79&gt;0,F79/I79,0)</x:f>
        <x:v>0.5305910223602264</x:v>
      </x:c>
      <x:c r="M79" s="63" t="n">
        <x:f>IF(Paths!AD79&gt;0,F79/Paths!AD79,0)</x:f>
        <x:v>0.13859704127842523</x:v>
      </x:c>
    </x:row>
    <x:row r="80">
      <x:c r="A80" s="61" t="n">
        <x:v>1920</x:v>
      </x:c>
      <x:c r="B80" s="53" t="n">
        <x:f>F79</x:f>
        <x:v>1168.2344609358463</x:v>
      </x:c>
      <x:c r="C80" s="69" t="n">
        <x:f>Resources!R80</x:f>
        <x:v>11.8</x:v>
      </x:c>
      <x:c r="D80" s="53" t="n">
        <x:f>IF($A80&gt;=1850,Economy!O80*ext_gold,0)</x:f>
        <x:v>73.80185530900191</x:v>
      </x:c>
      <x:c r="E80" s="53" t="n">
        <x:f>SUMPRODUCT((Events!$B$6:$B$158&lt;=$A80)*(Events!$C$6:$C$158&gt;=$A80)*(Events!$E$6:$E$158="Loan")*(Events!$J$6:$J$158="Yes")*Events!$H$6:$H$158)+SUMPRODUCT((Events!$B$6:$B$158&lt;=$A80)*(Events!$C$6:$C$158&gt;=$A80)*(Events!$E$6:$E$158="Purchase")*(Events!$J$6:$J$158="Yes")*Events!$H$6:$H$158)</x:f>
        <x:v>0</x:v>
      </x:c>
      <x:c r="F80" s="53" t="n">
        <x:f>MAX(0,B80+C80+D80-E80)</x:f>
        <x:v>1253.8363162448481</x:v>
      </x:c>
      <x:c r="G80" s="53" t="n">
        <x:f>IF(OR($A80=1931,$A80=1932),cb_buy/2,0)</x:f>
        <x:v>0</x:v>
      </x:c>
      <x:c r="H80" s="53" t="n">
        <x:f>H79+G80</x:f>
        <x:v>0</x:v>
      </x:c>
      <x:c r="I80" s="53" t="n">
        <x:f>Economy!O80*money_ratio+H80</x:f>
        <x:v>2583.064935815067</x:v>
      </x:c>
      <x:c r="J80" s="53" t="n">
        <x:f>I80*gold_cover</x:f>
        <x:v>1033.225974326027</x:v>
      </x:c>
      <x:c r="K80" s="53" t="n">
        <x:f>F80-J80</x:f>
        <x:v>220.61034191882118</x:v>
      </x:c>
      <x:c r="L80" s="63" t="n">
        <x:f>IF(I80&gt;0,F80/I80,0)</x:f>
        <x:v>0.48540642508052523</x:v>
      </x:c>
      <x:c r="M80" s="63" t="n">
        <x:f>IF(Paths!AD80&gt;0,F80/Paths!AD80,0)</x:f>
        <x:v>0.14751015485233507</x:v>
      </x:c>
    </x:row>
    <x:row r="81">
      <x:c r="A81" s="61" t="n">
        <x:v>1921</x:v>
      </x:c>
      <x:c r="B81" s="53" t="n">
        <x:f>F80</x:f>
        <x:v>1253.8363162448481</x:v>
      </x:c>
      <x:c r="C81" s="69" t="n">
        <x:f>Resources!R81</x:f>
        <x:v>11.582222222222224</x:v>
      </x:c>
      <x:c r="D81" s="53" t="n">
        <x:f>IF($A81&gt;=1850,Economy!O81*ext_gold,0)</x:f>
        <x:v>60.37752918685022</x:v>
      </x:c>
      <x:c r="E81" s="53" t="n">
        <x:f>SUMPRODUCT((Events!$B$6:$B$158&lt;=$A81)*(Events!$C$6:$C$158&gt;=$A81)*(Events!$E$6:$E$158="Loan")*(Events!$J$6:$J$158="Yes")*Events!$H$6:$H$158)+SUMPRODUCT((Events!$B$6:$B$158&lt;=$A81)*(Events!$C$6:$C$158&gt;=$A81)*(Events!$E$6:$E$158="Purchase")*(Events!$J$6:$J$158="Yes")*Events!$H$6:$H$158)</x:f>
        <x:v>0</x:v>
      </x:c>
      <x:c r="F81" s="53" t="n">
        <x:f>MAX(0,B81+C81+D81-E81)</x:f>
        <x:v>1325.7960676539208</x:v>
      </x:c>
      <x:c r="G81" s="53" t="n">
        <x:f>IF(OR($A81=1931,$A81=1932),cb_buy/2,0)</x:f>
        <x:v>0</x:v>
      </x:c>
      <x:c r="H81" s="53" t="n">
        <x:f>H80+G81</x:f>
        <x:v>0</x:v>
      </x:c>
      <x:c r="I81" s="53" t="n">
        <x:f>Economy!O81*money_ratio+H81</x:f>
        <x:v>2113.213521539758</x:v>
      </x:c>
      <x:c r="J81" s="53" t="n">
        <x:f>I81*gold_cover</x:f>
        <x:v>845.2854086159032</x:v>
      </x:c>
      <x:c r="K81" s="53" t="n">
        <x:f>F81-J81</x:f>
        <x:v>480.5106590380176</x:v>
      </x:c>
      <x:c r="L81" s="63" t="n">
        <x:f>IF(I81&gt;0,F81/I81,0)</x:f>
        <x:v>0.6273838654448423</x:v>
      </x:c>
      <x:c r="M81" s="63" t="n">
        <x:f>IF(Paths!AD81&gt;0,F81/Paths!AD81,0)</x:f>
        <x:v>0.15239035260389894</x:v>
      </x:c>
    </x:row>
    <x:row r="82">
      <x:c r="A82" s="61" t="n">
        <x:v>1922</x:v>
      </x:c>
      <x:c r="B82" s="53" t="n">
        <x:f>F81</x:f>
        <x:v>1325.7960676539208</x:v>
      </x:c>
      <x:c r="C82" s="69" t="n">
        <x:f>Resources!R82</x:f>
        <x:v>11.364444444444445</x:v>
      </x:c>
      <x:c r="D82" s="53" t="n">
        <x:f>IF($A82&gt;=1850,Economy!O82*ext_gold,0)</x:f>
        <x:v>62.63891811521316</x:v>
      </x:c>
      <x:c r="E82" s="53" t="n">
        <x:f>SUMPRODUCT((Events!$B$6:$B$158&lt;=$A82)*(Events!$C$6:$C$158&gt;=$A82)*(Events!$E$6:$E$158="Loan")*(Events!$J$6:$J$158="Yes")*Events!$H$6:$H$158)+SUMPRODUCT((Events!$B$6:$B$158&lt;=$A82)*(Events!$C$6:$C$158&gt;=$A82)*(Events!$E$6:$E$158="Purchase")*(Events!$J$6:$J$158="Yes")*Events!$H$6:$H$158)</x:f>
        <x:v>0</x:v>
      </x:c>
      <x:c r="F82" s="53" t="n">
        <x:f>MAX(0,B82+C82+D82-E82)</x:f>
        <x:v>1399.7994302135783</x:v>
      </x:c>
      <x:c r="G82" s="53" t="n">
        <x:f>IF(OR($A82=1931,$A82=1932),cb_buy/2,0)</x:f>
        <x:v>0</x:v>
      </x:c>
      <x:c r="H82" s="53" t="n">
        <x:f>H81+G82</x:f>
        <x:v>0</x:v>
      </x:c>
      <x:c r="I82" s="53" t="n">
        <x:f>Economy!O82*money_ratio+H82</x:f>
        <x:v>2192.3621340324607</x:v>
      </x:c>
      <x:c r="J82" s="53" t="n">
        <x:f>I82*gold_cover</x:f>
        <x:v>876.9448536129844</x:v>
      </x:c>
      <x:c r="K82" s="53" t="n">
        <x:f>F82-J82</x:f>
        <x:v>522.8545766005939</x:v>
      </x:c>
      <x:c r="L82" s="63" t="n">
        <x:f>IF(I82&gt;0,F82/I82,0)</x:f>
        <x:v>0.6384891476112552</x:v>
      </x:c>
      <x:c r="M82" s="63" t="n">
        <x:f>IF(Paths!AD82&gt;0,F82/Paths!AD82,0)</x:f>
        <x:v>0.15728083485545824</x:v>
      </x:c>
    </x:row>
    <x:row r="83">
      <x:c r="A83" s="58" t="n">
        <x:v>1923</x:v>
      </x:c>
      <x:c r="B83" s="53" t="n">
        <x:f>F82</x:f>
        <x:v>1399.7994302135783</x:v>
      </x:c>
      <x:c r="C83" s="69" t="n">
        <x:f>Resources!R83</x:f>
        <x:v>11.146666666666665</x:v>
      </x:c>
      <x:c r="D83" s="53" t="n">
        <x:f>IF($A83&gt;=1850,Economy!O83*ext_gold,0)</x:f>
        <x:v>70.82660559625354</x:v>
      </x:c>
      <x:c r="E83" s="53" t="n">
        <x:f>SUMPRODUCT((Events!$B$6:$B$158&lt;=$A83)*(Events!$C$6:$C$158&gt;=$A83)*(Events!$E$6:$E$158="Loan")*(Events!$J$6:$J$158="Yes")*Events!$H$6:$H$158)+SUMPRODUCT((Events!$B$6:$B$158&lt;=$A83)*(Events!$C$6:$C$158&gt;=$A83)*(Events!$E$6:$E$158="Purchase")*(Events!$J$6:$J$158="Yes")*Events!$H$6:$H$158)</x:f>
        <x:v>0</x:v>
      </x:c>
      <x:c r="F83" s="53" t="n">
        <x:f>MAX(0,B83+C83+D83-E83)</x:f>
        <x:v>1481.7727024764986</x:v>
      </x:c>
      <x:c r="G83" s="53" t="n">
        <x:f>IF(OR($A83=1931,$A83=1932),cb_buy/2,0)</x:f>
        <x:v>0</x:v>
      </x:c>
      <x:c r="H83" s="53" t="n">
        <x:f>H82+G83</x:f>
        <x:v>0</x:v>
      </x:c>
      <x:c r="I83" s="53" t="n">
        <x:f>Economy!O83*money_ratio+H83</x:f>
        <x:v>2478.9311958688745</x:v>
      </x:c>
      <x:c r="J83" s="53" t="n">
        <x:f>I83*gold_cover</x:f>
        <x:v>991.5724783475498</x:v>
      </x:c>
      <x:c r="K83" s="53" t="n">
        <x:f>F83-J83</x:f>
        <x:v>490.2002241289488</x:v>
      </x:c>
      <x:c r="L83" s="63" t="n">
        <x:f>IF(I83&gt;0,F83/I83,0)</x:f>
        <x:v>0.5977466034337157</x:v>
      </x:c>
      <x:c r="M83" s="63" t="n">
        <x:f>IF(Paths!AD83&gt;0,F83/Paths!AD83,0)</x:f>
        <x:v>0.16283216510730752</x:v>
      </x:c>
    </x:row>
    <x:row r="84">
      <x:c r="A84" s="58" t="n">
        <x:v>1924</x:v>
      </x:c>
      <x:c r="B84" s="53" t="n">
        <x:f>F83</x:f>
        <x:v>1481.7727024764986</x:v>
      </x:c>
      <x:c r="C84" s="69" t="n">
        <x:f>Resources!R84</x:f>
        <x:v>10.928888888888888</x:v>
      </x:c>
      <x:c r="D84" s="53" t="n">
        <x:f>IF($A84&gt;=1850,Economy!O84*ext_gold,0)</x:f>
        <x:v>75.7422561295706</x:v>
      </x:c>
      <x:c r="E84" s="53" t="n">
        <x:f>SUMPRODUCT((Events!$B$6:$B$158&lt;=$A84)*(Events!$C$6:$C$158&gt;=$A84)*(Events!$E$6:$E$158="Loan")*(Events!$J$6:$J$158="Yes")*Events!$H$6:$H$158)+SUMPRODUCT((Events!$B$6:$B$158&lt;=$A84)*(Events!$C$6:$C$158&gt;=$A84)*(Events!$E$6:$E$158="Purchase")*(Events!$J$6:$J$158="Yes")*Events!$H$6:$H$158)</x:f>
        <x:v>0</x:v>
      </x:c>
      <x:c r="F84" s="53" t="n">
        <x:f>MAX(0,B84+C84+D84-E84)</x:f>
        <x:v>1568.4438474949582</x:v>
      </x:c>
      <x:c r="G84" s="53" t="n">
        <x:f>IF(OR($A84=1931,$A84=1932),cb_buy/2,0)</x:f>
        <x:v>0</x:v>
      </x:c>
      <x:c r="H84" s="53" t="n">
        <x:f>H83+G84</x:f>
        <x:v>0</x:v>
      </x:c>
      <x:c r="I84" s="53" t="n">
        <x:f>Economy!O84*money_ratio+H84</x:f>
        <x:v>2650.9789645349715</x:v>
      </x:c>
      <x:c r="J84" s="53" t="n">
        <x:f>I84*gold_cover</x:f>
        <x:v>1060.3915858139887</x:v>
      </x:c>
      <x:c r="K84" s="53" t="n">
        <x:f>F84-J84</x:f>
        <x:v>508.0522616809694</x:v>
      </x:c>
      <x:c r="L84" s="63" t="n">
        <x:f>IF(I84&gt;0,F84/I84,0)</x:f>
        <x:v>0.5916470362374568</x:v>
      </x:c>
      <x:c r="M84" s="63" t="n">
        <x:f>IF(Paths!AD84&gt;0,F84/Paths!AD84,0)</x:f>
        <x:v>0.16864987607472667</x:v>
      </x:c>
    </x:row>
    <x:row r="85">
      <x:c r="A85" s="58" t="n">
        <x:v>1925</x:v>
      </x:c>
      <x:c r="B85" s="53" t="n">
        <x:f>F84</x:f>
        <x:v>1568.4438474949582</x:v>
      </x:c>
      <x:c r="C85" s="69" t="n">
        <x:f>Resources!R85</x:f>
        <x:v>10.71111111111111</x:v>
      </x:c>
      <x:c r="D85" s="53" t="n">
        <x:f>IF($A85&gt;=1850,Economy!O85*ext_gold,0)</x:f>
        <x:v>81.94632180698282</x:v>
      </x:c>
      <x:c r="E85" s="53" t="n">
        <x:f>SUMPRODUCT((Events!$B$6:$B$158&lt;=$A85)*(Events!$C$6:$C$158&gt;=$A85)*(Events!$E$6:$E$158="Loan")*(Events!$J$6:$J$158="Yes")*Events!$H$6:$H$158)+SUMPRODUCT((Events!$B$6:$B$158&lt;=$A85)*(Events!$C$6:$C$158&gt;=$A85)*(Events!$E$6:$E$158="Purchase")*(Events!$J$6:$J$158="Yes")*Events!$H$6:$H$158)</x:f>
        <x:v>0</x:v>
      </x:c>
      <x:c r="F85" s="53" t="n">
        <x:f>MAX(0,B85+C85+D85-E85)</x:f>
        <x:v>1661.101280413052</x:v>
      </x:c>
      <x:c r="G85" s="53" t="n">
        <x:f>IF(OR($A85=1931,$A85=1932),cb_buy/2,0)</x:f>
        <x:v>0</x:v>
      </x:c>
      <x:c r="H85" s="53" t="n">
        <x:f>H84+G85</x:f>
        <x:v>0</x:v>
      </x:c>
      <x:c r="I85" s="53" t="n">
        <x:f>Economy!O85*money_ratio+H85</x:f>
        <x:v>2868.121263244399</x:v>
      </x:c>
      <x:c r="J85" s="53" t="n">
        <x:f>I85*gold_cover</x:f>
        <x:v>1147.2485052977597</x:v>
      </x:c>
      <x:c r="K85" s="53" t="n">
        <x:f>F85-J85</x:f>
        <x:v>513.8527751152924</x:v>
      </x:c>
      <x:c r="L85" s="63" t="n">
        <x:f>IF(I85&gt;0,F85/I85,0)</x:f>
        <x:v>0.5791600591301449</x:v>
      </x:c>
      <x:c r="M85" s="63" t="n">
        <x:f>IF(Paths!AD85&gt;0,F85/Paths!AD85,0)</x:f>
        <x:v>0.17485276635926864</x:v>
      </x:c>
    </x:row>
    <x:row r="86">
      <x:c r="A86" s="58" t="n">
        <x:v>1926</x:v>
      </x:c>
      <x:c r="B86" s="53" t="n">
        <x:f>F85</x:f>
        <x:v>1661.101280413052</x:v>
      </x:c>
      <x:c r="C86" s="69" t="n">
        <x:f>Resources!R86</x:f>
        <x:v>10.533333333333335</x:v>
      </x:c>
      <x:c r="D86" s="53" t="n">
        <x:f>IF($A86&gt;=1850,Economy!O86*ext_gold,0)</x:f>
        <x:v>85.56151481244756</x:v>
      </x:c>
      <x:c r="E86" s="53" t="n">
        <x:f>SUMPRODUCT((Events!$B$6:$B$158&lt;=$A86)*(Events!$C$6:$C$158&gt;=$A86)*(Events!$E$6:$E$158="Loan")*(Events!$J$6:$J$158="Yes")*Events!$H$6:$H$158)+SUMPRODUCT((Events!$B$6:$B$158&lt;=$A86)*(Events!$C$6:$C$158&gt;=$A86)*(Events!$E$6:$E$158="Purchase")*(Events!$J$6:$J$158="Yes")*Events!$H$6:$H$158)</x:f>
        <x:v>0</x:v>
      </x:c>
      <x:c r="F86" s="53" t="n">
        <x:f>MAX(0,B86+C86+D86-E86)</x:f>
        <x:v>1757.196128558833</x:v>
      </x:c>
      <x:c r="G86" s="53" t="n">
        <x:f>IF(OR($A86=1931,$A86=1932),cb_buy/2,0)</x:f>
        <x:v>0</x:v>
      </x:c>
      <x:c r="H86" s="53" t="n">
        <x:f>H85+G86</x:f>
        <x:v>0</x:v>
      </x:c>
      <x:c r="I86" s="53" t="n">
        <x:f>Economy!O86*money_ratio+H86</x:f>
        <x:v>2994.6530184356648</x:v>
      </x:c>
      <x:c r="J86" s="53" t="n">
        <x:f>I86*gold_cover</x:f>
        <x:v>1197.8612073742659</x:v>
      </x:c>
      <x:c r="K86" s="53" t="n">
        <x:f>F86-J86</x:f>
        <x:v>559.3349211845671</x:v>
      </x:c>
      <x:c r="L86" s="63" t="n">
        <x:f>IF(I86&gt;0,F86/I86,0)</x:f>
        <x:v>0.5867778730093913</x:v>
      </x:c>
      <x:c r="M86" s="63" t="n">
        <x:f>IF(Paths!AD86&gt;0,F86/Paths!AD86,0)</x:f>
        <x:v>0.18115424005761163</x:v>
      </x:c>
    </x:row>
    <x:row r="87">
      <x:c r="A87" s="58" t="n">
        <x:v>1927</x:v>
      </x:c>
      <x:c r="B87" s="53" t="n">
        <x:f>F86</x:f>
        <x:v>1757.196128558833</x:v>
      </x:c>
      <x:c r="C87" s="69" t="n">
        <x:f>Resources!R87</x:f>
        <x:v>10.355555555555556</x:v>
      </x:c>
      <x:c r="D87" s="53" t="n">
        <x:f>IF($A87&gt;=1850,Economy!O87*ext_gold,0)</x:f>
        <x:v>88.7739713084146</x:v>
      </x:c>
      <x:c r="E87" s="53" t="n">
        <x:f>SUMPRODUCT((Events!$B$6:$B$158&lt;=$A87)*(Events!$C$6:$C$158&gt;=$A87)*(Events!$E$6:$E$158="Loan")*(Events!$J$6:$J$158="Yes")*Events!$H$6:$H$158)+SUMPRODUCT((Events!$B$6:$B$158&lt;=$A87)*(Events!$C$6:$C$158&gt;=$A87)*(Events!$E$6:$E$158="Purchase")*(Events!$J$6:$J$158="Yes")*Events!$H$6:$H$158)+'Japan rescue'!D126</x:f>
        <x:v>248.42637702702348</x:v>
      </x:c>
      <x:c r="F87" s="53" t="n">
        <x:f>MAX(0,B87+C87+D87-E87)</x:f>
        <x:v>1607.8992783957797</x:v>
      </x:c>
      <x:c r="G87" s="53" t="n">
        <x:f>IF(OR($A87=1931,$A87=1932),cb_buy/2,0)</x:f>
        <x:v>0</x:v>
      </x:c>
      <x:c r="H87" s="53" t="n">
        <x:f>H86+G87</x:f>
        <x:v>0</x:v>
      </x:c>
      <x:c r="I87" s="53" t="n">
        <x:f>Economy!O87*money_ratio+H87+'Japan rescue'!$D$131</x:f>
        <x:v>3355.515372821535</x:v>
      </x:c>
      <x:c r="J87" s="53" t="n">
        <x:f>I87*gold_cover</x:f>
        <x:v>1342.206149128614</x:v>
      </x:c>
      <x:c r="K87" s="53" t="n">
        <x:f>F87-J87</x:f>
        <x:v>265.69312926716566</x:v>
      </x:c>
      <x:c r="L87" s="63" t="n">
        <x:f>IF(I87&gt;0,F87/I87,0)</x:f>
        <x:v>0.4791810198275902</x:v>
      </x:c>
      <x:c r="M87" s="63" t="n">
        <x:f>IF(Paths!AD87&gt;0,F87/Paths!AD87,0)</x:f>
        <x:v>0.16241406852482623</x:v>
      </x:c>
    </x:row>
    <x:row r="88">
      <x:c r="A88" s="58" t="n">
        <x:v>1928</x:v>
      </x:c>
      <x:c r="B88" s="53" t="n">
        <x:f>F87</x:f>
        <x:v>1607.8992783957797</x:v>
      </x:c>
      <x:c r="C88" s="69" t="n">
        <x:f>Resources!R88</x:f>
        <x:v>10.177777777777777</x:v>
      </x:c>
      <x:c r="D88" s="53" t="n">
        <x:f>IF($A88&gt;=1850,Economy!O88*ext_gold,0)</x:f>
        <x:v>95.27215756017264</x:v>
      </x:c>
      <x:c r="E88" s="53" t="n">
        <x:f>SUMPRODUCT((Events!$B$6:$B$158&lt;=$A88)*(Events!$C$6:$C$158&gt;=$A88)*(Events!$E$6:$E$158="Loan")*(Events!$J$6:$J$158="Yes")*Events!$H$6:$H$158)+SUMPRODUCT((Events!$B$6:$B$158&lt;=$A88)*(Events!$C$6:$C$158&gt;=$A88)*(Events!$E$6:$E$158="Purchase")*(Events!$J$6:$J$158="Yes")*Events!$H$6:$H$158)</x:f>
        <x:v>0</x:v>
      </x:c>
      <x:c r="F88" s="53" t="n">
        <x:f>MAX(0,B88+C88+D88-E88)</x:f>
        <x:v>1713.34921373373</x:v>
      </x:c>
      <x:c r="G88" s="53" t="n">
        <x:f>IF(OR($A88=1931,$A88=1932),cb_buy/2,0)</x:f>
        <x:v>0</x:v>
      </x:c>
      <x:c r="H88" s="53" t="n">
        <x:f>H87+G88</x:f>
        <x:v>0</x:v>
      </x:c>
      <x:c r="I88" s="53" t="n">
        <x:f>Economy!O88*money_ratio+H88+'Japan rescue'!$D$131</x:f>
        <x:v>3582.951891633066</x:v>
      </x:c>
      <x:c r="J88" s="53" t="n">
        <x:f>I88*gold_cover</x:f>
        <x:v>1433.1807566532266</x:v>
      </x:c>
      <x:c r="K88" s="53" t="n">
        <x:f>F88-J88</x:f>
        <x:v>280.16845708050346</x:v>
      </x:c>
      <x:c r="L88" s="63" t="n">
        <x:f>IF(I88&gt;0,F88/I88,0)</x:f>
        <x:v>0.4781948699157125</x:v>
      </x:c>
      <x:c r="M88" s="63" t="n">
        <x:f>IF(Paths!AD88&gt;0,F88/Paths!AD88,0)</x:f>
        <x:v>0.1696385360132406</x:v>
      </x:c>
    </x:row>
    <x:row r="89">
      <x:c r="A89" s="58" t="n">
        <x:v>1929</x:v>
      </x:c>
      <x:c r="B89" s="53" t="n">
        <x:f>F88</x:f>
        <x:v>1713.34921373373</x:v>
      </x:c>
      <x:c r="C89" s="69" t="n">
        <x:f>Resources!R89</x:f>
        <x:v>10.3</x:v>
      </x:c>
      <x:c r="D89" s="53" t="n">
        <x:f>IF($A89&gt;=1850,Economy!O89*ext_gold,0)</x:f>
        <x:v>101.09648191468067</x:v>
      </x:c>
      <x:c r="E89" s="53" t="n">
        <x:f>SUMPRODUCT((Events!$B$6:$B$158&lt;=$A89)*(Events!$C$6:$C$158&gt;=$A89)*(Events!$E$6:$E$158="Loan")*(Events!$J$6:$J$158="Yes")*Events!$H$6:$H$158)+SUMPRODUCT((Events!$B$6:$B$158&lt;=$A89)*(Events!$C$6:$C$158&gt;=$A89)*(Events!$E$6:$E$158="Purchase")*(Events!$J$6:$J$158="Yes")*Events!$H$6:$H$158)</x:f>
        <x:v>0</x:v>
      </x:c>
      <x:c r="F89" s="53" t="n">
        <x:f>MAX(0,B89+C89+D89-E89)</x:f>
        <x:v>1824.7456956484107</x:v>
      </x:c>
      <x:c r="G89" s="53" t="n">
        <x:f>IF(OR($A89=1931,$A89=1932),cb_buy/2,0)</x:f>
        <x:v>0</x:v>
      </x:c>
      <x:c r="H89" s="53" t="n">
        <x:f>H88+G89</x:f>
        <x:v>0</x:v>
      </x:c>
      <x:c r="I89" s="53" t="n">
        <x:f>Economy!O89*money_ratio+H89+'Japan rescue'!$D$131</x:f>
        <x:v>3786.8032440408474</x:v>
      </x:c>
      <x:c r="J89" s="53" t="n">
        <x:f>I89*gold_cover</x:f>
        <x:v>1514.7212976163391</x:v>
      </x:c>
      <x:c r="K89" s="53" t="n">
        <x:f>F89-J89</x:f>
        <x:v>310.02439803207153</x:v>
      </x:c>
      <x:c r="L89" s="63" t="n">
        <x:f>IF(I89&gt;0,F89/I89,0)</x:f>
        <x:v>0.48186968745206016</x:v>
      </x:c>
      <x:c r="M89" s="63" t="n">
        <x:f>IF(Paths!AD89&gt;0,F89/Paths!AD89,0)</x:f>
        <x:v>0.17715977627654472</x:v>
      </x:c>
    </x:row>
    <x:row r="90">
      <x:c r="A90" s="58" t="n">
        <x:v>1930</x:v>
      </x:c>
      <x:c r="B90" s="53" t="n">
        <x:f>F89</x:f>
        <x:v>1824.7456956484107</x:v>
      </x:c>
      <x:c r="C90" s="69" t="n">
        <x:f>Resources!R90</x:f>
        <x:v>11.700000000000001</x:v>
      </x:c>
      <x:c r="D90" s="53" t="n">
        <x:f>IF($A90&gt;=1850,Economy!O90*ext_gold,0)</x:f>
        <x:v>94.78859460254415</x:v>
      </x:c>
      <x:c r="E90" s="53" t="n">
        <x:f>SUMPRODUCT((Events!$B$6:$B$158&lt;=$A90)*(Events!$C$6:$C$158&gt;=$A90)*(Events!$E$6:$E$158="Loan")*(Events!$J$6:$J$158="Yes")*Events!$H$6:$H$158)+SUMPRODUCT((Events!$B$6:$B$158&lt;=$A90)*(Events!$C$6:$C$158&gt;=$A90)*(Events!$E$6:$E$158="Purchase")*(Events!$J$6:$J$158="Yes")*Events!$H$6:$H$158)</x:f>
        <x:v>0</x:v>
      </x:c>
      <x:c r="F90" s="53" t="n">
        <x:f>MAX(0,B90+C90+D90-E90)</x:f>
        <x:v>1931.234290250955</x:v>
      </x:c>
      <x:c r="G90" s="53" t="n">
        <x:f>IF(OR($A90=1931,$A90=1932),cb_buy/2,0)</x:f>
        <x:v>0</x:v>
      </x:c>
      <x:c r="H90" s="53" t="n">
        <x:f>H89+G90</x:f>
        <x:v>0</x:v>
      </x:c>
      <x:c r="I90" s="53" t="n">
        <x:f>Economy!O90*money_ratio+H90+'Japan rescue'!$D$131</x:f>
        <x:v>3566.0271881160693</x:v>
      </x:c>
      <x:c r="J90" s="53" t="n">
        <x:f>I90*gold_cover</x:f>
        <x:v>1426.4108752464278</x:v>
      </x:c>
      <x:c r="K90" s="53" t="n">
        <x:f>F90-J90</x:f>
        <x:v>504.8234150045271</x:v>
      </x:c>
      <x:c r="L90" s="63" t="n">
        <x:f>IF(I90&gt;0,F90/I90,0)</x:f>
        <x:v>0.5415646567942252</x:v>
      </x:c>
      <x:c r="M90" s="63" t="n">
        <x:f>IF(Paths!AD90&gt;0,F90/Paths!AD90,0)</x:f>
        <x:v>0.1782732659698103</x:v>
      </x:c>
    </x:row>
    <x:row r="91">
      <x:c r="A91" s="58" t="n">
        <x:v>1931</x:v>
      </x:c>
      <x:c r="B91" s="53" t="n">
        <x:f>F90</x:f>
        <x:v>1931.234290250955</x:v>
      </x:c>
      <x:c r="C91" s="69" t="n">
        <x:f>Resources!R91</x:f>
        <x:v>14.599999999999998</x:v>
      </x:c>
      <x:c r="D91" s="53" t="n">
        <x:f>IF($A91&gt;=1850,Economy!O91*ext_gold,0)</x:f>
        <x:v>85.50488059270526</x:v>
      </x:c>
      <x:c r="E91" s="53" t="n">
        <x:f>SUMPRODUCT((Events!$B$6:$B$158&lt;=$A91)*(Events!$C$6:$C$158&gt;=$A91)*(Events!$E$6:$E$158="Loan")*(Events!$J$6:$J$158="Yes")*Events!$H$6:$H$158)+SUMPRODUCT((Events!$B$6:$B$158&lt;=$A91)*(Events!$C$6:$C$158&gt;=$A91)*(Events!$E$6:$E$158="Purchase")*(Events!$J$6:$J$158="Yes")*Events!$H$6:$H$158)</x:f>
        <x:v>240</x:v>
      </x:c>
      <x:c r="F91" s="53" t="n">
        <x:f>MAX(0,B91+C91+D91-E91)</x:f>
        <x:v>1791.3391708436602</x:v>
      </x:c>
      <x:c r="G91" s="53" t="n">
        <x:f>IF(OR($A91=1931,$A91=1932),cb_buy/2,0)</x:f>
        <x:v>0</x:v>
      </x:c>
      <x:c r="H91" s="53" t="n">
        <x:f>H90+G91</x:f>
        <x:v>0</x:v>
      </x:c>
      <x:c r="I91" s="53" t="n">
        <x:f>Economy!O91*money_ratio+H91+'Japan rescue'!$D$131</x:f>
        <x:v>3241.097197771708</x:v>
      </x:c>
      <x:c r="J91" s="53" t="n">
        <x:f>I91*gold_cover</x:f>
        <x:v>1296.4388791086833</x:v>
      </x:c>
      <x:c r="K91" s="53" t="n">
        <x:f>F91-J91</x:f>
        <x:v>494.9002917349769</x:v>
      </x:c>
      <x:c r="L91" s="63" t="n">
        <x:f>IF(I91&gt;0,F91/I91,0)</x:f>
        <x:v>0.5526952946907074</x:v>
      </x:c>
      <x:c r="M91" s="63" t="n">
        <x:f>IF(Paths!AD91&gt;0,F91/Paths!AD91,0)</x:f>
        <x:v>0.15759120003903054</x:v>
      </x:c>
    </x:row>
    <x:row r="92">
      <x:c r="A92" s="58" t="n">
        <x:v>1932</x:v>
      </x:c>
      <x:c r="B92" s="53" t="n">
        <x:f>F91</x:f>
        <x:v>1791.3391708436602</x:v>
      </x:c>
      <x:c r="C92" s="69" t="n">
        <x:f>Resources!R92</x:f>
        <x:v>19</x:v>
      </x:c>
      <x:c r="D92" s="53" t="n">
        <x:f>IF($A92&gt;=1850,Economy!O92*ext_gold,0)</x:f>
        <x:v>78.61112506845647</x:v>
      </x:c>
      <x:c r="E92" s="53" t="n">
        <x:f>SUMPRODUCT((Events!$B$6:$B$158&lt;=$A92)*(Events!$C$6:$C$158&gt;=$A92)*(Events!$E$6:$E$158="Loan")*(Events!$J$6:$J$158="Yes")*Events!$H$6:$H$158)+SUMPRODUCT((Events!$B$6:$B$158&lt;=$A92)*(Events!$C$6:$C$158&gt;=$A92)*(Events!$E$6:$E$158="Purchase")*(Events!$J$6:$J$158="Yes")*Events!$H$6:$H$158)</x:f>
        <x:v>160</x:v>
      </x:c>
      <x:c r="F92" s="53" t="n">
        <x:f>MAX(0,B92+C92+D92-E92)</x:f>
        <x:v>1728.9502959121166</x:v>
      </x:c>
      <x:c r="G92" s="53" t="n">
        <x:f>IF(OR($A92=1931,$A92=1932),cb_buy/2,0)</x:f>
        <x:v>0</x:v>
      </x:c>
      <x:c r="H92" s="53" t="n">
        <x:f>H91+G92</x:f>
        <x:v>0</x:v>
      </x:c>
      <x:c r="I92" s="53" t="n">
        <x:f>Economy!O92*money_ratio+H92+'Japan rescue'!$D$131</x:f>
        <x:v>2999.8157544230003</x:v>
      </x:c>
      <x:c r="J92" s="53" t="n">
        <x:f>I92*gold_cover</x:f>
        <x:v>1199.9263017692</x:v>
      </x:c>
      <x:c r="K92" s="53" t="n">
        <x:f>F92-J92</x:f>
        <x:v>529.0239941429165</x:v>
      </x:c>
      <x:c r="L92" s="63" t="n">
        <x:f>IF(I92&gt;0,F92/I92,0)</x:f>
        <x:v>0.5763521620829248</x:v>
      </x:c>
      <x:c r="M92" s="63" t="n">
        <x:f>IF(Paths!AD92&gt;0,F92/Paths!AD92,0)</x:f>
        <x:v>0.145289940832951</x:v>
      </x:c>
    </x:row>
  </x:sheetData>
  <x:mergeCells>
    <x:mergeCell ref="B4:F4"/>
    <x:mergeCell ref="G4:M4"/>
  </x:mergeCells>
  <x:pageMargins left="0.7" right="0.7" top="0.75" bottom="0.75" header="0.3" footer="0.3"/>
</x:worksheet>
</file>

<file path=xl/worksheets/sheet13.xml><?xml version="1.0" encoding="utf-8"?>
<x:worksheet xmlns:x="http://schemas.openxmlformats.org/spreadsheetml/2006/main">
  <x:sheetPr>
    <x:tabColor rgb="FF548235"/>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9" hidden="0" customWidth="1"/>
    <x:col min="20" max="20" width="19" hidden="0" customWidth="1"/>
    <x:col min="21" max="21" width="19" hidden="0" customWidth="1"/>
  </x:cols>
  <x:sheetData>
    <x:row r="1">
      <x:c r="A1" s="18" t="inlineStr">
        <x:is>
          <x:t xml:space="preserve">Private investment abroad</x:t>
        </x:is>
      </x:c>
    </x:row>
    <x:row r="2">
      <x:c r="A2" s="2" t="inlineStr">
        <x:is>
          <x:t xml:space="preserve">Factories, refineries, mills and bonds owned abroad by Pacificans, and the income they send home. Adds to national income, not GDP.</x:t>
        </x:is>
      </x:c>
    </x:row>
    <x:row r="3">
      <x:c r="A3" s="19" t="inlineStr">
        <x:is>
          <x:t xml:space="preserve">Years run down the page. Blue = input you can change · black = formula · green = link to another sheet. Hover a column heading for its definition.</x:t>
        </x:is>
      </x:c>
    </x:row>
    <x:row r="4">
      <x:c r="B4" s="56" t="inlineStr">
        <x:is>
          <x:t xml:space="preserve">Outflows</x:t>
        </x:is>
      </x:c>
      <x:c r="E4" s="56" t="inlineStr">
        <x:is>
          <x:t xml:space="preserve">Assets</x:t>
        </x:is>
      </x:c>
      <x:c r="K4" s="56" t="inlineStr">
        <x:is>
          <x:t xml:space="preserve">Income</x:t>
        </x:is>
      </x:c>
    </x:row>
    <x:row r="5" ht="54" customHeight="1">
      <x:c r="A5" s="57" t="inlineStr">
        <x:is>
          <x:t xml:space="preserve">Year</x:t>
        </x:is>
      </x:c>
      <x:c r="B5" s="6" t="inlineStr">
        <x:is>
          <x:t xml:space="preserve">Private investment abroad / GDP</x:t>
        </x:is>
      </x:c>
      <x:c r="C5" s="6" t="inlineStr">
        <x:is>
          <x:t xml:space="preserve">Ordinary investment abroad ($m)</x:t>
        </x:is>
      </x:c>
      <x:c r="D5" s="6" t="inlineStr">
        <x:is>
          <x:t xml:space="preserve">Private share of the Entente credit ($m)</x:t>
        </x:is>
      </x:c>
      <x:c r="E5" s="6" t="inlineStr">
        <x:is>
          <x:t xml:space="preserve">Assets at start of year ($m)</x:t>
        </x:is>
      </x:c>
      <x:c r="F5" s="6" t="inlineStr">
        <x:is>
          <x:t xml:space="preserve">Repaid or sold ($m)</x:t>
        </x:is>
      </x:c>
      <x:c r="G5" s="6" t="inlineStr">
        <x:is>
          <x:t xml:space="preserve">Losses ($m)</x:t>
        </x:is>
      </x:c>
      <x:c r="H5" s="6" t="inlineStr">
        <x:is>
          <x:t xml:space="preserve">Portfolio assets abroad ($m)</x:t>
        </x:is>
      </x:c>
      <x:c r="I5" s="6" t="inlineStr">
        <x:is>
          <x:t xml:space="preserve">Champions' direct investment abroad ($m)</x:t>
        </x:is>
      </x:c>
      <x:c r="J5" s="6" t="inlineStr">
        <x:is>
          <x:t xml:space="preserve">All private assets abroad ($m)</x:t>
        </x:is>
      </x:c>
      <x:c r="K5" s="6" t="inlineStr">
        <x:is>
          <x:t xml:space="preserve">Income on the portfolio ($m)</x:t>
        </x:is>
      </x:c>
      <x:c r="L5" s="6" t="inlineStr">
        <x:is>
          <x:t xml:space="preserve">Champions' earnings abroad ($m)</x:t>
        </x:is>
      </x:c>
      <x:c r="M5" s="6" t="inlineStr">
        <x:is>
          <x:t xml:space="preserve">Income from abroad ($m)</x:t>
        </x:is>
      </x:c>
      <x:c r="N5" s="6" t="inlineStr">
        <x:is>
          <x:t xml:space="preserve">Tax on it ($m)</x:t>
        </x:is>
      </x:c>
      <x:c r="O5" s="6" t="inlineStr">
        <x:is>
          <x:t xml:space="preserve">Guest workers' remittances ($m)</x:t>
        </x:is>
      </x:c>
      <x:c r="P5" s="6" t="inlineStr">
        <x:is>
          <x:t xml:space="preserve">National income: GDP + income from abroad ($m)</x:t>
        </x:is>
      </x:c>
      <x:c r="Q5" s="6" t="inlineStr">
        <x:is>
          <x:t xml:space="preserve">Income from abroad / national income</x:t>
        </x:is>
      </x:c>
      <x:c r="R5" s="6" t="inlineStr">
        <x:is>
          <x:t xml:space="preserve">Assets abroad / GDP</x:t>
        </x:is>
      </x:c>
      <x:c r="S5" s="113" t="str">
        <x:v>Japan facility allocation</x:v>
      </x:c>
      <x:c r="T5" s="113" t="str">
        <x:v>Other ordinary foreign investment</x:v>
      </x:c>
      <x:c r="U5" s="113" t="str">
        <x:v>Japan facility outstanding</x:v>
      </x:c>
    </x:row>
    <x:row r="6">
      <x:c r="A6" s="58" t="n">
        <x:v>1846</x:v>
      </x:c>
      <x:c r="B6" s="59" t="n">
        <x:v>0.002</x:v>
      </x:c>
      <x:c r="C6" s="53" t="n">
        <x:f>Economy!O6*B6</x:f>
        <x:v>0.03820065</x:v>
      </x:c>
      <x:c r="D6" s="53" t="n">
        <x:f>IF(AND($A6&gt;=1914,$A6&lt;=1918),entente_total*entente_private*CHOOSE($A6-1913,0.05,0.1333,0.2333,0.3,0.2834),0)</x:f>
        <x:v>0</x:v>
      </x:c>
      <x:c r="E6" s="53" t="n">
        <x:f>0</x:f>
        <x:v>0</x:v>
      </x:c>
      <x:c r="F6" s="53" t="n">
        <x:f>E6*abroad_repat</x:f>
        <x:v>0</x:v>
      </x:c>
      <x:c r="G6" s="53" t="n">
        <x:f>IF($A6=1918,russia_writeoff*entente_total*entente_private,0)+IF(OR($A6=1931,$A6=1932),E6*abroad_loss/2,0)</x:f>
        <x:v>0</x:v>
      </x:c>
      <x:c r="H6" s="53" t="n">
        <x:f>E6+C6+D6-F6-G6</x:f>
        <x:v>0.03820065</x:v>
      </x:c>
      <x:c r="I6" s="69" t="n">
        <x:f>Champions!AY6</x:f>
        <x:v>0</x:v>
      </x:c>
      <x:c r="J6" s="53" t="n">
        <x:f>H6+I6</x:f>
        <x:v>0.03820065</x:v>
      </x:c>
      <x:c r="K6" s="53" t="n">
        <x:f>E6*abroad_return*IF(OR($A6=1931,$A6=1932),abroad_slump,1)</x:f>
        <x:v>0</x:v>
      </x:c>
      <x:c r="L6" s="69" t="n">
        <x:f>Champions!AZ6</x:f>
        <x:v>0</x:v>
      </x:c>
      <x:c r="M6" s="53" t="n">
        <x:f>K6+L6</x:f>
        <x:v>0</x:v>
      </x:c>
      <x:c r="N6" s="53" t="n">
        <x:f>M6*abroad_tax</x:f>
        <x:v>0</x:v>
      </x:c>
      <x:c r="O6" s="69" t="n">
        <x:f>Labour!R6</x:f>
        <x:v>0</x:v>
      </x:c>
      <x:c r="P6" s="47" t="n">
        <x:f>Economy!O6+M6-O6</x:f>
        <x:v>19.100325</x:v>
      </x:c>
      <x:c r="Q6" s="63" t="n">
        <x:f>M6/P6</x:f>
        <x:v>0</x:v>
      </x:c>
      <x:c r="R6" s="63" t="n">
        <x:f>J6/Economy!O6</x:f>
        <x:v>0.002</x:v>
      </x:c>
      <x:c r="S6" s="114" t="n">
        <x:f>0</x:f>
        <x:v>0</x:v>
      </x:c>
      <x:c r="T6" s="114" t="n">
        <x:f>C6-S6</x:f>
        <x:v>0.03820065</x:v>
      </x:c>
      <x:c r="U6" s="114" t="n">
        <x:f>0</x:f>
        <x:v>0</x:v>
      </x:c>
    </x:row>
    <x:row r="7">
      <x:c r="A7" s="58" t="n">
        <x:v>1847</x:v>
      </x:c>
      <x:c r="B7" s="59" t="n">
        <x:v>0.002</x:v>
      </x:c>
      <x:c r="C7" s="53" t="n">
        <x:f>Economy!O7*B7</x:f>
        <x:v>0.04078636614</x:v>
      </x:c>
      <x:c r="D7" s="53" t="n">
        <x:f>IF(AND($A7&gt;=1914,$A7&lt;=1918),entente_total*entente_private*CHOOSE($A7-1913,0.05,0.1333,0.2333,0.3,0.2834),0)</x:f>
        <x:v>0</x:v>
      </x:c>
      <x:c r="E7" s="53" t="n">
        <x:f>H6</x:f>
        <x:v>0.03820065</x:v>
      </x:c>
      <x:c r="F7" s="53" t="n">
        <x:f>E7*abroad_repat</x:f>
        <x:v>0.0011460195</x:v>
      </x:c>
      <x:c r="G7" s="53" t="n">
        <x:f>IF($A7=1918,russia_writeoff*entente_total*entente_private,0)+IF(OR($A7=1931,$A7=1932),E7*abroad_loss/2,0)</x:f>
        <x:v>0</x:v>
      </x:c>
      <x:c r="H7" s="53" t="n">
        <x:f>E7+C7+D7-F7-G7</x:f>
        <x:v>0.07784099664000001</x:v>
      </x:c>
      <x:c r="I7" s="69" t="n">
        <x:f>Champions!AY7</x:f>
        <x:v>0</x:v>
      </x:c>
      <x:c r="J7" s="53" t="n">
        <x:f>H7+I7</x:f>
        <x:v>0.07784099664000001</x:v>
      </x:c>
      <x:c r="K7" s="53" t="n">
        <x:f>E7*abroad_return*IF(OR($A7=1931,$A7=1932),abroad_slump,1)</x:f>
        <x:v>0.002292039</x:v>
      </x:c>
      <x:c r="L7" s="69" t="n">
        <x:f>Champions!AZ7</x:f>
        <x:v>0</x:v>
      </x:c>
      <x:c r="M7" s="53" t="n">
        <x:f>K7+L7</x:f>
        <x:v>0.002292039</x:v>
      </x:c>
      <x:c r="N7" s="53" t="n">
        <x:f>M7*abroad_tax</x:f>
        <x:v>0.00022920390000000002</x:v>
      </x:c>
      <x:c r="O7" s="69" t="n">
        <x:f>Labour!R7</x:f>
        <x:v>0</x:v>
      </x:c>
      <x:c r="P7" s="47" t="n">
        <x:f>Economy!O7+M7-O7</x:f>
        <x:v>20.395475109</x:v>
      </x:c>
      <x:c r="Q7" s="63" t="n">
        <x:f>M7/P7</x:f>
        <x:v>0.00011237977971832498</x:v>
      </x:c>
      <x:c r="R7" s="63" t="n">
        <x:f>J7/Economy!O7</x:f>
        <x:v>0.003817010634034386</x:v>
      </x:c>
      <x:c r="S7" s="114" t="n">
        <x:f>0</x:f>
        <x:v>0</x:v>
      </x:c>
      <x:c r="T7" s="114" t="n">
        <x:f>C7-S7</x:f>
        <x:v>0.04078636614</x:v>
      </x:c>
      <x:c r="U7" s="114" t="n">
        <x:f>0</x:f>
        <x:v>0</x:v>
      </x:c>
    </x:row>
    <x:row r="8">
      <x:c r="A8" s="58" t="n">
        <x:v>1848</x:v>
      </x:c>
      <x:c r="B8" s="59" t="n">
        <x:v>0.002</x:v>
      </x:c>
      <x:c r="C8" s="53" t="n">
        <x:f>Economy!O8*B8</x:f>
        <x:v>0.05863234900916481</x:v>
      </x:c>
      <x:c r="D8" s="53" t="n">
        <x:f>IF(AND($A8&gt;=1914,$A8&lt;=1918),entente_total*entente_private*CHOOSE($A8-1913,0.05,0.1333,0.2333,0.3,0.2834),0)</x:f>
        <x:v>0</x:v>
      </x:c>
      <x:c r="E8" s="53" t="n">
        <x:f>H7</x:f>
        <x:v>0.07784099664000001</x:v>
      </x:c>
      <x:c r="F8" s="53" t="n">
        <x:f>E8*abroad_repat</x:f>
        <x:v>0.0023352298992</x:v>
      </x:c>
      <x:c r="G8" s="53" t="n">
        <x:f>IF($A8=1918,russia_writeoff*entente_total*entente_private,0)+IF(OR($A8=1931,$A8=1932),E8*abroad_loss/2,0)</x:f>
        <x:v>0</x:v>
      </x:c>
      <x:c r="H8" s="53" t="n">
        <x:f>E8+C8+D8-F8-G8</x:f>
        <x:v>0.13413811574996481</x:v>
      </x:c>
      <x:c r="I8" s="69" t="n">
        <x:f>Champions!AY8</x:f>
        <x:v>0</x:v>
      </x:c>
      <x:c r="J8" s="53" t="n">
        <x:f>H8+I8</x:f>
        <x:v>0.13413811574996481</x:v>
      </x:c>
      <x:c r="K8" s="53" t="n">
        <x:f>E8*abroad_return*IF(OR($A8=1931,$A8=1932),abroad_slump,1)</x:f>
        <x:v>0.0046704597984</x:v>
      </x:c>
      <x:c r="L8" s="69" t="n">
        <x:f>Champions!AZ8</x:f>
        <x:v>0</x:v>
      </x:c>
      <x:c r="M8" s="53" t="n">
        <x:f>K8+L8</x:f>
        <x:v>0.0046704597984</x:v>
      </x:c>
      <x:c r="N8" s="53" t="n">
        <x:f>M8*abroad_tax</x:f>
        <x:v>0.00046704597984</x:v>
      </x:c>
      <x:c r="O8" s="69" t="n">
        <x:f>Labour!R8</x:f>
        <x:v>0</x:v>
      </x:c>
      <x:c r="P8" s="47" t="n">
        <x:f>Economy!O8+M8-O8</x:f>
        <x:v>29.320844964380804</x:v>
      </x:c>
      <x:c r="Q8" s="63" t="n">
        <x:f>M8/P8</x:f>
        <x:v>0.00015928803566451485</x:v>
      </x:c>
      <x:c r="R8" s="63" t="n">
        <x:f>J8/Economy!O8</x:f>
        <x:v>0.004575566833557964</x:v>
      </x:c>
      <x:c r="S8" s="114" t="n">
        <x:f>0</x:f>
        <x:v>0</x:v>
      </x:c>
      <x:c r="T8" s="114" t="n">
        <x:f>C8-S8</x:f>
        <x:v>0.05863234900916481</x:v>
      </x:c>
      <x:c r="U8" s="114" t="n">
        <x:f>0</x:f>
        <x:v>0</x:v>
      </x:c>
    </x:row>
    <x:row r="9">
      <x:c r="A9" s="58" t="n">
        <x:v>1849</x:v>
      </x:c>
      <x:c r="B9" s="59" t="n">
        <x:v>0.002</x:v>
      </x:c>
      <x:c r="C9" s="53" t="n">
        <x:f>Economy!O9*B9</x:f>
        <x:v>0.14080661428206884</x:v>
      </x:c>
      <x:c r="D9" s="53" t="n">
        <x:f>IF(AND($A9&gt;=1914,$A9&lt;=1918),entente_total*entente_private*CHOOSE($A9-1913,0.05,0.1333,0.2333,0.3,0.2834),0)</x:f>
        <x:v>0</x:v>
      </x:c>
      <x:c r="E9" s="53" t="n">
        <x:f>H8</x:f>
        <x:v>0.13413811574996481</x:v>
      </x:c>
      <x:c r="F9" s="53" t="n">
        <x:f>E9*abroad_repat</x:f>
        <x:v>0.0040241434724989445</x:v>
      </x:c>
      <x:c r="G9" s="53" t="n">
        <x:f>IF($A9=1918,russia_writeoff*entente_total*entente_private,0)+IF(OR($A9=1931,$A9=1932),E9*abroad_loss/2,0)</x:f>
        <x:v>0</x:v>
      </x:c>
      <x:c r="H9" s="53" t="n">
        <x:f>E9+C9+D9-F9-G9</x:f>
        <x:v>0.2709205865595347</x:v>
      </x:c>
      <x:c r="I9" s="69" t="n">
        <x:f>Champions!AY9</x:f>
        <x:v>0</x:v>
      </x:c>
      <x:c r="J9" s="53" t="n">
        <x:f>H9+I9</x:f>
        <x:v>0.2709205865595347</x:v>
      </x:c>
      <x:c r="K9" s="53" t="n">
        <x:f>E9*abroad_return*IF(OR($A9=1931,$A9=1932),abroad_slump,1)</x:f>
        <x:v>0.008048286944997889</x:v>
      </x:c>
      <x:c r="L9" s="69" t="n">
        <x:f>Champions!AZ9</x:f>
        <x:v>0</x:v>
      </x:c>
      <x:c r="M9" s="53" t="n">
        <x:f>K9+L9</x:f>
        <x:v>0.008048286944997889</x:v>
      </x:c>
      <x:c r="N9" s="53" t="n">
        <x:f>M9*abroad_tax</x:f>
        <x:v>0.0008048286944997889</x:v>
      </x:c>
      <x:c r="O9" s="69" t="n">
        <x:f>Labour!R9</x:f>
        <x:v>0</x:v>
      </x:c>
      <x:c r="P9" s="47" t="n">
        <x:f>Economy!O9+M9-O9</x:f>
        <x:v>70.41135542797942</x:v>
      </x:c>
      <x:c r="Q9" s="63" t="n">
        <x:f>M9/P9</x:f>
        <x:v>0.0001143038206845786</x:v>
      </x:c>
      <x:c r="R9" s="63" t="n">
        <x:f>J9/Economy!O9</x:f>
        <x:v>0.0038481230152557595</x:v>
      </x:c>
      <x:c r="S9" s="114" t="n">
        <x:f>0</x:f>
        <x:v>0</x:v>
      </x:c>
      <x:c r="T9" s="114" t="n">
        <x:f>C9-S9</x:f>
        <x:v>0.14080661428206884</x:v>
      </x:c>
      <x:c r="U9" s="114" t="n">
        <x:f>0</x:f>
        <x:v>0</x:v>
      </x:c>
    </x:row>
    <x:row r="10">
      <x:c r="A10" s="58" t="n">
        <x:v>1850</x:v>
      </x:c>
      <x:c r="B10" s="59" t="n">
        <x:v>0.002</x:v>
      </x:c>
      <x:c r="C10" s="53" t="n">
        <x:f>Economy!O10*B10</x:f>
        <x:v>0.1546760651055059</x:v>
      </x:c>
      <x:c r="D10" s="53" t="n">
        <x:f>IF(AND($A10&gt;=1914,$A10&lt;=1918),entente_total*entente_private*CHOOSE($A10-1913,0.05,0.1333,0.2333,0.3,0.2834),0)</x:f>
        <x:v>0</x:v>
      </x:c>
      <x:c r="E10" s="53" t="n">
        <x:f>H9</x:f>
        <x:v>0.2709205865595347</x:v>
      </x:c>
      <x:c r="F10" s="53" t="n">
        <x:f>E10*abroad_repat</x:f>
        <x:v>0.008127617596786041</x:v>
      </x:c>
      <x:c r="G10" s="53" t="n">
        <x:f>IF($A10=1918,russia_writeoff*entente_total*entente_private,0)+IF(OR($A10=1931,$A10=1932),E10*abroad_loss/2,0)</x:f>
        <x:v>0</x:v>
      </x:c>
      <x:c r="H10" s="53" t="n">
        <x:f>E10+C10+D10-F10-G10</x:f>
        <x:v>0.4174690340682546</x:v>
      </x:c>
      <x:c r="I10" s="69" t="n">
        <x:f>Champions!AY10</x:f>
        <x:v>0</x:v>
      </x:c>
      <x:c r="J10" s="53" t="n">
        <x:f>H10+I10</x:f>
        <x:v>0.4174690340682546</x:v>
      </x:c>
      <x:c r="K10" s="53" t="n">
        <x:f>E10*abroad_return*IF(OR($A10=1931,$A10=1932),abroad_slump,1)</x:f>
        <x:v>0.016255235193572082</x:v>
      </x:c>
      <x:c r="L10" s="69" t="n">
        <x:f>Champions!AZ10</x:f>
        <x:v>0</x:v>
      </x:c>
      <x:c r="M10" s="53" t="n">
        <x:f>K10+L10</x:f>
        <x:v>0.016255235193572082</x:v>
      </x:c>
      <x:c r="N10" s="53" t="n">
        <x:f>M10*abroad_tax</x:f>
        <x:v>0.0016255235193572083</x:v>
      </x:c>
      <x:c r="O10" s="69" t="n">
        <x:f>Labour!R10</x:f>
        <x:v>0</x:v>
      </x:c>
      <x:c r="P10" s="47" t="n">
        <x:f>Economy!O10+M10-O10</x:f>
        <x:v>77.35428778794652</x:v>
      </x:c>
      <x:c r="Q10" s="63" t="n">
        <x:f>M10/P10</x:f>
        <x:v>0.00021014006667779056</x:v>
      </x:c>
      <x:c r="R10" s="63" t="n">
        <x:f>J10/Economy!O10</x:f>
        <x:v>0.005397978462711671</x:v>
      </x:c>
      <x:c r="S10" s="114" t="n">
        <x:f>0</x:f>
        <x:v>0</x:v>
      </x:c>
      <x:c r="T10" s="114" t="n">
        <x:f>C10-S10</x:f>
        <x:v>0.1546760651055059</x:v>
      </x:c>
      <x:c r="U10" s="114" t="n">
        <x:f>0</x:f>
        <x:v>0</x:v>
      </x:c>
    </x:row>
    <x:row r="11">
      <x:c r="A11" s="58" t="n">
        <x:v>1851</x:v>
      </x:c>
      <x:c r="B11" s="59" t="n">
        <x:v>0.002</x:v>
      </x:c>
      <x:c r="C11" s="53" t="n">
        <x:f>Economy!O11*B11</x:f>
        <x:v>0.21138781306433171</x:v>
      </x:c>
      <x:c r="D11" s="53" t="n">
        <x:f>IF(AND($A11&gt;=1914,$A11&lt;=1918),entente_total*entente_private*CHOOSE($A11-1913,0.05,0.1333,0.2333,0.3,0.2834),0)</x:f>
        <x:v>0</x:v>
      </x:c>
      <x:c r="E11" s="53" t="n">
        <x:f>H10</x:f>
        <x:v>0.4174690340682546</x:v>
      </x:c>
      <x:c r="F11" s="53" t="n">
        <x:f>E11*abroad_repat</x:f>
        <x:v>0.012524071022047637</x:v>
      </x:c>
      <x:c r="G11" s="53" t="n">
        <x:f>IF($A11=1918,russia_writeoff*entente_total*entente_private,0)+IF(OR($A11=1931,$A11=1932),E11*abroad_loss/2,0)</x:f>
        <x:v>0</x:v>
      </x:c>
      <x:c r="H11" s="53" t="n">
        <x:f>E11+C11+D11-F11-G11</x:f>
        <x:v>0.6163327761105386</x:v>
      </x:c>
      <x:c r="I11" s="69" t="n">
        <x:f>Champions!AY11</x:f>
        <x:v>0</x:v>
      </x:c>
      <x:c r="J11" s="53" t="n">
        <x:f>H11+I11</x:f>
        <x:v>0.6163327761105386</x:v>
      </x:c>
      <x:c r="K11" s="53" t="n">
        <x:f>E11*abroad_return*IF(OR($A11=1931,$A11=1932),abroad_slump,1)</x:f>
        <x:v>0.025048142044095275</x:v>
      </x:c>
      <x:c r="L11" s="69" t="n">
        <x:f>Champions!AZ11</x:f>
        <x:v>0</x:v>
      </x:c>
      <x:c r="M11" s="53" t="n">
        <x:f>K11+L11</x:f>
        <x:v>0.025048142044095275</x:v>
      </x:c>
      <x:c r="N11" s="53" t="n">
        <x:f>M11*abroad_tax</x:f>
        <x:v>0.0025048142044095277</x:v>
      </x:c>
      <x:c r="O11" s="69" t="n">
        <x:f>Labour!R11</x:f>
        <x:v>0</x:v>
      </x:c>
      <x:c r="P11" s="47" t="n">
        <x:f>Economy!O11+M11-O11</x:f>
        <x:v>105.71895467420995</x:v>
      </x:c>
      <x:c r="Q11" s="63" t="n">
        <x:f>M11/P11</x:f>
        <x:v>0.0002369314199263999</x:v>
      </x:c>
      <x:c r="R11" s="63" t="n">
        <x:f>J11/Economy!O11</x:f>
        <x:v>0.005831299043932773</x:v>
      </x:c>
      <x:c r="S11" s="114" t="n">
        <x:f>0</x:f>
        <x:v>0</x:v>
      </x:c>
      <x:c r="T11" s="114" t="n">
        <x:f>C11-S11</x:f>
        <x:v>0.21138781306433171</x:v>
      </x:c>
      <x:c r="U11" s="114" t="n">
        <x:f>0</x:f>
        <x:v>0</x:v>
      </x:c>
    </x:row>
    <x:row r="12">
      <x:c r="A12" s="58" t="n">
        <x:v>1852</x:v>
      </x:c>
      <x:c r="B12" s="59" t="n">
        <x:v>0.002</x:v>
      </x:c>
      <x:c r="C12" s="53" t="n">
        <x:f>Economy!O12*B12</x:f>
        <x:v>0.2376047092542929</x:v>
      </x:c>
      <x:c r="D12" s="53" t="n">
        <x:f>IF(AND($A12&gt;=1914,$A12&lt;=1918),entente_total*entente_private*CHOOSE($A12-1913,0.05,0.1333,0.2333,0.3,0.2834),0)</x:f>
        <x:v>0</x:v>
      </x:c>
      <x:c r="E12" s="53" t="n">
        <x:f>H11</x:f>
        <x:v>0.6163327761105386</x:v>
      </x:c>
      <x:c r="F12" s="53" t="n">
        <x:f>E12*abroad_repat</x:f>
        <x:v>0.018489983283316157</x:v>
      </x:c>
      <x:c r="G12" s="53" t="n">
        <x:f>IF($A12=1918,russia_writeoff*entente_total*entente_private,0)+IF(OR($A12=1931,$A12=1932),E12*abroad_loss/2,0)</x:f>
        <x:v>0</x:v>
      </x:c>
      <x:c r="H12" s="53" t="n">
        <x:f>E12+C12+D12-F12-G12</x:f>
        <x:v>0.8354475020815153</x:v>
      </x:c>
      <x:c r="I12" s="69" t="n">
        <x:f>Champions!AY12</x:f>
        <x:v>0</x:v>
      </x:c>
      <x:c r="J12" s="53" t="n">
        <x:f>H12+I12</x:f>
        <x:v>0.8354475020815153</x:v>
      </x:c>
      <x:c r="K12" s="53" t="n">
        <x:f>E12*abroad_return*IF(OR($A12=1931,$A12=1932),abroad_slump,1)</x:f>
        <x:v>0.036979966566632314</x:v>
      </x:c>
      <x:c r="L12" s="69" t="n">
        <x:f>Champions!AZ12</x:f>
        <x:v>0</x:v>
      </x:c>
      <x:c r="M12" s="53" t="n">
        <x:f>K12+L12</x:f>
        <x:v>0.036979966566632314</x:v>
      </x:c>
      <x:c r="N12" s="53" t="n">
        <x:f>M12*abroad_tax</x:f>
        <x:v>0.0036979966566632314</x:v>
      </x:c>
      <x:c r="O12" s="69" t="n">
        <x:f>Labour!R12</x:f>
        <x:v>0</x:v>
      </x:c>
      <x:c r="P12" s="47" t="n">
        <x:f>Economy!O12+M12-O12</x:f>
        <x:v>118.83933459371308</x:v>
      </x:c>
      <x:c r="Q12" s="63" t="n">
        <x:f>M12/P12</x:f>
        <x:v>0.0003111761496566698</x:v>
      </x:c>
      <x:c r="R12" s="63" t="n">
        <x:f>J12/Economy!O12</x:f>
        <x:v>0.007032247001362167</x:v>
      </x:c>
      <x:c r="S12" s="114" t="n">
        <x:f>0</x:f>
        <x:v>0</x:v>
      </x:c>
      <x:c r="T12" s="114" t="n">
        <x:f>C12-S12</x:f>
        <x:v>0.2376047092542929</x:v>
      </x:c>
      <x:c r="U12" s="114" t="n">
        <x:f>0</x:f>
        <x:v>0</x:v>
      </x:c>
    </x:row>
    <x:row r="13">
      <x:c r="A13" s="58" t="n">
        <x:v>1853</x:v>
      </x:c>
      <x:c r="B13" s="59" t="n">
        <x:v>0.002</x:v>
      </x:c>
      <x:c r="C13" s="53" t="n">
        <x:f>Economy!O13*B13</x:f>
        <x:v>0.23842933299325927</x:v>
      </x:c>
      <x:c r="D13" s="53" t="n">
        <x:f>IF(AND($A13&gt;=1914,$A13&lt;=1918),entente_total*entente_private*CHOOSE($A13-1913,0.05,0.1333,0.2333,0.3,0.2834),0)</x:f>
        <x:v>0</x:v>
      </x:c>
      <x:c r="E13" s="53" t="n">
        <x:f>H12</x:f>
        <x:v>0.8354475020815153</x:v>
      </x:c>
      <x:c r="F13" s="53" t="n">
        <x:f>E13*abroad_repat</x:f>
        <x:v>0.02506342506244546</x:v>
      </x:c>
      <x:c r="G13" s="53" t="n">
        <x:f>IF($A13=1918,russia_writeoff*entente_total*entente_private,0)+IF(OR($A13=1931,$A13=1932),E13*abroad_loss/2,0)</x:f>
        <x:v>0</x:v>
      </x:c>
      <x:c r="H13" s="53" t="n">
        <x:f>E13+C13+D13-F13-G13</x:f>
        <x:v>1.048813410012329</x:v>
      </x:c>
      <x:c r="I13" s="69" t="n">
        <x:f>Champions!AY13</x:f>
        <x:v>0</x:v>
      </x:c>
      <x:c r="J13" s="53" t="n">
        <x:f>H13+I13</x:f>
        <x:v>1.048813410012329</x:v>
      </x:c>
      <x:c r="K13" s="53" t="n">
        <x:f>E13*abroad_return*IF(OR($A13=1931,$A13=1932),abroad_slump,1)</x:f>
        <x:v>0.05012685012489092</x:v>
      </x:c>
      <x:c r="L13" s="69" t="n">
        <x:f>Champions!AZ13</x:f>
        <x:v>0</x:v>
      </x:c>
      <x:c r="M13" s="53" t="n">
        <x:f>K13+L13</x:f>
        <x:v>0.05012685012489092</x:v>
      </x:c>
      <x:c r="N13" s="53" t="n">
        <x:f>M13*abroad_tax</x:f>
        <x:v>0.0050126850124890925</x:v>
      </x:c>
      <x:c r="O13" s="69" t="n">
        <x:f>Labour!R13</x:f>
        <x:v>0</x:v>
      </x:c>
      <x:c r="P13" s="47" t="n">
        <x:f>Economy!O13+M13-O13</x:f>
        <x:v>119.26479334675453</x:v>
      </x:c>
      <x:c r="Q13" s="63" t="n">
        <x:f>M13/P13</x:f>
        <x:v>0.00042029880502245456</x:v>
      </x:c>
      <x:c r="R13" s="63" t="n">
        <x:f>J13/Economy!O13</x:f>
        <x:v>0.008797687741230903</x:v>
      </x:c>
      <x:c r="S13" s="114" t="n">
        <x:f>0</x:f>
        <x:v>0</x:v>
      </x:c>
      <x:c r="T13" s="114" t="n">
        <x:f>C13-S13</x:f>
        <x:v>0.23842933299325927</x:v>
      </x:c>
      <x:c r="U13" s="114" t="n">
        <x:f>0</x:f>
        <x:v>0</x:v>
      </x:c>
    </x:row>
    <x:row r="14">
      <x:c r="A14" s="58" t="n">
        <x:v>1854</x:v>
      </x:c>
      <x:c r="B14" s="59" t="n">
        <x:v>0.002</x:v>
      </x:c>
      <x:c r="C14" s="53" t="n">
        <x:f>Economy!O14*B14</x:f>
        <x:v>0.2565827229234213</x:v>
      </x:c>
      <x:c r="D14" s="53" t="n">
        <x:f>IF(AND($A14&gt;=1914,$A14&lt;=1918),entente_total*entente_private*CHOOSE($A14-1913,0.05,0.1333,0.2333,0.3,0.2834),0)</x:f>
        <x:v>0</x:v>
      </x:c>
      <x:c r="E14" s="53" t="n">
        <x:f>H13</x:f>
        <x:v>1.048813410012329</x:v>
      </x:c>
      <x:c r="F14" s="53" t="n">
        <x:f>E14*abroad_repat</x:f>
        <x:v>0.03146440230036987</x:v>
      </x:c>
      <x:c r="G14" s="53" t="n">
        <x:f>IF($A14=1918,russia_writeoff*entente_total*entente_private,0)+IF(OR($A14=1931,$A14=1932),E14*abroad_loss/2,0)</x:f>
        <x:v>0</x:v>
      </x:c>
      <x:c r="H14" s="53" t="n">
        <x:f>E14+C14+D14-F14-G14</x:f>
        <x:v>1.2739317306353806</x:v>
      </x:c>
      <x:c r="I14" s="69" t="n">
        <x:f>Champions!AY14</x:f>
        <x:v>0</x:v>
      </x:c>
      <x:c r="J14" s="53" t="n">
        <x:f>H14+I14</x:f>
        <x:v>1.2739317306353806</x:v>
      </x:c>
      <x:c r="K14" s="53" t="n">
        <x:f>E14*abroad_return*IF(OR($A14=1931,$A14=1932),abroad_slump,1)</x:f>
        <x:v>0.06292880460073974</x:v>
      </x:c>
      <x:c r="L14" s="69" t="n">
        <x:f>Champions!AZ14</x:f>
        <x:v>0</x:v>
      </x:c>
      <x:c r="M14" s="53" t="n">
        <x:f>K14+L14</x:f>
        <x:v>0.06292880460073974</x:v>
      </x:c>
      <x:c r="N14" s="53" t="n">
        <x:f>M14*abroad_tax</x:f>
        <x:v>0.006292880460073974</x:v>
      </x:c>
      <x:c r="O14" s="69" t="n">
        <x:f>Labour!R14</x:f>
        <x:v>0</x:v>
      </x:c>
      <x:c r="P14" s="47" t="n">
        <x:f>Economy!O14+M14-O14</x:f>
        <x:v>128.3542902663114</x:v>
      </x:c>
      <x:c r="Q14" s="63" t="n">
        <x:f>M14/P14</x:f>
        <x:v>0.0004902742593969715</x:v>
      </x:c>
      <x:c r="R14" s="63" t="n">
        <x:f>J14/Economy!O14</x:f>
        <x:v>0.009929988396105635</x:v>
      </x:c>
      <x:c r="S14" s="114" t="n">
        <x:f>0</x:f>
        <x:v>0</x:v>
      </x:c>
      <x:c r="T14" s="114" t="n">
        <x:f>C14-S14</x:f>
        <x:v>0.2565827229234213</x:v>
      </x:c>
      <x:c r="U14" s="114" t="n">
        <x:f>0</x:f>
        <x:v>0</x:v>
      </x:c>
    </x:row>
    <x:row r="15">
      <x:c r="A15" s="58" t="n">
        <x:v>1855</x:v>
      </x:c>
      <x:c r="B15" s="59" t="n">
        <x:v>0.002</x:v>
      </x:c>
      <x:c r="C15" s="53" t="n">
        <x:f>Economy!O15*B15</x:f>
        <x:v>0.25157669446280106</x:v>
      </x:c>
      <x:c r="D15" s="53" t="n">
        <x:f>IF(AND($A15&gt;=1914,$A15&lt;=1918),entente_total*entente_private*CHOOSE($A15-1913,0.05,0.1333,0.2333,0.3,0.2834),0)</x:f>
        <x:v>0</x:v>
      </x:c>
      <x:c r="E15" s="53" t="n">
        <x:f>H14</x:f>
        <x:v>1.2739317306353806</x:v>
      </x:c>
      <x:c r="F15" s="53" t="n">
        <x:f>E15*abroad_repat</x:f>
        <x:v>0.03821795191906142</x:v>
      </x:c>
      <x:c r="G15" s="53" t="n">
        <x:f>IF($A15=1918,russia_writeoff*entente_total*entente_private,0)+IF(OR($A15=1931,$A15=1932),E15*abroad_loss/2,0)</x:f>
        <x:v>0</x:v>
      </x:c>
      <x:c r="H15" s="53" t="n">
        <x:f>E15+C15+D15-F15-G15</x:f>
        <x:v>1.48729047317912</x:v>
      </x:c>
      <x:c r="I15" s="69" t="n">
        <x:f>Champions!AY15</x:f>
        <x:v>0</x:v>
      </x:c>
      <x:c r="J15" s="53" t="n">
        <x:f>H15+I15</x:f>
        <x:v>1.48729047317912</x:v>
      </x:c>
      <x:c r="K15" s="53" t="n">
        <x:f>E15*abroad_return*IF(OR($A15=1931,$A15=1932),abroad_slump,1)</x:f>
        <x:v>0.07643590383812283</x:v>
      </x:c>
      <x:c r="L15" s="69" t="n">
        <x:f>Champions!AZ15</x:f>
        <x:v>0</x:v>
      </x:c>
      <x:c r="M15" s="53" t="n">
        <x:f>K15+L15</x:f>
        <x:v>0.07643590383812283</x:v>
      </x:c>
      <x:c r="N15" s="53" t="n">
        <x:f>M15*abroad_tax</x:f>
        <x:v>0.007643590383812284</x:v>
      </x:c>
      <x:c r="O15" s="69" t="n">
        <x:f>Labour!R15</x:f>
        <x:v>0</x:v>
      </x:c>
      <x:c r="P15" s="47" t="n">
        <x:f>Economy!O15+M15-O15</x:f>
        <x:v>125.86478313523865</x:v>
      </x:c>
      <x:c r="Q15" s="63" t="n">
        <x:f>M15/P15</x:f>
        <x:v>0.0006072858661027868</x:v>
      </x:c>
      <x:c r="R15" s="63" t="n">
        <x:f>J15/Economy!O15</x:f>
        <x:v>0.011823753995615326</x:v>
      </x:c>
      <x:c r="S15" s="114" t="n">
        <x:f>0</x:f>
        <x:v>0</x:v>
      </x:c>
      <x:c r="T15" s="114" t="n">
        <x:f>C15-S15</x:f>
        <x:v>0.25157669446280106</x:v>
      </x:c>
      <x:c r="U15" s="114" t="n">
        <x:f>0</x:f>
        <x:v>0</x:v>
      </x:c>
    </x:row>
    <x:row r="16">
      <x:c r="A16" s="58" t="n">
        <x:v>1856</x:v>
      </x:c>
      <x:c r="B16" s="59" t="n">
        <x:v>0.002</x:v>
      </x:c>
      <x:c r="C16" s="53" t="n">
        <x:f>Economy!O16*B16</x:f>
        <x:v>0.282997440834694</x:v>
      </x:c>
      <x:c r="D16" s="53" t="n">
        <x:f>IF(AND($A16&gt;=1914,$A16&lt;=1918),entente_total*entente_private*CHOOSE($A16-1913,0.05,0.1333,0.2333,0.3,0.2834),0)</x:f>
        <x:v>0</x:v>
      </x:c>
      <x:c r="E16" s="53" t="n">
        <x:f>H15</x:f>
        <x:v>1.48729047317912</x:v>
      </x:c>
      <x:c r="F16" s="53" t="n">
        <x:f>E16*abroad_repat</x:f>
        <x:v>0.0446187141953736</x:v>
      </x:c>
      <x:c r="G16" s="53" t="n">
        <x:f>IF($A16=1918,russia_writeoff*entente_total*entente_private,0)+IF(OR($A16=1931,$A16=1932),E16*abroad_loss/2,0)</x:f>
        <x:v>0</x:v>
      </x:c>
      <x:c r="H16" s="53" t="n">
        <x:f>E16+C16+D16-F16-G16</x:f>
        <x:v>1.7256691998184406</x:v>
      </x:c>
      <x:c r="I16" s="69" t="n">
        <x:f>Champions!AY16</x:f>
        <x:v>0</x:v>
      </x:c>
      <x:c r="J16" s="53" t="n">
        <x:f>H16+I16</x:f>
        <x:v>1.7256691998184406</x:v>
      </x:c>
      <x:c r="K16" s="53" t="n">
        <x:f>E16*abroad_return*IF(OR($A16=1931,$A16=1932),abroad_slump,1)</x:f>
        <x:v>0.0892374283907472</x:v>
      </x:c>
      <x:c r="L16" s="69" t="n">
        <x:f>Champions!AZ16</x:f>
        <x:v>0</x:v>
      </x:c>
      <x:c r="M16" s="53" t="n">
        <x:f>K16+L16</x:f>
        <x:v>0.0892374283907472</x:v>
      </x:c>
      <x:c r="N16" s="53" t="n">
        <x:f>M16*abroad_tax</x:f>
        <x:v>0.008923742839074721</x:v>
      </x:c>
      <x:c r="O16" s="69" t="n">
        <x:f>Labour!R16</x:f>
        <x:v>0</x:v>
      </x:c>
      <x:c r="P16" s="47" t="n">
        <x:f>Economy!O16+M16-O16</x:f>
        <x:v>141.58795784573778</x:v>
      </x:c>
      <x:c r="Q16" s="63" t="n">
        <x:f>M16/P16</x:f>
        <x:v>0.0006302614272321996</x:v>
      </x:c>
      <x:c r="R16" s="63" t="n">
        <x:f>J16/Economy!O16</x:f>
        <x:v>0.012195652333311718</x:v>
      </x:c>
      <x:c r="S16" s="114" t="n">
        <x:f>0</x:f>
        <x:v>0</x:v>
      </x:c>
      <x:c r="T16" s="114" t="n">
        <x:f>C16-S16</x:f>
        <x:v>0.282997440834694</x:v>
      </x:c>
      <x:c r="U16" s="114" t="n">
        <x:f>0</x:f>
        <x:v>0</x:v>
      </x:c>
    </x:row>
    <x:row r="17">
      <x:c r="A17" s="58" t="n">
        <x:v>1857</x:v>
      </x:c>
      <x:c r="B17" s="59" t="n">
        <x:v>0.002</x:v>
      </x:c>
      <x:c r="C17" s="53" t="n">
        <x:f>Economy!O17*B17</x:f>
        <x:v>0.28692446116180104</x:v>
      </x:c>
      <x:c r="D17" s="53" t="n">
        <x:f>IF(AND($A17&gt;=1914,$A17&lt;=1918),entente_total*entente_private*CHOOSE($A17-1913,0.05,0.1333,0.2333,0.3,0.2834),0)</x:f>
        <x:v>0</x:v>
      </x:c>
      <x:c r="E17" s="53" t="n">
        <x:f>H16</x:f>
        <x:v>1.7256691998184406</x:v>
      </x:c>
      <x:c r="F17" s="53" t="n">
        <x:f>E17*abroad_repat</x:f>
        <x:v>0.051770075994553216</x:v>
      </x:c>
      <x:c r="G17" s="53" t="n">
        <x:f>IF($A17=1918,russia_writeoff*entente_total*entente_private,0)+IF(OR($A17=1931,$A17=1932),E17*abroad_loss/2,0)</x:f>
        <x:v>0</x:v>
      </x:c>
      <x:c r="H17" s="53" t="n">
        <x:f>E17+C17+D17-F17-G17</x:f>
        <x:v>1.9608235849856883</x:v>
      </x:c>
      <x:c r="I17" s="69" t="n">
        <x:f>Champions!AY17</x:f>
        <x:v>0</x:v>
      </x:c>
      <x:c r="J17" s="53" t="n">
        <x:f>H17+I17</x:f>
        <x:v>1.9608235849856883</x:v>
      </x:c>
      <x:c r="K17" s="53" t="n">
        <x:f>E17*abroad_return*IF(OR($A17=1931,$A17=1932),abroad_slump,1)</x:f>
        <x:v>0.10354015198910643</x:v>
      </x:c>
      <x:c r="L17" s="69" t="n">
        <x:f>Champions!AZ17</x:f>
        <x:v>0</x:v>
      </x:c>
      <x:c r="M17" s="53" t="n">
        <x:f>K17+L17</x:f>
        <x:v>0.10354015198910643</x:v>
      </x:c>
      <x:c r="N17" s="53" t="n">
        <x:f>M17*abroad_tax</x:f>
        <x:v>0.010354015198910644</x:v>
      </x:c>
      <x:c r="O17" s="69" t="n">
        <x:f>Labour!R17</x:f>
        <x:v>0</x:v>
      </x:c>
      <x:c r="P17" s="47" t="n">
        <x:f>Economy!O17+M17-O17</x:f>
        <x:v>143.56577073288963</x:v>
      </x:c>
      <x:c r="Q17" s="63" t="n">
        <x:f>M17/P17</x:f>
        <x:v>0.0007212036090534936</x:v>
      </x:c>
      <x:c r="R17" s="63" t="n">
        <x:f>J17/Economy!O17</x:f>
        <x:v>0.013667873258668944</x:v>
      </x:c>
      <x:c r="S17" s="114" t="n">
        <x:f>0</x:f>
        <x:v>0</x:v>
      </x:c>
      <x:c r="T17" s="114" t="n">
        <x:f>C17-S17</x:f>
        <x:v>0.28692446116180104</x:v>
      </x:c>
      <x:c r="U17" s="114" t="n">
        <x:f>0</x:f>
        <x:v>0</x:v>
      </x:c>
    </x:row>
    <x:row r="18">
      <x:c r="A18" s="58" t="n">
        <x:v>1858</x:v>
      </x:c>
      <x:c r="B18" s="59" t="n">
        <x:v>0.002</x:v>
      </x:c>
      <x:c r="C18" s="53" t="n">
        <x:f>Economy!O18*B18</x:f>
        <x:v>0.3113106167636495</x:v>
      </x:c>
      <x:c r="D18" s="53" t="n">
        <x:f>IF(AND($A18&gt;=1914,$A18&lt;=1918),entente_total*entente_private*CHOOSE($A18-1913,0.05,0.1333,0.2333,0.3,0.2834),0)</x:f>
        <x:v>0</x:v>
      </x:c>
      <x:c r="E18" s="53" t="n">
        <x:f>H17</x:f>
        <x:v>1.9608235849856883</x:v>
      </x:c>
      <x:c r="F18" s="53" t="n">
        <x:f>E18*abroad_repat</x:f>
        <x:v>0.05882470754957065</x:v>
      </x:c>
      <x:c r="G18" s="53" t="n">
        <x:f>IF($A18=1918,russia_writeoff*entente_total*entente_private,0)+IF(OR($A18=1931,$A18=1932),E18*abroad_loss/2,0)</x:f>
        <x:v>0</x:v>
      </x:c>
      <x:c r="H18" s="53" t="n">
        <x:f>E18+C18+D18-F18-G18</x:f>
        <x:v>2.2133094941997675</x:v>
      </x:c>
      <x:c r="I18" s="69" t="n">
        <x:f>Champions!AY18</x:f>
        <x:v>0</x:v>
      </x:c>
      <x:c r="J18" s="53" t="n">
        <x:f>H18+I18</x:f>
        <x:v>2.2133094941997675</x:v>
      </x:c>
      <x:c r="K18" s="53" t="n">
        <x:f>E18*abroad_return*IF(OR($A18=1931,$A18=1932),abroad_slump,1)</x:f>
        <x:v>0.1176494150991413</x:v>
      </x:c>
      <x:c r="L18" s="69" t="n">
        <x:f>Champions!AZ18</x:f>
        <x:v>0</x:v>
      </x:c>
      <x:c r="M18" s="53" t="n">
        <x:f>K18+L18</x:f>
        <x:v>0.1176494150991413</x:v>
      </x:c>
      <x:c r="N18" s="53" t="n">
        <x:f>M18*abroad_tax</x:f>
        <x:v>0.011764941509914131</x:v>
      </x:c>
      <x:c r="O18" s="69" t="n">
        <x:f>Labour!R18</x:f>
        <x:v>0</x:v>
      </x:c>
      <x:c r="P18" s="47" t="n">
        <x:f>Economy!O18+M18-O18</x:f>
        <x:v>155.77295779692392</x:v>
      </x:c>
      <x:c r="Q18" s="63" t="n">
        <x:f>M18/P18</x:f>
        <x:v>0.0007552621248452955</x:v>
      </x:c>
      <x:c r="R18" s="63" t="n">
        <x:f>J18/Economy!O18</x:f>
        <x:v>0.014219299792657805</x:v>
      </x:c>
      <x:c r="S18" s="114" t="n">
        <x:f>0</x:f>
        <x:v>0</x:v>
      </x:c>
      <x:c r="T18" s="114" t="n">
        <x:f>C18-S18</x:f>
        <x:v>0.3113106167636495</x:v>
      </x:c>
      <x:c r="U18" s="114" t="n">
        <x:f>0</x:f>
        <x:v>0</x:v>
      </x:c>
    </x:row>
    <x:row r="19">
      <x:c r="A19" s="58" t="n">
        <x:v>1859</x:v>
      </x:c>
      <x:c r="B19" s="59" t="n">
        <x:v>0.002</x:v>
      </x:c>
      <x:c r="C19" s="53" t="n">
        <x:f>Economy!O19*B19</x:f>
        <x:v>0.33209556425988607</x:v>
      </x:c>
      <x:c r="D19" s="53" t="n">
        <x:f>IF(AND($A19&gt;=1914,$A19&lt;=1918),entente_total*entente_private*CHOOSE($A19-1913,0.05,0.1333,0.2333,0.3,0.2834),0)</x:f>
        <x:v>0</x:v>
      </x:c>
      <x:c r="E19" s="53" t="n">
        <x:f>H18</x:f>
        <x:v>2.2133094941997675</x:v>
      </x:c>
      <x:c r="F19" s="53" t="n">
        <x:f>E19*abroad_repat</x:f>
        <x:v>0.06639928482599303</x:v>
      </x:c>
      <x:c r="G19" s="53" t="n">
        <x:f>IF($A19=1918,russia_writeoff*entente_total*entente_private,0)+IF(OR($A19=1931,$A19=1932),E19*abroad_loss/2,0)</x:f>
        <x:v>0</x:v>
      </x:c>
      <x:c r="H19" s="53" t="n">
        <x:f>E19+C19+D19-F19-G19</x:f>
        <x:v>2.4790057736336606</x:v>
      </x:c>
      <x:c r="I19" s="69" t="n">
        <x:f>Champions!AY19</x:f>
        <x:v>0</x:v>
      </x:c>
      <x:c r="J19" s="53" t="n">
        <x:f>H19+I19</x:f>
        <x:v>2.4790057736336606</x:v>
      </x:c>
      <x:c r="K19" s="53" t="n">
        <x:f>E19*abroad_return*IF(OR($A19=1931,$A19=1932),abroad_slump,1)</x:f>
        <x:v>0.13279856965198605</x:v>
      </x:c>
      <x:c r="L19" s="69" t="n">
        <x:f>Champions!AZ19</x:f>
        <x:v>0</x:v>
      </x:c>
      <x:c r="M19" s="53" t="n">
        <x:f>K19+L19</x:f>
        <x:v>0.13279856965198605</x:v>
      </x:c>
      <x:c r="N19" s="53" t="n">
        <x:f>M19*abroad_tax</x:f>
        <x:v>0.013279856965198606</x:v>
      </x:c>
      <x:c r="O19" s="69" t="n">
        <x:f>Labour!R19</x:f>
        <x:v>0</x:v>
      </x:c>
      <x:c r="P19" s="47" t="n">
        <x:f>Economy!O19+M19-O19</x:f>
        <x:v>166.180580699595</x:v>
      </x:c>
      <x:c r="Q19" s="63" t="n">
        <x:f>M19/P19</x:f>
        <x:v>0.000799122070057309</x:v>
      </x:c>
      <x:c r="R19" s="63" t="n">
        <x:f>J19/Economy!O19</x:f>
        <x:v>0.014929472359309684</x:v>
      </x:c>
      <x:c r="S19" s="114" t="n">
        <x:f>0</x:f>
        <x:v>0</x:v>
      </x:c>
      <x:c r="T19" s="114" t="n">
        <x:f>C19-S19</x:f>
        <x:v>0.33209556425988607</x:v>
      </x:c>
      <x:c r="U19" s="114" t="n">
        <x:f>0</x:f>
        <x:v>0</x:v>
      </x:c>
    </x:row>
    <x:row r="20">
      <x:c r="A20" s="58" t="n">
        <x:v>1860</x:v>
      </x:c>
      <x:c r="B20" s="59" t="n">
        <x:v>0.002</x:v>
      </x:c>
      <x:c r="C20" s="53" t="n">
        <x:f>Economy!O20*B20</x:f>
        <x:v>0.35001073465055527</x:v>
      </x:c>
      <x:c r="D20" s="53" t="n">
        <x:f>IF(AND($A20&gt;=1914,$A20&lt;=1918),entente_total*entente_private*CHOOSE($A20-1913,0.05,0.1333,0.2333,0.3,0.2834),0)</x:f>
        <x:v>0</x:v>
      </x:c>
      <x:c r="E20" s="53" t="n">
        <x:f>H19</x:f>
        <x:v>2.4790057736336606</x:v>
      </x:c>
      <x:c r="F20" s="53" t="n">
        <x:f>E20*abroad_repat</x:f>
        <x:v>0.07437017320900982</x:v>
      </x:c>
      <x:c r="G20" s="53" t="n">
        <x:f>IF($A20=1918,russia_writeoff*entente_total*entente_private,0)+IF(OR($A20=1931,$A20=1932),E20*abroad_loss/2,0)</x:f>
        <x:v>0</x:v>
      </x:c>
      <x:c r="H20" s="53" t="n">
        <x:f>E20+C20+D20-F20-G20</x:f>
        <x:v>2.754646335075206</x:v>
      </x:c>
      <x:c r="I20" s="69" t="n">
        <x:f>Champions!AY20</x:f>
        <x:v>0</x:v>
      </x:c>
      <x:c r="J20" s="53" t="n">
        <x:f>H20+I20</x:f>
        <x:v>2.754646335075206</x:v>
      </x:c>
      <x:c r="K20" s="53" t="n">
        <x:f>E20*abroad_return*IF(OR($A20=1931,$A20=1932),abroad_slump,1)</x:f>
        <x:v>0.14874034641801964</x:v>
      </x:c>
      <x:c r="L20" s="69" t="n">
        <x:f>Champions!AZ20</x:f>
        <x:v>0</x:v>
      </x:c>
      <x:c r="M20" s="53" t="n">
        <x:f>K20+L20</x:f>
        <x:v>0.14874034641801964</x:v>
      </x:c>
      <x:c r="N20" s="53" t="n">
        <x:f>M20*abroad_tax</x:f>
        <x:v>0.014874034641801965</x:v>
      </x:c>
      <x:c r="O20" s="69" t="n">
        <x:f>Labour!R20</x:f>
        <x:v>0</x:v>
      </x:c>
      <x:c r="P20" s="47" t="n">
        <x:f>Economy!O20+M20-O20</x:f>
        <x:v>175.15410767169564</x:v>
      </x:c>
      <x:c r="Q20" s="63" t="n">
        <x:f>M20/P20</x:f>
        <x:v>0.0008491970208133213</x:v>
      </x:c>
      <x:c r="R20" s="63" t="n">
        <x:f>J20/Economy!O20</x:f>
        <x:v>0.015740353437018996</x:v>
      </x:c>
      <x:c r="S20" s="114" t="n">
        <x:f>0</x:f>
        <x:v>0</x:v>
      </x:c>
      <x:c r="T20" s="114" t="n">
        <x:f>C20-S20</x:f>
        <x:v>0.35001073465055527</x:v>
      </x:c>
      <x:c r="U20" s="114" t="n">
        <x:f>0</x:f>
        <x:v>0</x:v>
      </x:c>
    </x:row>
    <x:row r="21">
      <x:c r="A21" s="61" t="n">
        <x:v>1861</x:v>
      </x:c>
      <x:c r="B21" s="59" t="n">
        <x:v>0.002</x:v>
      </x:c>
      <x:c r="C21" s="53" t="n">
        <x:f>Economy!O21*B21</x:f>
        <x:v>0.36093384574599324</x:v>
      </x:c>
      <x:c r="D21" s="53" t="n">
        <x:f>IF(AND($A21&gt;=1914,$A21&lt;=1918),entente_total*entente_private*CHOOSE($A21-1913,0.05,0.1333,0.2333,0.3,0.2834),0)</x:f>
        <x:v>0</x:v>
      </x:c>
      <x:c r="E21" s="53" t="n">
        <x:f>H20</x:f>
        <x:v>2.754646335075206</x:v>
      </x:c>
      <x:c r="F21" s="53" t="n">
        <x:f>E21*abroad_repat</x:f>
        <x:v>0.08263939005225618</x:v>
      </x:c>
      <x:c r="G21" s="53" t="n">
        <x:f>IF($A21=1918,russia_writeoff*entente_total*entente_private,0)+IF(OR($A21=1931,$A21=1932),E21*abroad_loss/2,0)</x:f>
        <x:v>0</x:v>
      </x:c>
      <x:c r="H21" s="53" t="n">
        <x:f>E21+C21+D21-F21-G21</x:f>
        <x:v>3.032940790768943</x:v>
      </x:c>
      <x:c r="I21" s="69" t="n">
        <x:f>Champions!AY21</x:f>
        <x:v>0</x:v>
      </x:c>
      <x:c r="J21" s="53" t="n">
        <x:f>H21+I21</x:f>
        <x:v>3.032940790768943</x:v>
      </x:c>
      <x:c r="K21" s="53" t="n">
        <x:f>E21*abroad_return*IF(OR($A21=1931,$A21=1932),abroad_slump,1)</x:f>
        <x:v>0.16527878010451236</x:v>
      </x:c>
      <x:c r="L21" s="69" t="n">
        <x:f>Champions!AZ21</x:f>
        <x:v>0</x:v>
      </x:c>
      <x:c r="M21" s="53" t="n">
        <x:f>K21+L21</x:f>
        <x:v>0.16527878010451236</x:v>
      </x:c>
      <x:c r="N21" s="53" t="n">
        <x:f>M21*abroad_tax</x:f>
        <x:v>0.016527878010451236</x:v>
      </x:c>
      <x:c r="O21" s="69" t="n">
        <x:f>Labour!R21</x:f>
        <x:v>0</x:v>
      </x:c>
      <x:c r="P21" s="47" t="n">
        <x:f>Economy!O21+M21-O21</x:f>
        <x:v>180.6322016531011</x:v>
      </x:c>
      <x:c r="Q21" s="63" t="n">
        <x:f>M21/P21</x:f>
        <x:v>0.000915001747152069</x:v>
      </x:c>
      <x:c r="R21" s="63" t="n">
        <x:f>J21/Economy!O21</x:f>
        <x:v>0.016806075830878835</x:v>
      </x:c>
      <x:c r="S21" s="114" t="n">
        <x:f>0</x:f>
        <x:v>0</x:v>
      </x:c>
      <x:c r="T21" s="114" t="n">
        <x:f>C21-S21</x:f>
        <x:v>0.36093384574599324</x:v>
      </x:c>
      <x:c r="U21" s="114" t="n">
        <x:f>0</x:f>
        <x:v>0</x:v>
      </x:c>
    </x:row>
    <x:row r="22">
      <x:c r="A22" s="61" t="n">
        <x:v>1862</x:v>
      </x:c>
      <x:c r="B22" s="59" t="n">
        <x:v>0.002</x:v>
      </x:c>
      <x:c r="C22" s="53" t="n">
        <x:f>Economy!O22*B22</x:f>
        <x:v>0.4159124567087357</x:v>
      </x:c>
      <x:c r="D22" s="53" t="n">
        <x:f>IF(AND($A22&gt;=1914,$A22&lt;=1918),entente_total*entente_private*CHOOSE($A22-1913,0.05,0.1333,0.2333,0.3,0.2834),0)</x:f>
        <x:v>0</x:v>
      </x:c>
      <x:c r="E22" s="53" t="n">
        <x:f>H21</x:f>
        <x:v>3.032940790768943</x:v>
      </x:c>
      <x:c r="F22" s="53" t="n">
        <x:f>E22*abroad_repat</x:f>
        <x:v>0.09098822372306829</x:v>
      </x:c>
      <x:c r="G22" s="53" t="n">
        <x:f>IF($A22=1918,russia_writeoff*entente_total*entente_private,0)+IF(OR($A22=1931,$A22=1932),E22*abroad_loss/2,0)</x:f>
        <x:v>0</x:v>
      </x:c>
      <x:c r="H22" s="53" t="n">
        <x:f>E22+C22+D22-F22-G22</x:f>
        <x:v>3.3578650237546106</x:v>
      </x:c>
      <x:c r="I22" s="69" t="n">
        <x:f>Champions!AY22</x:f>
        <x:v>0</x:v>
      </x:c>
      <x:c r="J22" s="53" t="n">
        <x:f>H22+I22</x:f>
        <x:v>3.3578650237546106</x:v>
      </x:c>
      <x:c r="K22" s="53" t="n">
        <x:f>E22*abroad_return*IF(OR($A22=1931,$A22=1932),abroad_slump,1)</x:f>
        <x:v>0.18197644744613659</x:v>
      </x:c>
      <x:c r="L22" s="69" t="n">
        <x:f>Champions!AZ22</x:f>
        <x:v>0</x:v>
      </x:c>
      <x:c r="M22" s="53" t="n">
        <x:f>K22+L22</x:f>
        <x:v>0.18197644744613659</x:v>
      </x:c>
      <x:c r="N22" s="53" t="n">
        <x:f>M22*abroad_tax</x:f>
        <x:v>0.018197644744613658</x:v>
      </x:c>
      <x:c r="O22" s="69" t="n">
        <x:f>Labour!R22</x:f>
        <x:v>0</x:v>
      </x:c>
      <x:c r="P22" s="47" t="n">
        <x:f>Economy!O22+M22-O22</x:f>
        <x:v>208.138204801814</x:v>
      </x:c>
      <x:c r="Q22" s="63" t="n">
        <x:f>M22/P22</x:f>
        <x:v>0.0008743058374093875</x:v>
      </x:c>
      <x:c r="R22" s="63" t="n">
        <x:f>J22/Economy!O22</x:f>
        <x:v>0.016146979825161285</x:v>
      </x:c>
      <x:c r="S22" s="114" t="n">
        <x:f>0</x:f>
        <x:v>0</x:v>
      </x:c>
      <x:c r="T22" s="114" t="n">
        <x:f>C22-S22</x:f>
        <x:v>0.4159124567087357</x:v>
      </x:c>
      <x:c r="U22" s="114" t="n">
        <x:f>0</x:f>
        <x:v>0</x:v>
      </x:c>
    </x:row>
    <x:row r="23">
      <x:c r="A23" s="61" t="n">
        <x:v>1863</x:v>
      </x:c>
      <x:c r="B23" s="59" t="n">
        <x:v>0.002</x:v>
      </x:c>
      <x:c r="C23" s="53" t="n">
        <x:f>Economy!O23*B23</x:f>
        <x:v>0.5183114556219331</x:v>
      </x:c>
      <x:c r="D23" s="53" t="n">
        <x:f>IF(AND($A23&gt;=1914,$A23&lt;=1918),entente_total*entente_private*CHOOSE($A23-1913,0.05,0.1333,0.2333,0.3,0.2834),0)</x:f>
        <x:v>0</x:v>
      </x:c>
      <x:c r="E23" s="53" t="n">
        <x:f>H22</x:f>
        <x:v>3.3578650237546106</x:v>
      </x:c>
      <x:c r="F23" s="53" t="n">
        <x:f>E23*abroad_repat</x:f>
        <x:v>0.10073595071263831</x:v>
      </x:c>
      <x:c r="G23" s="53" t="n">
        <x:f>IF($A23=1918,russia_writeoff*entente_total*entente_private,0)+IF(OR($A23=1931,$A23=1932),E23*abroad_loss/2,0)</x:f>
        <x:v>0</x:v>
      </x:c>
      <x:c r="H23" s="53" t="n">
        <x:f>E23+C23+D23-F23-G23</x:f>
        <x:v>3.7754405286639057</x:v>
      </x:c>
      <x:c r="I23" s="69" t="n">
        <x:f>Champions!AY23</x:f>
        <x:v>0</x:v>
      </x:c>
      <x:c r="J23" s="53" t="n">
        <x:f>H23+I23</x:f>
        <x:v>3.7754405286639057</x:v>
      </x:c>
      <x:c r="K23" s="53" t="n">
        <x:f>E23*abroad_return*IF(OR($A23=1931,$A23=1932),abroad_slump,1)</x:f>
        <x:v>0.20147190142527663</x:v>
      </x:c>
      <x:c r="L23" s="69" t="n">
        <x:f>Champions!AZ23</x:f>
        <x:v>0</x:v>
      </x:c>
      <x:c r="M23" s="53" t="n">
        <x:f>K23+L23</x:f>
        <x:v>0.20147190142527663</x:v>
      </x:c>
      <x:c r="N23" s="53" t="n">
        <x:f>M23*abroad_tax</x:f>
        <x:v>0.020147190142527666</x:v>
      </x:c>
      <x:c r="O23" s="69" t="n">
        <x:f>Labour!R23</x:f>
        <x:v>0</x:v>
      </x:c>
      <x:c r="P23" s="47" t="n">
        <x:f>Economy!O23+M23-O23</x:f>
        <x:v>259.3571997123919</x:v>
      </x:c>
      <x:c r="Q23" s="63" t="n">
        <x:f>M23/P23</x:f>
        <x:v>0.0007768124488107297</x:v>
      </x:c>
      <x:c r="R23" s="63" t="n">
        <x:f>J23/Economy!O23</x:f>
        <x:v>0.01456823108080323</x:v>
      </x:c>
      <x:c r="S23" s="114" t="n">
        <x:f>0</x:f>
        <x:v>0</x:v>
      </x:c>
      <x:c r="T23" s="114" t="n">
        <x:f>C23-S23</x:f>
        <x:v>0.5183114556219331</x:v>
      </x:c>
      <x:c r="U23" s="114" t="n">
        <x:f>0</x:f>
        <x:v>0</x:v>
      </x:c>
    </x:row>
    <x:row r="24">
      <x:c r="A24" s="61" t="n">
        <x:v>1864</x:v>
      </x:c>
      <x:c r="B24" s="59" t="n">
        <x:v>0.002</x:v>
      </x:c>
      <x:c r="C24" s="53" t="n">
        <x:f>Economy!O24*B24</x:f>
        <x:v>0.6289723809366202</x:v>
      </x:c>
      <x:c r="D24" s="53" t="n">
        <x:f>IF(AND($A24&gt;=1914,$A24&lt;=1918),entente_total*entente_private*CHOOSE($A24-1913,0.05,0.1333,0.2333,0.3,0.2834),0)</x:f>
        <x:v>0</x:v>
      </x:c>
      <x:c r="E24" s="53" t="n">
        <x:f>H23</x:f>
        <x:v>3.7754405286639057</x:v>
      </x:c>
      <x:c r="F24" s="53" t="n">
        <x:f>E24*abroad_repat</x:f>
        <x:v>0.11326321585991717</x:v>
      </x:c>
      <x:c r="G24" s="53" t="n">
        <x:f>IF($A24=1918,russia_writeoff*entente_total*entente_private,0)+IF(OR($A24=1931,$A24=1932),E24*abroad_loss/2,0)</x:f>
        <x:v>0</x:v>
      </x:c>
      <x:c r="H24" s="53" t="n">
        <x:f>E24+C24+D24-F24-G24</x:f>
        <x:v>4.291149693740609</x:v>
      </x:c>
      <x:c r="I24" s="69" t="n">
        <x:f>Champions!AY24</x:f>
        <x:v>0</x:v>
      </x:c>
      <x:c r="J24" s="53" t="n">
        <x:f>H24+I24</x:f>
        <x:v>4.291149693740609</x:v>
      </x:c>
      <x:c r="K24" s="53" t="n">
        <x:f>E24*abroad_return*IF(OR($A24=1931,$A24=1932),abroad_slump,1)</x:f>
        <x:v>0.22652643171983433</x:v>
      </x:c>
      <x:c r="L24" s="69" t="n">
        <x:f>Champions!AZ24</x:f>
        <x:v>0</x:v>
      </x:c>
      <x:c r="M24" s="53" t="n">
        <x:f>K24+L24</x:f>
        <x:v>0.22652643171983433</x:v>
      </x:c>
      <x:c r="N24" s="53" t="n">
        <x:f>M24*abroad_tax</x:f>
        <x:v>0.022652643171983435</x:v>
      </x:c>
      <x:c r="O24" s="69" t="n">
        <x:f>Labour!R24</x:f>
        <x:v>0</x:v>
      </x:c>
      <x:c r="P24" s="47" t="n">
        <x:f>Economy!O24+M24-O24</x:f>
        <x:v>314.71271690002993</x:v>
      </x:c>
      <x:c r="Q24" s="63" t="n">
        <x:f>M24/P24</x:f>
        <x:v>0.0007197879829933647</x:v>
      </x:c>
      <x:c r="R24" s="63" t="n">
        <x:f>J24/Economy!O24</x:f>
        <x:v>0.01364495428988643</x:v>
      </x:c>
      <x:c r="S24" s="114" t="n">
        <x:f>0</x:f>
        <x:v>0</x:v>
      </x:c>
      <x:c r="T24" s="114" t="n">
        <x:f>C24-S24</x:f>
        <x:v>0.6289723809366202</x:v>
      </x:c>
      <x:c r="U24" s="114" t="n">
        <x:f>0</x:f>
        <x:v>0</x:v>
      </x:c>
    </x:row>
    <x:row r="25">
      <x:c r="A25" s="61" t="n">
        <x:v>1865</x:v>
      </x:c>
      <x:c r="B25" s="59" t="n">
        <x:v>0.002</x:v>
      </x:c>
      <x:c r="C25" s="53" t="n">
        <x:f>Economy!O25*B25</x:f>
        <x:v>0.6863176002805057</x:v>
      </x:c>
      <x:c r="D25" s="53" t="n">
        <x:f>IF(AND($A25&gt;=1914,$A25&lt;=1918),entente_total*entente_private*CHOOSE($A25-1913,0.05,0.1333,0.2333,0.3,0.2834),0)</x:f>
        <x:v>0</x:v>
      </x:c>
      <x:c r="E25" s="53" t="n">
        <x:f>H24</x:f>
        <x:v>4.291149693740609</x:v>
      </x:c>
      <x:c r="F25" s="53" t="n">
        <x:f>E25*abroad_repat</x:f>
        <x:v>0.12873449081221827</x:v>
      </x:c>
      <x:c r="G25" s="53" t="n">
        <x:f>IF($A25=1918,russia_writeoff*entente_total*entente_private,0)+IF(OR($A25=1931,$A25=1932),E25*abroad_loss/2,0)</x:f>
        <x:v>0</x:v>
      </x:c>
      <x:c r="H25" s="53" t="n">
        <x:f>E25+C25+D25-F25-G25</x:f>
        <x:v>4.848732803208897</x:v>
      </x:c>
      <x:c r="I25" s="69" t="n">
        <x:f>Champions!AY25</x:f>
        <x:v>0</x:v>
      </x:c>
      <x:c r="J25" s="53" t="n">
        <x:f>H25+I25</x:f>
        <x:v>4.848732803208897</x:v>
      </x:c>
      <x:c r="K25" s="53" t="n">
        <x:f>E25*abroad_return*IF(OR($A25=1931,$A25=1932),abroad_slump,1)</x:f>
        <x:v>0.25746898162443654</x:v>
      </x:c>
      <x:c r="L25" s="69" t="n">
        <x:f>Champions!AZ25</x:f>
        <x:v>0</x:v>
      </x:c>
      <x:c r="M25" s="53" t="n">
        <x:f>K25+L25</x:f>
        <x:v>0.25746898162443654</x:v>
      </x:c>
      <x:c r="N25" s="53" t="n">
        <x:f>M25*abroad_tax</x:f>
        <x:v>0.025746898162443656</x:v>
      </x:c>
      <x:c r="O25" s="69" t="n">
        <x:f>Labour!R25</x:f>
        <x:v>0</x:v>
      </x:c>
      <x:c r="P25" s="47" t="n">
        <x:f>Economy!O25+M25-O25</x:f>
        <x:v>343.41626912187724</x:v>
      </x:c>
      <x:c r="Q25" s="63" t="n">
        <x:f>M25/P25</x:f>
        <x:v>0.0007497285503764578</x:v>
      </x:c>
      <x:c r="R25" s="63" t="n">
        <x:f>J25/Economy!O25</x:f>
        <x:v>0.01412970555097863</x:v>
      </x:c>
      <x:c r="S25" s="114" t="n">
        <x:f>0</x:f>
        <x:v>0</x:v>
      </x:c>
      <x:c r="T25" s="114" t="n">
        <x:f>C25-S25</x:f>
        <x:v>0.6863176002805057</x:v>
      </x:c>
      <x:c r="U25" s="114" t="n">
        <x:f>0</x:f>
        <x:v>0</x:v>
      </x:c>
    </x:row>
    <x:row r="26">
      <x:c r="A26" s="58" t="n">
        <x:v>1866</x:v>
      </x:c>
      <x:c r="B26" s="59" t="n">
        <x:v>0.002</x:v>
      </x:c>
      <x:c r="C26" s="53" t="n">
        <x:f>Economy!O26*B26</x:f>
        <x:v>0.7335026881756715</x:v>
      </x:c>
      <x:c r="D26" s="53" t="n">
        <x:f>IF(AND($A26&gt;=1914,$A26&lt;=1918),entente_total*entente_private*CHOOSE($A26-1913,0.05,0.1333,0.2333,0.3,0.2834),0)</x:f>
        <x:v>0</x:v>
      </x:c>
      <x:c r="E26" s="53" t="n">
        <x:f>H25</x:f>
        <x:v>4.848732803208897</x:v>
      </x:c>
      <x:c r="F26" s="53" t="n">
        <x:f>E26*abroad_repat</x:f>
        <x:v>0.1454619840962669</x:v>
      </x:c>
      <x:c r="G26" s="53" t="n">
        <x:f>IF($A26=1918,russia_writeoff*entente_total*entente_private,0)+IF(OR($A26=1931,$A26=1932),E26*abroad_loss/2,0)</x:f>
        <x:v>0</x:v>
      </x:c>
      <x:c r="H26" s="53" t="n">
        <x:f>E26+C26+D26-F26-G26</x:f>
        <x:v>5.436773507288302</x:v>
      </x:c>
      <x:c r="I26" s="69" t="n">
        <x:f>Champions!AY26</x:f>
        <x:v>0</x:v>
      </x:c>
      <x:c r="J26" s="53" t="n">
        <x:f>H26+I26</x:f>
        <x:v>5.436773507288302</x:v>
      </x:c>
      <x:c r="K26" s="53" t="n">
        <x:f>E26*abroad_return*IF(OR($A26=1931,$A26=1932),abroad_slump,1)</x:f>
        <x:v>0.2909239681925338</x:v>
      </x:c>
      <x:c r="L26" s="69" t="n">
        <x:f>Champions!AZ26</x:f>
        <x:v>0</x:v>
      </x:c>
      <x:c r="M26" s="53" t="n">
        <x:f>K26+L26</x:f>
        <x:v>0.2909239681925338</x:v>
      </x:c>
      <x:c r="N26" s="53" t="n">
        <x:f>M26*abroad_tax</x:f>
        <x:v>0.02909239681925338</x:v>
      </x:c>
      <x:c r="O26" s="69" t="n">
        <x:f>Labour!R26</x:f>
        <x:v>0</x:v>
      </x:c>
      <x:c r="P26" s="47" t="n">
        <x:f>Economy!O26+M26-O26</x:f>
        <x:v>367.0422680560283</x:v>
      </x:c>
      <x:c r="Q26" s="63" t="n">
        <x:f>M26/P26</x:f>
        <x:v>0.0007926170730509022</x:v>
      </x:c>
      <x:c r="R26" s="63" t="n">
        <x:f>J26/Economy!O26</x:f>
        <x:v>0.014824140647147054</x:v>
      </x:c>
      <x:c r="S26" s="114" t="n">
        <x:f>0</x:f>
        <x:v>0</x:v>
      </x:c>
      <x:c r="T26" s="114" t="n">
        <x:f>C26-S26</x:f>
        <x:v>0.7335026881756715</x:v>
      </x:c>
      <x:c r="U26" s="114" t="n">
        <x:f>0</x:f>
        <x:v>0</x:v>
      </x:c>
    </x:row>
    <x:row r="27">
      <x:c r="A27" s="58" t="n">
        <x:v>1867</x:v>
      </x:c>
      <x:c r="B27" s="59" t="n">
        <x:v>0.002</x:v>
      </x:c>
      <x:c r="C27" s="53" t="n">
        <x:f>Economy!O27*B27</x:f>
        <x:v>0.797796439901777</x:v>
      </x:c>
      <x:c r="D27" s="53" t="n">
        <x:f>IF(AND($A27&gt;=1914,$A27&lt;=1918),entente_total*entente_private*CHOOSE($A27-1913,0.05,0.1333,0.2333,0.3,0.2834),0)</x:f>
        <x:v>0</x:v>
      </x:c>
      <x:c r="E27" s="53" t="n">
        <x:f>H26</x:f>
        <x:v>5.436773507288302</x:v>
      </x:c>
      <x:c r="F27" s="53" t="n">
        <x:f>E27*abroad_repat</x:f>
        <x:v>0.16310320521864904</x:v>
      </x:c>
      <x:c r="G27" s="53" t="n">
        <x:f>IF($A27=1918,russia_writeoff*entente_total*entente_private,0)+IF(OR($A27=1931,$A27=1932),E27*abroad_loss/2,0)</x:f>
        <x:v>0</x:v>
      </x:c>
      <x:c r="H27" s="53" t="n">
        <x:f>E27+C27+D27-F27-G27</x:f>
        <x:v>6.07146674197143</x:v>
      </x:c>
      <x:c r="I27" s="69" t="n">
        <x:f>Champions!AY27</x:f>
        <x:v>0</x:v>
      </x:c>
      <x:c r="J27" s="53" t="n">
        <x:f>H27+I27</x:f>
        <x:v>6.07146674197143</x:v>
      </x:c>
      <x:c r="K27" s="53" t="n">
        <x:f>E27*abroad_return*IF(OR($A27=1931,$A27=1932),abroad_slump,1)</x:f>
        <x:v>0.3262064104372981</x:v>
      </x:c>
      <x:c r="L27" s="69" t="n">
        <x:f>Champions!AZ27</x:f>
        <x:v>0.01801399531664298</x:v>
      </x:c>
      <x:c r="M27" s="53" t="n">
        <x:f>K27+L27</x:f>
        <x:v>0.3442204057539411</x:v>
      </x:c>
      <x:c r="N27" s="53" t="n">
        <x:f>M27*abroad_tax</x:f>
        <x:v>0.03442204057539411</x:v>
      </x:c>
      <x:c r="O27" s="69" t="n">
        <x:f>Labour!R27</x:f>
        <x:v>0</x:v>
      </x:c>
      <x:c r="P27" s="47" t="n">
        <x:f>Economy!O27+M27-O27</x:f>
        <x:v>399.2424403566424</x:v>
      </x:c>
      <x:c r="Q27" s="63" t="n">
        <x:f>M27/P27</x:f>
        <x:v>0.0008621839037113633</x:v>
      </x:c>
      <x:c r="R27" s="63" t="n">
        <x:f>J27/Economy!O27</x:f>
        <x:v>0.01522059121426748</x:v>
      </x:c>
      <x:c r="S27" s="114" t="n">
        <x:f>0</x:f>
        <x:v>0</x:v>
      </x:c>
      <x:c r="T27" s="114" t="n">
        <x:f>C27-S27</x:f>
        <x:v>0.797796439901777</x:v>
      </x:c>
      <x:c r="U27" s="114" t="n">
        <x:f>0</x:f>
        <x:v>0</x:v>
      </x:c>
    </x:row>
    <x:row r="28">
      <x:c r="A28" s="58" t="n">
        <x:v>1868</x:v>
      </x:c>
      <x:c r="B28" s="59" t="n">
        <x:v>0.002</x:v>
      </x:c>
      <x:c r="C28" s="53" t="n">
        <x:f>Economy!O28*B28</x:f>
        <x:v>0.8685213444710554</x:v>
      </x:c>
      <x:c r="D28" s="53" t="n">
        <x:f>IF(AND($A28&gt;=1914,$A28&lt;=1918),entente_total*entente_private*CHOOSE($A28-1913,0.05,0.1333,0.2333,0.3,0.2834),0)</x:f>
        <x:v>0</x:v>
      </x:c>
      <x:c r="E28" s="53" t="n">
        <x:f>H27</x:f>
        <x:v>6.07146674197143</x:v>
      </x:c>
      <x:c r="F28" s="53" t="n">
        <x:f>E28*abroad_repat</x:f>
        <x:v>0.1821440022591429</x:v>
      </x:c>
      <x:c r="G28" s="53" t="n">
        <x:f>IF($A28=1918,russia_writeoff*entente_total*entente_private,0)+IF(OR($A28=1931,$A28=1932),E28*abroad_loss/2,0)</x:f>
        <x:v>0</x:v>
      </x:c>
      <x:c r="H28" s="53" t="n">
        <x:f>E28+C28+D28-F28-G28</x:f>
        <x:v>6.7578440841833425</x:v>
      </x:c>
      <x:c r="I28" s="69" t="n">
        <x:f>Champions!AY28</x:f>
        <x:v>0</x:v>
      </x:c>
      <x:c r="J28" s="53" t="n">
        <x:f>H28+I28</x:f>
        <x:v>6.7578440841833425</x:v>
      </x:c>
      <x:c r="K28" s="53" t="n">
        <x:f>E28*abroad_return*IF(OR($A28=1931,$A28=1932),abroad_slump,1)</x:f>
        <x:v>0.3642880045182858</x:v>
      </x:c>
      <x:c r="L28" s="69" t="n">
        <x:f>Champions!AZ28</x:f>
        <x:v>0.019398706345728878</x:v>
      </x:c>
      <x:c r="M28" s="53" t="n">
        <x:f>K28+L28</x:f>
        <x:v>0.3836867108640147</x:v>
      </x:c>
      <x:c r="N28" s="53" t="n">
        <x:f>M28*abroad_tax</x:f>
        <x:v>0.03836867108640147</x:v>
      </x:c>
      <x:c r="O28" s="69" t="n">
        <x:f>Labour!R28</x:f>
        <x:v>0</x:v>
      </x:c>
      <x:c r="P28" s="47" t="n">
        <x:f>Economy!O28+M28-O28</x:f>
        <x:v>434.6443589463917</x:v>
      </x:c>
      <x:c r="Q28" s="63" t="n">
        <x:f>M28/P28</x:f>
        <x:v>0.0008827601301305234</x:v>
      </x:c>
      <x:c r="R28" s="63" t="n">
        <x:f>J28/Economy!O28</x:f>
        <x:v>0.015561722523466564</x:v>
      </x:c>
      <x:c r="S28" s="114" t="n">
        <x:f>0</x:f>
        <x:v>0</x:v>
      </x:c>
      <x:c r="T28" s="114" t="n">
        <x:f>C28-S28</x:f>
        <x:v>0.8685213444710554</x:v>
      </x:c>
      <x:c r="U28" s="114" t="n">
        <x:f>0</x:f>
        <x:v>0</x:v>
      </x:c>
    </x:row>
    <x:row r="29">
      <x:c r="A29" s="58" t="n">
        <x:v>1869</x:v>
      </x:c>
      <x:c r="B29" s="59" t="n">
        <x:v>0.002</x:v>
      </x:c>
      <x:c r="C29" s="53" t="n">
        <x:f>Economy!O29*B29</x:f>
        <x:v>0.9432241279164582</x:v>
      </x:c>
      <x:c r="D29" s="53" t="n">
        <x:f>IF(AND($A29&gt;=1914,$A29&lt;=1918),entente_total*entente_private*CHOOSE($A29-1913,0.05,0.1333,0.2333,0.3,0.2834),0)</x:f>
        <x:v>0</x:v>
      </x:c>
      <x:c r="E29" s="53" t="n">
        <x:f>H28</x:f>
        <x:v>6.7578440841833425</x:v>
      </x:c>
      <x:c r="F29" s="53" t="n">
        <x:f>E29*abroad_repat</x:f>
        <x:v>0.20273532252550028</x:v>
      </x:c>
      <x:c r="G29" s="53" t="n">
        <x:f>IF($A29=1918,russia_writeoff*entente_total*entente_private,0)+IF(OR($A29=1931,$A29=1932),E29*abroad_loss/2,0)</x:f>
        <x:v>0</x:v>
      </x:c>
      <x:c r="H29" s="53" t="n">
        <x:f>E29+C29+D29-F29-G29</x:f>
        <x:v>7.4983328895743</x:v>
      </x:c>
      <x:c r="I29" s="69" t="n">
        <x:f>Champions!AY29</x:f>
        <x:v>0</x:v>
      </x:c>
      <x:c r="J29" s="53" t="n">
        <x:f>H29+I29</x:f>
        <x:v>7.4983328895743</x:v>
      </x:c>
      <x:c r="K29" s="53" t="n">
        <x:f>E29*abroad_return*IF(OR($A29=1931,$A29=1932),abroad_slump,1)</x:f>
        <x:v>0.40547064505100056</x:v>
      </x:c>
      <x:c r="L29" s="69" t="n">
        <x:f>Champions!AZ29</x:f>
        <x:v>0.031213260201573428</x:v>
      </x:c>
      <x:c r="M29" s="53" t="n">
        <x:f>K29+L29</x:f>
        <x:v>0.436683905252574</x:v>
      </x:c>
      <x:c r="N29" s="53" t="n">
        <x:f>M29*abroad_tax</x:f>
        <x:v>0.0436683905252574</x:v>
      </x:c>
      <x:c r="O29" s="69" t="n">
        <x:f>Labour!R29</x:f>
        <x:v>0</x:v>
      </x:c>
      <x:c r="P29" s="47" t="n">
        <x:f>Economy!O29+M29-O29</x:f>
        <x:v>472.0487478634816</x:v>
      </x:c>
      <x:c r="Q29" s="63" t="n">
        <x:f>M29/P29</x:f>
        <x:v>0.0009250822234547368</x:v>
      </x:c>
      <x:c r="R29" s="63" t="n">
        <x:f>J29/Economy!O29</x:f>
        <x:v>0.015899366158365347</x:v>
      </x:c>
      <x:c r="S29" s="114" t="n">
        <x:f>0</x:f>
        <x:v>0</x:v>
      </x:c>
      <x:c r="T29" s="114" t="n">
        <x:f>C29-S29</x:f>
        <x:v>0.9432241279164582</x:v>
      </x:c>
      <x:c r="U29" s="114" t="n">
        <x:f>0</x:f>
        <x:v>0</x:v>
      </x:c>
    </x:row>
    <x:row r="30">
      <x:c r="A30" s="61" t="n">
        <x:v>1870</x:v>
      </x:c>
      <x:c r="B30" s="59" t="n">
        <x:v>0.006</x:v>
      </x:c>
      <x:c r="C30" s="53" t="n">
        <x:f>Economy!O30*B30</x:f>
        <x:v>3.0868616960655837</x:v>
      </x:c>
      <x:c r="D30" s="53" t="n">
        <x:f>IF(AND($A30&gt;=1914,$A30&lt;=1918),entente_total*entente_private*CHOOSE($A30-1913,0.05,0.1333,0.2333,0.3,0.2834),0)</x:f>
        <x:v>0</x:v>
      </x:c>
      <x:c r="E30" s="53" t="n">
        <x:f>H29</x:f>
        <x:v>7.4983328895743</x:v>
      </x:c>
      <x:c r="F30" s="53" t="n">
        <x:f>E30*abroad_repat</x:f>
        <x:v>0.224949986687229</x:v>
      </x:c>
      <x:c r="G30" s="53" t="n">
        <x:f>IF($A30=1918,russia_writeoff*entente_total*entente_private,0)+IF(OR($A30=1931,$A30=1932),E30*abroad_loss/2,0)</x:f>
        <x:v>0</x:v>
      </x:c>
      <x:c r="H30" s="53" t="n">
        <x:f>E30+C30+D30-F30-G30</x:f>
        <x:v>10.360244598952654</x:v>
      </x:c>
      <x:c r="I30" s="69" t="n">
        <x:f>Champions!AY30</x:f>
        <x:v>7.026583907489471</x:v>
      </x:c>
      <x:c r="J30" s="53" t="n">
        <x:f>H30+I30</x:f>
        <x:v>17.386828506442125</x:v>
      </x:c>
      <x:c r="K30" s="53" t="n">
        <x:f>E30*abroad_return*IF(OR($A30=1931,$A30=1932),abroad_slump,1)</x:f>
        <x:v>0.449899973374458</x:v>
      </x:c>
      <x:c r="L30" s="69" t="n">
        <x:f>Champions!AZ30</x:f>
        <x:v>0.4850450871339982</x:v>
      </x:c>
      <x:c r="M30" s="53" t="n">
        <x:f>K30+L30</x:f>
        <x:v>0.9349450605084562</x:v>
      </x:c>
      <x:c r="N30" s="53" t="n">
        <x:f>M30*abroad_tax</x:f>
        <x:v>0.09349450605084562</x:v>
      </x:c>
      <x:c r="O30" s="69" t="n">
        <x:f>Labour!R30</x:f>
        <x:v>0</x:v>
      </x:c>
      <x:c r="P30" s="47" t="n">
        <x:f>Economy!O30+M30-O30</x:f>
        <x:v>515.4118944047724</x:v>
      </x:c>
      <x:c r="Q30" s="63" t="n">
        <x:f>M30/P30</x:f>
        <x:v>0.0018139764927004353</x:v>
      </x:c>
      <x:c r="R30" s="63" t="n">
        <x:f>J30/Economy!O30</x:f>
        <x:v>0.03379515550425111</x:v>
      </x:c>
      <x:c r="S30" s="114" t="n">
        <x:f>0</x:f>
        <x:v>0</x:v>
      </x:c>
      <x:c r="T30" s="114" t="n">
        <x:f>C30-S30</x:f>
        <x:v>3.0868616960655837</x:v>
      </x:c>
      <x:c r="U30" s="114" t="n">
        <x:f>0</x:f>
        <x:v>0</x:v>
      </x:c>
    </x:row>
    <x:row r="31">
      <x:c r="A31" s="61" t="n">
        <x:v>1871</x:v>
      </x:c>
      <x:c r="B31" s="59" t="n">
        <x:v>0.006</x:v>
      </x:c>
      <x:c r="C31" s="53" t="n">
        <x:f>Economy!O31*B31</x:f>
        <x:v>3.3179615217100724</x:v>
      </x:c>
      <x:c r="D31" s="53" t="n">
        <x:f>IF(AND($A31&gt;=1914,$A31&lt;=1918),entente_total*entente_private*CHOOSE($A31-1913,0.05,0.1333,0.2333,0.3,0.2834),0)</x:f>
        <x:v>0</x:v>
      </x:c>
      <x:c r="E31" s="53" t="n">
        <x:f>H30</x:f>
        <x:v>10.360244598952654</x:v>
      </x:c>
      <x:c r="F31" s="53" t="n">
        <x:f>E31*abroad_repat</x:f>
        <x:v>0.3108073379685796</x:v>
      </x:c>
      <x:c r="G31" s="53" t="n">
        <x:f>IF($A31=1918,russia_writeoff*entente_total*entente_private,0)+IF(OR($A31=1931,$A31=1932),E31*abroad_loss/2,0)</x:f>
        <x:v>0</x:v>
      </x:c>
      <x:c r="H31" s="53" t="n">
        <x:f>E31+C31+D31-F31-G31</x:f>
        <x:v>13.367398782694147</x:v>
      </x:c>
      <x:c r="I31" s="69" t="n">
        <x:f>Champions!AY31</x:f>
        <x:v>11.058964935642846</x:v>
      </x:c>
      <x:c r="J31" s="53" t="n">
        <x:f>H31+I31</x:f>
        <x:v>24.426363718336994</x:v>
      </x:c>
      <x:c r="K31" s="53" t="n">
        <x:f>E31*abroad_return*IF(OR($A31=1931,$A31=1932),abroad_slump,1)</x:f>
        <x:v>0.6216146759371592</x:v>
      </x:c>
      <x:c r="L31" s="69" t="n">
        <x:f>Champions!AZ31</x:f>
        <x:v>0.7392214307163157</x:v>
      </x:c>
      <x:c r="M31" s="53" t="n">
        <x:f>K31+L31</x:f>
        <x:v>1.3608361066534749</x:v>
      </x:c>
      <x:c r="N31" s="53" t="n">
        <x:f>M31*abroad_tax</x:f>
        <x:v>0.1360836106653475</x:v>
      </x:c>
      <x:c r="O31" s="69" t="n">
        <x:f>Labour!R31</x:f>
        <x:v>0</x:v>
      </x:c>
      <x:c r="P31" s="47" t="n">
        <x:f>Economy!O31+M31-O31</x:f>
        <x:v>554.3544230583321</x:v>
      </x:c>
      <x:c r="Q31" s="63" t="n">
        <x:f>M31/P31</x:f>
        <x:v>0.0024548123908633094</x:v>
      </x:c>
      <x:c r="R31" s="63" t="n">
        <x:f>J31/Economy!O31</x:f>
        <x:v>0.04417115188077471</x:v>
      </x:c>
      <x:c r="S31" s="114" t="n">
        <x:f>0</x:f>
        <x:v>0</x:v>
      </x:c>
      <x:c r="T31" s="114" t="n">
        <x:f>C31-S31</x:f>
        <x:v>3.3179615217100724</x:v>
      </x:c>
      <x:c r="U31" s="114" t="n">
        <x:f>0</x:f>
        <x:v>0</x:v>
      </x:c>
    </x:row>
    <x:row r="32">
      <x:c r="A32" s="58" t="n">
        <x:v>1872</x:v>
      </x:c>
      <x:c r="B32" s="59" t="n">
        <x:v>0.006</x:v>
      </x:c>
      <x:c r="C32" s="53" t="n">
        <x:f>Economy!O32*B32</x:f>
        <x:v>3.555590830539383</x:v>
      </x:c>
      <x:c r="D32" s="53" t="n">
        <x:f>IF(AND($A32&gt;=1914,$A32&lt;=1918),entente_total*entente_private*CHOOSE($A32-1913,0.05,0.1333,0.2333,0.3,0.2834),0)</x:f>
        <x:v>0</x:v>
      </x:c>
      <x:c r="E32" s="53" t="n">
        <x:f>H31</x:f>
        <x:v>13.367398782694147</x:v>
      </x:c>
      <x:c r="F32" s="53" t="n">
        <x:f>E32*abroad_repat</x:f>
        <x:v>0.4010219634808244</x:v>
      </x:c>
      <x:c r="G32" s="53" t="n">
        <x:f>IF($A32=1918,russia_writeoff*entente_total*entente_private,0)+IF(OR($A32=1931,$A32=1932),E32*abroad_loss/2,0)</x:f>
        <x:v>0</x:v>
      </x:c>
      <x:c r="H32" s="53" t="n">
        <x:f>E32+C32+D32-F32-G32</x:f>
        <x:v>16.521967649752703</x:v>
      </x:c>
      <x:c r="I32" s="69" t="n">
        <x:f>Champions!AY32</x:f>
        <x:v>14.097653041748242</x:v>
      </x:c>
      <x:c r="J32" s="53" t="n">
        <x:f>H32+I32</x:f>
        <x:v>30.619620691500945</x:v>
      </x:c>
      <x:c r="K32" s="53" t="n">
        <x:f>E32*abroad_return*IF(OR($A32=1931,$A32=1932),abroad_slump,1)</x:f>
        <x:v>0.8020439269616488</x:v>
      </x:c>
      <x:c r="L32" s="69" t="n">
        <x:f>Champions!AZ32</x:f>
        <x:v>0.9564250613608914</x:v>
      </x:c>
      <x:c r="M32" s="53" t="n">
        <x:f>K32+L32</x:f>
        <x:v>1.7584689883225404</x:v>
      </x:c>
      <x:c r="N32" s="53" t="n">
        <x:f>M32*abroad_tax</x:f>
        <x:v>0.17584689883225404</x:v>
      </x:c>
      <x:c r="O32" s="69" t="n">
        <x:f>Labour!R32</x:f>
        <x:v>0</x:v>
      </x:c>
      <x:c r="P32" s="47" t="n">
        <x:f>Economy!O32+M32-O32</x:f>
        <x:v>594.3569407448864</x:v>
      </x:c>
      <x:c r="Q32" s="63" t="n">
        <x:f>M32/P32</x:f>
        <x:v>0.002958607644286468</x:v>
      </x:c>
      <x:c r="R32" s="63" t="n">
        <x:f>J32/Economy!O32</x:f>
        <x:v>0.051670097293263544</x:v>
      </x:c>
      <x:c r="S32" s="114" t="n">
        <x:f>0</x:f>
        <x:v>0</x:v>
      </x:c>
      <x:c r="T32" s="114" t="n">
        <x:f>C32-S32</x:f>
        <x:v>3.555590830539383</x:v>
      </x:c>
      <x:c r="U32" s="114" t="n">
        <x:f>0</x:f>
        <x:v>0</x:v>
      </x:c>
    </x:row>
    <x:row r="33">
      <x:c r="A33" s="58" t="n">
        <x:v>1873</x:v>
      </x:c>
      <x:c r="B33" s="59" t="n">
        <x:v>0.006</x:v>
      </x:c>
      <x:c r="C33" s="53" t="n">
        <x:f>Economy!O33*B33</x:f>
        <x:v>3.771447677795553</x:v>
      </x:c>
      <x:c r="D33" s="53" t="n">
        <x:f>IF(AND($A33&gt;=1914,$A33&lt;=1918),entente_total*entente_private*CHOOSE($A33-1913,0.05,0.1333,0.2333,0.3,0.2834),0)</x:f>
        <x:v>0</x:v>
      </x:c>
      <x:c r="E33" s="53" t="n">
        <x:f>H32</x:f>
        <x:v>16.521967649752703</x:v>
      </x:c>
      <x:c r="F33" s="53" t="n">
        <x:f>E33*abroad_repat</x:f>
        <x:v>0.49565902949258106</x:v>
      </x:c>
      <x:c r="G33" s="53" t="n">
        <x:f>IF($A33=1918,russia_writeoff*entente_total*entente_private,0)+IF(OR($A33=1931,$A33=1932),E33*abroad_loss/2,0)</x:f>
        <x:v>0</x:v>
      </x:c>
      <x:c r="H33" s="53" t="n">
        <x:f>E33+C33+D33-F33-G33</x:f>
        <x:v>19.797756298055674</x:v>
      </x:c>
      <x:c r="I33" s="69" t="n">
        <x:f>Champions!AY33</x:f>
        <x:v>16.138352884360287</x:v>
      </x:c>
      <x:c r="J33" s="53" t="n">
        <x:f>H33+I33</x:f>
        <x:v>35.93610918241596</x:v>
      </x:c>
      <x:c r="K33" s="53" t="n">
        <x:f>E33*abroad_return*IF(OR($A33=1931,$A33=1932),abroad_slump,1)</x:f>
        <x:v>0.9913180589851621</x:v>
      </x:c>
      <x:c r="L33" s="69" t="n">
        <x:f>Champions!AZ33</x:f>
        <x:v>1.0616615444976416</x:v>
      </x:c>
      <x:c r="M33" s="53" t="n">
        <x:f>K33+L33</x:f>
        <x:v>2.052979603482804</x:v>
      </x:c>
      <x:c r="N33" s="53" t="n">
        <x:f>M33*abroad_tax</x:f>
        <x:v>0.2052979603482804</x:v>
      </x:c>
      <x:c r="O33" s="69" t="n">
        <x:f>Labour!R33</x:f>
        <x:v>0</x:v>
      </x:c>
      <x:c r="P33" s="47" t="n">
        <x:f>Economy!O33+M33-O33</x:f>
        <x:v>630.6275925694082</x:v>
      </x:c>
      <x:c r="Q33" s="63" t="n">
        <x:f>M33/P33</x:f>
        <x:v>0.003255454768666578</x:v>
      </x:c>
      <x:c r="R33" s="63" t="n">
        <x:f>J33/Economy!O33</x:f>
        <x:v>0.057170793158272254</x:v>
      </x:c>
      <x:c r="S33" s="114" t="n">
        <x:f>0</x:f>
        <x:v>0</x:v>
      </x:c>
      <x:c r="T33" s="114" t="n">
        <x:f>C33-S33</x:f>
        <x:v>3.771447677795553</x:v>
      </x:c>
      <x:c r="U33" s="114" t="n">
        <x:f>0</x:f>
        <x:v>0</x:v>
      </x:c>
    </x:row>
    <x:row r="34">
      <x:c r="A34" s="58" t="n">
        <x:v>1874</x:v>
      </x:c>
      <x:c r="B34" s="59" t="n">
        <x:v>0.006</x:v>
      </x:c>
      <x:c r="C34" s="53" t="n">
        <x:f>Economy!O34*B34</x:f>
        <x:v>4.02217336239489</x:v>
      </x:c>
      <x:c r="D34" s="53" t="n">
        <x:f>IF(AND($A34&gt;=1914,$A34&lt;=1918),entente_total*entente_private*CHOOSE($A34-1913,0.05,0.1333,0.2333,0.3,0.2834),0)</x:f>
        <x:v>0</x:v>
      </x:c>
      <x:c r="E34" s="53" t="n">
        <x:f>H33</x:f>
        <x:v>19.797756298055674</x:v>
      </x:c>
      <x:c r="F34" s="53" t="n">
        <x:f>E34*abroad_repat</x:f>
        <x:v>0.5939326889416702</x:v>
      </x:c>
      <x:c r="G34" s="53" t="n">
        <x:f>IF($A34=1918,russia_writeoff*entente_total*entente_private,0)+IF(OR($A34=1931,$A34=1932),E34*abroad_loss/2,0)</x:f>
        <x:v>0</x:v>
      </x:c>
      <x:c r="H34" s="53" t="n">
        <x:f>E34+C34+D34-F34-G34</x:f>
        <x:v>23.22599697150889</x:v>
      </x:c>
      <x:c r="I34" s="69" t="n">
        <x:f>Champions!AY34</x:f>
        <x:v>20.207322951881498</x:v>
      </x:c>
      <x:c r="J34" s="53" t="n">
        <x:f>H34+I34</x:f>
        <x:v>43.433319923390385</x:v>
      </x:c>
      <x:c r="K34" s="53" t="n">
        <x:f>E34*abroad_return*IF(OR($A34=1931,$A34=1932),abroad_slump,1)</x:f>
        <x:v>1.1878653778833403</x:v>
      </x:c>
      <x:c r="L34" s="69" t="n">
        <x:f>Champions!AZ34</x:f>
        <x:v>1.3189723837152092</x:v>
      </x:c>
      <x:c r="M34" s="53" t="n">
        <x:f>K34+L34</x:f>
        <x:v>2.5068377615985495</x:v>
      </x:c>
      <x:c r="N34" s="53" t="n">
        <x:f>M34*abroad_tax</x:f>
        <x:v>0.250683776159855</x:v>
      </x:c>
      <x:c r="O34" s="69" t="n">
        <x:f>Labour!R34</x:f>
        <x:v>0</x:v>
      </x:c>
      <x:c r="P34" s="47" t="n">
        <x:f>Economy!O34+M34-O34</x:f>
        <x:v>672.8690648274136</x:v>
      </x:c>
      <x:c r="Q34" s="63" t="n">
        <x:f>M34/P34</x:f>
        <x:v>0.0037255952051258837</x:v>
      </x:c>
      <x:c r="R34" s="63" t="n">
        <x:f>J34/Economy!O34</x:f>
        <x:v>0.06479082228946378</x:v>
      </x:c>
      <x:c r="S34" s="114" t="n">
        <x:f>0</x:f>
        <x:v>0</x:v>
      </x:c>
      <x:c r="T34" s="114" t="n">
        <x:f>C34-S34</x:f>
        <x:v>4.02217336239489</x:v>
      </x:c>
      <x:c r="U34" s="114" t="n">
        <x:f>0</x:f>
        <x:v>0</x:v>
      </x:c>
    </x:row>
    <x:row r="35">
      <x:c r="A35" s="58" t="n">
        <x:v>1875</x:v>
      </x:c>
      <x:c r="B35" s="59" t="n">
        <x:v>0.006</x:v>
      </x:c>
      <x:c r="C35" s="53" t="n">
        <x:f>Economy!O35*B35</x:f>
        <x:v>4.357299867842026</x:v>
      </x:c>
      <x:c r="D35" s="53" t="n">
        <x:f>IF(AND($A35&gt;=1914,$A35&lt;=1918),entente_total*entente_private*CHOOSE($A35-1913,0.05,0.1333,0.2333,0.3,0.2834),0)</x:f>
        <x:v>0</x:v>
      </x:c>
      <x:c r="E35" s="53" t="n">
        <x:f>H34</x:f>
        <x:v>23.22599697150889</x:v>
      </x:c>
      <x:c r="F35" s="53" t="n">
        <x:f>E35*abroad_repat</x:f>
        <x:v>0.6967799091452667</x:v>
      </x:c>
      <x:c r="G35" s="53" t="n">
        <x:f>IF($A35=1918,russia_writeoff*entente_total*entente_private,0)+IF(OR($A35=1931,$A35=1932),E35*abroad_loss/2,0)</x:f>
        <x:v>0</x:v>
      </x:c>
      <x:c r="H35" s="53" t="n">
        <x:f>E35+C35+D35-F35-G35</x:f>
        <x:v>26.88651693020565</x:v>
      </x:c>
      <x:c r="I35" s="69" t="n">
        <x:f>Champions!AY35</x:f>
        <x:v>24.291251881284182</x:v>
      </x:c>
      <x:c r="J35" s="53" t="n">
        <x:f>H35+I35</x:f>
        <x:v>51.177768811489834</x:v>
      </x:c>
      <x:c r="K35" s="53" t="n">
        <x:f>E35*abroad_return*IF(OR($A35=1931,$A35=1932),abroad_slump,1)</x:f>
        <x:v>1.3935598182905333</x:v>
      </x:c>
      <x:c r="L35" s="69" t="n">
        <x:f>Champions!AZ35</x:f>
        <x:v>1.5918360998454042</x:v>
      </x:c>
      <x:c r="M35" s="53" t="n">
        <x:f>K35+L35</x:f>
        <x:v>2.9853959181359375</x:v>
      </x:c>
      <x:c r="N35" s="53" t="n">
        <x:f>M35*abroad_tax</x:f>
        <x:v>0.29853959181359374</x:v>
      </x:c>
      <x:c r="O35" s="69" t="n">
        <x:f>Labour!R35</x:f>
        <x:v>0</x:v>
      </x:c>
      <x:c r="P35" s="47" t="n">
        <x:f>Economy!O35+M35-O35</x:f>
        <x:v>729.2020405584736</x:v>
      </x:c>
      <x:c r="Q35" s="63" t="n">
        <x:f>M35/P35</x:f>
        <x:v>0.004094058645049202</x:v>
      </x:c>
      <x:c r="R35" s="63" t="n">
        <x:f>J35/Economy!O35</x:f>
        <x:v>0.07047176512573032</x:v>
      </x:c>
      <x:c r="S35" s="114" t="n">
        <x:f>0</x:f>
        <x:v>0</x:v>
      </x:c>
      <x:c r="T35" s="114" t="n">
        <x:f>C35-S35</x:f>
        <x:v>4.357299867842026</x:v>
      </x:c>
      <x:c r="U35" s="114" t="n">
        <x:f>0</x:f>
        <x:v>0</x:v>
      </x:c>
    </x:row>
    <x:row r="36">
      <x:c r="A36" s="58" t="n">
        <x:v>1876</x:v>
      </x:c>
      <x:c r="B36" s="59" t="n">
        <x:v>0.006</x:v>
      </x:c>
      <x:c r="C36" s="53" t="n">
        <x:f>Economy!O36*B36</x:f>
        <x:v>4.750320491498128</x:v>
      </x:c>
      <x:c r="D36" s="53" t="n">
        <x:f>IF(AND($A36&gt;=1914,$A36&lt;=1918),entente_total*entente_private*CHOOSE($A36-1913,0.05,0.1333,0.2333,0.3,0.2834),0)</x:f>
        <x:v>0</x:v>
      </x:c>
      <x:c r="E36" s="53" t="n">
        <x:f>H35</x:f>
        <x:v>26.88651693020565</x:v>
      </x:c>
      <x:c r="F36" s="53" t="n">
        <x:f>E36*abroad_repat</x:f>
        <x:v>0.8065955079061695</x:v>
      </x:c>
      <x:c r="G36" s="53" t="n">
        <x:f>IF($A36=1918,russia_writeoff*entente_total*entente_private,0)+IF(OR($A36=1931,$A36=1932),E36*abroad_loss/2,0)</x:f>
        <x:v>0</x:v>
      </x:c>
      <x:c r="H36" s="53" t="n">
        <x:f>E36+C36+D36-F36-G36</x:f>
        <x:v>30.83024191379761</x:v>
      </x:c>
      <x:c r="I36" s="69" t="n">
        <x:f>Champions!AY36</x:f>
        <x:v>27.37718446359673</x:v>
      </x:c>
      <x:c r="J36" s="53" t="n">
        <x:f>H36+I36</x:f>
        <x:v>58.20742637739434</x:v>
      </x:c>
      <x:c r="K36" s="53" t="n">
        <x:f>E36*abroad_return*IF(OR($A36=1931,$A36=1932),abroad_slump,1)</x:f>
        <x:v>1.613191015812339</x:v>
      </x:c>
      <x:c r="L36" s="69" t="n">
        <x:f>Champions!AZ36</x:f>
        <x:v>1.801013149786686</x:v>
      </x:c>
      <x:c r="M36" s="53" t="n">
        <x:f>K36+L36</x:f>
        <x:v>3.414204165599025</x:v>
      </x:c>
      <x:c r="N36" s="53" t="n">
        <x:f>M36*abroad_tax</x:f>
        <x:v>0.3414204165599025</x:v>
      </x:c>
      <x:c r="O36" s="69" t="n">
        <x:f>Labour!R36</x:f>
        <x:v>0</x:v>
      </x:c>
      <x:c r="P36" s="47" t="n">
        <x:f>Economy!O36+M36-O36</x:f>
        <x:v>795.1342860819536</x:v>
      </x:c>
      <x:c r="Q36" s="63" t="n">
        <x:f>M36/P36</x:f>
        <x:v>0.004293871142725603</x:v>
      </x:c>
      <x:c r="R36" s="63" t="n">
        <x:f>J36/Economy!O36</x:f>
        <x:v>0.0735202096131041</x:v>
      </x:c>
      <x:c r="S36" s="114" t="n">
        <x:f>0</x:f>
        <x:v>0</x:v>
      </x:c>
      <x:c r="T36" s="114" t="n">
        <x:f>C36-S36</x:f>
        <x:v>4.750320491498128</x:v>
      </x:c>
      <x:c r="U36" s="114" t="n">
        <x:f>0</x:f>
        <x:v>0</x:v>
      </x:c>
    </x:row>
    <x:row r="37">
      <x:c r="A37" s="58" t="n">
        <x:v>1877</x:v>
      </x:c>
      <x:c r="B37" s="59" t="n">
        <x:v>0.006</x:v>
      </x:c>
      <x:c r="C37" s="53" t="n">
        <x:f>Economy!O37*B37</x:f>
        <x:v>4.974291260565502</x:v>
      </x:c>
      <x:c r="D37" s="53" t="n">
        <x:f>IF(AND($A37&gt;=1914,$A37&lt;=1918),entente_total*entente_private*CHOOSE($A37-1913,0.05,0.1333,0.2333,0.3,0.2834),0)</x:f>
        <x:v>0</x:v>
      </x:c>
      <x:c r="E37" s="53" t="n">
        <x:f>H36</x:f>
        <x:v>30.83024191379761</x:v>
      </x:c>
      <x:c r="F37" s="53" t="n">
        <x:f>E37*abroad_repat</x:f>
        <x:v>0.9249072574139283</x:v>
      </x:c>
      <x:c r="G37" s="53" t="n">
        <x:f>IF($A37=1918,russia_writeoff*entente_total*entente_private,0)+IF(OR($A37=1931,$A37=1932),E37*abroad_loss/2,0)</x:f>
        <x:v>0</x:v>
      </x:c>
      <x:c r="H37" s="53" t="n">
        <x:f>E37+C37+D37-F37-G37</x:f>
        <x:v>34.87962591694919</x:v>
      </x:c>
      <x:c r="I37" s="69" t="n">
        <x:f>Champions!AY37</x:f>
        <x:v>30.48530535846963</x:v>
      </x:c>
      <x:c r="J37" s="53" t="n">
        <x:f>H37+I37</x:f>
        <x:v>65.36493127541883</x:v>
      </x:c>
      <x:c r="K37" s="53" t="n">
        <x:f>E37*abroad_return*IF(OR($A37=1931,$A37=1932),abroad_slump,1)</x:f>
        <x:v>1.8498145148278566</x:v>
      </x:c>
      <x:c r="L37" s="69" t="n">
        <x:f>Champions!AZ37</x:f>
        <x:v>2.011674491763147</x:v>
      </x:c>
      <x:c r="M37" s="53" t="n">
        <x:f>K37+L37</x:f>
        <x:v>3.8614890065910035</x:v>
      </x:c>
      <x:c r="N37" s="53" t="n">
        <x:f>M37*abroad_tax</x:f>
        <x:v>0.38614890065910035</x:v>
      </x:c>
      <x:c r="O37" s="69" t="n">
        <x:f>Labour!R37</x:f>
        <x:v>0</x:v>
      </x:c>
      <x:c r="P37" s="47" t="n">
        <x:f>Economy!O37+M37-O37</x:f>
        <x:v>832.9100324341746</x:v>
      </x:c>
      <x:c r="Q37" s="63" t="n">
        <x:f>M37/P37</x:f>
        <x:v>0.004636141787493933</x:v>
      </x:c>
      <x:c r="R37" s="63" t="n">
        <x:f>J37/Economy!O37</x:f>
        <x:v>0.07884330995284883</x:v>
      </x:c>
      <x:c r="S37" s="114" t="n">
        <x:f>0</x:f>
        <x:v>0</x:v>
      </x:c>
      <x:c r="T37" s="114" t="n">
        <x:f>C37-S37</x:f>
        <x:v>4.974291260565502</x:v>
      </x:c>
      <x:c r="U37" s="114" t="n">
        <x:f>0</x:f>
        <x:v>0</x:v>
      </x:c>
    </x:row>
    <x:row r="38">
      <x:c r="A38" s="58" t="n">
        <x:v>1878</x:v>
      </x:c>
      <x:c r="B38" s="59" t="n">
        <x:v>0.006</x:v>
      </x:c>
      <x:c r="C38" s="53" t="n">
        <x:f>Economy!O38*B38</x:f>
        <x:v>5.299897940372095</x:v>
      </x:c>
      <x:c r="D38" s="53" t="n">
        <x:f>IF(AND($A38&gt;=1914,$A38&lt;=1918),entente_total*entente_private*CHOOSE($A38-1913,0.05,0.1333,0.2333,0.3,0.2834),0)</x:f>
        <x:v>0</x:v>
      </x:c>
      <x:c r="E38" s="53" t="n">
        <x:f>H37</x:f>
        <x:v>34.87962591694919</x:v>
      </x:c>
      <x:c r="F38" s="53" t="n">
        <x:f>E38*abroad_repat</x:f>
        <x:v>1.0463887775084757</x:v>
      </x:c>
      <x:c r="G38" s="53" t="n">
        <x:f>IF($A38=1918,russia_writeoff*entente_total*entente_private,0)+IF(OR($A38=1931,$A38=1932),E38*abroad_loss/2,0)</x:f>
        <x:v>0</x:v>
      </x:c>
      <x:c r="H38" s="53" t="n">
        <x:f>E38+C38+D38-F38-G38</x:f>
        <x:v>39.13313507981281</x:v>
      </x:c>
      <x:c r="I38" s="69" t="n">
        <x:f>Champions!AY38</x:f>
        <x:v>33.60812089868317</x:v>
      </x:c>
      <x:c r="J38" s="53" t="n">
        <x:f>H38+I38</x:f>
        <x:v>72.74125597849599</x:v>
      </x:c>
      <x:c r="K38" s="53" t="n">
        <x:f>E38*abroad_return*IF(OR($A38=1931,$A38=1932),abroad_slump,1)</x:f>
        <x:v>2.0927775550169514</x:v>
      </x:c>
      <x:c r="L38" s="69" t="n">
        <x:f>Champions!AZ38</x:f>
        <x:v>2.189334838130823</x:v>
      </x:c>
      <x:c r="M38" s="53" t="n">
        <x:f>K38+L38</x:f>
        <x:v>4.2821123931477745</x:v>
      </x:c>
      <x:c r="N38" s="53" t="n">
        <x:f>M38*abroad_tax</x:f>
        <x:v>0.42821123931477745</x:v>
      </x:c>
      <x:c r="O38" s="69" t="n">
        <x:f>Labour!R38</x:f>
        <x:v>0</x:v>
      </x:c>
      <x:c r="P38" s="47" t="n">
        <x:f>Economy!O38+M38-O38</x:f>
        <x:v>887.598435788497</x:v>
      </x:c>
      <x:c r="Q38" s="63" t="n">
        <x:f>M38/P38</x:f>
        <x:v>0.004824380283347126</x:v>
      </x:c>
      <x:c r="R38" s="63" t="n">
        <x:f>J38/Economy!O38</x:f>
        <x:v>0.08235017745272541</x:v>
      </x:c>
      <x:c r="S38" s="114" t="n">
        <x:f>0</x:f>
        <x:v>0</x:v>
      </x:c>
      <x:c r="T38" s="114" t="n">
        <x:f>C38-S38</x:f>
        <x:v>5.299897940372095</x:v>
      </x:c>
      <x:c r="U38" s="114" t="n">
        <x:f>0</x:f>
        <x:v>0</x:v>
      </x:c>
    </x:row>
    <x:row r="39">
      <x:c r="A39" s="58" t="n">
        <x:v>1879</x:v>
      </x:c>
      <x:c r="B39" s="59" t="n">
        <x:v>0.006</x:v>
      </x:c>
      <x:c r="C39" s="53" t="n">
        <x:f>Economy!O39*B39</x:f>
        <x:v>5.5572158122566995</x:v>
      </x:c>
      <x:c r="D39" s="53" t="n">
        <x:f>IF(AND($A39&gt;=1914,$A39&lt;=1918),entente_total*entente_private*CHOOSE($A39-1913,0.05,0.1333,0.2333,0.3,0.2834),0)</x:f>
        <x:v>0</x:v>
      </x:c>
      <x:c r="E39" s="53" t="n">
        <x:f>H38</x:f>
        <x:v>39.13313507981281</x:v>
      </x:c>
      <x:c r="F39" s="53" t="n">
        <x:f>E39*abroad_repat</x:f>
        <x:v>1.1739940523943841</x:v>
      </x:c>
      <x:c r="G39" s="53" t="n">
        <x:f>IF($A39=1918,russia_writeoff*entente_total*entente_private,0)+IF(OR($A39=1931,$A39=1932),E39*abroad_loss/2,0)</x:f>
        <x:v>0</x:v>
      </x:c>
      <x:c r="H39" s="53" t="n">
        <x:f>E39+C39+D39-F39-G39</x:f>
        <x:v>43.516356839675126</x:v>
      </x:c>
      <x:c r="I39" s="69" t="n">
        <x:f>Champions!AY39</x:f>
        <x:v>37.76731679037727</x:v>
      </x:c>
      <x:c r="J39" s="53" t="n">
        <x:f>H39+I39</x:f>
        <x:v>81.28367363005239</x:v>
      </x:c>
      <x:c r="K39" s="53" t="n">
        <x:f>E39*abroad_return*IF(OR($A39=1931,$A39=1932),abroad_slump,1)</x:f>
        <x:v>2.3479881047887683</x:v>
      </x:c>
      <x:c r="L39" s="69" t="n">
        <x:f>Champions!AZ39</x:f>
        <x:v>2.453711949722063</x:v>
      </x:c>
      <x:c r="M39" s="53" t="n">
        <x:f>K39+L39</x:f>
        <x:v>4.801700054510832</x:v>
      </x:c>
      <x:c r="N39" s="53" t="n">
        <x:f>M39*abroad_tax</x:f>
        <x:v>0.4801700054510832</x:v>
      </x:c>
      <x:c r="O39" s="69" t="n">
        <x:f>Labour!R39</x:f>
        <x:v>0</x:v>
      </x:c>
      <x:c r="P39" s="47" t="n">
        <x:f>Economy!O39+M39-O39</x:f>
        <x:v>931.0043354306274</x:v>
      </x:c>
      <x:c r="Q39" s="63" t="n">
        <x:f>M39/P39</x:f>
        <x:v>0.005157548543842011</x:v>
      </x:c>
      <x:c r="R39" s="63" t="n">
        <x:f>J39/Economy!O39</x:f>
        <x:v>0.08776014073534173</x:v>
      </x:c>
      <x:c r="S39" s="114" t="n">
        <x:f>0</x:f>
        <x:v>0</x:v>
      </x:c>
      <x:c r="T39" s="114" t="n">
        <x:f>C39-S39</x:f>
        <x:v>5.5572158122566995</x:v>
      </x:c>
      <x:c r="U39" s="114" t="n">
        <x:f>0</x:f>
        <x:v>0</x:v>
      </x:c>
    </x:row>
    <x:row r="40">
      <x:c r="A40" s="58" t="n">
        <x:v>1880</x:v>
      </x:c>
      <x:c r="B40" s="59" t="n">
        <x:v>0.006</x:v>
      </x:c>
      <x:c r="C40" s="53" t="n">
        <x:f>Economy!O40*B40</x:f>
        <x:v>5.870863649585151</x:v>
      </x:c>
      <x:c r="D40" s="53" t="n">
        <x:f>IF(AND($A40&gt;=1914,$A40&lt;=1918),entente_total*entente_private*CHOOSE($A40-1913,0.05,0.1333,0.2333,0.3,0.2834),0)</x:f>
        <x:v>0</x:v>
      </x:c>
      <x:c r="E40" s="53" t="n">
        <x:f>H39</x:f>
        <x:v>43.516356839675126</x:v>
      </x:c>
      <x:c r="F40" s="53" t="n">
        <x:f>E40*abroad_repat</x:f>
        <x:v>1.3054907051902538</x:v>
      </x:c>
      <x:c r="G40" s="53" t="n">
        <x:f>IF($A40=1918,russia_writeoff*entente_total*entente_private,0)+IF(OR($A40=1931,$A40=1932),E40*abroad_loss/2,0)</x:f>
        <x:v>0</x:v>
      </x:c>
      <x:c r="H40" s="53" t="n">
        <x:f>E40+C40+D40-F40-G40</x:f>
        <x:v>48.08172978407003</x:v>
      </x:c>
      <x:c r="I40" s="69" t="n">
        <x:f>Champions!AY40</x:f>
        <x:v>46.24828014213128</x:v>
      </x:c>
      <x:c r="J40" s="53" t="n">
        <x:f>H40+I40</x:f>
        <x:v>94.33000992620131</x:v>
      </x:c>
      <x:c r="K40" s="53" t="n">
        <x:f>E40*abroad_return*IF(OR($A40=1931,$A40=1932),abroad_slump,1)</x:f>
        <x:v>2.6109814103805076</x:v>
      </x:c>
      <x:c r="L40" s="69" t="n">
        <x:f>Champions!AZ40</x:f>
        <x:v>3.4236005609639664</x:v>
      </x:c>
      <x:c r="M40" s="53" t="n">
        <x:f>K40+L40</x:f>
        <x:v>6.034581971344474</x:v>
      </x:c>
      <x:c r="N40" s="53" t="n">
        <x:f>M40*abroad_tax</x:f>
        <x:v>0.6034581971344475</x:v>
      </x:c>
      <x:c r="O40" s="69" t="n">
        <x:f>Labour!R40</x:f>
        <x:v>0</x:v>
      </x:c>
      <x:c r="P40" s="47" t="n">
        <x:f>Economy!O40+M40-O40</x:f>
        <x:v>984.5118569022029</x:v>
      </x:c>
      <x:c r="Q40" s="63" t="n">
        <x:f>M40/P40</x:f>
        <x:v>0.006129516804736587</x:v>
      </x:c>
      <x:c r="R40" s="63" t="n">
        <x:f>J40/Economy!O40</x:f>
        <x:v>0.09640490621804874</x:v>
      </x:c>
      <x:c r="S40" s="114" t="n">
        <x:f>0</x:f>
        <x:v>0</x:v>
      </x:c>
      <x:c r="T40" s="114" t="n">
        <x:f>C40-S40</x:f>
        <x:v>5.870863649585151</x:v>
      </x:c>
      <x:c r="U40" s="114" t="n">
        <x:f>0</x:f>
        <x:v>0</x:v>
      </x:c>
    </x:row>
    <x:row r="41">
      <x:c r="A41" s="58" t="n">
        <x:v>1881</x:v>
      </x:c>
      <x:c r="B41" s="59" t="n">
        <x:v>0.006</x:v>
      </x:c>
      <x:c r="C41" s="53" t="n">
        <x:f>Economy!O41*B41</x:f>
        <x:v>6.235825470746166</x:v>
      </x:c>
      <x:c r="D41" s="53" t="n">
        <x:f>IF(AND($A41&gt;=1914,$A41&lt;=1918),entente_total*entente_private*CHOOSE($A41-1913,0.05,0.1333,0.2333,0.3,0.2834),0)</x:f>
        <x:v>0</x:v>
      </x:c>
      <x:c r="E41" s="53" t="n">
        <x:f>H40</x:f>
        <x:v>48.08172978407003</x:v>
      </x:c>
      <x:c r="F41" s="53" t="n">
        <x:f>E41*abroad_repat</x:f>
        <x:v>1.4424518935221007</x:v>
      </x:c>
      <x:c r="G41" s="53" t="n">
        <x:f>IF($A41=1918,russia_writeoff*entente_total*entente_private,0)+IF(OR($A41=1931,$A41=1932),E41*abroad_loss/2,0)</x:f>
        <x:v>0</x:v>
      </x:c>
      <x:c r="H41" s="53" t="n">
        <x:f>E41+C41+D41-F41-G41</x:f>
        <x:v>52.875103361294094</x:v>
      </x:c>
      <x:c r="I41" s="69" t="n">
        <x:f>Champions!AY41</x:f>
        <x:v>53.643405501859384</x:v>
      </x:c>
      <x:c r="J41" s="53" t="n">
        <x:f>H41+I41</x:f>
        <x:v>106.51850886315347</x:v>
      </x:c>
      <x:c r="K41" s="53" t="n">
        <x:f>E41*abroad_return*IF(OR($A41=1931,$A41=1932),abroad_slump,1)</x:f>
        <x:v>2.8849037870442014</x:v>
      </x:c>
      <x:c r="L41" s="69" t="n">
        <x:f>Champions!AZ41</x:f>
        <x:v>3.9064314936710276</x:v>
      </x:c>
      <x:c r="M41" s="53" t="n">
        <x:f>K41+L41</x:f>
        <x:v>6.791335280715229</x:v>
      </x:c>
      <x:c r="N41" s="53" t="n">
        <x:f>M41*abroad_tax</x:f>
        <x:v>0.6791335280715229</x:v>
      </x:c>
      <x:c r="O41" s="69" t="n">
        <x:f>Labour!R41</x:f>
        <x:v>0</x:v>
      </x:c>
      <x:c r="P41" s="47" t="n">
        <x:f>Economy!O41+M41-O41</x:f>
        <x:v>1046.0955804050761</x:v>
      </x:c>
      <x:c r="Q41" s="63" t="n">
        <x:f>M41/P41</x:f>
        <x:v>0.006492079125394491</x:v>
      </x:c>
      <x:c r="R41" s="63" t="n">
        <x:f>J41/Economy!O41</x:f>
        <x:v>0.10249020858219211</x:v>
      </x:c>
      <x:c r="S41" s="114" t="n">
        <x:f>0</x:f>
        <x:v>0</x:v>
      </x:c>
      <x:c r="T41" s="114" t="n">
        <x:f>C41-S41</x:f>
        <x:v>6.235825470746166</x:v>
      </x:c>
      <x:c r="U41" s="114" t="n">
        <x:f>0</x:f>
        <x:v>0</x:v>
      </x:c>
    </x:row>
    <x:row r="42">
      <x:c r="A42" s="58" t="n">
        <x:v>1882</x:v>
      </x:c>
      <x:c r="B42" s="59" t="n">
        <x:v>0.006</x:v>
      </x:c>
      <x:c r="C42" s="53" t="n">
        <x:f>Economy!O42*B42</x:f>
        <x:v>6.598971014897555</x:v>
      </x:c>
      <x:c r="D42" s="53" t="n">
        <x:f>IF(AND($A42&gt;=1914,$A42&lt;=1918),entente_total*entente_private*CHOOSE($A42-1913,0.05,0.1333,0.2333,0.3,0.2834),0)</x:f>
        <x:v>0</x:v>
      </x:c>
      <x:c r="E42" s="53" t="n">
        <x:f>H41</x:f>
        <x:v>52.875103361294094</x:v>
      </x:c>
      <x:c r="F42" s="53" t="n">
        <x:f>E42*abroad_repat</x:f>
        <x:v>1.5862531008388228</x:v>
      </x:c>
      <x:c r="G42" s="53" t="n">
        <x:f>IF($A42=1918,russia_writeoff*entente_total*entente_private,0)+IF(OR($A42=1931,$A42=1932),E42*abroad_loss/2,0)</x:f>
        <x:v>0</x:v>
      </x:c>
      <x:c r="H42" s="53" t="n">
        <x:f>E42+C42+D42-F42-G42</x:f>
        <x:v>57.88782127535283</x:v>
      </x:c>
      <x:c r="I42" s="69" t="n">
        <x:f>Champions!AY42</x:f>
        <x:v>64.23019793917948</x:v>
      </x:c>
      <x:c r="J42" s="53" t="n">
        <x:f>H42+I42</x:f>
        <x:v>122.1180192145323</x:v>
      </x:c>
      <x:c r="K42" s="53" t="n">
        <x:f>E42*abroad_return*IF(OR($A42=1931,$A42=1932),abroad_slump,1)</x:f>
        <x:v>3.1725062016776455</x:v>
      </x:c>
      <x:c r="L42" s="69" t="n">
        <x:f>Champions!AZ42</x:f>
        <x:v>4.893366243125103</x:v>
      </x:c>
      <x:c r="M42" s="53" t="n">
        <x:f>K42+L42</x:f>
        <x:v>8.065872444802748</x:v>
      </x:c>
      <x:c r="N42" s="53" t="n">
        <x:f>M42*abroad_tax</x:f>
        <x:v>0.8065872444802749</x:v>
      </x:c>
      <x:c r="O42" s="69" t="n">
        <x:f>Labour!R42</x:f>
        <x:v>0</x:v>
      </x:c>
      <x:c r="P42" s="47" t="n">
        <x:f>Economy!O42+M42-O42</x:f>
        <x:v>1107.8943749277287</x:v>
      </x:c>
      <x:c r="Q42" s="63" t="n">
        <x:f>M42/P42</x:f>
        <x:v>0.0072803623046907425</x:v>
      </x:c>
      <x:c r="R42" s="63" t="n">
        <x:f>J42/Economy!O42</x:f>
        <x:v>0.11103369201547685</x:v>
      </x:c>
      <x:c r="S42" s="114" t="n">
        <x:f>0</x:f>
        <x:v>0</x:v>
      </x:c>
      <x:c r="T42" s="114" t="n">
        <x:f>C42-S42</x:f>
        <x:v>6.598971014897555</x:v>
      </x:c>
      <x:c r="U42" s="114" t="n">
        <x:f>0</x:f>
        <x:v>0</x:v>
      </x:c>
    </x:row>
    <x:row r="43">
      <x:c r="A43" s="58" t="n">
        <x:v>1883</x:v>
      </x:c>
      <x:c r="B43" s="59" t="n">
        <x:v>0.006</x:v>
      </x:c>
      <x:c r="C43" s="53" t="n">
        <x:f>Economy!O43*B43</x:f>
        <x:v>6.974985370203196</x:v>
      </x:c>
      <x:c r="D43" s="53" t="n">
        <x:f>IF(AND($A43&gt;=1914,$A43&lt;=1918),entente_total*entente_private*CHOOSE($A43-1913,0.05,0.1333,0.2333,0.3,0.2834),0)</x:f>
        <x:v>0</x:v>
      </x:c>
      <x:c r="E43" s="53" t="n">
        <x:f>H42</x:f>
        <x:v>57.88782127535283</x:v>
      </x:c>
      <x:c r="F43" s="53" t="n">
        <x:f>E43*abroad_repat</x:f>
        <x:v>1.7366346382605848</x:v>
      </x:c>
      <x:c r="G43" s="53" t="n">
        <x:f>IF($A43=1918,russia_writeoff*entente_total*entente_private,0)+IF(OR($A43=1931,$A43=1932),E43*abroad_loss/2,0)</x:f>
        <x:v>0</x:v>
      </x:c>
      <x:c r="H43" s="53" t="n">
        <x:f>E43+C43+D43-F43-G43</x:f>
        <x:v>63.12617200729544</x:v>
      </x:c>
      <x:c r="I43" s="69" t="n">
        <x:f>Champions!AY43</x:f>
        <x:v>71.61938687306298</x:v>
      </x:c>
      <x:c r="J43" s="53" t="n">
        <x:f>H43+I43</x:f>
        <x:v>134.74555888035843</x:v>
      </x:c>
      <x:c r="K43" s="53" t="n">
        <x:f>E43*abroad_return*IF(OR($A43=1931,$A43=1932),abroad_slump,1)</x:f>
        <x:v>3.4732692765211697</x:v>
      </x:c>
      <x:c r="L43" s="69" t="n">
        <x:f>Champions!AZ43</x:f>
        <x:v>5.416873657814304</x:v>
      </x:c>
      <x:c r="M43" s="53" t="n">
        <x:f>K43+L43</x:f>
        <x:v>8.890142934335474</x:v>
      </x:c>
      <x:c r="N43" s="53" t="n">
        <x:f>M43*abroad_tax</x:f>
        <x:v>0.8890142934335474</x:v>
      </x:c>
      <x:c r="O43" s="69" t="n">
        <x:f>Labour!R43</x:f>
        <x:v>0</x:v>
      </x:c>
      <x:c r="P43" s="47" t="n">
        <x:f>Economy!O43+M43-O43</x:f>
        <x:v>1171.3877046348682</x:v>
      </x:c>
      <x:c r="Q43" s="63" t="n">
        <x:f>M43/P43</x:f>
        <x:v>0.007589411173738254</x:v>
      </x:c>
      <x:c r="R43" s="63" t="n">
        <x:f>J43/Economy!O43</x:f>
        <x:v>0.11591040129430379</x:v>
      </x:c>
      <x:c r="S43" s="114" t="n">
        <x:f>0</x:f>
        <x:v>0</x:v>
      </x:c>
      <x:c r="T43" s="114" t="n">
        <x:f>C43-S43</x:f>
        <x:v>6.974985370203196</x:v>
      </x:c>
      <x:c r="U43" s="114" t="n">
        <x:f>0</x:f>
        <x:v>0</x:v>
      </x:c>
    </x:row>
    <x:row r="44">
      <x:c r="A44" s="58" t="n">
        <x:v>1884</x:v>
      </x:c>
      <x:c r="B44" s="59" t="n">
        <x:v>0.006</x:v>
      </x:c>
      <x:c r="C44" s="53" t="n">
        <x:f>Economy!O44*B44</x:f>
        <x:v>7.222546634024676</x:v>
      </x:c>
      <x:c r="D44" s="53" t="n">
        <x:f>IF(AND($A44&gt;=1914,$A44&lt;=1918),entente_total*entente_private*CHOOSE($A44-1913,0.05,0.1333,0.2333,0.3,0.2834),0)</x:f>
        <x:v>0</x:v>
      </x:c>
      <x:c r="E44" s="53" t="n">
        <x:f>H43</x:f>
        <x:v>63.12617200729544</x:v>
      </x:c>
      <x:c r="F44" s="53" t="n">
        <x:f>E44*abroad_repat</x:f>
        <x:v>1.8937851602188631</x:v>
      </x:c>
      <x:c r="G44" s="53" t="n">
        <x:f>IF($A44=1918,russia_writeoff*entente_total*entente_private,0)+IF(OR($A44=1931,$A44=1932),E44*abroad_loss/2,0)</x:f>
        <x:v>0</x:v>
      </x:c>
      <x:c r="H44" s="53" t="n">
        <x:f>E44+C44+D44-F44-G44</x:f>
        <x:v>68.45493348110125</x:v>
      </x:c>
      <x:c r="I44" s="69" t="n">
        <x:f>Champions!AY44</x:f>
        <x:v>83.36683727361839</x:v>
      </x:c>
      <x:c r="J44" s="53" t="n">
        <x:f>H44+I44</x:f>
        <x:v>151.82177075471964</x:v>
      </x:c>
      <x:c r="K44" s="53" t="n">
        <x:f>E44*abroad_return*IF(OR($A44=1931,$A44=1932),abroad_slump,1)</x:f>
        <x:v>3.7875703204377262</x:v>
      </x:c>
      <x:c r="L44" s="69" t="n">
        <x:f>Champions!AZ44</x:f>
        <x:v>6.515451738060575</x:v>
      </x:c>
      <x:c r="M44" s="53" t="n">
        <x:f>K44+L44</x:f>
        <x:v>10.303022058498302</x:v>
      </x:c>
      <x:c r="N44" s="53" t="n">
        <x:f>M44*abroad_tax</x:f>
        <x:v>1.0303022058498301</x:v>
      </x:c>
      <x:c r="O44" s="69" t="n">
        <x:f>Labour!R44</x:f>
        <x:v>0</x:v>
      </x:c>
      <x:c r="P44" s="47" t="n">
        <x:f>Economy!O44+M44-O44</x:f>
        <x:v>1214.0607943959442</x:v>
      </x:c>
      <x:c r="Q44" s="63" t="n">
        <x:f>M44/P44</x:f>
        <x:v>0.008486413617881937</x:v>
      </x:c>
      <x:c r="R44" s="63" t="n">
        <x:f>J44/Economy!O44</x:f>
        <x:v>0.12612319043216935</x:v>
      </x:c>
      <x:c r="S44" s="114" t="n">
        <x:f>0</x:f>
        <x:v>0</x:v>
      </x:c>
      <x:c r="T44" s="114" t="n">
        <x:f>C44-S44</x:f>
        <x:v>7.222546634024676</x:v>
      </x:c>
      <x:c r="U44" s="114" t="n">
        <x:f>0</x:f>
        <x:v>0</x:v>
      </x:c>
    </x:row>
    <x:row r="45">
      <x:c r="A45" s="58" t="n">
        <x:v>1885</x:v>
      </x:c>
      <x:c r="B45" s="59" t="n">
        <x:v>0.006</x:v>
      </x:c>
      <x:c r="C45" s="53" t="n">
        <x:f>Economy!O45*B45</x:f>
        <x:v>7.630302912613913</x:v>
      </x:c>
      <x:c r="D45" s="53" t="n">
        <x:f>IF(AND($A45&gt;=1914,$A45&lt;=1918),entente_total*entente_private*CHOOSE($A45-1913,0.05,0.1333,0.2333,0.3,0.2834),0)</x:f>
        <x:v>0</x:v>
      </x:c>
      <x:c r="E45" s="53" t="n">
        <x:f>H44</x:f>
        <x:v>68.45493348110125</x:v>
      </x:c>
      <x:c r="F45" s="53" t="n">
        <x:f>E45*abroad_repat</x:f>
        <x:v>2.0536480044330374</x:v>
      </x:c>
      <x:c r="G45" s="53" t="n">
        <x:f>IF($A45=1918,russia_writeoff*entente_total*entente_private,0)+IF(OR($A45=1931,$A45=1932),E45*abroad_loss/2,0)</x:f>
        <x:v>0</x:v>
      </x:c>
      <x:c r="H45" s="53" t="n">
        <x:f>E45+C45+D45-F45-G45</x:f>
        <x:v>74.03158838928212</x:v>
      </x:c>
      <x:c r="I45" s="69" t="n">
        <x:f>Champions!AY45</x:f>
        <x:v>90.97868793483688</x:v>
      </x:c>
      <x:c r="J45" s="53" t="n">
        <x:f>H45+I45</x:f>
        <x:v>165.010276324119</x:v>
      </x:c>
      <x:c r="K45" s="53" t="n">
        <x:f>E45*abroad_return*IF(OR($A45=1931,$A45=1932),abroad_slump,1)</x:f>
        <x:v>4.107296008866075</x:v>
      </x:c>
      <x:c r="L45" s="69" t="n">
        <x:f>Champions!AZ45</x:f>
        <x:v>7.013903976658786</x:v>
      </x:c>
      <x:c r="M45" s="53" t="n">
        <x:f>K45+L45</x:f>
        <x:v>11.12119998552486</x:v>
      </x:c>
      <x:c r="N45" s="53" t="n">
        <x:f>M45*abroad_tax</x:f>
        <x:v>1.112119998552486</x:v>
      </x:c>
      <x:c r="O45" s="69" t="n">
        <x:f>Labour!R45</x:f>
        <x:v>0</x:v>
      </x:c>
      <x:c r="P45" s="47" t="n">
        <x:f>Economy!O45+M45-O45</x:f>
        <x:v>1282.8383520878435</x:v>
      </x:c>
      <x:c r="Q45" s="63" t="n">
        <x:f>M45/P45</x:f>
        <x:v>0.00866921383152047</x:v>
      </x:c>
      <x:c r="R45" s="63" t="n">
        <x:f>J45/Economy!O45</x:f>
        <x:v>0.12975391269303468</x:v>
      </x:c>
      <x:c r="S45" s="114" t="n">
        <x:f>0</x:f>
        <x:v>0</x:v>
      </x:c>
      <x:c r="T45" s="114" t="n">
        <x:f>C45-S45</x:f>
        <x:v>7.630302912613913</x:v>
      </x:c>
      <x:c r="U45" s="114" t="n">
        <x:f>0</x:f>
        <x:v>0</x:v>
      </x:c>
    </x:row>
    <x:row r="46">
      <x:c r="A46" s="58" t="n">
        <x:v>1886</x:v>
      </x:c>
      <x:c r="B46" s="59" t="n">
        <x:v>0.006</x:v>
      </x:c>
      <x:c r="C46" s="53" t="n">
        <x:f>Economy!O46*B46</x:f>
        <x:v>8.319245560698697</x:v>
      </x:c>
      <x:c r="D46" s="53" t="n">
        <x:f>IF(AND($A46&gt;=1914,$A46&lt;=1918),entente_total*entente_private*CHOOSE($A46-1913,0.05,0.1333,0.2333,0.3,0.2834),0)</x:f>
        <x:v>0</x:v>
      </x:c>
      <x:c r="E46" s="53" t="n">
        <x:f>H45</x:f>
        <x:v>74.03158838928212</x:v>
      </x:c>
      <x:c r="F46" s="53" t="n">
        <x:f>E46*abroad_repat</x:f>
        <x:v>2.2209476516784634</x:v>
      </x:c>
      <x:c r="G46" s="53" t="n">
        <x:f>IF($A46=1918,russia_writeoff*entente_total*entente_private,0)+IF(OR($A46=1931,$A46=1932),E46*abroad_loss/2,0)</x:f>
        <x:v>0</x:v>
      </x:c>
      <x:c r="H46" s="53" t="n">
        <x:f>E46+C46+D46-F46-G46</x:f>
        <x:v>80.12988629830237</x:v>
      </x:c>
      <x:c r="I46" s="69" t="n">
        <x:f>Champions!AY46</x:f>
        <x:v>101.76452995634803</x:v>
      </x:c>
      <x:c r="J46" s="53" t="n">
        <x:f>H46+I46</x:f>
        <x:v>181.8944162546504</x:v>
      </x:c>
      <x:c r="K46" s="53" t="n">
        <x:f>E46*abroad_return*IF(OR($A46=1931,$A46=1932),abroad_slump,1)</x:f>
        <x:v>4.441895303356927</x:v>
      </x:c>
      <x:c r="L46" s="69" t="n">
        <x:f>Champions!AZ46</x:f>
        <x:v>8.05066323554851</x:v>
      </x:c>
      <x:c r="M46" s="53" t="n">
        <x:f>K46+L46</x:f>
        <x:v>12.492558538905438</x:v>
      </x:c>
      <x:c r="N46" s="53" t="n">
        <x:f>M46*abroad_tax</x:f>
        <x:v>1.2492558538905438</x:v>
      </x:c>
      <x:c r="O46" s="69" t="n">
        <x:f>Labour!R46</x:f>
        <x:v>0</x:v>
      </x:c>
      <x:c r="P46" s="47" t="n">
        <x:f>Economy!O46+M46-O46</x:f>
        <x:v>1399.0334853220215</x:v>
      </x:c>
      <x:c r="Q46" s="63" t="n">
        <x:f>M46/P46</x:f>
        <x:v>0.008929420682186153</x:v>
      </x:c>
      <x:c r="R46" s="63" t="n">
        <x:f>J46/Economy!O46</x:f>
        <x:v>0.1311857535115532</x:v>
      </x:c>
      <x:c r="S46" s="114" t="n">
        <x:f>0</x:f>
        <x:v>0</x:v>
      </x:c>
      <x:c r="T46" s="114" t="n">
        <x:f>C46-S46</x:f>
        <x:v>8.319245560698697</x:v>
      </x:c>
      <x:c r="U46" s="114" t="n">
        <x:f>0</x:f>
        <x:v>0</x:v>
      </x:c>
    </x:row>
    <x:row r="47">
      <x:c r="A47" s="58" t="n">
        <x:v>1887</x:v>
      </x:c>
      <x:c r="B47" s="59" t="n">
        <x:v>0.006</x:v>
      </x:c>
      <x:c r="C47" s="53" t="n">
        <x:f>Economy!O47*B47</x:f>
        <x:v>8.906983587683472</x:v>
      </x:c>
      <x:c r="D47" s="53" t="n">
        <x:f>IF(AND($A47&gt;=1914,$A47&lt;=1918),entente_total*entente_private*CHOOSE($A47-1913,0.05,0.1333,0.2333,0.3,0.2834),0)</x:f>
        <x:v>0</x:v>
      </x:c>
      <x:c r="E47" s="53" t="n">
        <x:f>H46</x:f>
        <x:v>80.12988629830237</x:v>
      </x:c>
      <x:c r="F47" s="53" t="n">
        <x:f>E47*abroad_repat</x:f>
        <x:v>2.403896588949071</x:v>
      </x:c>
      <x:c r="G47" s="53" t="n">
        <x:f>IF($A47=1918,russia_writeoff*entente_total*entente_private,0)+IF(OR($A47=1931,$A47=1932),E47*abroad_loss/2,0)</x:f>
        <x:v>0</x:v>
      </x:c>
      <x:c r="H47" s="53" t="n">
        <x:f>E47+C47+D47-F47-G47</x:f>
        <x:v>86.63297329703677</x:v>
      </x:c>
      <x:c r="I47" s="69" t="n">
        <x:f>Champions!AY47</x:f>
        <x:v>108.45043392150008</x:v>
      </x:c>
      <x:c r="J47" s="53" t="n">
        <x:f>H47+I47</x:f>
        <x:v>195.08340721853685</x:v>
      </x:c>
      <x:c r="K47" s="53" t="n">
        <x:f>E47*abroad_return*IF(OR($A47=1931,$A47=1932),abroad_slump,1)</x:f>
        <x:v>4.807793177898142</x:v>
      </x:c>
      <x:c r="L47" s="69" t="n">
        <x:f>Champions!AZ47</x:f>
        <x:v>8.476167000242674</x:v>
      </x:c>
      <x:c r="M47" s="53" t="n">
        <x:f>K47+L47</x:f>
        <x:v>13.283960178140816</x:v>
      </x:c>
      <x:c r="N47" s="53" t="n">
        <x:f>M47*abroad_tax</x:f>
        <x:v>1.3283960178140817</x:v>
      </x:c>
      <x:c r="O47" s="69" t="n">
        <x:f>Labour!R47</x:f>
        <x:v>0</x:v>
      </x:c>
      <x:c r="P47" s="47" t="n">
        <x:f>Economy!O47+M47-O47</x:f>
        <x:v>1497.7812247920529</x:v>
      </x:c>
      <x:c r="Q47" s="63" t="n">
        <x:f>M47/P47</x:f>
        <x:v>0.008869092467082514</x:v>
      </x:c>
      <x:c r="R47" s="63" t="n">
        <x:f>J47/Economy!O47</x:f>
        <x:v>0.13141378692218347</x:v>
      </x:c>
      <x:c r="S47" s="114" t="n">
        <x:f>0</x:f>
        <x:v>0</x:v>
      </x:c>
      <x:c r="T47" s="114" t="n">
        <x:f>C47-S47</x:f>
        <x:v>8.906983587683472</x:v>
      </x:c>
      <x:c r="U47" s="114" t="n">
        <x:f>0</x:f>
        <x:v>0</x:v>
      </x:c>
    </x:row>
    <x:row r="48">
      <x:c r="A48" s="58" t="n">
        <x:v>1888</x:v>
      </x:c>
      <x:c r="B48" s="59" t="n">
        <x:v>0.006</x:v>
      </x:c>
      <x:c r="C48" s="53" t="n">
        <x:f>Economy!O48*B48</x:f>
        <x:v>9.55646327204966</x:v>
      </x:c>
      <x:c r="D48" s="53" t="n">
        <x:f>IF(AND($A48&gt;=1914,$A48&lt;=1918),entente_total*entente_private*CHOOSE($A48-1913,0.05,0.1333,0.2333,0.3,0.2834),0)</x:f>
        <x:v>0</x:v>
      </x:c>
      <x:c r="E48" s="53" t="n">
        <x:f>H47</x:f>
        <x:v>86.63297329703677</x:v>
      </x:c>
      <x:c r="F48" s="53" t="n">
        <x:f>E48*abroad_repat</x:f>
        <x:v>2.598989198911103</x:v>
      </x:c>
      <x:c r="G48" s="53" t="n">
        <x:f>IF($A48=1918,russia_writeoff*entente_total*entente_private,0)+IF(OR($A48=1931,$A48=1932),E48*abroad_loss/2,0)</x:f>
        <x:v>0</x:v>
      </x:c>
      <x:c r="H48" s="53" t="n">
        <x:f>E48+C48+D48-F48-G48</x:f>
        <x:v>93.59044737017533</x:v>
      </x:c>
      <x:c r="I48" s="69" t="n">
        <x:f>Champions!AY48</x:f>
        <x:v>121.86799860164636</x:v>
      </x:c>
      <x:c r="J48" s="53" t="n">
        <x:f>H48+I48</x:f>
        <x:v>215.45844597182167</x:v>
      </x:c>
      <x:c r="K48" s="53" t="n">
        <x:f>E48*abroad_return*IF(OR($A48=1931,$A48=1932),abroad_slump,1)</x:f>
        <x:v>5.197978397822206</x:v>
      </x:c>
      <x:c r="L48" s="69" t="n">
        <x:f>Champions!AZ48</x:f>
        <x:v>9.778612106357256</x:v>
      </x:c>
      <x:c r="M48" s="53" t="n">
        <x:f>K48+L48</x:f>
        <x:v>14.976590504179462</x:v>
      </x:c>
      <x:c r="N48" s="53" t="n">
        <x:f>M48*abroad_tax</x:f>
        <x:v>1.4976590504179463</x:v>
      </x:c>
      <x:c r="O48" s="69" t="n">
        <x:f>Labour!R48</x:f>
        <x:v>0</x:v>
      </x:c>
      <x:c r="P48" s="47" t="n">
        <x:f>Economy!O48+M48-O48</x:f>
        <x:v>1607.7204691791228</x:v>
      </x:c>
      <x:c r="Q48" s="63" t="n">
        <x:f>M48/P48</x:f>
        <x:v>0.009315419434714468</x:v>
      </x:c>
      <x:c r="R48" s="63" t="n">
        <x:f>J48/Economy!O48</x:f>
        <x:v>0.13527501116568016</x:v>
      </x:c>
      <x:c r="S48" s="114" t="n">
        <x:f>0</x:f>
        <x:v>0</x:v>
      </x:c>
      <x:c r="T48" s="114" t="n">
        <x:f>C48-S48</x:f>
        <x:v>9.55646327204966</x:v>
      </x:c>
      <x:c r="U48" s="114" t="n">
        <x:f>0</x:f>
        <x:v>0</x:v>
      </x:c>
    </x:row>
    <x:row r="49">
      <x:c r="A49" s="58" t="n">
        <x:v>1889</x:v>
      </x:c>
      <x:c r="B49" s="59" t="n">
        <x:v>0.006</x:v>
      </x:c>
      <x:c r="C49" s="53" t="n">
        <x:f>Economy!O49*B49</x:f>
        <x:v>10.203741945781154</x:v>
      </x:c>
      <x:c r="D49" s="53" t="n">
        <x:f>IF(AND($A49&gt;=1914,$A49&lt;=1918),entente_total*entente_private*CHOOSE($A49-1913,0.05,0.1333,0.2333,0.3,0.2834),0)</x:f>
        <x:v>0</x:v>
      </x:c>
      <x:c r="E49" s="53" t="n">
        <x:f>H48</x:f>
        <x:v>93.59044737017533</x:v>
      </x:c>
      <x:c r="F49" s="53" t="n">
        <x:f>E49*abroad_repat</x:f>
        <x:v>2.8077134211052597</x:v>
      </x:c>
      <x:c r="G49" s="53" t="n">
        <x:f>IF($A49=1918,russia_writeoff*entente_total*entente_private,0)+IF(OR($A49=1931,$A49=1932),E49*abroad_loss/2,0)</x:f>
        <x:v>0</x:v>
      </x:c>
      <x:c r="H49" s="53" t="n">
        <x:f>E49+C49+D49-F49-G49</x:f>
        <x:v>100.98647589485122</x:v>
      </x:c>
      <x:c r="I49" s="69" t="n">
        <x:f>Champions!AY49</x:f>
        <x:v>130.26889475412213</x:v>
      </x:c>
      <x:c r="J49" s="53" t="n">
        <x:f>H49+I49</x:f>
        <x:v>231.25537064897335</x:v>
      </x:c>
      <x:c r="K49" s="53" t="n">
        <x:f>E49*abroad_return*IF(OR($A49=1931,$A49=1932),abroad_slump,1)</x:f>
        <x:v>5.615426842210519</x:v>
      </x:c>
      <x:c r="L49" s="69" t="n">
        <x:f>Champions!AZ49</x:f>
        <x:v>10.406377666351956</x:v>
      </x:c>
      <x:c r="M49" s="53" t="n">
        <x:f>K49+L49</x:f>
        <x:v>16.021804508562475</x:v>
      </x:c>
      <x:c r="N49" s="53" t="n">
        <x:f>M49*abroad_tax</x:f>
        <x:v>1.6021804508562476</x:v>
      </x:c>
      <x:c r="O49" s="69" t="n">
        <x:f>Labour!R49</x:f>
        <x:v>0</x:v>
      </x:c>
      <x:c r="P49" s="47" t="n">
        <x:f>Economy!O49+M49-O49</x:f>
        <x:v>1716.645462138755</x:v>
      </x:c>
      <x:c r="Q49" s="63" t="n">
        <x:f>M49/P49</x:f>
        <x:v>0.009333205290159935</x:v>
      </x:c>
      <x:c r="R49" s="63" t="n">
        <x:f>J49/Economy!O49</x:f>
        <x:v>0.13598268471181105</x:v>
      </x:c>
      <x:c r="S49" s="114" t="n">
        <x:f>0</x:f>
        <x:v>0</x:v>
      </x:c>
      <x:c r="T49" s="114" t="n">
        <x:f>C49-S49</x:f>
        <x:v>10.203741945781154</x:v>
      </x:c>
      <x:c r="U49" s="114" t="n">
        <x:f>0</x:f>
        <x:v>0</x:v>
      </x:c>
    </x:row>
    <x:row r="50">
      <x:c r="A50" s="58" t="n">
        <x:v>1890</x:v>
      </x:c>
      <x:c r="B50" s="59" t="n">
        <x:v>0.006</x:v>
      </x:c>
      <x:c r="C50" s="53" t="n">
        <x:f>Economy!O50*B50</x:f>
        <x:v>11.103487007262062</x:v>
      </x:c>
      <x:c r="D50" s="53" t="n">
        <x:f>IF(AND($A50&gt;=1914,$A50&lt;=1918),entente_total*entente_private*CHOOSE($A50-1913,0.05,0.1333,0.2333,0.3,0.2834),0)</x:f>
        <x:v>0</x:v>
      </x:c>
      <x:c r="E50" s="53" t="n">
        <x:f>H49</x:f>
        <x:v>100.98647589485122</x:v>
      </x:c>
      <x:c r="F50" s="53" t="n">
        <x:f>E50*abroad_repat</x:f>
        <x:v>3.0295942768455366</x:v>
      </x:c>
      <x:c r="G50" s="53" t="n">
        <x:f>IF($A50=1918,russia_writeoff*entente_total*entente_private,0)+IF(OR($A50=1931,$A50=1932),E50*abroad_loss/2,0)</x:f>
        <x:v>0</x:v>
      </x:c>
      <x:c r="H50" s="53" t="n">
        <x:f>E50+C50+D50-F50-G50</x:f>
        <x:v>109.06036862526774</x:v>
      </x:c>
      <x:c r="I50" s="69" t="n">
        <x:f>Champions!AY50</x:f>
        <x:v>147.5781662547815</x:v>
      </x:c>
      <x:c r="J50" s="53" t="n">
        <x:f>H50+I50</x:f>
        <x:v>256.63853488004924</x:v>
      </x:c>
      <x:c r="K50" s="53" t="n">
        <x:f>E50*abroad_return*IF(OR($A50=1931,$A50=1932),abroad_slump,1)</x:f>
        <x:v>6.059188553691073</x:v>
      </x:c>
      <x:c r="L50" s="69" t="n">
        <x:f>Champions!AZ50</x:f>
        <x:v>11.922465053612681</x:v>
      </x:c>
      <x:c r="M50" s="53" t="n">
        <x:f>K50+L50</x:f>
        <x:v>17.981653607303755</x:v>
      </x:c>
      <x:c r="N50" s="53" t="n">
        <x:f>M50*abroad_tax</x:f>
        <x:v>1.7981653607303756</x:v>
      </x:c>
      <x:c r="O50" s="69" t="n">
        <x:f>Labour!R50</x:f>
        <x:v>6.363277476983539</x:v>
      </x:c>
      <x:c r="P50" s="47" t="n">
        <x:f>Economy!O50+M50-O50</x:f>
        <x:v>1862.1995440073306</x:v>
      </x:c>
      <x:c r="Q50" s="63" t="n">
        <x:f>M50/P50</x:f>
        <x:v>0.009656136833010077</x:v>
      </x:c>
      <x:c r="R50" s="63" t="n">
        <x:f>J50/Economy!O50</x:f>
        <x:v>0.138679966777391</x:v>
      </x:c>
      <x:c r="S50" s="114" t="n">
        <x:f>0</x:f>
        <x:v>0</x:v>
      </x:c>
      <x:c r="T50" s="114" t="n">
        <x:f>C50-S50</x:f>
        <x:v>11.103487007262062</x:v>
      </x:c>
      <x:c r="U50" s="114" t="n">
        <x:f>0</x:f>
        <x:v>0</x:v>
      </x:c>
    </x:row>
    <x:row r="51">
      <x:c r="A51" s="58" t="n">
        <x:v>1891</x:v>
      </x:c>
      <x:c r="B51" s="59" t="n">
        <x:v>0.006</x:v>
      </x:c>
      <x:c r="C51" s="53" t="n">
        <x:f>Economy!O51*B51</x:f>
        <x:v>11.932735054727424</x:v>
      </x:c>
      <x:c r="D51" s="53" t="n">
        <x:f>IF(AND($A51&gt;=1914,$A51&lt;=1918),entente_total*entente_private*CHOOSE($A51-1913,0.05,0.1333,0.2333,0.3,0.2834),0)</x:f>
        <x:v>0</x:v>
      </x:c>
      <x:c r="E51" s="53" t="n">
        <x:f>H50</x:f>
        <x:v>109.06036862526774</x:v>
      </x:c>
      <x:c r="F51" s="53" t="n">
        <x:f>E51*abroad_repat</x:f>
        <x:v>3.2718110587580322</x:v>
      </x:c>
      <x:c r="G51" s="53" t="n">
        <x:f>IF($A51=1918,russia_writeoff*entente_total*entente_private,0)+IF(OR($A51=1931,$A51=1932),E51*abroad_loss/2,0)</x:f>
        <x:v>0</x:v>
      </x:c>
      <x:c r="H51" s="53" t="n">
        <x:f>E51+C51+D51-F51-G51</x:f>
        <x:v>117.72129262123713</x:v>
      </x:c>
      <x:c r="I51" s="69" t="n">
        <x:f>Champions!AY51</x:f>
        <x:v>180.67121267520733</x:v>
      </x:c>
      <x:c r="J51" s="53" t="n">
        <x:f>H51+I51</x:f>
        <x:v>298.3925052964445</x:v>
      </x:c>
      <x:c r="K51" s="53" t="n">
        <x:f>E51*abroad_return*IF(OR($A51=1931,$A51=1932),abroad_slump,1)</x:f>
        <x:v>6.5436221175160645</x:v>
      </x:c>
      <x:c r="L51" s="69" t="n">
        <x:f>Champions!AZ51</x:f>
        <x:v>14.482134097413622</x:v>
      </x:c>
      <x:c r="M51" s="53" t="n">
        <x:f>K51+L51</x:f>
        <x:v>21.025756214929686</x:v>
      </x:c>
      <x:c r="N51" s="53" t="n">
        <x:f>M51*abroad_tax</x:f>
        <x:v>2.1025756214929685</x:v>
      </x:c>
      <x:c r="O51" s="69" t="n">
        <x:f>Labour!R51</x:f>
        <x:v>10.50295196348834</x:v>
      </x:c>
      <x:c r="P51" s="47" t="n">
        <x:f>Economy!O51+M51-O51</x:f>
        <x:v>1999.3119800393451</x:v>
      </x:c>
      <x:c r="Q51" s="63" t="n">
        <x:f>M51/P51</x:f>
        <x:v>0.010516495887008046</x:v>
      </x:c>
      <x:c r="R51" s="63" t="n">
        <x:f>J51/Economy!O51</x:f>
        <x:v>0.15003727339687956</x:v>
      </x:c>
      <x:c r="S51" s="114" t="n">
        <x:f>0</x:f>
        <x:v>0</x:v>
      </x:c>
      <x:c r="T51" s="114" t="n">
        <x:f>C51-S51</x:f>
        <x:v>11.932735054727424</x:v>
      </x:c>
      <x:c r="U51" s="114" t="n">
        <x:f>0</x:f>
        <x:v>0</x:v>
      </x:c>
    </x:row>
    <x:row r="52">
      <x:c r="A52" s="58" t="n">
        <x:v>1892</x:v>
      </x:c>
      <x:c r="B52" s="59" t="n">
        <x:v>0.006</x:v>
      </x:c>
      <x:c r="C52" s="53" t="n">
        <x:f>Economy!O52*B52</x:f>
        <x:v>12.791517438953667</x:v>
      </x:c>
      <x:c r="D52" s="53" t="n">
        <x:f>IF(AND($A52&gt;=1914,$A52&lt;=1918),entente_total*entente_private*CHOOSE($A52-1913,0.05,0.1333,0.2333,0.3,0.2834),0)</x:f>
        <x:v>0</x:v>
      </x:c>
      <x:c r="E52" s="53" t="n">
        <x:f>H51</x:f>
        <x:v>117.72129262123713</x:v>
      </x:c>
      <x:c r="F52" s="53" t="n">
        <x:f>E52*abroad_repat</x:f>
        <x:v>3.5316387786371135</x:v>
      </x:c>
      <x:c r="G52" s="53" t="n">
        <x:f>IF($A52=1918,russia_writeoff*entente_total*entente_private,0)+IF(OR($A52=1931,$A52=1932),E52*abroad_loss/2,0)</x:f>
        <x:v>0</x:v>
      </x:c>
      <x:c r="H52" s="53" t="n">
        <x:f>E52+C52+D52-F52-G52</x:f>
        <x:v>126.98117128155367</x:v>
      </x:c>
      <x:c r="I52" s="69" t="n">
        <x:f>Champions!AY52</x:f>
        <x:v>214.5878903839387</x:v>
      </x:c>
      <x:c r="J52" s="53" t="n">
        <x:f>H52+I52</x:f>
        <x:v>341.56906166549237</x:v>
      </x:c>
      <x:c r="K52" s="53" t="n">
        <x:f>E52*abroad_return*IF(OR($A52=1931,$A52=1932),abroad_slump,1)</x:f>
        <x:v>7.063277557274227</x:v>
      </x:c>
      <x:c r="L52" s="69" t="n">
        <x:f>Champions!AZ52</x:f>
        <x:v>17.08072048473674</x:v>
      </x:c>
      <x:c r="M52" s="53" t="n">
        <x:f>K52+L52</x:f>
        <x:v>24.143998042010967</x:v>
      </x:c>
      <x:c r="N52" s="53" t="n">
        <x:f>M52*abroad_tax</x:f>
        <x:v>2.414399804201097</x:v>
      </x:c>
      <x:c r="O52" s="69" t="n">
        <x:f>Labour!R52</x:f>
        <x:v>13.489667726508278</x:v>
      </x:c>
      <x:c r="P52" s="47" t="n">
        <x:f>Economy!O52+M52-O52</x:f>
        <x:v>2142.573903474447</x:v>
      </x:c>
      <x:c r="Q52" s="63" t="n">
        <x:f>M52/P52</x:f>
        <x:v>0.011268688563254928</x:v>
      </x:c>
      <x:c r="R52" s="63" t="n">
        <x:f>J52/Economy!O52</x:f>
        <x:v>0.16021667325816463</x:v>
      </x:c>
      <x:c r="S52" s="114" t="n">
        <x:f>0</x:f>
        <x:v>0</x:v>
      </x:c>
      <x:c r="T52" s="114" t="n">
        <x:f>C52-S52</x:f>
        <x:v>12.791517438953667</x:v>
      </x:c>
      <x:c r="U52" s="114" t="n">
        <x:f>0</x:f>
        <x:v>0</x:v>
      </x:c>
    </x:row>
    <x:row r="53">
      <x:c r="A53" s="58" t="n">
        <x:v>1893</x:v>
      </x:c>
      <x:c r="B53" s="59" t="n">
        <x:v>0.006</x:v>
      </x:c>
      <x:c r="C53" s="53" t="n">
        <x:f>Economy!O53*B53</x:f>
        <x:v>13.016538605434242</x:v>
      </x:c>
      <x:c r="D53" s="53" t="n">
        <x:f>IF(AND($A53&gt;=1914,$A53&lt;=1918),entente_total*entente_private*CHOOSE($A53-1913,0.05,0.1333,0.2333,0.3,0.2834),0)</x:f>
        <x:v>0</x:v>
      </x:c>
      <x:c r="E53" s="53" t="n">
        <x:f>H52</x:f>
        <x:v>126.98117128155367</x:v>
      </x:c>
      <x:c r="F53" s="53" t="n">
        <x:f>E53*abroad_repat</x:f>
        <x:v>3.80943513844661</x:v>
      </x:c>
      <x:c r="G53" s="53" t="n">
        <x:f>IF($A53=1918,russia_writeoff*entente_total*entente_private,0)+IF(OR($A53=1931,$A53=1932),E53*abroad_loss/2,0)</x:f>
        <x:v>0</x:v>
      </x:c>
      <x:c r="H53" s="53" t="n">
        <x:f>E53+C53+D53-F53-G53</x:f>
        <x:v>136.1882747485413</x:v>
      </x:c>
      <x:c r="I53" s="69" t="n">
        <x:f>Champions!AY53</x:f>
        <x:v>250.77748064808506</x:v>
      </x:c>
      <x:c r="J53" s="53" t="n">
        <x:f>H53+I53</x:f>
        <x:v>386.9657553966264</x:v>
      </x:c>
      <x:c r="K53" s="53" t="n">
        <x:f>E53*abroad_return*IF(OR($A53=1931,$A53=1932),abroad_slump,1)</x:f>
        <x:v>7.61887027689322</x:v>
      </x:c>
      <x:c r="L53" s="69" t="n">
        <x:f>Champions!AZ53</x:f>
        <x:v>19.918258889630565</x:v>
      </x:c>
      <x:c r="M53" s="53" t="n">
        <x:f>K53+L53</x:f>
        <x:v>27.537129166523783</x:v>
      </x:c>
      <x:c r="N53" s="53" t="n">
        <x:f>M53*abroad_tax</x:f>
        <x:v>2.7537129166523786</x:v>
      </x:c>
      <x:c r="O53" s="69" t="n">
        <x:f>Labour!R53</x:f>
        <x:v>13.868165443319228</x:v>
      </x:c>
      <x:c r="P53" s="47" t="n">
        <x:f>Economy!O53+M53-O53</x:f>
        <x:v>2183.0920646289114</x:v>
      </x:c>
      <x:c r="Q53" s="63" t="n">
        <x:f>M53/P53</x:f>
        <x:v>0.012613819459421024</x:v>
      </x:c>
      <x:c r="R53" s="63" t="n">
        <x:f>J53/Economy!O53</x:f>
        <x:v>0.17837265364929183</x:v>
      </x:c>
      <x:c r="S53" s="114" t="n">
        <x:f>0</x:f>
        <x:v>0</x:v>
      </x:c>
      <x:c r="T53" s="114" t="n">
        <x:f>C53-S53</x:f>
        <x:v>13.016538605434242</x:v>
      </x:c>
      <x:c r="U53" s="114" t="n">
        <x:f>0</x:f>
        <x:v>0</x:v>
      </x:c>
    </x:row>
    <x:row r="54">
      <x:c r="A54" s="58" t="n">
        <x:v>1894</x:v>
      </x:c>
      <x:c r="B54" s="59" t="n">
        <x:v>0.006</x:v>
      </x:c>
      <x:c r="C54" s="53" t="n">
        <x:f>Economy!O54*B54</x:f>
        <x:v>13.74279110198498</x:v>
      </x:c>
      <x:c r="D54" s="53" t="n">
        <x:f>IF(AND($A54&gt;=1914,$A54&lt;=1918),entente_total*entente_private*CHOOSE($A54-1913,0.05,0.1333,0.2333,0.3,0.2834),0)</x:f>
        <x:v>0</x:v>
      </x:c>
      <x:c r="E54" s="53" t="n">
        <x:f>H53</x:f>
        <x:v>136.1882747485413</x:v>
      </x:c>
      <x:c r="F54" s="53" t="n">
        <x:f>E54*abroad_repat</x:f>
        <x:v>4.085648242456238</x:v>
      </x:c>
      <x:c r="G54" s="53" t="n">
        <x:f>IF($A54=1918,russia_writeoff*entente_total*entente_private,0)+IF(OR($A54=1931,$A54=1932),E54*abroad_loss/2,0)</x:f>
        <x:v>0</x:v>
      </x:c>
      <x:c r="H54" s="53" t="n">
        <x:f>E54+C54+D54-F54-G54</x:f>
        <x:v>145.84541760807002</x:v>
      </x:c>
      <x:c r="I54" s="69" t="n">
        <x:f>Champions!AY54</x:f>
        <x:v>286.86750094577485</x:v>
      </x:c>
      <x:c r="J54" s="53" t="n">
        <x:f>H54+I54</x:f>
        <x:v>432.7129185538449</x:v>
      </x:c>
      <x:c r="K54" s="53" t="n">
        <x:f>E54*abroad_return*IF(OR($A54=1931,$A54=1932),abroad_slump,1)</x:f>
        <x:v>8.171296484912476</x:v>
      </x:c>
      <x:c r="L54" s="69" t="n">
        <x:f>Champions!AZ54</x:f>
        <x:v>22.742126850762496</x:v>
      </x:c>
      <x:c r="M54" s="53" t="n">
        <x:f>K54+L54</x:f>
        <x:v>30.91342333567497</x:v>
      </x:c>
      <x:c r="N54" s="53" t="n">
        <x:f>M54*abroad_tax</x:f>
        <x:v>3.091342333567497</x:v>
      </x:c>
      <x:c r="O54" s="69" t="n">
        <x:f>Labour!R54</x:f>
        <x:v>14.695945614995606</x:v>
      </x:c>
      <x:c r="P54" s="47" t="n">
        <x:f>Economy!O54+M54-O54</x:f>
        <x:v>2306.6826613848425</x:v>
      </x:c>
      <x:c r="Q54" s="63" t="n">
        <x:f>M54/P54</x:f>
        <x:v>0.013401680193458321</x:v>
      </x:c>
      <x:c r="R54" s="63" t="n">
        <x:f>J54/Economy!O54</x:f>
        <x:v>0.18891922987522297</x:v>
      </x:c>
      <x:c r="S54" s="114" t="n">
        <x:f>0</x:f>
        <x:v>0</x:v>
      </x:c>
      <x:c r="T54" s="114" t="n">
        <x:f>C54-S54</x:f>
        <x:v>13.74279110198498</x:v>
      </x:c>
      <x:c r="U54" s="114" t="n">
        <x:f>0</x:f>
        <x:v>0</x:v>
      </x:c>
    </x:row>
    <x:row r="55">
      <x:c r="A55" s="58" t="n">
        <x:v>1895</x:v>
      </x:c>
      <x:c r="B55" s="59" t="n">
        <x:v>0.006</x:v>
      </x:c>
      <x:c r="C55" s="53" t="n">
        <x:f>Economy!O55*B55</x:f>
        <x:v>15.074534792208832</x:v>
      </x:c>
      <x:c r="D55" s="53" t="n">
        <x:f>IF(AND($A55&gt;=1914,$A55&lt;=1918),entente_total*entente_private*CHOOSE($A55-1913,0.05,0.1333,0.2333,0.3,0.2834),0)</x:f>
        <x:v>0</x:v>
      </x:c>
      <x:c r="E55" s="53" t="n">
        <x:f>H54</x:f>
        <x:v>145.84541760807002</x:v>
      </x:c>
      <x:c r="F55" s="53" t="n">
        <x:f>E55*abroad_repat</x:f>
        <x:v>4.375362528242101</x:v>
      </x:c>
      <x:c r="G55" s="53" t="n">
        <x:f>IF($A55=1918,russia_writeoff*entente_total*entente_private,0)+IF(OR($A55=1931,$A55=1932),E55*abroad_loss/2,0)</x:f>
        <x:v>0</x:v>
      </x:c>
      <x:c r="H55" s="53" t="n">
        <x:f>E55+C55+D55-F55-G55</x:f>
        <x:v>156.54458987203674</x:v>
      </x:c>
      <x:c r="I55" s="69" t="n">
        <x:f>Champions!AY55</x:f>
        <x:v>324.31491230034845</x:v>
      </x:c>
      <x:c r="J55" s="53" t="n">
        <x:f>H55+I55</x:f>
        <x:v>480.8595021723852</x:v>
      </x:c>
      <x:c r="K55" s="53" t="n">
        <x:f>E55*abroad_return*IF(OR($A55=1931,$A55=1932),abroad_slump,1)</x:f>
        <x:v>8.750725056484201</x:v>
      </x:c>
      <x:c r="L55" s="69" t="n">
        <x:f>Champions!AZ55</x:f>
        <x:v>25.287383355669682</x:v>
      </x:c>
      <x:c r="M55" s="53" t="n">
        <x:f>K55+L55</x:f>
        <x:v>34.03810841215388</x:v>
      </x:c>
      <x:c r="N55" s="53" t="n">
        <x:f>M55*abroad_tax</x:f>
        <x:v>3.4038108412153885</x:v>
      </x:c>
      <x:c r="O55" s="69" t="n">
        <x:f>Labour!R55</x:f>
        <x:v>17.17223877757251</x:v>
      </x:c>
      <x:c r="P55" s="47" t="n">
        <x:f>Economy!O55+M55-O55</x:f>
        <x:v>2529.28833500272</x:v>
      </x:c>
      <x:c r="Q55" s="63" t="n">
        <x:f>M55/P55</x:f>
        <x:v>0.013457583281867023</x:v>
      </x:c>
      <x:c r="R55" s="63" t="n">
        <x:f>J55/Economy!O55</x:f>
        <x:v>0.19139277283206674</x:v>
      </x:c>
      <x:c r="S55" s="114" t="n">
        <x:f>0</x:f>
        <x:v>0</x:v>
      </x:c>
      <x:c r="T55" s="114" t="n">
        <x:f>C55-S55</x:f>
        <x:v>15.074534792208832</x:v>
      </x:c>
      <x:c r="U55" s="114" t="n">
        <x:f>0</x:f>
        <x:v>0</x:v>
      </x:c>
    </x:row>
    <x:row r="56">
      <x:c r="A56" s="58" t="n">
        <x:v>1896</x:v>
      </x:c>
      <x:c r="B56" s="59" t="n">
        <x:v>0.02</x:v>
      </x:c>
      <x:c r="C56" s="53" t="n">
        <x:f>Economy!O56*B56</x:f>
        <x:v>53.75810108921814</x:v>
      </x:c>
      <x:c r="D56" s="53" t="n">
        <x:f>IF(AND($A56&gt;=1914,$A56&lt;=1918),entente_total*entente_private*CHOOSE($A56-1913,0.05,0.1333,0.2333,0.3,0.2834),0)</x:f>
        <x:v>0</x:v>
      </x:c>
      <x:c r="E56" s="53" t="n">
        <x:f>H55</x:f>
        <x:v>156.54458987203674</x:v>
      </x:c>
      <x:c r="F56" s="53" t="n">
        <x:f>E56*abroad_repat</x:f>
        <x:v>4.696337696161102</x:v>
      </x:c>
      <x:c r="G56" s="53" t="n">
        <x:f>IF($A56=1918,russia_writeoff*entente_total*entente_private,0)+IF(OR($A56=1931,$A56=1932),E56*abroad_loss/2,0)</x:f>
        <x:v>0</x:v>
      </x:c>
      <x:c r="H56" s="53" t="n">
        <x:f>E56+C56+D56-F56-G56</x:f>
        <x:v>205.6063532650938</x:v>
      </x:c>
      <x:c r="I56" s="69" t="n">
        <x:f>Champions!AY56</x:f>
        <x:v>362.69749730375827</x:v>
      </x:c>
      <x:c r="J56" s="53" t="n">
        <x:f>H56+I56</x:f>
        <x:v>568.3038505688521</x:v>
      </x:c>
      <x:c r="K56" s="53" t="n">
        <x:f>E56*abroad_return*IF(OR($A56=1931,$A56=1932),abroad_slump,1)</x:f>
        <x:v>9.392675392322204</x:v>
      </x:c>
      <x:c r="L56" s="69" t="n">
        <x:f>Champions!AZ56</x:f>
        <x:v>28.259639442451235</x:v>
      </x:c>
      <x:c r="M56" s="53" t="n">
        <x:f>K56+L56</x:f>
        <x:v>37.652314834773435</x:v>
      </x:c>
      <x:c r="N56" s="53" t="n">
        <x:f>M56*abroad_tax</x:f>
        <x:v>3.7652314834773435</x:v>
      </x:c>
      <x:c r="O56" s="69" t="n">
        <x:f>Labour!R56</x:f>
        <x:v>19.260889927711823</x:v>
      </x:c>
      <x:c r="P56" s="47" t="n">
        <x:f>Economy!O56+M56-O56</x:f>
        <x:v>2706.296479367968</x:v>
      </x:c>
      <x:c r="Q56" s="63" t="n">
        <x:f>M56/P56</x:f>
        <x:v>0.013912856600089434</x:v>
      </x:c>
      <x:c r="R56" s="63" t="n">
        <x:f>J56/Economy!O56</x:f>
        <x:v>0.21143003158749318</x:v>
      </x:c>
      <x:c r="S56" s="114" t="n">
        <x:f>0</x:f>
        <x:v>0</x:v>
      </x:c>
      <x:c r="T56" s="114" t="n">
        <x:f>C56-S56</x:f>
        <x:v>53.75810108921814</x:v>
      </x:c>
      <x:c r="U56" s="114" t="n">
        <x:f>0</x:f>
        <x:v>0</x:v>
      </x:c>
    </x:row>
    <x:row r="57">
      <x:c r="A57" s="58" t="n">
        <x:v>1897</x:v>
      </x:c>
      <x:c r="B57" s="59" t="n">
        <x:v>0.02</x:v>
      </x:c>
      <x:c r="C57" s="53" t="n">
        <x:f>Economy!O57*B57</x:f>
        <x:v>60.65236459829942</x:v>
      </x:c>
      <x:c r="D57" s="53" t="n">
        <x:f>IF(AND($A57&gt;=1914,$A57&lt;=1918),entente_total*entente_private*CHOOSE($A57-1913,0.05,0.1333,0.2333,0.3,0.2834),0)</x:f>
        <x:v>0</x:v>
      </x:c>
      <x:c r="E57" s="53" t="n">
        <x:f>H56</x:f>
        <x:v>205.6063532650938</x:v>
      </x:c>
      <x:c r="F57" s="53" t="n">
        <x:f>E57*abroad_repat</x:f>
        <x:v>6.1681905979528135</x:v>
      </x:c>
      <x:c r="G57" s="53" t="n">
        <x:f>IF($A57=1918,russia_writeoff*entente_total*entente_private,0)+IF(OR($A57=1931,$A57=1932),E57*abroad_loss/2,0)</x:f>
        <x:v>0</x:v>
      </x:c>
      <x:c r="H57" s="53" t="n">
        <x:f>E57+C57+D57-F57-G57</x:f>
        <x:v>260.0905272654404</x:v>
      </x:c>
      <x:c r="I57" s="69" t="n">
        <x:f>Champions!AY57</x:f>
        <x:v>402.1185337925757</x:v>
      </x:c>
      <x:c r="J57" s="53" t="n">
        <x:f>H57+I57</x:f>
        <x:v>662.2090610580161</x:v>
      </x:c>
      <x:c r="K57" s="53" t="n">
        <x:f>E57*abroad_return*IF(OR($A57=1931,$A57=1932),abroad_slump,1)</x:f>
        <x:v>12.336381195905627</x:v>
      </x:c>
      <x:c r="L57" s="69" t="n">
        <x:f>Champions!AZ57</x:f>
        <x:v>31.318599191436256</x:v>
      </x:c>
      <x:c r="M57" s="53" t="n">
        <x:f>K57+L57</x:f>
        <x:v>43.65498038734188</x:v>
      </x:c>
      <x:c r="N57" s="53" t="n">
        <x:f>M57*abroad_tax</x:f>
        <x:v>4.365498038734188</x:v>
      </x:c>
      <x:c r="O57" s="69" t="n">
        <x:f>Labour!R57</x:f>
        <x:v>23.141299824680292</x:v>
      </x:c>
      <x:c r="P57" s="47" t="n">
        <x:f>Economy!O57+M57-O57</x:f>
        <x:v>3053.1319104776326</x:v>
      </x:c>
      <x:c r="Q57" s="63" t="n">
        <x:f>M57/P57</x:f>
        <x:v>0.014298425900803114</x:v>
      </x:c>
      <x:c r="R57" s="63" t="n">
        <x:f>J57/Economy!O57</x:f>
        <x:v>0.2183621579946063</x:v>
      </x:c>
      <x:c r="S57" s="114" t="n">
        <x:f>0</x:f>
        <x:v>0</x:v>
      </x:c>
      <x:c r="T57" s="114" t="n">
        <x:f>C57-S57</x:f>
        <x:v>60.65236459829942</x:v>
      </x:c>
      <x:c r="U57" s="114" t="n">
        <x:f>0</x:f>
        <x:v>0</x:v>
      </x:c>
    </x:row>
    <x:row r="58">
      <x:c r="A58" s="58" t="n">
        <x:v>1898</x:v>
      </x:c>
      <x:c r="B58" s="59" t="n">
        <x:v>0.02</x:v>
      </x:c>
      <x:c r="C58" s="53" t="n">
        <x:f>Economy!O58*B58</x:f>
        <x:v>66.77252015227354</x:v>
      </x:c>
      <x:c r="D58" s="53" t="n">
        <x:f>IF(AND($A58&gt;=1914,$A58&lt;=1918),entente_total*entente_private*CHOOSE($A58-1913,0.05,0.1333,0.2333,0.3,0.2834),0)</x:f>
        <x:v>0</x:v>
      </x:c>
      <x:c r="E58" s="53" t="n">
        <x:f>H57</x:f>
        <x:v>260.0905272654404</x:v>
      </x:c>
      <x:c r="F58" s="53" t="n">
        <x:f>E58*abroad_repat</x:f>
        <x:v>7.802715817963212</x:v>
      </x:c>
      <x:c r="G58" s="53" t="n">
        <x:f>IF($A58=1918,russia_writeoff*entente_total*entente_private,0)+IF(OR($A58=1931,$A58=1932),E58*abroad_loss/2,0)</x:f>
        <x:v>0</x:v>
      </x:c>
      <x:c r="H58" s="53" t="n">
        <x:f>E58+C58+D58-F58-G58</x:f>
        <x:v>319.0603315997508</x:v>
      </x:c>
      <x:c r="I58" s="69" t="n">
        <x:f>Champions!AY58</x:f>
        <x:v>443.4855658851792</x:v>
      </x:c>
      <x:c r="J58" s="53" t="n">
        <x:f>H58+I58</x:f>
        <x:v>762.54589748493</x:v>
      </x:c>
      <x:c r="K58" s="53" t="n">
        <x:f>E58*abroad_return*IF(OR($A58=1931,$A58=1932),abroad_slump,1)</x:f>
        <x:v>15.605431635926424</x:v>
      </x:c>
      <x:c r="L58" s="69" t="n">
        <x:f>Champions!AZ58</x:f>
        <x:v>34.63320620300152</x:v>
      </x:c>
      <x:c r="M58" s="53" t="n">
        <x:f>K58+L58</x:f>
        <x:v>50.23863783892794</x:v>
      </x:c>
      <x:c r="N58" s="53" t="n">
        <x:f>M58*abroad_tax</x:f>
        <x:v>5.023863783892795</x:v>
      </x:c>
      <x:c r="O58" s="69" t="n">
        <x:f>Labour!R58</x:f>
        <x:v>26.315412112367284</x:v>
      </x:c>
      <x:c r="P58" s="47" t="n">
        <x:f>Economy!O58+M58-O58</x:f>
        <x:v>3362.5492333402376</x:v>
      </x:c>
      <x:c r="Q58" s="63" t="n">
        <x:f>M58/P58</x:f>
        <x:v>0.014940640077713495</x:v>
      </x:c>
      <x:c r="R58" s="63" t="n">
        <x:f>J58/Economy!O58</x:f>
        <x:v>0.22840111343587385</x:v>
      </x:c>
      <x:c r="S58" s="114" t="n">
        <x:f>0</x:f>
        <x:v>0</x:v>
      </x:c>
      <x:c r="T58" s="114" t="n">
        <x:f>C58-S58</x:f>
        <x:v>66.77252015227354</x:v>
      </x:c>
      <x:c r="U58" s="114" t="n">
        <x:f>0</x:f>
        <x:v>0</x:v>
      </x:c>
    </x:row>
    <x:row r="59">
      <x:c r="A59" s="58" t="n">
        <x:v>1899</x:v>
      </x:c>
      <x:c r="B59" s="59" t="n">
        <x:v>0.02</x:v>
      </x:c>
      <x:c r="C59" s="53" t="n">
        <x:f>Economy!O59*B59</x:f>
        <x:v>73.31680488201859</x:v>
      </x:c>
      <x:c r="D59" s="53" t="n">
        <x:f>IF(AND($A59&gt;=1914,$A59&lt;=1918),entente_total*entente_private*CHOOSE($A59-1913,0.05,0.1333,0.2333,0.3,0.2834),0)</x:f>
        <x:v>0</x:v>
      </x:c>
      <x:c r="E59" s="53" t="n">
        <x:f>H58</x:f>
        <x:v>319.0603315997508</x:v>
      </x:c>
      <x:c r="F59" s="53" t="n">
        <x:f>E59*abroad_repat</x:f>
        <x:v>9.571809947992524</x:v>
      </x:c>
      <x:c r="G59" s="53" t="n">
        <x:f>IF($A59=1918,russia_writeoff*entente_total*entente_private,0)+IF(OR($A59=1931,$A59=1932),E59*abroad_loss/2,0)</x:f>
        <x:v>0</x:v>
      </x:c>
      <x:c r="H59" s="53" t="n">
        <x:f>E59+C59+D59-F59-G59</x:f>
        <x:v>382.80532653377685</x:v>
      </x:c>
      <x:c r="I59" s="69" t="n">
        <x:f>Champions!AY59</x:f>
        <x:v>484.2639775856993</x:v>
      </x:c>
      <x:c r="J59" s="53" t="n">
        <x:f>H59+I59</x:f>
        <x:v>867.0693041194761</x:v>
      </x:c>
      <x:c r="K59" s="53" t="n">
        <x:f>E59*abroad_return*IF(OR($A59=1931,$A59=1932),abroad_slump,1)</x:f>
        <x:v>19.143619895985047</x:v>
      </x:c>
      <x:c r="L59" s="69" t="n">
        <x:f>Champions!AZ59</x:f>
        <x:v>37.8588624170208</x:v>
      </x:c>
      <x:c r="M59" s="53" t="n">
        <x:f>K59+L59</x:f>
        <x:v>57.00248231300585</x:v>
      </x:c>
      <x:c r="N59" s="53" t="n">
        <x:f>M59*abroad_tax</x:f>
        <x:v>5.700248231300585</x:v>
      </x:c>
      <x:c r="O59" s="69" t="n">
        <x:f>Labour!R59</x:f>
        <x:v>29.37012732669068</x:v>
      </x:c>
      <x:c r="P59" s="47" t="n">
        <x:f>Economy!O59+M59-O59</x:f>
        <x:v>3693.4725990872444</x:v>
      </x:c>
      <x:c r="Q59" s="63" t="n">
        <x:f>M59/P59</x:f>
        <x:v>0.015433303154081252</x:v>
      </x:c>
      <x:c r="R59" s="63" t="n">
        <x:f>J59/Economy!O59</x:f>
        <x:v>0.23652675686420438</x:v>
      </x:c>
      <x:c r="S59" s="114" t="n">
        <x:f>0</x:f>
        <x:v>0</x:v>
      </x:c>
      <x:c r="T59" s="114" t="n">
        <x:f>C59-S59</x:f>
        <x:v>73.31680488201859</x:v>
      </x:c>
      <x:c r="U59" s="114" t="n">
        <x:f>0</x:f>
        <x:v>0</x:v>
      </x:c>
    </x:row>
    <x:row r="60">
      <x:c r="A60" s="58" t="n">
        <x:v>1900</x:v>
      </x:c>
      <x:c r="B60" s="59" t="n">
        <x:v>0.02</x:v>
      </x:c>
      <x:c r="C60" s="53" t="n">
        <x:f>Economy!O60*B60</x:f>
        <x:v>80.61986084025467</x:v>
      </x:c>
      <x:c r="D60" s="53" t="n">
        <x:f>IF(AND($A60&gt;=1914,$A60&lt;=1918),entente_total*entente_private*CHOOSE($A60-1913,0.05,0.1333,0.2333,0.3,0.2834),0)</x:f>
        <x:v>0</x:v>
      </x:c>
      <x:c r="E60" s="53" t="n">
        <x:f>H59</x:f>
        <x:v>382.80532653377685</x:v>
      </x:c>
      <x:c r="F60" s="53" t="n">
        <x:f>E60*abroad_repat</x:f>
        <x:v>11.484159796013305</x:v>
      </x:c>
      <x:c r="G60" s="53" t="n">
        <x:f>IF($A60=1918,russia_writeoff*entente_total*entente_private,0)+IF(OR($A60=1931,$A60=1932),E60*abroad_loss/2,0)</x:f>
        <x:v>0</x:v>
      </x:c>
      <x:c r="H60" s="53" t="n">
        <x:f>E60+C60+D60-F60-G60</x:f>
        <x:v>451.9410275780182</x:v>
      </x:c>
      <x:c r="I60" s="69" t="n">
        <x:f>Champions!AY60</x:f>
        <x:v>525.8391044577382</x:v>
      </x:c>
      <x:c r="J60" s="53" t="n">
        <x:f>H60+I60</x:f>
        <x:v>977.7801320357564</x:v>
      </x:c>
      <x:c r="K60" s="53" t="n">
        <x:f>E60*abroad_return*IF(OR($A60=1931,$A60=1932),abroad_slump,1)</x:f>
        <x:v>22.96831959202661</x:v>
      </x:c>
      <x:c r="L60" s="69" t="n">
        <x:f>Champions!AZ60</x:f>
        <x:v>41.13149320830605</x:v>
      </x:c>
      <x:c r="M60" s="53" t="n">
        <x:f>K60+L60</x:f>
        <x:v>64.09981280033266</x:v>
      </x:c>
      <x:c r="N60" s="53" t="n">
        <x:f>M60*abroad_tax</x:f>
        <x:v>6.409981280033266</x:v>
      </x:c>
      <x:c r="O60" s="69" t="n">
        <x:f>Labour!R60</x:f>
        <x:v>32.463050738623565</x:v>
      </x:c>
      <x:c r="P60" s="47" t="n">
        <x:f>Economy!O60+M60-O60</x:f>
        <x:v>4062.6298040744427</x:v>
      </x:c>
      <x:c r="Q60" s="63" t="n">
        <x:f>M60/P60</x:f>
        <x:v>0.015777911326315397</x:v>
      </x:c>
      <x:c r="R60" s="63" t="n">
        <x:f>J60/Economy!O60</x:f>
        <x:v>0.24256557176976334</x:v>
      </x:c>
      <x:c r="S60" s="114" t="n">
        <x:f>0</x:f>
        <x:v>0</x:v>
      </x:c>
      <x:c r="T60" s="114" t="n">
        <x:f>C60-S60</x:f>
        <x:v>80.61986084025467</x:v>
      </x:c>
      <x:c r="U60" s="114" t="n">
        <x:f>0</x:f>
        <x:v>0</x:v>
      </x:c>
    </x:row>
    <x:row r="61">
      <x:c r="A61" s="58" t="n">
        <x:v>1901</x:v>
      </x:c>
      <x:c r="B61" s="59" t="n">
        <x:v>0.02</x:v>
      </x:c>
      <x:c r="C61" s="53" t="n">
        <x:f>Economy!O61*B61</x:f>
        <x:v>88.17132482301788</x:v>
      </x:c>
      <x:c r="D61" s="53" t="n">
        <x:f>IF(AND($A61&gt;=1914,$A61&lt;=1918),entente_total*entente_private*CHOOSE($A61-1913,0.05,0.1333,0.2333,0.3,0.2834),0)</x:f>
        <x:v>0</x:v>
      </x:c>
      <x:c r="E61" s="53" t="n">
        <x:f>H60</x:f>
        <x:v>451.9410275780182</x:v>
      </x:c>
      <x:c r="F61" s="53" t="n">
        <x:f>E61*abroad_repat</x:f>
        <x:v>13.558230827340545</x:v>
      </x:c>
      <x:c r="G61" s="53" t="n">
        <x:f>IF($A61=1918,russia_writeoff*entente_total*entente_private,0)+IF(OR($A61=1931,$A61=1932),E61*abroad_loss/2,0)</x:f>
        <x:v>0</x:v>
      </x:c>
      <x:c r="H61" s="53" t="n">
        <x:f>E61+C61+D61-F61-G61</x:f>
        <x:v>526.5541215736955</x:v>
      </x:c>
      <x:c r="I61" s="69" t="n">
        <x:f>Champions!AY61</x:f>
        <x:v>1221.4157121814196</x:v>
      </x:c>
      <x:c r="J61" s="53" t="n">
        <x:f>H61+I61</x:f>
        <x:v>1747.9698337551151</x:v>
      </x:c>
      <x:c r="K61" s="53" t="n">
        <x:f>E61*abroad_return*IF(OR($A61=1931,$A61=1932),abroad_slump,1)</x:f>
        <x:v>27.11646165468109</x:v>
      </x:c>
      <x:c r="L61" s="69" t="n">
        <x:f>Champions!AZ61</x:f>
        <x:v>85.18084128911737</x:v>
      </x:c>
      <x:c r="M61" s="53" t="n">
        <x:f>K61+L61</x:f>
        <x:v>112.29730294379846</x:v>
      </x:c>
      <x:c r="N61" s="53" t="n">
        <x:f>M61*abroad_tax</x:f>
        <x:v>11.229730294379847</x:v>
      </x:c>
      <x:c r="O61" s="69" t="n">
        <x:f>Labour!R61</x:f>
        <x:v>35.450597714342486</x:v>
      </x:c>
      <x:c r="P61" s="47" t="n">
        <x:f>Economy!O61+M61-O61</x:f>
        <x:v>4485.412946380349</x:v>
      </x:c>
      <x:c r="Q61" s="63" t="n">
        <x:f>M61/P61</x:f>
        <x:v>0.025036112457476282</x:v>
      </x:c>
      <x:c r="R61" s="63" t="n">
        <x:f>J61/Economy!O61</x:f>
        <x:v>0.3964939479504776</x:v>
      </x:c>
      <x:c r="S61" s="114" t="n">
        <x:f>0</x:f>
        <x:v>0</x:v>
      </x:c>
      <x:c r="T61" s="114" t="n">
        <x:f>C61-S61</x:f>
        <x:v>88.17132482301788</x:v>
      </x:c>
      <x:c r="U61" s="114" t="n">
        <x:f>0</x:f>
        <x:v>0</x:v>
      </x:c>
    </x:row>
    <x:row r="62">
      <x:c r="A62" s="58" t="n">
        <x:v>1902</x:v>
      </x:c>
      <x:c r="B62" s="59" t="n">
        <x:v>0.02</x:v>
      </x:c>
      <x:c r="C62" s="53" t="n">
        <x:f>Economy!O62*B62</x:f>
        <x:v>96.56162727085858</x:v>
      </x:c>
      <x:c r="D62" s="53" t="n">
        <x:f>IF(AND($A62&gt;=1914,$A62&lt;=1918),entente_total*entente_private*CHOOSE($A62-1913,0.05,0.1333,0.2333,0.3,0.2834),0)</x:f>
        <x:v>0</x:v>
      </x:c>
      <x:c r="E62" s="53" t="n">
        <x:f>H61</x:f>
        <x:v>526.5541215736955</x:v>
      </x:c>
      <x:c r="F62" s="53" t="n">
        <x:f>E62*abroad_repat</x:f>
        <x:v>15.796623647210865</x:v>
      </x:c>
      <x:c r="G62" s="53" t="n">
        <x:f>IF($A62=1918,russia_writeoff*entente_total*entente_private,0)+IF(OR($A62=1931,$A62=1932),E62*abroad_loss/2,0)</x:f>
        <x:v>0</x:v>
      </x:c>
      <x:c r="H62" s="53" t="n">
        <x:f>E62+C62+D62-F62-G62</x:f>
        <x:v>607.3191251973433</x:v>
      </x:c>
      <x:c r="I62" s="69" t="n">
        <x:f>Champions!AY62</x:f>
        <x:v>1350.1628954557634</x:v>
      </x:c>
      <x:c r="J62" s="53" t="n">
        <x:f>H62+I62</x:f>
        <x:v>1957.4820206531067</x:v>
      </x:c>
      <x:c r="K62" s="53" t="n">
        <x:f>E62*abroad_return*IF(OR($A62=1931,$A62=1932),abroad_slump,1)</x:f>
        <x:v>31.59324729442173</x:v>
      </x:c>
      <x:c r="L62" s="69" t="n">
        <x:f>Champions!AZ62</x:f>
        <x:v>95.6229051527696</x:v>
      </x:c>
      <x:c r="M62" s="53" t="n">
        <x:f>K62+L62</x:f>
        <x:v>127.21615244719133</x:v>
      </x:c>
      <x:c r="N62" s="53" t="n">
        <x:f>M62*abroad_tax</x:f>
        <x:v>12.721615244719134</x:v>
      </x:c>
      <x:c r="O62" s="69" t="n">
        <x:f>Labour!R62</x:f>
        <x:v>38.95946311594867</x:v>
      </x:c>
      <x:c r="P62" s="47" t="n">
        <x:f>Economy!O62+M62-O62</x:f>
        <x:v>4916.338052874171</x:v>
      </x:c>
      <x:c r="Q62" s="63" t="n">
        <x:f>M62/P62</x:f>
        <x:v>0.025876201164160936</x:v>
      </x:c>
      <x:c r="R62" s="63" t="n">
        <x:f>J62/Economy!O62</x:f>
        <x:v>0.4054368336528349</x:v>
      </x:c>
      <x:c r="S62" s="114" t="n">
        <x:f>0</x:f>
        <x:v>0</x:v>
      </x:c>
      <x:c r="T62" s="114" t="n">
        <x:f>C62-S62</x:f>
        <x:v>96.56162727085858</x:v>
      </x:c>
      <x:c r="U62" s="114" t="n">
        <x:f>0</x:f>
        <x:v>0</x:v>
      </x:c>
    </x:row>
    <x:row r="63">
      <x:c r="A63" s="58" t="n">
        <x:v>1903</x:v>
      </x:c>
      <x:c r="B63" s="59" t="n">
        <x:v>0.02</x:v>
      </x:c>
      <x:c r="C63" s="53" t="n">
        <x:f>Economy!O63*B63</x:f>
        <x:v>105.85809239540384</x:v>
      </x:c>
      <x:c r="D63" s="53" t="n">
        <x:f>IF(AND($A63&gt;=1914,$A63&lt;=1918),entente_total*entente_private*CHOOSE($A63-1913,0.05,0.1333,0.2333,0.3,0.2834),0)</x:f>
        <x:v>0</x:v>
      </x:c>
      <x:c r="E63" s="53" t="n">
        <x:f>H62</x:f>
        <x:v>607.3191251973433</x:v>
      </x:c>
      <x:c r="F63" s="53" t="n">
        <x:f>E63*abroad_repat</x:f>
        <x:v>18.219573755920297</x:v>
      </x:c>
      <x:c r="G63" s="53" t="n">
        <x:f>IF($A63=1918,russia_writeoff*entente_total*entente_private,0)+IF(OR($A63=1931,$A63=1932),E63*abroad_loss/2,0)</x:f>
        <x:v>0</x:v>
      </x:c>
      <x:c r="H63" s="53" t="n">
        <x:f>E63+C63+D63-F63-G63</x:f>
        <x:v>694.9576438368268</x:v>
      </x:c>
      <x:c r="I63" s="69" t="n">
        <x:f>Champions!AY63</x:f>
        <x:v>1486.8901823530975</x:v>
      </x:c>
      <x:c r="J63" s="53" t="n">
        <x:f>H63+I63</x:f>
        <x:v>2181.8478261899245</x:v>
      </x:c>
      <x:c r="K63" s="53" t="n">
        <x:f>E63*abroad_return*IF(OR($A63=1931,$A63=1932),abroad_slump,1)</x:f>
        <x:v>36.439147511840595</x:v>
      </x:c>
      <x:c r="L63" s="69" t="n">
        <x:f>Champions!AZ63</x:f>
        <x:v>107.1084740428998</x:v>
      </x:c>
      <x:c r="M63" s="53" t="n">
        <x:f>K63+L63</x:f>
        <x:v>143.5476215547404</x:v>
      </x:c>
      <x:c r="N63" s="53" t="n">
        <x:f>M63*abroad_tax</x:f>
        <x:v>14.354762155474042</x:v>
      </x:c>
      <x:c r="O63" s="69" t="n">
        <x:f>Labour!R63</x:f>
        <x:v>42.93968671610433</x:v>
      </x:c>
      <x:c r="P63" s="47" t="n">
        <x:f>Economy!O63+M63-O63</x:f>
        <x:v>5393.512554608828</x:v>
      </x:c>
      <x:c r="Q63" s="63" t="n">
        <x:f>M63/P63</x:f>
        <x:v>0.026614867417352545</x:v>
      </x:c>
      <x:c r="R63" s="63" t="n">
        <x:f>J63/Economy!O63</x:f>
        <x:v>0.41222126279023263</x:v>
      </x:c>
      <x:c r="S63" s="114" t="n">
        <x:f>0</x:f>
        <x:v>0</x:v>
      </x:c>
      <x:c r="T63" s="114" t="n">
        <x:f>C63-S63</x:f>
        <x:v>105.85809239540384</x:v>
      </x:c>
      <x:c r="U63" s="114" t="n">
        <x:f>0</x:f>
        <x:v>0</x:v>
      </x:c>
    </x:row>
    <x:row r="64">
      <x:c r="A64" s="58" t="n">
        <x:v>1904</x:v>
      </x:c>
      <x:c r="B64" s="59" t="n">
        <x:v>0.02</x:v>
      </x:c>
      <x:c r="C64" s="53" t="n">
        <x:f>Economy!O64*B64</x:f>
        <x:v>116.00922878544098</x:v>
      </x:c>
      <x:c r="D64" s="53" t="n">
        <x:f>IF(AND($A64&gt;=1914,$A64&lt;=1918),entente_total*entente_private*CHOOSE($A64-1913,0.05,0.1333,0.2333,0.3,0.2834),0)</x:f>
        <x:v>0</x:v>
      </x:c>
      <x:c r="E64" s="53" t="n">
        <x:f>H63</x:f>
        <x:v>694.9576438368268</x:v>
      </x:c>
      <x:c r="F64" s="53" t="n">
        <x:f>E64*abroad_repat</x:f>
        <x:v>20.848729315104805</x:v>
      </x:c>
      <x:c r="G64" s="53" t="n">
        <x:f>IF($A64=1918,russia_writeoff*entente_total*entente_private,0)+IF(OR($A64=1931,$A64=1932),E64*abroad_loss/2,0)</x:f>
        <x:v>0</x:v>
      </x:c>
      <x:c r="H64" s="53" t="n">
        <x:f>E64+C64+D64-F64-G64</x:f>
        <x:v>790.118143307163</x:v>
      </x:c>
      <x:c r="I64" s="69" t="n">
        <x:f>Champions!AY64</x:f>
        <x:v>1631.1450136368942</x:v>
      </x:c>
      <x:c r="J64" s="53" t="n">
        <x:f>H64+I64</x:f>
        <x:v>2421.2631569440573</x:v>
      </x:c>
      <x:c r="K64" s="53" t="n">
        <x:f>E64*abroad_return*IF(OR($A64=1931,$A64=1932),abroad_slump,1)</x:f>
        <x:v>41.69745863020961</x:v>
      </x:c>
      <x:c r="L64" s="69" t="n">
        <x:f>Champions!AZ64</x:f>
        <x:v>119.77560985163989</x:v>
      </x:c>
      <x:c r="M64" s="53" t="n">
        <x:f>K64+L64</x:f>
        <x:v>161.4730684818495</x:v>
      </x:c>
      <x:c r="N64" s="53" t="n">
        <x:f>M64*abroad_tax</x:f>
        <x:v>16.14730684818495</x:v>
      </x:c>
      <x:c r="O64" s="69" t="n">
        <x:f>Labour!R64</x:f>
        <x:v>47.30569483915354</x:v>
      </x:c>
      <x:c r="P64" s="47" t="n">
        <x:f>Economy!O64+M64-O64</x:f>
        <x:v>5914.628812914745</x:v>
      </x:c>
      <x:c r="Q64" s="63" t="n">
        <x:f>M64/P64</x:f>
        <x:v>0.02730062588699884</x:v>
      </x:c>
      <x:c r="R64" s="63" t="n">
        <x:f>J64/Economy!O64</x:f>
        <x:v>0.4174259552095088</x:v>
      </x:c>
      <x:c r="S64" s="114" t="n">
        <x:f>0</x:f>
        <x:v>0</x:v>
      </x:c>
      <x:c r="T64" s="114" t="n">
        <x:f>C64-S64</x:f>
        <x:v>116.00922878544098</x:v>
      </x:c>
      <x:c r="U64" s="114" t="n">
        <x:f>0</x:f>
        <x:v>0</x:v>
      </x:c>
    </x:row>
    <x:row r="65">
      <x:c r="A65" s="58" t="n">
        <x:v>1905</x:v>
      </x:c>
      <x:c r="B65" s="59" t="n">
        <x:v>0.02</x:v>
      </x:c>
      <x:c r="C65" s="53" t="n">
        <x:f>Economy!O65*B65</x:f>
        <x:v>126.76342779560208</x:v>
      </x:c>
      <x:c r="D65" s="53" t="n">
        <x:f>IF(AND($A65&gt;=1914,$A65&lt;=1918),entente_total*entente_private*CHOOSE($A65-1913,0.05,0.1333,0.2333,0.3,0.2834),0)</x:f>
        <x:v>0</x:v>
      </x:c>
      <x:c r="E65" s="53" t="n">
        <x:f>H64</x:f>
        <x:v>790.118143307163</x:v>
      </x:c>
      <x:c r="F65" s="53" t="n">
        <x:f>E65*abroad_repat</x:f>
        <x:v>23.70354429921489</x:v>
      </x:c>
      <x:c r="G65" s="53" t="n">
        <x:f>IF($A65=1918,russia_writeoff*entente_total*entente_private,0)+IF(OR($A65=1931,$A65=1932),E65*abroad_loss/2,0)</x:f>
        <x:v>0</x:v>
      </x:c>
      <x:c r="H65" s="53" t="n">
        <x:f>E65+C65+D65-F65-G65</x:f>
        <x:v>893.1780268035502</x:v>
      </x:c>
      <x:c r="I65" s="69" t="n">
        <x:f>Champions!AY65</x:f>
        <x:v>1778.4413445063476</x:v>
      </x:c>
      <x:c r="J65" s="53" t="n">
        <x:f>H65+I65</x:f>
        <x:v>2671.619371309898</x:v>
      </x:c>
      <x:c r="K65" s="53" t="n">
        <x:f>E65*abroad_return*IF(OR($A65=1931,$A65=1932),abroad_slump,1)</x:f>
        <x:v>47.40708859842978</x:v>
      </x:c>
      <x:c r="L65" s="69" t="n">
        <x:f>Champions!AZ65</x:f>
        <x:v>133.19330592529855</x:v>
      </x:c>
      <x:c r="M65" s="53" t="n">
        <x:f>K65+L65</x:f>
        <x:v>180.6003945237283</x:v>
      </x:c>
      <x:c r="N65" s="53" t="n">
        <x:f>M65*abroad_tax</x:f>
        <x:v>18.06003945237283</x:v>
      </x:c>
      <x:c r="O65" s="69" t="n">
        <x:f>Labour!R65</x:f>
        <x:v>52.01408107925097</x:v>
      </x:c>
      <x:c r="P65" s="47" t="n">
        <x:f>Economy!O65+M65-O65</x:f>
        <x:v>6466.757703224581</x:v>
      </x:c>
      <x:c r="Q65" s="63" t="n">
        <x:f>M65/P65</x:f>
        <x:v>0.02792750290206077</x:v>
      </x:c>
      <x:c r="R65" s="63" t="n">
        <x:f>J65/Economy!O65</x:f>
        <x:v>0.4215126425293127</x:v>
      </x:c>
      <x:c r="S65" s="114" t="n">
        <x:f>0</x:f>
        <x:v>0</x:v>
      </x:c>
      <x:c r="T65" s="114" t="n">
        <x:f>C65-S65</x:f>
        <x:v>126.76342779560208</x:v>
      </x:c>
      <x:c r="U65" s="114" t="n">
        <x:f>0</x:f>
        <x:v>0</x:v>
      </x:c>
    </x:row>
    <x:row r="66">
      <x:c r="A66" s="58" t="n">
        <x:v>1906</x:v>
      </x:c>
      <x:c r="B66" s="59" t="n">
        <x:v>0.02</x:v>
      </x:c>
      <x:c r="C66" s="53" t="n">
        <x:f>Economy!O66*B66</x:f>
        <x:v>140.34305557778265</x:v>
      </x:c>
      <x:c r="D66" s="53" t="n">
        <x:f>IF(AND($A66&gt;=1914,$A66&lt;=1918),entente_total*entente_private*CHOOSE($A66-1913,0.05,0.1333,0.2333,0.3,0.2834),0)</x:f>
        <x:v>0</x:v>
      </x:c>
      <x:c r="E66" s="53" t="n">
        <x:f>H65</x:f>
        <x:v>893.1780268035502</x:v>
      </x:c>
      <x:c r="F66" s="53" t="n">
        <x:f>E66*abroad_repat</x:f>
        <x:v>26.795340804106505</x:v>
      </x:c>
      <x:c r="G66" s="53" t="n">
        <x:f>IF($A66=1918,russia_writeoff*entente_total*entente_private,0)+IF(OR($A66=1931,$A66=1932),E66*abroad_loss/2,0)</x:f>
        <x:v>0</x:v>
      </x:c>
      <x:c r="H66" s="53" t="n">
        <x:f>E66+C66+D66-F66-G66</x:f>
        <x:v>1006.7257415772264</x:v>
      </x:c>
      <x:c r="I66" s="69" t="n">
        <x:f>Champions!AY66</x:f>
        <x:v>1930.4739815449243</x:v>
      </x:c>
      <x:c r="J66" s="53" t="n">
        <x:f>H66+I66</x:f>
        <x:v>2937.1997231221508</x:v>
      </x:c>
      <x:c r="K66" s="53" t="n">
        <x:f>E66*abroad_return*IF(OR($A66=1931,$A66=1932),abroad_slump,1)</x:f>
        <x:v>53.59068160821301</x:v>
      </x:c>
      <x:c r="L66" s="69" t="n">
        <x:f>Champions!AZ66</x:f>
        <x:v>145.2101530555522</x:v>
      </x:c>
      <x:c r="M66" s="53" t="n">
        <x:f>K66+L66</x:f>
        <x:v>198.80083466376522</x:v>
      </x:c>
      <x:c r="N66" s="53" t="n">
        <x:f>M66*abroad_tax</x:f>
        <x:v>19.880083466376522</x:v>
      </x:c>
      <x:c r="O66" s="69" t="n">
        <x:f>Labour!R66</x:f>
        <x:v>57.837616438849594</x:v>
      </x:c>
      <x:c r="P66" s="47" t="n">
        <x:f>Economy!O66+M66-O66</x:f>
        <x:v>7158.115997114049</x:v>
      </x:c>
      <x:c r="Q66" s="63" t="n">
        <x:f>M66/P66</x:f>
        <x:v>0.027772787524526863</x:v>
      </x:c>
      <x:c r="R66" s="63" t="n">
        <x:f>J66/Economy!O66</x:f>
        <x:v>0.4185742872748356</x:v>
      </x:c>
      <x:c r="S66" s="114" t="n">
        <x:f>0</x:f>
        <x:v>0</x:v>
      </x:c>
      <x:c r="T66" s="114" t="n">
        <x:f>C66-S66</x:f>
        <x:v>140.34305557778265</x:v>
      </x:c>
      <x:c r="U66" s="114" t="n">
        <x:f>0</x:f>
        <x:v>0</x:v>
      </x:c>
    </x:row>
    <x:row r="67">
      <x:c r="A67" s="58" t="n">
        <x:v>1907</x:v>
      </x:c>
      <x:c r="B67" s="59" t="n">
        <x:v>0.02</x:v>
      </x:c>
      <x:c r="C67" s="53" t="n">
        <x:f>Economy!O67*B67</x:f>
        <x:v>152.87757139625185</x:v>
      </x:c>
      <x:c r="D67" s="53" t="n">
        <x:f>IF(AND($A67&gt;=1914,$A67&lt;=1918),entente_total*entente_private*CHOOSE($A67-1913,0.05,0.1333,0.2333,0.3,0.2834),0)</x:f>
        <x:v>0</x:v>
      </x:c>
      <x:c r="E67" s="53" t="n">
        <x:f>H66</x:f>
        <x:v>1006.7257415772264</x:v>
      </x:c>
      <x:c r="F67" s="53" t="n">
        <x:f>E67*abroad_repat</x:f>
        <x:v>30.20177224731679</x:v>
      </x:c>
      <x:c r="G67" s="53" t="n">
        <x:f>IF($A67=1918,russia_writeoff*entente_total*entente_private,0)+IF(OR($A67=1931,$A67=1932),E67*abroad_loss/2,0)</x:f>
        <x:v>0</x:v>
      </x:c>
      <x:c r="H67" s="53" t="n">
        <x:f>E67+C67+D67-F67-G67</x:f>
        <x:v>1129.4015407261616</x:v>
      </x:c>
      <x:c r="I67" s="69" t="n">
        <x:f>Champions!AY67</x:f>
        <x:v>2090.4655752048134</x:v>
      </x:c>
      <x:c r="J67" s="53" t="n">
        <x:f>H67+I67</x:f>
        <x:v>3219.867115930975</x:v>
      </x:c>
      <x:c r="K67" s="53" t="n">
        <x:f>E67*abroad_return*IF(OR($A67=1931,$A67=1932),abroad_slump,1)</x:f>
        <x:v>60.40354449463358</x:v>
      </x:c>
      <x:c r="L67" s="69" t="n">
        <x:f>Champions!AZ67</x:f>
        <x:v>158.32629325001344</x:v>
      </x:c>
      <x:c r="M67" s="53" t="n">
        <x:f>K67+L67</x:f>
        <x:v>218.729837744647</x:v>
      </x:c>
      <x:c r="N67" s="53" t="n">
        <x:f>M67*abroad_tax</x:f>
        <x:v>21.8729837744647</x:v>
      </x:c>
      <x:c r="O67" s="69" t="n">
        <x:f>Labour!R67</x:f>
        <x:v>61.5540289411743</x:v>
      </x:c>
      <x:c r="P67" s="47" t="n">
        <x:f>Economy!O67+M67-O67</x:f>
        <x:v>7801.054378616064</x:v>
      </x:c>
      <x:c r="Q67" s="63" t="n">
        <x:f>M67/P67</x:f>
        <x:v>0.028038496737597472</x:v>
      </x:c>
      <x:c r="R67" s="63" t="n">
        <x:f>J67/Economy!O67</x:f>
        <x:v>0.4212347287471258</x:v>
      </x:c>
      <x:c r="S67" s="114" t="n">
        <x:f>0</x:f>
        <x:v>0</x:v>
      </x:c>
      <x:c r="T67" s="114" t="n">
        <x:f>C67-S67</x:f>
        <x:v>152.87757139625185</x:v>
      </x:c>
      <x:c r="U67" s="114" t="n">
        <x:f>0</x:f>
        <x:v>0</x:v>
      </x:c>
    </x:row>
    <x:row r="68">
      <x:c r="A68" s="58" t="n">
        <x:v>1908</x:v>
      </x:c>
      <x:c r="B68" s="59" t="n">
        <x:v>0.02</x:v>
      </x:c>
      <x:c r="C68" s="53" t="n">
        <x:f>Economy!O68*B68</x:f>
        <x:v>162.05581456470694</x:v>
      </x:c>
      <x:c r="D68" s="53" t="n">
        <x:f>IF(AND($A68&gt;=1914,$A68&lt;=1918),entente_total*entente_private*CHOOSE($A68-1913,0.05,0.1333,0.2333,0.3,0.2834),0)</x:f>
        <x:v>0</x:v>
      </x:c>
      <x:c r="E68" s="53" t="n">
        <x:f>H67</x:f>
        <x:v>1129.4015407261616</x:v>
      </x:c>
      <x:c r="F68" s="53" t="n">
        <x:f>E68*abroad_repat</x:f>
        <x:v>33.88204622178485</x:v>
      </x:c>
      <x:c r="G68" s="53" t="n">
        <x:f>IF($A68=1918,russia_writeoff*entente_total*entente_private,0)+IF(OR($A68=1931,$A68=1932),E68*abroad_loss/2,0)</x:f>
        <x:v>0</x:v>
      </x:c>
      <x:c r="H68" s="53" t="n">
        <x:f>E68+C68+D68-F68-G68</x:f>
        <x:v>1257.5753090690837</x:v>
      </x:c>
      <x:c r="I68" s="69" t="n">
        <x:f>Champions!AY68</x:f>
        <x:v>2245.900423429791</x:v>
      </x:c>
      <x:c r="J68" s="53" t="n">
        <x:f>H68+I68</x:f>
        <x:v>3503.4757324988745</x:v>
      </x:c>
      <x:c r="K68" s="53" t="n">
        <x:f>E68*abroad_return*IF(OR($A68=1931,$A68=1932),abroad_slump,1)</x:f>
        <x:v>67.7640924435697</x:v>
      </x:c>
      <x:c r="L68" s="69" t="n">
        <x:f>Champions!AZ68</x:f>
        <x:v>170.68228323322066</x:v>
      </x:c>
      <x:c r="M68" s="53" t="n">
        <x:f>K68+L68</x:f>
        <x:v>238.44637567679035</x:v>
      </x:c>
      <x:c r="N68" s="53" t="n">
        <x:f>M68*abroad_tax</x:f>
        <x:v>23.844637567679037</x:v>
      </x:c>
      <x:c r="O68" s="69" t="n">
        <x:f>Labour!R68</x:f>
        <x:v>61.098719798973015</x:v>
      </x:c>
      <x:c r="P68" s="47" t="n">
        <x:f>Economy!O68+M68-O68</x:f>
        <x:v>8280.138384113165</x:v>
      </x:c>
      <x:c r="Q68" s="63" t="n">
        <x:f>M68/P68</x:f>
        <x:v>0.028797390166122074</x:v>
      </x:c>
      <x:c r="R68" s="63" t="n">
        <x:f>J68/Economy!O68</x:f>
        <x:v>0.4323788988268581</x:v>
      </x:c>
      <x:c r="S68" s="114" t="n">
        <x:f>0</x:f>
        <x:v>0</x:v>
      </x:c>
      <x:c r="T68" s="114" t="n">
        <x:f>C68-S68</x:f>
        <x:v>162.05581456470694</x:v>
      </x:c>
      <x:c r="U68" s="114" t="n">
        <x:f>0</x:f>
        <x:v>0</x:v>
      </x:c>
    </x:row>
    <x:row r="69">
      <x:c r="A69" s="58" t="n">
        <x:v>1909</x:v>
      </x:c>
      <x:c r="B69" s="59" t="n">
        <x:v>0.02</x:v>
      </x:c>
      <x:c r="C69" s="53" t="n">
        <x:f>Economy!O69*B69</x:f>
        <x:v>186.7908800518913</x:v>
      </x:c>
      <x:c r="D69" s="53" t="n">
        <x:f>IF(AND($A69&gt;=1914,$A69&lt;=1918),entente_total*entente_private*CHOOSE($A69-1913,0.05,0.1333,0.2333,0.3,0.2834),0)</x:f>
        <x:v>0</x:v>
      </x:c>
      <x:c r="E69" s="53" t="n">
        <x:f>H68</x:f>
        <x:v>1257.5753090690837</x:v>
      </x:c>
      <x:c r="F69" s="53" t="n">
        <x:f>E69*abroad_repat</x:f>
        <x:v>37.72725927207251</x:v>
      </x:c>
      <x:c r="G69" s="53" t="n">
        <x:f>IF($A69=1918,russia_writeoff*entente_total*entente_private,0)+IF(OR($A69=1931,$A69=1932),E69*abroad_loss/2,0)</x:f>
        <x:v>0</x:v>
      </x:c>
      <x:c r="H69" s="53" t="n">
        <x:f>E69+C69+D69-F69-G69</x:f>
        <x:v>1406.6389298489023</x:v>
      </x:c>
      <x:c r="I69" s="69" t="n">
        <x:f>Champions!AY69</x:f>
        <x:v>2399.369682928819</x:v>
      </x:c>
      <x:c r="J69" s="53" t="n">
        <x:f>H69+I69</x:f>
        <x:v>3806.0086127777213</x:v>
      </x:c>
      <x:c r="K69" s="53" t="n">
        <x:f>E69*abroad_return*IF(OR($A69=1931,$A69=1932),abroad_slump,1)</x:f>
        <x:v>75.45451854414502</x:v>
      </x:c>
      <x:c r="L69" s="69" t="n">
        <x:f>Champions!AZ69</x:f>
        <x:v>183.13230826104822</x:v>
      </x:c>
      <x:c r="M69" s="53" t="n">
        <x:f>K69+L69</x:f>
        <x:v>258.58682680519325</x:v>
      </x:c>
      <x:c r="N69" s="53" t="n">
        <x:f>M69*abroad_tax</x:f>
        <x:v>25.858682680519326</x:v>
      </x:c>
      <x:c r="O69" s="69" t="n">
        <x:f>Labour!R69</x:f>
        <x:v>74.48207738042433</x:v>
      </x:c>
      <x:c r="P69" s="47" t="n">
        <x:f>Economy!O69+M69-O69</x:f>
        <x:v>9523.648752019333</x:v>
      </x:c>
      <x:c r="Q69" s="63" t="n">
        <x:f>M69/P69</x:f>
        <x:v>0.027152075169757196</x:v>
      </x:c>
      <x:c r="R69" s="63" t="n">
        <x:f>J69/Economy!O69</x:f>
        <x:v>0.4075154645366408</x:v>
      </x:c>
      <x:c r="S69" s="114" t="n">
        <x:f>0</x:f>
        <x:v>0</x:v>
      </x:c>
      <x:c r="T69" s="114" t="n">
        <x:f>C69-S69</x:f>
        <x:v>186.7908800518913</x:v>
      </x:c>
      <x:c r="U69" s="114" t="n">
        <x:f>0</x:f>
        <x:v>0</x:v>
      </x:c>
    </x:row>
    <x:row r="70">
      <x:c r="A70" s="58" t="n">
        <x:v>1910</x:v>
      </x:c>
      <x:c r="B70" s="59" t="n">
        <x:v>0.02</x:v>
      </x:c>
      <x:c r="C70" s="53" t="n">
        <x:f>Economy!O70*B70</x:f>
        <x:v>204.57269890613927</x:v>
      </x:c>
      <x:c r="D70" s="53" t="n">
        <x:f>IF(AND($A70&gt;=1914,$A70&lt;=1918),entente_total*entente_private*CHOOSE($A70-1913,0.05,0.1333,0.2333,0.3,0.2834),0)</x:f>
        <x:v>0</x:v>
      </x:c>
      <x:c r="E70" s="53" t="n">
        <x:f>H69</x:f>
        <x:v>1406.6389298489023</x:v>
      </x:c>
      <x:c r="F70" s="53" t="n">
        <x:f>E70*abroad_repat</x:f>
        <x:v>42.19916789546707</x:v>
      </x:c>
      <x:c r="G70" s="53" t="n">
        <x:f>IF($A70=1918,russia_writeoff*entente_total*entente_private,0)+IF(OR($A70=1931,$A70=1932),E70*abroad_loss/2,0)</x:f>
        <x:v>0</x:v>
      </x:c>
      <x:c r="H70" s="53" t="n">
        <x:f>E70+C70+D70-F70-G70</x:f>
        <x:v>1569.0124608595745</x:v>
      </x:c>
      <x:c r="I70" s="69" t="n">
        <x:f>Champions!AY70</x:f>
        <x:v>2551.137818762065</x:v>
      </x:c>
      <x:c r="J70" s="53" t="n">
        <x:f>H70+I70</x:f>
        <x:v>4120.150279621639</x:v>
      </x:c>
      <x:c r="K70" s="53" t="n">
        <x:f>E70*abroad_return*IF(OR($A70=1931,$A70=1932),abroad_slump,1)</x:f>
        <x:v>84.39833579093414</x:v>
      </x:c>
      <x:c r="L70" s="69" t="n">
        <x:f>Champions!AZ70</x:f>
        <x:v>195.2113739589319</x:v>
      </x:c>
      <x:c r="M70" s="53" t="n">
        <x:f>K70+L70</x:f>
        <x:v>279.60970974986606</x:v>
      </x:c>
      <x:c r="N70" s="53" t="n">
        <x:f>M70*abroad_tax</x:f>
        <x:v>27.96097097498661</x:v>
      </x:c>
      <x:c r="O70" s="69" t="n">
        <x:f>Labour!R70</x:f>
        <x:v>83.19951017442888</x:v>
      </x:c>
      <x:c r="P70" s="47" t="n">
        <x:f>Economy!O70+M70-O70</x:f>
        <x:v>10425.0451448824</x:v>
      </x:c>
      <x:c r="Q70" s="63" t="n">
        <x:f>M70/P70</x:f>
        <x:v>0.026820959129095472</x:v>
      </x:c>
      <x:c r="R70" s="63" t="n">
        <x:f>J70/Economy!O70</x:f>
        <x:v>0.402805486915145</x:v>
      </x:c>
      <x:c r="S70" s="114" t="n">
        <x:f>0</x:f>
        <x:v>0</x:v>
      </x:c>
      <x:c r="T70" s="114" t="n">
        <x:f>C70-S70</x:f>
        <x:v>204.57269890613927</x:v>
      </x:c>
      <x:c r="U70" s="114" t="n">
        <x:f>0</x:f>
        <x:v>0</x:v>
      </x:c>
    </x:row>
    <x:row r="71">
      <x:c r="A71" s="58" t="n">
        <x:v>1911</x:v>
      </x:c>
      <x:c r="B71" s="59" t="n">
        <x:v>0.02</x:v>
      </x:c>
      <x:c r="C71" s="53" t="n">
        <x:f>Economy!O71*B71</x:f>
        <x:v>222.9642414593643</x:v>
      </x:c>
      <x:c r="D71" s="53" t="n">
        <x:f>IF(AND($A71&gt;=1914,$A71&lt;=1918),entente_total*entente_private*CHOOSE($A71-1913,0.05,0.1333,0.2333,0.3,0.2834),0)</x:f>
        <x:v>0</x:v>
      </x:c>
      <x:c r="E71" s="53" t="n">
        <x:f>H70</x:f>
        <x:v>1569.0124608595745</x:v>
      </x:c>
      <x:c r="F71" s="53" t="n">
        <x:f>E71*abroad_repat</x:f>
        <x:v>47.070373825787236</x:v>
      </x:c>
      <x:c r="G71" s="53" t="n">
        <x:f>IF($A71=1918,russia_writeoff*entente_total*entente_private,0)+IF(OR($A71=1931,$A71=1932),E71*abroad_loss/2,0)</x:f>
        <x:v>0</x:v>
      </x:c>
      <x:c r="H71" s="53" t="n">
        <x:f>E71+C71+D71-F71-G71</x:f>
        <x:v>1744.9063284931515</x:v>
      </x:c>
      <x:c r="I71" s="69" t="n">
        <x:f>Champions!AY71</x:f>
        <x:v>2727.4759959052303</x:v>
      </x:c>
      <x:c r="J71" s="53" t="n">
        <x:f>H71+I71</x:f>
        <x:v>4472.382324398382</x:v>
      </x:c>
      <x:c r="K71" s="53" t="n">
        <x:f>E71*abroad_return*IF(OR($A71=1931,$A71=1932),abroad_slump,1)</x:f>
        <x:v>94.14074765157447</x:v>
      </x:c>
      <x:c r="L71" s="69" t="n">
        <x:f>Champions!AZ71</x:f>
        <x:v>209.78946100182165</x:v>
      </x:c>
      <x:c r="M71" s="53" t="n">
        <x:f>K71+L71</x:f>
        <x:v>303.9302086533961</x:v>
      </x:c>
      <x:c r="N71" s="53" t="n">
        <x:f>M71*abroad_tax</x:f>
        <x:v>30.39302086533961</x:v>
      </x:c>
      <x:c r="O71" s="69" t="n">
        <x:f>Labour!R71</x:f>
        <x:v>91.63147791443579</x:v>
      </x:c>
      <x:c r="P71" s="47" t="n">
        <x:f>Economy!O71+M71-O71</x:f>
        <x:v>11360.510803707175</x:v>
      </x:c>
      <x:c r="Q71" s="63" t="n">
        <x:f>M71/P71</x:f>
        <x:v>0.026753216814354618</x:v>
      </x:c>
      <x:c r="R71" s="63" t="n">
        <x:f>J71/Economy!O71</x:f>
        <x:v>0.40117485163767685</x:v>
      </x:c>
      <x:c r="S71" s="114" t="n">
        <x:f>0</x:f>
        <x:v>0</x:v>
      </x:c>
      <x:c r="T71" s="114" t="n">
        <x:f>C71-S71</x:f>
        <x:v>222.9642414593643</x:v>
      </x:c>
      <x:c r="U71" s="114" t="n">
        <x:f>0</x:f>
        <x:v>0</x:v>
      </x:c>
    </x:row>
    <x:row r="72">
      <x:c r="A72" s="58" t="n">
        <x:v>1912</x:v>
      </x:c>
      <x:c r="B72" s="59" t="n">
        <x:v>0.02</x:v>
      </x:c>
      <x:c r="C72" s="53" t="n">
        <x:f>Economy!O72*B72</x:f>
        <x:v>243.18502709582532</x:v>
      </x:c>
      <x:c r="D72" s="53" t="n">
        <x:f>IF(AND($A72&gt;=1914,$A72&lt;=1918),entente_total*entente_private*CHOOSE($A72-1913,0.05,0.1333,0.2333,0.3,0.2834),0)</x:f>
        <x:v>0</x:v>
      </x:c>
      <x:c r="E72" s="53" t="n">
        <x:f>H71</x:f>
        <x:v>1744.9063284931515</x:v>
      </x:c>
      <x:c r="F72" s="53" t="n">
        <x:f>E72*abroad_repat</x:f>
        <x:v>52.34718985479454</x:v>
      </x:c>
      <x:c r="G72" s="53" t="n">
        <x:f>IF($A72=1918,russia_writeoff*entente_total*entente_private,0)+IF(OR($A72=1931,$A72=1932),E72*abroad_loss/2,0)</x:f>
        <x:v>0</x:v>
      </x:c>
      <x:c r="H72" s="53" t="n">
        <x:f>E72+C72+D72-F72-G72</x:f>
        <x:v>1935.7441657341822</x:v>
      </x:c>
      <x:c r="I72" s="69" t="n">
        <x:f>Champions!AY72</x:f>
        <x:v>2899.5768309311306</x:v>
      </x:c>
      <x:c r="J72" s="53" t="n">
        <x:f>H72+I72</x:f>
        <x:v>4835.320996665313</x:v>
      </x:c>
      <x:c r="K72" s="53" t="n">
        <x:f>E72*abroad_return*IF(OR($A72=1931,$A72=1932),abroad_slump,1)</x:f>
        <x:v>104.69437970958909</x:v>
      </x:c>
      <x:c r="L72" s="69" t="n">
        <x:f>Champions!AZ72</x:f>
        <x:v>223.85288684427204</x:v>
      </x:c>
      <x:c r="M72" s="53" t="n">
        <x:f>K72+L72</x:f>
        <x:v>328.5472665538611</x:v>
      </x:c>
      <x:c r="N72" s="53" t="n">
        <x:f>M72*abroad_tax</x:f>
        <x:v>32.85472665538611</x:v>
      </x:c>
      <x:c r="O72" s="69" t="n">
        <x:f>Labour!R72</x:f>
        <x:v>100.38342652942129</x:v>
      </x:c>
      <x:c r="P72" s="47" t="n">
        <x:f>Economy!O72+M72-O72</x:f>
        <x:v>12387.415194815707</x:v>
      </x:c>
      <x:c r="Q72" s="63" t="n">
        <x:f>M72/P72</x:f>
        <x:v>0.02652266525234113</x:v>
      </x:c>
      <x:c r="R72" s="63" t="n">
        <x:f>J72/Economy!O72</x:f>
        <x:v>0.39766601212335245</x:v>
      </x:c>
      <x:c r="S72" s="114" t="n">
        <x:f>0</x:f>
        <x:v>0</x:v>
      </x:c>
      <x:c r="T72" s="114" t="n">
        <x:f>C72-S72</x:f>
        <x:v>243.18502709582532</x:v>
      </x:c>
      <x:c r="U72" s="114" t="n">
        <x:f>0</x:f>
        <x:v>0</x:v>
      </x:c>
    </x:row>
    <x:row r="73">
      <x:c r="A73" s="58" t="n">
        <x:v>1913</x:v>
      </x:c>
      <x:c r="B73" s="59" t="n">
        <x:v>0.02</x:v>
      </x:c>
      <x:c r="C73" s="53" t="n">
        <x:f>Economy!O73*B73</x:f>
        <x:v>264.7273470534089</x:v>
      </x:c>
      <x:c r="D73" s="53" t="n">
        <x:f>IF(AND($A73&gt;=1914,$A73&lt;=1918),entente_total*entente_private*CHOOSE($A73-1913,0.05,0.1333,0.2333,0.3,0.2834),0)</x:f>
        <x:v>0</x:v>
      </x:c>
      <x:c r="E73" s="53" t="n">
        <x:f>H72</x:f>
        <x:v>1935.7441657341822</x:v>
      </x:c>
      <x:c r="F73" s="53" t="n">
        <x:f>E73*abroad_repat</x:f>
        <x:v>58.07232497202546</x:v>
      </x:c>
      <x:c r="G73" s="53" t="n">
        <x:f>IF($A73=1918,russia_writeoff*entente_total*entente_private,0)+IF(OR($A73=1931,$A73=1932),E73*abroad_loss/2,0)</x:f>
        <x:v>0</x:v>
      </x:c>
      <x:c r="H73" s="53" t="n">
        <x:f>E73+C73+D73-F73-G73</x:f>
        <x:v>2142.3991878155657</x:v>
      </x:c>
      <x:c r="I73" s="69" t="n">
        <x:f>Champions!AY73</x:f>
        <x:v>3079.467529877497</x:v>
      </x:c>
      <x:c r="J73" s="53" t="n">
        <x:f>H73+I73</x:f>
        <x:v>5221.866717693063</x:v>
      </x:c>
      <x:c r="K73" s="53" t="n">
        <x:f>E73*abroad_return*IF(OR($A73=1931,$A73=1932),abroad_slump,1)</x:f>
        <x:v>116.14464994405093</x:v>
      </x:c>
      <x:c r="L73" s="69" t="n">
        <x:f>Champions!AZ73</x:f>
        <x:v>238.9112380987659</x:v>
      </x:c>
      <x:c r="M73" s="53" t="n">
        <x:f>K73+L73</x:f>
        <x:v>355.05588804281683</x:v>
      </x:c>
      <x:c r="N73" s="53" t="n">
        <x:f>M73*abroad_tax</x:f>
        <x:v>35.505588804281686</x:v>
      </x:c>
      <x:c r="O73" s="69" t="n">
        <x:f>Labour!R73</x:f>
        <x:v>110.15827763939268</x:v>
      </x:c>
      <x:c r="P73" s="47" t="n">
        <x:f>Economy!O73+M73-O73</x:f>
        <x:v>13481.264963073867</x:v>
      </x:c>
      <x:c r="Q73" s="63" t="n">
        <x:f>M73/P73</x:f>
        <x:v>0.02633698610741202</x:v>
      </x:c>
      <x:c r="R73" s="63" t="n">
        <x:f>J73/Economy!O73</x:f>
        <x:v>0.3945090505998648</x:v>
      </x:c>
      <x:c r="S73" s="114" t="n">
        <x:f>0</x:f>
        <x:v>0</x:v>
      </x:c>
      <x:c r="T73" s="114" t="n">
        <x:f>C73-S73</x:f>
        <x:v>264.7273470534089</x:v>
      </x:c>
      <x:c r="U73" s="114" t="n">
        <x:f>0</x:f>
        <x:v>0</x:v>
      </x:c>
    </x:row>
    <x:row r="74">
      <x:c r="A74" s="61" t="n">
        <x:v>1914</x:v>
      </x:c>
      <x:c r="B74" s="59" t="n">
        <x:v>0.01</x:v>
      </x:c>
      <x:c r="C74" s="53" t="n">
        <x:f>Economy!O74*B74</x:f>
        <x:v>137.951031950638</x:v>
      </x:c>
      <x:c r="D74" s="53" t="n">
        <x:f>IF(AND($A74&gt;=1914,$A74&lt;=1918),entente_total*entente_private*CHOOSE($A74-1913,0.05,0.1333,0.2333,0.3,0.2834),0)</x:f>
        <x:v>127.5</x:v>
      </x:c>
      <x:c r="E74" s="53" t="n">
        <x:f>H73</x:f>
        <x:v>2142.3991878155657</x:v>
      </x:c>
      <x:c r="F74" s="53" t="n">
        <x:f>E74*abroad_repat</x:f>
        <x:v>64.27197563446697</x:v>
      </x:c>
      <x:c r="G74" s="53" t="n">
        <x:f>IF($A74=1918,russia_writeoff*entente_total*entente_private,0)+IF(OR($A74=1931,$A74=1932),E74*abroad_loss/2,0)</x:f>
        <x:v>0</x:v>
      </x:c>
      <x:c r="H74" s="53" t="n">
        <x:f>E74+C74+D74-F74-G74</x:f>
        <x:v>2343.578244131737</x:v>
      </x:c>
      <x:c r="I74" s="69" t="n">
        <x:f>Champions!AY74</x:f>
        <x:v>3330.3347295293233</x:v>
      </x:c>
      <x:c r="J74" s="53" t="n">
        <x:f>H74+I74</x:f>
        <x:v>5673.91297366106</x:v>
      </x:c>
      <x:c r="K74" s="53" t="n">
        <x:f>E74*abroad_return*IF(OR($A74=1931,$A74=1932),abroad_slump,1)</x:f>
        <x:v>128.54395126893394</x:v>
      </x:c>
      <x:c r="L74" s="69" t="n">
        <x:f>Champions!AZ74</x:f>
        <x:v>267.85721061510077</x:v>
      </x:c>
      <x:c r="M74" s="53" t="n">
        <x:f>K74+L74</x:f>
        <x:v>396.4011618840347</x:v>
      </x:c>
      <x:c r="N74" s="53" t="n">
        <x:f>M74*abroad_tax</x:f>
        <x:v>39.640116188403475</x:v>
      </x:c>
      <x:c r="O74" s="69" t="n">
        <x:f>Labour!R74</x:f>
        <x:v>109.51816659739971</x:v>
      </x:c>
      <x:c r="P74" s="47" t="n">
        <x:f>Economy!O74+M74-O74</x:f>
        <x:v>14081.986190350433</x:v>
      </x:c>
      <x:c r="Q74" s="63" t="n">
        <x:f>M74/P74</x:f>
        <x:v>0.02814952070863877</x:v>
      </x:c>
      <x:c r="R74" s="63" t="n">
        <x:f>J74/Economy!O74</x:f>
        <x:v>0.4112990597773357</x:v>
      </x:c>
      <x:c r="S74" s="114" t="n">
        <x:f>0</x:f>
        <x:v>0</x:v>
      </x:c>
      <x:c r="T74" s="114" t="n">
        <x:f>C74-S74</x:f>
        <x:v>137.951031950638</x:v>
      </x:c>
      <x:c r="U74" s="114" t="n">
        <x:f>0</x:f>
        <x:v>0</x:v>
      </x:c>
    </x:row>
    <x:row r="75">
      <x:c r="A75" s="61" t="n">
        <x:v>1915</x:v>
      </x:c>
      <x:c r="B75" s="59" t="n">
        <x:v>0.01</x:v>
      </x:c>
      <x:c r="C75" s="53" t="n">
        <x:f>Economy!O75*B75</x:f>
        <x:v>154.40028991345181</x:v>
      </x:c>
      <x:c r="D75" s="53" t="n">
        <x:f>IF(AND($A75&gt;=1914,$A75&lt;=1918),entente_total*entente_private*CHOOSE($A75-1913,0.05,0.1333,0.2333,0.3,0.2834),0)</x:f>
        <x:v>339.915</x:v>
      </x:c>
      <x:c r="E75" s="53" t="n">
        <x:f>H74</x:f>
        <x:v>2343.578244131737</x:v>
      </x:c>
      <x:c r="F75" s="53" t="n">
        <x:f>E75*abroad_repat</x:f>
        <x:v>70.3073473239521</x:v>
      </x:c>
      <x:c r="G75" s="53" t="n">
        <x:f>IF($A75=1918,russia_writeoff*entente_total*entente_private,0)+IF(OR($A75=1931,$A75=1932),E75*abroad_loss/2,0)</x:f>
        <x:v>0</x:v>
      </x:c>
      <x:c r="H75" s="53" t="n">
        <x:f>E75+C75+D75-F75-G75</x:f>
        <x:v>2767.5861867212366</x:v>
      </x:c>
      <x:c r="I75" s="69" t="n">
        <x:f>Champions!AY75</x:f>
        <x:v>3590.5304984912054</x:v>
      </x:c>
      <x:c r="J75" s="53" t="n">
        <x:f>H75+I75</x:f>
        <x:v>6358.1166852124425</x:v>
      </x:c>
      <x:c r="K75" s="53" t="n">
        <x:f>E75*abroad_return*IF(OR($A75=1931,$A75=1932),abroad_slump,1)</x:f>
        <x:v>140.6146946479042</x:v>
      </x:c>
      <x:c r="L75" s="69" t="n">
        <x:f>Champions!AZ75</x:f>
        <x:v>298.7115952824011</x:v>
      </x:c>
      <x:c r="M75" s="53" t="n">
        <x:f>K75+L75</x:f>
        <x:v>439.3262899303053</x:v>
      </x:c>
      <x:c r="N75" s="53" t="n">
        <x:f>M75*abroad_tax</x:f>
        <x:v>43.932628993030534</x:v>
      </x:c>
      <x:c r="O75" s="69" t="n">
        <x:f>Labour!R75</x:f>
        <x:v>129.04260830584937</x:v>
      </x:c>
      <x:c r="P75" s="47" t="n">
        <x:f>Economy!O75+M75-O75</x:f>
        <x:v>15750.312672969634</x:v>
      </x:c>
      <x:c r="Q75" s="63" t="n">
        <x:f>M75/P75</x:f>
        <x:v>0.027893178951568887</x:v>
      </x:c>
      <x:c r="R75" s="63" t="n">
        <x:f>J75/Economy!O75</x:f>
        <x:v>0.4117943488821458</x:v>
      </x:c>
      <x:c r="S75" s="114" t="n">
        <x:f>0</x:f>
        <x:v>0</x:v>
      </x:c>
      <x:c r="T75" s="114" t="n">
        <x:f>C75-S75</x:f>
        <x:v>154.40028991345181</x:v>
      </x:c>
      <x:c r="U75" s="114" t="n">
        <x:f>0</x:f>
        <x:v>0</x:v>
      </x:c>
    </x:row>
    <x:row r="76">
      <x:c r="A76" s="61" t="n">
        <x:v>1916</x:v>
      </x:c>
      <x:c r="B76" s="59" t="n">
        <x:v>0.01</x:v>
      </x:c>
      <x:c r="C76" s="53" t="n">
        <x:f>Economy!O76*B76</x:f>
        <x:v>183.14493143144773</x:v>
      </x:c>
      <x:c r="D76" s="53" t="n">
        <x:f>IF(AND($A76&gt;=1914,$A76&lt;=1918),entente_total*entente_private*CHOOSE($A76-1913,0.05,0.1333,0.2333,0.3,0.2834),0)</x:f>
        <x:v>594.915</x:v>
      </x:c>
      <x:c r="E76" s="53" t="n">
        <x:f>H75</x:f>
        <x:v>2767.5861867212366</x:v>
      </x:c>
      <x:c r="F76" s="53" t="n">
        <x:f>E76*abroad_repat</x:f>
        <x:v>83.0275856016371</x:v>
      </x:c>
      <x:c r="G76" s="53" t="n">
        <x:f>IF($A76=1918,russia_writeoff*entente_total*entente_private,0)+IF(OR($A76=1931,$A76=1932),E76*abroad_loss/2,0)</x:f>
        <x:v>0</x:v>
      </x:c>
      <x:c r="H76" s="53" t="n">
        <x:f>E76+C76+D76-F76-G76</x:f>
        <x:v>3462.6185325510473</x:v>
      </x:c>
      <x:c r="I76" s="69" t="n">
        <x:f>Champions!AY76</x:f>
        <x:v>3869.7888480580964</x:v>
      </x:c>
      <x:c r="J76" s="53" t="n">
        <x:f>H76+I76</x:f>
        <x:v>7332.407380609144</x:v>
      </x:c>
      <x:c r="K76" s="53" t="n">
        <x:f>E76*abroad_return*IF(OR($A76=1931,$A76=1932),abroad_slump,1)</x:f>
        <x:v>166.0551712032742</x:v>
      </x:c>
      <x:c r="L76" s="69" t="n">
        <x:f>Champions!AZ76</x:f>
        <x:v>332.13494890726327</x:v>
      </x:c>
      <x:c r="M76" s="53" t="n">
        <x:f>K76+L76</x:f>
        <x:v>498.19012011053746</x:v>
      </x:c>
      <x:c r="N76" s="53" t="n">
        <x:f>M76*abroad_tax</x:f>
        <x:v>49.81901201105375</x:v>
      </x:c>
      <x:c r="O76" s="69" t="n">
        <x:f>Labour!R76</x:f>
        <x:v>159.62363835348137</x:v>
      </x:c>
      <x:c r="P76" s="47" t="n">
        <x:f>Economy!O76+M76-O76</x:f>
        <x:v>18653.05962490183</x:v>
      </x:c>
      <x:c r="Q76" s="63" t="n">
        <x:f>M76/P76</x:f>
        <x:v>0.026708225359739577</x:v>
      </x:c>
      <x:c r="R76" s="63" t="n">
        <x:f>J76/Economy!O76</x:f>
        <x:v>0.4003609230842246</x:v>
      </x:c>
      <x:c r="S76" s="114" t="n">
        <x:f>0</x:f>
        <x:v>0</x:v>
      </x:c>
      <x:c r="T76" s="114" t="n">
        <x:f>C76-S76</x:f>
        <x:v>183.14493143144773</x:v>
      </x:c>
      <x:c r="U76" s="114" t="n">
        <x:f>0</x:f>
        <x:v>0</x:v>
      </x:c>
    </x:row>
    <x:row r="77">
      <x:c r="A77" s="61" t="n">
        <x:v>1917</x:v>
      </x:c>
      <x:c r="B77" s="59" t="n">
        <x:v>0.01</x:v>
      </x:c>
      <x:c r="C77" s="53" t="n">
        <x:f>Economy!O77*B77</x:f>
        <x:v>230.33733459176355</x:v>
      </x:c>
      <x:c r="D77" s="53" t="n">
        <x:f>IF(AND($A77&gt;=1914,$A77&lt;=1918),entente_total*entente_private*CHOOSE($A77-1913,0.05,0.1333,0.2333,0.3,0.2834),0)</x:f>
        <x:v>765</x:v>
      </x:c>
      <x:c r="E77" s="53" t="n">
        <x:f>H76</x:f>
        <x:v>3462.6185325510473</x:v>
      </x:c>
      <x:c r="F77" s="53" t="n">
        <x:f>E77*abroad_repat</x:f>
        <x:v>103.87855597653142</x:v>
      </x:c>
      <x:c r="G77" s="53" t="n">
        <x:f>IF($A77=1918,russia_writeoff*entente_total*entente_private,0)+IF(OR($A77=1931,$A77=1932),E77*abroad_loss/2,0)</x:f>
        <x:v>0</x:v>
      </x:c>
      <x:c r="H77" s="53" t="n">
        <x:f>E77+C77+D77-F77-G77</x:f>
        <x:v>4354.07731116628</x:v>
      </x:c>
      <x:c r="I77" s="69" t="n">
        <x:f>Champions!AY77</x:f>
        <x:v>4157.522008259706</x:v>
      </x:c>
      <x:c r="J77" s="53" t="n">
        <x:f>H77+I77</x:f>
        <x:v>8511.599319425986</x:v>
      </x:c>
      <x:c r="K77" s="53" t="n">
        <x:f>E77*abroad_return*IF(OR($A77=1931,$A77=1932),abroad_slump,1)</x:f>
        <x:v>207.75711195306283</x:v>
      </x:c>
      <x:c r="L77" s="69" t="n">
        <x:f>Champions!AZ77</x:f>
        <x:v>366.9925771796222</x:v>
      </x:c>
      <x:c r="M77" s="53" t="n">
        <x:f>K77+L77</x:f>
        <x:v>574.749689132685</x:v>
      </x:c>
      <x:c r="N77" s="53" t="n">
        <x:f>M77*abroad_tax</x:f>
        <x:v>57.474968913268505</x:v>
      </x:c>
      <x:c r="O77" s="69" t="n">
        <x:f>Labour!R77</x:f>
        <x:v>209.0412183824392</x:v>
      </x:c>
      <x:c r="P77" s="47" t="n">
        <x:f>Economy!O77+M77-O77</x:f>
        <x:v>23399.441929926597</x:v>
      </x:c>
      <x:c r="Q77" s="63" t="n">
        <x:f>M77/P77</x:f>
        <x:v>0.024562538322660244</x:v>
      </x:c>
      <x:c r="R77" s="63" t="n">
        <x:f>J77/Economy!O77</x:f>
        <x:v>0.3695275598509225</x:v>
      </x:c>
      <x:c r="S77" s="114" t="n">
        <x:f>0</x:f>
        <x:v>0</x:v>
      </x:c>
      <x:c r="T77" s="114" t="n">
        <x:f>C77-S77</x:f>
        <x:v>230.33733459176355</x:v>
      </x:c>
      <x:c r="U77" s="114" t="n">
        <x:f>0</x:f>
        <x:v>0</x:v>
      </x:c>
    </x:row>
    <x:row r="78">
      <x:c r="A78" s="61" t="n">
        <x:v>1918</x:v>
      </x:c>
      <x:c r="B78" s="59" t="n">
        <x:v>0.01</x:v>
      </x:c>
      <x:c r="C78" s="53" t="n">
        <x:f>Economy!O78*B78</x:f>
        <x:v>277.07504725484387</x:v>
      </x:c>
      <x:c r="D78" s="53" t="n">
        <x:f>IF(AND($A78&gt;=1914,$A78&lt;=1918),entente_total*entente_private*CHOOSE($A78-1913,0.05,0.1333,0.2333,0.3,0.2834),0)</x:f>
        <x:v>722.67</x:v>
      </x:c>
      <x:c r="E78" s="53" t="n">
        <x:f>H77</x:f>
        <x:v>4354.07731116628</x:v>
      </x:c>
      <x:c r="F78" s="53" t="n">
        <x:f>E78*abroad_repat</x:f>
        <x:v>130.6223193349884</x:v>
      </x:c>
      <x:c r="G78" s="53" t="n">
        <x:f>IF($A78=1918,russia_writeoff*entente_total*entente_private,0)+IF(OR($A78=1931,$A78=1932),E78*abroad_loss/2,0)</x:f>
        <x:v>306</x:v>
      </x:c>
      <x:c r="H78" s="53" t="n">
        <x:f>E78+C78+D78-F78-G78</x:f>
        <x:v>4917.200039086136</x:v>
      </x:c>
      <x:c r="I78" s="69" t="n">
        <x:f>Champions!AY78</x:f>
        <x:v>4520.515559207417</x:v>
      </x:c>
      <x:c r="J78" s="53" t="n">
        <x:f>H78+I78</x:f>
        <x:v>9437.715598293553</x:v>
      </x:c>
      <x:c r="K78" s="53" t="n">
        <x:f>E78*abroad_return*IF(OR($A78=1931,$A78=1932),abroad_slump,1)</x:f>
        <x:v>261.2446386699768</x:v>
      </x:c>
      <x:c r="L78" s="69" t="n">
        <x:f>Champions!AZ78</x:f>
        <x:v>412.8010431541102</x:v>
      </x:c>
      <x:c r="M78" s="53" t="n">
        <x:f>K78+L78</x:f>
        <x:v>674.045681824087</x:v>
      </x:c>
      <x:c r="N78" s="53" t="n">
        <x:f>M78*abroad_tax</x:f>
        <x:v>67.4045681824087</x:v>
      </x:c>
      <x:c r="O78" s="69" t="n">
        <x:f>Labour!R78</x:f>
        <x:v>256.30806207800373</x:v>
      </x:c>
      <x:c r="P78" s="47" t="n">
        <x:f>Economy!O78+M78-O78</x:f>
        <x:v>28125.24234523047</x:v>
      </x:c>
      <x:c r="Q78" s="63" t="n">
        <x:f>M78/P78</x:f>
        <x:v>0.023965862179971327</x:v>
      </x:c>
      <x:c r="R78" s="63" t="n">
        <x:f>J78/Economy!O78</x:f>
        <x:v>0.34061947085451816</x:v>
      </x:c>
      <x:c r="S78" s="114" t="n">
        <x:f>0</x:f>
        <x:v>0</x:v>
      </x:c>
      <x:c r="T78" s="114" t="n">
        <x:f>C78-S78</x:f>
        <x:v>277.07504725484387</x:v>
      </x:c>
      <x:c r="U78" s="114" t="n">
        <x:f>0</x:f>
        <x:v>0</x:v>
      </x:c>
    </x:row>
    <x:row r="79">
      <x:c r="A79" s="61" t="n">
        <x:v>1919</x:v>
      </x:c>
      <x:c r="B79" s="59" t="n">
        <x:v>0.035</x:v>
      </x:c>
      <x:c r="C79" s="53" t="n">
        <x:f>Economy!O79*B79</x:f>
        <x:v>1100.8803501227674</x:v>
      </x:c>
      <x:c r="D79" s="53" t="n">
        <x:f>IF(AND($A79&gt;=1914,$A79&lt;=1918),entente_total*entente_private*CHOOSE($A79-1913,0.05,0.1333,0.2333,0.3,0.2834),0)</x:f>
        <x:v>0</x:v>
      </x:c>
      <x:c r="E79" s="53" t="n">
        <x:f>H78</x:f>
        <x:v>4917.200039086136</x:v>
      </x:c>
      <x:c r="F79" s="53" t="n">
        <x:f>E79*abroad_repat</x:f>
        <x:v>147.51600117258405</x:v>
      </x:c>
      <x:c r="G79" s="53" t="n">
        <x:f>IF($A79=1918,russia_writeoff*entente_total*entente_private,0)+IF(OR($A79=1931,$A79=1932),E79*abroad_loss/2,0)</x:f>
        <x:v>0</x:v>
      </x:c>
      <x:c r="H79" s="53" t="n">
        <x:f>E79+C79+D79-F79-G79</x:f>
        <x:v>5870.5643880363195</x:v>
      </x:c>
      <x:c r="I79" s="69" t="n">
        <x:f>Champions!AY79</x:f>
        <x:v>4952.7592498790455</x:v>
      </x:c>
      <x:c r="J79" s="53" t="n">
        <x:f>H79+I79</x:f>
        <x:v>10823.323637915364</x:v>
      </x:c>
      <x:c r="K79" s="53" t="n">
        <x:f>E79*abroad_return*IF(OR($A79=1931,$A79=1932),abroad_slump,1)</x:f>
        <x:v>295.0320023451681</x:v>
      </x:c>
      <x:c r="L79" s="69" t="n">
        <x:f>Champions!AZ79</x:f>
        <x:v>464.10698800954987</x:v>
      </x:c>
      <x:c r="M79" s="53" t="n">
        <x:f>K79+L79</x:f>
        <x:v>759.138990354718</x:v>
      </x:c>
      <x:c r="N79" s="53" t="n">
        <x:f>M79*abroad_tax</x:f>
        <x:v>75.9138990354718</x:v>
      </x:c>
      <x:c r="O79" s="69" t="n">
        <x:f>Labour!R79</x:f>
        <x:v>291.99432273065054</x:v>
      </x:c>
      <x:c r="P79" s="47" t="n">
        <x:f>Economy!O79+M79-O79</x:f>
        <x:v>31920.86895684599</x:v>
      </x:c>
      <x:c r="Q79" s="63" t="n">
        <x:f>M79/P79</x:f>
        <x:v>0.023781902409392503</x:v>
      </x:c>
      <x:c r="R79" s="63" t="n">
        <x:f>J79/Economy!O79</x:f>
        <x:v>0.3441030873925519</x:v>
      </x:c>
      <x:c r="S79" s="114" t="n">
        <x:f>0</x:f>
        <x:v>0</x:v>
      </x:c>
      <x:c r="T79" s="114" t="n">
        <x:f>C79-S79</x:f>
        <x:v>1100.8803501227674</x:v>
      </x:c>
      <x:c r="U79" s="114" t="n">
        <x:f>0</x:f>
        <x:v>0</x:v>
      </x:c>
    </x:row>
    <x:row r="80">
      <x:c r="A80" s="61" t="n">
        <x:v>1920</x:v>
      </x:c>
      <x:c r="B80" s="59" t="n">
        <x:v>0.035</x:v>
      </x:c>
      <x:c r="C80" s="53" t="n">
        <x:f>Economy!O80*B80</x:f>
        <x:v>1291.5324679075336</x:v>
      </x:c>
      <x:c r="D80" s="53" t="n">
        <x:f>IF(AND($A80&gt;=1914,$A80&lt;=1918),entente_total*entente_private*CHOOSE($A80-1913,0.05,0.1333,0.2333,0.3,0.2834),0)</x:f>
        <x:v>0</x:v>
      </x:c>
      <x:c r="E80" s="53" t="n">
        <x:f>H79</x:f>
        <x:v>5870.5643880363195</x:v>
      </x:c>
      <x:c r="F80" s="53" t="n">
        <x:f>E80*abroad_repat</x:f>
        <x:v>176.1169316410896</x:v>
      </x:c>
      <x:c r="G80" s="53" t="n">
        <x:f>IF($A80=1918,russia_writeoff*entente_total*entente_private,0)+IF(OR($A80=1931,$A80=1932),E80*abroad_loss/2,0)</x:f>
        <x:v>0</x:v>
      </x:c>
      <x:c r="H80" s="53" t="n">
        <x:f>E80+C80+D80-F80-G80</x:f>
        <x:v>6985.979924302764</x:v>
      </x:c>
      <x:c r="I80" s="69" t="n">
        <x:f>Champions!AY80</x:f>
        <x:v>5422.046012521616</x:v>
      </x:c>
      <x:c r="J80" s="53" t="n">
        <x:f>H80+I80</x:f>
        <x:v>12408.025936824379</x:v>
      </x:c>
      <x:c r="K80" s="53" t="n">
        <x:f>E80*abroad_return*IF(OR($A80=1931,$A80=1932),abroad_slump,1)</x:f>
        <x:v>352.2338632821792</x:v>
      </x:c>
      <x:c r="L80" s="69" t="n">
        <x:f>Champions!AZ80</x:f>
        <x:v>519.5428902384887</x:v>
      </x:c>
      <x:c r="M80" s="53" t="n">
        <x:f>K80+L80</x:f>
        <x:v>871.7767535206679</x:v>
      </x:c>
      <x:c r="N80" s="53" t="n">
        <x:f>M80*abroad_tax</x:f>
        <x:v>87.17767535206679</x:v>
      </x:c>
      <x:c r="O80" s="69" t="n">
        <x:f>Labour!R80</x:f>
        <x:v>337.32535762824836</x:v>
      </x:c>
      <x:c r="P80" s="47" t="n">
        <x:f>Economy!O80+M80-O80</x:f>
        <x:v>37435.37905039337</x:v>
      </x:c>
      <x:c r="Q80" s="63" t="n">
        <x:f>M80/P80</x:f>
        <x:v>0.023287509720340528</x:v>
      </x:c>
      <x:c r="R80" s="63" t="n">
        <x:f>J80/Economy!O80</x:f>
        <x:v>0.33625241221573793</x:v>
      </x:c>
      <x:c r="S80" s="114" t="n">
        <x:f>0</x:f>
        <x:v>0</x:v>
      </x:c>
      <x:c r="T80" s="114" t="n">
        <x:f>C80-S80</x:f>
        <x:v>1291.5324679075336</x:v>
      </x:c>
      <x:c r="U80" s="114" t="n">
        <x:f>0</x:f>
        <x:v>0</x:v>
      </x:c>
    </x:row>
    <x:row r="81">
      <x:c r="A81" s="61" t="n">
        <x:v>1921</x:v>
      </x:c>
      <x:c r="B81" s="59" t="n">
        <x:v>0.035</x:v>
      </x:c>
      <x:c r="C81" s="53" t="n">
        <x:f>Economy!O81*B81</x:f>
        <x:v>1056.606760769879</x:v>
      </x:c>
      <x:c r="D81" s="53" t="n">
        <x:f>IF(AND($A81&gt;=1914,$A81&lt;=1918),entente_total*entente_private*CHOOSE($A81-1913,0.05,0.1333,0.2333,0.3,0.2834),0)</x:f>
        <x:v>0</x:v>
      </x:c>
      <x:c r="E81" s="53" t="n">
        <x:f>H80</x:f>
        <x:v>6985.979924302764</x:v>
      </x:c>
      <x:c r="F81" s="53" t="n">
        <x:f>E81*abroad_repat</x:f>
        <x:v>209.5793977290829</x:v>
      </x:c>
      <x:c r="G81" s="53" t="n">
        <x:f>IF($A81=1918,russia_writeoff*entente_total*entente_private,0)+IF(OR($A81=1931,$A81=1932),E81*abroad_loss/2,0)</x:f>
        <x:v>0</x:v>
      </x:c>
      <x:c r="H81" s="53" t="n">
        <x:f>E81+C81+D81-F81-G81</x:f>
        <x:v>7833.007287343559</x:v>
      </x:c>
      <x:c r="I81" s="69" t="n">
        <x:f>Champions!AY81</x:f>
        <x:v>5954.4801682338175</x:v>
      </x:c>
      <x:c r="J81" s="53" t="n">
        <x:f>H81+I81</x:f>
        <x:v>13787.487455577377</x:v>
      </x:c>
      <x:c r="K81" s="53" t="n">
        <x:f>E81*abroad_return*IF(OR($A81=1931,$A81=1932),abroad_slump,1)</x:f>
        <x:v>419.1587954581658</x:v>
      </x:c>
      <x:c r="L81" s="69" t="n">
        <x:f>Champions!AZ81</x:f>
        <x:v>564.2439747329753</x:v>
      </x:c>
      <x:c r="M81" s="53" t="n">
        <x:f>K81+L81</x:f>
        <x:v>983.4027701911411</x:v>
      </x:c>
      <x:c r="N81" s="53" t="n">
        <x:f>M81*abroad_tax</x:f>
        <x:v>98.34027701911413</x:v>
      </x:c>
      <x:c r="O81" s="69" t="n">
        <x:f>Labour!R81</x:f>
        <x:v>239.17714877593286</x:v>
      </x:c>
      <x:c r="P81" s="47" t="n">
        <x:f>Economy!O81+M81-O81</x:f>
        <x:v>30932.990214840316</x:v>
      </x:c>
      <x:c r="Q81" s="63" t="n">
        <x:f>M81/P81</x:f>
        <x:v>0.031791390465683037</x:v>
      </x:c>
      <x:c r="R81" s="63" t="n">
        <x:f>J81/Economy!O81</x:f>
        <x:v>0.45670923077720743</x:v>
      </x:c>
      <x:c r="S81" s="114" t="n">
        <x:f>0</x:f>
        <x:v>0</x:v>
      </x:c>
      <x:c r="T81" s="114" t="n">
        <x:f>C81-S81</x:f>
        <x:v>1056.606760769879</x:v>
      </x:c>
      <x:c r="U81" s="114" t="n">
        <x:f>0</x:f>
        <x:v>0</x:v>
      </x:c>
    </x:row>
    <x:row r="82">
      <x:c r="A82" s="61" t="n">
        <x:v>1922</x:v>
      </x:c>
      <x:c r="B82" s="59" t="n">
        <x:v>0.035</x:v>
      </x:c>
      <x:c r="C82" s="53" t="n">
        <x:f>Economy!O82*B82</x:f>
        <x:v>1096.1810670162304</x:v>
      </x:c>
      <x:c r="D82" s="53" t="n">
        <x:f>IF(AND($A82&gt;=1914,$A82&lt;=1918),entente_total*entente_private*CHOOSE($A82-1913,0.05,0.1333,0.2333,0.3,0.2834),0)</x:f>
        <x:v>0</x:v>
      </x:c>
      <x:c r="E82" s="53" t="n">
        <x:f>H81</x:f>
        <x:v>7833.007287343559</x:v>
      </x:c>
      <x:c r="F82" s="53" t="n">
        <x:f>E82*abroad_repat</x:f>
        <x:v>234.99021862030676</x:v>
      </x:c>
      <x:c r="G82" s="53" t="n">
        <x:f>IF($A82=1918,russia_writeoff*entente_total*entente_private,0)+IF(OR($A82=1931,$A82=1932),E82*abroad_loss/2,0)</x:f>
        <x:v>0</x:v>
      </x:c>
      <x:c r="H82" s="53" t="n">
        <x:f>E82+C82+D82-F82-G82</x:f>
        <x:v>8694.198135739483</x:v>
      </x:c>
      <x:c r="I82" s="69" t="n">
        <x:f>Champions!AY82</x:f>
        <x:v>6486.764810676179</x:v>
      </x:c>
      <x:c r="J82" s="53" t="n">
        <x:f>H82+I82</x:f>
        <x:v>15180.962946415662</x:v>
      </x:c>
      <x:c r="K82" s="53" t="n">
        <x:f>E82*abroad_return*IF(OR($A82=1931,$A82=1932),abroad_slump,1)</x:f>
        <x:v>469.9804372406135</x:v>
      </x:c>
      <x:c r="L82" s="69" t="n">
        <x:f>Champions!AZ82</x:f>
        <x:v>617.8846176931692</x:v>
      </x:c>
      <x:c r="M82" s="53" t="n">
        <x:f>K82+L82</x:f>
        <x:v>1087.8650549337826</x:v>
      </x:c>
      <x:c r="N82" s="53" t="n">
        <x:f>M82*abroad_tax</x:f>
        <x:v>108.78650549337827</x:v>
      </x:c>
      <x:c r="O82" s="69" t="n">
        <x:f>Labour!R82</x:f>
        <x:v>246.30856602679094</x:v>
      </x:c>
      <x:c r="P82" s="47" t="n">
        <x:f>Economy!O82+M82-O82</x:f>
        <x:v>32161.015546513572</x:v>
      </x:c>
      <x:c r="Q82" s="63" t="n">
        <x:f>M82/P82</x:f>
        <x:v>0.03382558157594352</x:v>
      </x:c>
      <x:c r="R82" s="63" t="n">
        <x:f>J82/Economy!O82</x:f>
        <x:v>0.4847134466305111</x:v>
      </x:c>
      <x:c r="S82" s="114" t="n">
        <x:f>0</x:f>
        <x:v>0</x:v>
      </x:c>
      <x:c r="T82" s="114" t="n">
        <x:f>C82-S82</x:f>
        <x:v>1096.1810670162304</x:v>
      </x:c>
      <x:c r="U82" s="114" t="n">
        <x:f>0</x:f>
        <x:v>0</x:v>
      </x:c>
    </x:row>
    <x:row r="83">
      <x:c r="A83" s="58" t="n">
        <x:v>1923</x:v>
      </x:c>
      <x:c r="B83" s="59" t="n">
        <x:v>0.035</x:v>
      </x:c>
      <x:c r="C83" s="53" t="n">
        <x:f>Economy!O83*B83</x:f>
        <x:v>1239.4655979344373</x:v>
      </x:c>
      <x:c r="D83" s="53" t="n">
        <x:f>IF(AND($A83&gt;=1914,$A83&lt;=1918),entente_total*entente_private*CHOOSE($A83-1913,0.05,0.1333,0.2333,0.3,0.2834),0)</x:f>
        <x:v>0</x:v>
      </x:c>
      <x:c r="E83" s="53" t="n">
        <x:f>H82</x:f>
        <x:v>8694.198135739483</x:v>
      </x:c>
      <x:c r="F83" s="53" t="n">
        <x:f>E83*abroad_repat</x:f>
        <x:v>260.8259440721845</x:v>
      </x:c>
      <x:c r="G83" s="53" t="n">
        <x:f>IF($A83=1918,russia_writeoff*entente_total*entente_private,0)+IF(OR($A83=1931,$A83=1932),E83*abroad_loss/2,0)</x:f>
        <x:v>0</x:v>
      </x:c>
      <x:c r="H83" s="53" t="n">
        <x:f>E83+C83+D83-F83-G83</x:f>
        <x:v>9672.837789601735</x:v>
      </x:c>
      <x:c r="I83" s="69" t="n">
        <x:f>Champions!AY83</x:f>
        <x:v>7032.238360389544</x:v>
      </x:c>
      <x:c r="J83" s="53" t="n">
        <x:f>H83+I83</x:f>
        <x:v>16705.07614999128</x:v>
      </x:c>
      <x:c r="K83" s="53" t="n">
        <x:f>E83*abroad_return*IF(OR($A83=1931,$A83=1932),abroad_slump,1)</x:f>
        <x:v>521.651888144369</x:v>
      </x:c>
      <x:c r="L83" s="69" t="n">
        <x:f>Champions!AZ83</x:f>
        <x:v>672.5502149114208</x:v>
      </x:c>
      <x:c r="M83" s="53" t="n">
        <x:f>K83+L83</x:f>
        <x:v>1194.2021030557898</x:v>
      </x:c>
      <x:c r="N83" s="53" t="n">
        <x:f>M83*abroad_tax</x:f>
        <x:v>119.42021030557899</x:v>
      </x:c>
      <x:c r="O83" s="69" t="n">
        <x:f>Labour!R83</x:f>
        <x:v>297.1771354252931</x:v>
      </x:c>
      <x:c r="P83" s="47" t="n">
        <x:f>Economy!O83+M83-O83</x:f>
        <x:v>36310.32776575727</x:v>
      </x:c>
      <x:c r="Q83" s="63" t="n">
        <x:f>M83/P83</x:f>
        <x:v>0.03288877232835092</x:v>
      </x:c>
      <x:c r="R83" s="63" t="n">
        <x:f>J83/Economy!O83</x:f>
        <x:v>0.47171754199879135</x:v>
      </x:c>
      <x:c r="S83" s="114" t="n">
        <x:f>0</x:f>
        <x:v>0</x:v>
      </x:c>
      <x:c r="T83" s="114" t="n">
        <x:f>C83-S83</x:f>
        <x:v>1239.4655979344373</x:v>
      </x:c>
      <x:c r="U83" s="114" t="n">
        <x:f>0</x:f>
        <x:v>0</x:v>
      </x:c>
    </x:row>
    <x:row r="84">
      <x:c r="A84" s="58" t="n">
        <x:v>1924</x:v>
      </x:c>
      <x:c r="B84" s="59" t="n">
        <x:v>0.035</x:v>
      </x:c>
      <x:c r="C84" s="53" t="n">
        <x:f>Economy!O84*B84</x:f>
        <x:v>1325.4894822674858</x:v>
      </x:c>
      <x:c r="D84" s="53" t="n">
        <x:f>IF(AND($A84&gt;=1914,$A84&lt;=1918),entente_total*entente_private*CHOOSE($A84-1913,0.05,0.1333,0.2333,0.3,0.2834),0)</x:f>
        <x:v>0</x:v>
      </x:c>
      <x:c r="E84" s="53" t="n">
        <x:f>H83</x:f>
        <x:v>9672.837789601735</x:v>
      </x:c>
      <x:c r="F84" s="53" t="n">
        <x:f>E84*abroad_repat</x:f>
        <x:v>290.1851336880521</x:v>
      </x:c>
      <x:c r="G84" s="53" t="n">
        <x:f>IF($A84=1918,russia_writeoff*entente_total*entente_private,0)+IF(OR($A84=1931,$A84=1932),E84*abroad_loss/2,0)</x:f>
        <x:v>0</x:v>
      </x:c>
      <x:c r="H84" s="53" t="n">
        <x:f>E84+C84+D84-F84-G84</x:f>
        <x:v>10708.142138181169</x:v>
      </x:c>
      <x:c r="I84" s="69" t="n">
        <x:f>Champions!AY84</x:f>
        <x:v>7551.54738418788</x:v>
      </x:c>
      <x:c r="J84" s="53" t="n">
        <x:f>H84+I84</x:f>
        <x:v>18259.689522369048</x:v>
      </x:c>
      <x:c r="K84" s="53" t="n">
        <x:f>E84*abroad_return*IF(OR($A84=1931,$A84=1932),abroad_slump,1)</x:f>
        <x:v>580.3702673761042</x:v>
      </x:c>
      <x:c r="L84" s="69" t="n">
        <x:f>Champions!AZ84</x:f>
        <x:v>723.7569257288145</x:v>
      </x:c>
      <x:c r="M84" s="53" t="n">
        <x:f>K84+L84</x:f>
        <x:v>1304.1271931049187</x:v>
      </x:c>
      <x:c r="N84" s="53" t="n">
        <x:f>M84*abroad_tax</x:f>
        <x:v>130.41271931049187</x:v>
      </x:c>
      <x:c r="O84" s="69" t="n">
        <x:f>Labour!R84</x:f>
        <x:v>330.3491780994564</x:v>
      </x:c>
      <x:c r="P84" s="47" t="n">
        <x:f>Economy!O84+M84-O84</x:f>
        <x:v>38844.906079790766</x:v>
      </x:c>
      <x:c r="Q84" s="63" t="n">
        <x:f>M84/P84</x:f>
        <x:v>0.03357266948788934</x:v>
      </x:c>
      <x:c r="R84" s="63" t="n">
        <x:f>J84/Economy!O84</x:f>
        <x:v>0.4821533039927567</x:v>
      </x:c>
      <x:c r="S84" s="114" t="n">
        <x:f>0</x:f>
        <x:v>0</x:v>
      </x:c>
      <x:c r="T84" s="114" t="n">
        <x:f>C84-S84</x:f>
        <x:v>1325.4894822674858</x:v>
      </x:c>
      <x:c r="U84" s="114" t="n">
        <x:f>0</x:f>
        <x:v>0</x:v>
      </x:c>
    </x:row>
    <x:row r="85">
      <x:c r="A85" s="58" t="n">
        <x:v>1925</x:v>
      </x:c>
      <x:c r="B85" s="59" t="n">
        <x:v>0.035</x:v>
      </x:c>
      <x:c r="C85" s="53" t="n">
        <x:f>Economy!O85*B85</x:f>
        <x:v>1434.0606316221995</x:v>
      </x:c>
      <x:c r="D85" s="53" t="n">
        <x:f>IF(AND($A85&gt;=1914,$A85&lt;=1918),entente_total*entente_private*CHOOSE($A85-1913,0.05,0.1333,0.2333,0.3,0.2834),0)</x:f>
        <x:v>0</x:v>
      </x:c>
      <x:c r="E85" s="53" t="n">
        <x:f>H84</x:f>
        <x:v>10708.142138181169</x:v>
      </x:c>
      <x:c r="F85" s="53" t="n">
        <x:f>E85*abroad_repat</x:f>
        <x:v>321.24426414543507</x:v>
      </x:c>
      <x:c r="G85" s="53" t="n">
        <x:f>IF($A85=1918,russia_writeoff*entente_total*entente_private,0)+IF(OR($A85=1931,$A85=1932),E85*abroad_loss/2,0)</x:f>
        <x:v>0</x:v>
      </x:c>
      <x:c r="H85" s="53" t="n">
        <x:f>E85+C85+D85-F85-G85</x:f>
        <x:v>11820.958505657934</x:v>
      </x:c>
      <x:c r="I85" s="69" t="n">
        <x:f>Champions!AY85</x:f>
        <x:v>8055.157567236682</x:v>
      </x:c>
      <x:c r="J85" s="53" t="n">
        <x:f>H85+I85</x:f>
        <x:v>19876.116072894616</x:v>
      </x:c>
      <x:c r="K85" s="53" t="n">
        <x:f>E85*abroad_return*IF(OR($A85=1931,$A85=1932),abroad_slump,1)</x:f>
        <x:v>642.4885282908701</x:v>
      </x:c>
      <x:c r="L85" s="69" t="n">
        <x:f>Champions!AZ85</x:f>
        <x:v>773.1924755238308</x:v>
      </x:c>
      <x:c r="M85" s="53" t="n">
        <x:f>K85+L85</x:f>
        <x:v>1415.681003814701</x:v>
      </x:c>
      <x:c r="N85" s="53" t="n">
        <x:f>M85*abroad_tax</x:f>
        <x:v>141.5681003814701</x:v>
      </x:c>
      <x:c r="O85" s="69" t="n">
        <x:f>Labour!R85</x:f>
        <x:v>368.812458743436</x:v>
      </x:c>
      <x:c r="P85" s="47" t="n">
        <x:f>Economy!O85+M85-O85</x:f>
        <x:v>42020.02944856267</x:v>
      </x:c>
      <x:c r="Q85" s="63" t="n">
        <x:f>M85/P85</x:f>
        <x:v>0.03369062379043919</x:v>
      </x:c>
      <x:c r="R85" s="63" t="n">
        <x:f>J85/Economy!O85</x:f>
        <x:v>0.4851008717562948</x:v>
      </x:c>
      <x:c r="S85" s="114" t="n">
        <x:f>0</x:f>
        <x:v>0</x:v>
      </x:c>
      <x:c r="T85" s="114" t="n">
        <x:f>C85-S85</x:f>
        <x:v>1434.0606316221995</x:v>
      </x:c>
      <x:c r="U85" s="114" t="n">
        <x:f>0</x:f>
        <x:v>0</x:v>
      </x:c>
    </x:row>
    <x:row r="86">
      <x:c r="A86" s="58" t="n">
        <x:v>1926</x:v>
      </x:c>
      <x:c r="B86" s="59" t="n">
        <x:v>0.035</x:v>
      </x:c>
      <x:c r="C86" s="53" t="n">
        <x:f>Economy!O86*B86</x:f>
        <x:v>1497.3265092178324</x:v>
      </x:c>
      <x:c r="D86" s="53" t="n">
        <x:f>IF(AND($A86&gt;=1914,$A86&lt;=1918),entente_total*entente_private*CHOOSE($A86-1913,0.05,0.1333,0.2333,0.3,0.2834),0)</x:f>
        <x:v>0</x:v>
      </x:c>
      <x:c r="E86" s="53" t="n">
        <x:f>H85</x:f>
        <x:v>11820.958505657934</x:v>
      </x:c>
      <x:c r="F86" s="53" t="n">
        <x:f>E86*abroad_repat</x:f>
        <x:v>354.62875516973804</x:v>
      </x:c>
      <x:c r="G86" s="53" t="n">
        <x:f>IF($A86=1918,russia_writeoff*entente_total*entente_private,0)+IF(OR($A86=1931,$A86=1932),E86*abroad_loss/2,0)</x:f>
        <x:v>0</x:v>
      </x:c>
      <x:c r="H86" s="53" t="n">
        <x:f>E86+C86+D86-F86-G86</x:f>
        <x:v>12963.656259706027</x:v>
      </x:c>
      <x:c r="I86" s="69" t="n">
        <x:f>Champions!AY86</x:f>
        <x:v>8768.17324028257</x:v>
      </x:c>
      <x:c r="J86" s="53" t="n">
        <x:f>H86+I86</x:f>
        <x:v>21731.8294999886</x:v>
      </x:c>
      <x:c r="K86" s="53" t="n">
        <x:f>E86*abroad_return*IF(OR($A86=1931,$A86=1932),abroad_slump,1)</x:f>
        <x:v>709.2575103394761</x:v>
      </x:c>
      <x:c r="L86" s="69" t="n">
        <x:f>Champions!AZ86</x:f>
        <x:v>837.6343493907812</x:v>
      </x:c>
      <x:c r="M86" s="53" t="n">
        <x:f>K86+L86</x:f>
        <x:v>1546.8918597302572</x:v>
      </x:c>
      <x:c r="N86" s="53" t="n">
        <x:f>M86*abroad_tax</x:f>
        <x:v>154.68918597302573</x:v>
      </x:c>
      <x:c r="O86" s="69" t="n">
        <x:f>Labour!R86</x:f>
        <x:v>391.9173877743029</x:v>
      </x:c>
      <x:c r="P86" s="47" t="n">
        <x:f>Economy!O86+M86-O86</x:f>
        <x:v>43935.73187817973</x:v>
      </x:c>
      <x:c r="Q86" s="63" t="n">
        <x:f>M86/P86</x:f>
        <x:v>0.035208059445084754</x:v>
      </x:c>
      <x:c r="R86" s="63" t="n">
        <x:f>J86/Economy!O86</x:f>
        <x:v>0.5079814107458284</x:v>
      </x:c>
      <x:c r="S86" s="114" t="n">
        <x:f>0</x:f>
        <x:v>0</x:v>
      </x:c>
      <x:c r="T86" s="114" t="n">
        <x:f>C86-S86</x:f>
        <x:v>1497.3265092178324</x:v>
      </x:c>
      <x:c r="U86" s="114" t="n">
        <x:f>0</x:f>
        <x:v>0</x:v>
      </x:c>
    </x:row>
    <x:row r="87">
      <x:c r="A87" s="58" t="n">
        <x:v>1927</x:v>
      </x:c>
      <x:c r="B87" s="59" t="n">
        <x:v>0.035</x:v>
      </x:c>
      <x:c r="C87" s="53" t="n">
        <x:f>Economy!O87*B87</x:f>
        <x:v>1553.5444978972557</x:v>
      </x:c>
      <x:c r="D87" s="53" t="n">
        <x:f>IF(AND($A87&gt;=1914,$A87&lt;=1918),entente_total*entente_private*CHOOSE($A87-1913,0.05,0.1333,0.2333,0.3,0.2834),0)</x:f>
        <x:v>0</x:v>
      </x:c>
      <x:c r="E87" s="53" t="n">
        <x:f>H86</x:f>
        <x:v>12963.656259706027</x:v>
      </x:c>
      <x:c r="F87" s="53" t="n">
        <x:f>(E87-0)*abroad_repat+'Japan rescue'!N89</x:f>
        <x:v>388.90968779118083</x:v>
      </x:c>
      <x:c r="G87" s="53" t="n">
        <x:f>IF($A87=1918,russia_writeoff*entente_total*entente_private,0)+IF(OR($A87=1931,$A87=1932),(E87-0)*abroad_loss/2,0)</x:f>
        <x:v>0</x:v>
      </x:c>
      <x:c r="H87" s="53" t="n">
        <x:f>E87+C87+D87-F87-G87</x:f>
        <x:v>14128.291069812101</x:v>
      </x:c>
      <x:c r="I87" s="69" t="n">
        <x:f>Champions!AY87</x:f>
        <x:v>9691.708179189693</x:v>
      </x:c>
      <x:c r="J87" s="53" t="n">
        <x:f>H87+I87</x:f>
        <x:v>23819.999249001794</x:v>
      </x:c>
      <x:c r="K87" s="53" t="n">
        <x:f>(E87-0)*abroad_return*IF(OR($A87=1931,$A87=1932),abroad_slump,1)+'Japan rescue'!L89</x:f>
        <x:v>788.4465039329621</x:v>
      </x:c>
      <x:c r="L87" s="69" t="n">
        <x:f>Champions!AZ87</x:f>
        <x:v>931.486979207563</x:v>
      </x:c>
      <x:c r="M87" s="53" t="n">
        <x:f>K87+L87</x:f>
        <x:v>1719.933483140525</x:v>
      </x:c>
      <x:c r="N87" s="53" t="n">
        <x:f>M87*abroad_tax</x:f>
        <x:v>171.9933483140525</x:v>
      </x:c>
      <x:c r="O87" s="69" t="n">
        <x:f>Labour!R87</x:f>
        <x:v>412.33061269369017</x:v>
      </x:c>
      <x:c r="P87" s="47" t="n">
        <x:f>Economy!O87+M87-O87</x:f>
        <x:v>45694.58852465414</x:v>
      </x:c>
      <x:c r="Q87" s="63" t="n">
        <x:f>M87/P87</x:f>
        <x:v>0.037639763015100774</x:v>
      </x:c>
      <x:c r="R87" s="63" t="n">
        <x:f>J87/Economy!O87</x:f>
        <x:v>0.5366437683912417</x:v>
      </x:c>
      <x:c r="S87" s="114" t="n">
        <x:f>'Japan rescue'!E89</x:f>
        <x:v>331.23516936936466</x:v>
      </x:c>
      <x:c r="T87" s="114" t="n">
        <x:f>C87-S87</x:f>
        <x:v>1222.309328527891</x:v>
      </x:c>
      <x:c r="U87" s="114" t="n">
        <x:f>'Japan rescue'!M89</x:f>
        <x:v>331.23516936936466</x:v>
      </x:c>
    </x:row>
    <x:row r="88">
      <x:c r="A88" s="58" t="n">
        <x:v>1928</x:v>
      </x:c>
      <x:c r="B88" s="59" t="n">
        <x:v>0.035</x:v>
      </x:c>
      <x:c r="C88" s="53" t="n">
        <x:f>Economy!O88*B88</x:f>
        <x:v>1667.2627573030213</x:v>
      </x:c>
      <x:c r="D88" s="53" t="n">
        <x:f>IF(AND($A88&gt;=1914,$A88&lt;=1918),entente_total*entente_private*CHOOSE($A88-1913,0.05,0.1333,0.2333,0.3,0.2834),0)</x:f>
        <x:v>0</x:v>
      </x:c>
      <x:c r="E88" s="53" t="n">
        <x:f>H87</x:f>
        <x:v>14128.291069812101</x:v>
      </x:c>
      <x:c r="F88" s="53" t="n">
        <x:f>(E88-'Japan rescue'!M89)*abroad_repat+'Japan rescue'!N90</x:f>
        <x:v>413.9116770132821</x:v>
      </x:c>
      <x:c r="G88" s="53" t="n">
        <x:f>IF($A88=1918,russia_writeoff*entente_total*entente_private,0)+IF(OR($A88=1931,$A88=1932),(E88-'Japan rescue'!M89)*abroad_loss/2,0)</x:f>
        <x:v>0</x:v>
      </x:c>
      <x:c r="H88" s="53" t="n">
        <x:f>E88+C88+D88-F88-G88</x:f>
        <x:v>15381.642150101841</x:v>
      </x:c>
      <x:c r="I88" s="69" t="n">
        <x:f>Champions!AY88</x:f>
        <x:v>10596.193323776306</x:v>
      </x:c>
      <x:c r="J88" s="53" t="n">
        <x:f>H88+I88</x:f>
        <x:v>25977.83547387815</x:v>
      </x:c>
      <x:c r="K88" s="53" t="n">
        <x:f>(E88-'Japan rescue'!M89)*abroad_return*IF(OR($A88=1931,$A88=1932),abroad_slump,1)+'Japan rescue'!L90</x:f>
        <x:v>846.0412883418792</x:v>
      </x:c>
      <x:c r="L88" s="69" t="n">
        <x:f>Champions!AZ88</x:f>
        <x:v>1022.685002662717</x:v>
      </x:c>
      <x:c r="M88" s="53" t="n">
        <x:f>K88+L88</x:f>
        <x:v>1868.726291004596</x:v>
      </x:c>
      <x:c r="N88" s="53" t="n">
        <x:f>M88*abroad_tax</x:f>
        <x:v>186.87262910045962</x:v>
      </x:c>
      <x:c r="O88" s="69" t="n">
        <x:f>Labour!R88</x:f>
        <x:v>449.97054130984935</x:v>
      </x:c>
      <x:c r="P88" s="47" t="n">
        <x:f>Economy!O88+M88-O88</x:f>
        <x:v>49054.83452978107</x:v>
      </x:c>
      <x:c r="Q88" s="63" t="n">
        <x:f>M88/P88</x:f>
        <x:v>0.03809464059796384</x:v>
      </x:c>
      <x:c r="R88" s="63" t="n">
        <x:f>J88/Economy!O88</x:f>
        <x:v>0.545339501889015</x:v>
      </x:c>
      <x:c r="S88" s="114" t="n">
        <x:f>'Japan rescue'!E90</x:f>
        <x:v>0</x:v>
      </x:c>
      <x:c r="T88" s="114" t="n">
        <x:f>C88-S88</x:f>
        <x:v>1667.2627573030213</x:v>
      </x:c>
      <x:c r="U88" s="114" t="n">
        <x:f>'Japan rescue'!M90</x:f>
        <x:v>331.23516936936466</x:v>
      </x:c>
    </x:row>
    <x:row r="89">
      <x:c r="A89" s="58" t="n">
        <x:v>1929</x:v>
      </x:c>
      <x:c r="B89" s="59" t="n">
        <x:v>0.035</x:v>
      </x:c>
      <x:c r="C89" s="53" t="n">
        <x:f>Economy!O89*B89</x:f>
        <x:v>1769.188433506912</x:v>
      </x:c>
      <x:c r="D89" s="53" t="n">
        <x:f>IF(AND($A89&gt;=1914,$A89&lt;=1918),entente_total*entente_private*CHOOSE($A89-1913,0.05,0.1333,0.2333,0.3,0.2834),0)</x:f>
        <x:v>0</x:v>
      </x:c>
      <x:c r="E89" s="53" t="n">
        <x:f>H88</x:f>
        <x:v>15381.642150101841</x:v>
      </x:c>
      <x:c r="F89" s="53" t="n">
        <x:f>(E89-'Japan rescue'!M90)*abroad_repat+'Japan rescue'!N91</x:f>
        <x:v>517.7592432958472</x:v>
      </x:c>
      <x:c r="G89" s="53" t="n">
        <x:f>IF($A89=1918,russia_writeoff*entente_total*entente_private,0)+IF(OR($A89=1931,$A89=1932),(E89-'Japan rescue'!M90)*abroad_loss/2,0)</x:f>
        <x:v>0</x:v>
      </x:c>
      <x:c r="H89" s="53" t="n">
        <x:f>E89+C89+D89-F89-G89</x:f>
        <x:v>16633.071340312905</x:v>
      </x:c>
      <x:c r="I89" s="69" t="n">
        <x:f>Champions!AY89</x:f>
        <x:v>11517.97348267195</x:v>
      </x:c>
      <x:c r="J89" s="53" t="n">
        <x:f>H89+I89</x:f>
        <x:v>28151.044822984855</x:v>
      </x:c>
      <x:c r="K89" s="53" t="n">
        <x:f>(E89-'Japan rescue'!M90)*abroad_return*IF(OR($A89=1931,$A89=1932),abroad_slump,1)+'Japan rescue'!L91</x:f>
        <x:v>921.2423531592635</x:v>
      </x:c>
      <x:c r="L89" s="69" t="n">
        <x:f>Champions!AZ89</x:f>
        <x:v>1115.3874089619098</x:v>
      </x:c>
      <x:c r="M89" s="53" t="n">
        <x:f>K89+L89</x:f>
        <x:v>2036.6297621211734</x:v>
      </x:c>
      <x:c r="N89" s="53" t="n">
        <x:f>M89*abroad_tax</x:f>
        <x:v>203.66297621211734</x:v>
      </x:c>
      <x:c r="O89" s="69" t="n">
        <x:f>Labour!R89</x:f>
        <x:v>482.4290740289572</x:v>
      </x:c>
      <x:c r="P89" s="47" t="n">
        <x:f>Economy!O89+M89-O89</x:f>
        <x:v>52102.44164543255</x:v>
      </x:c>
      <x:c r="Q89" s="63" t="n">
        <x:f>M89/P89</x:f>
        <x:v>0.039088950494505476</x:v>
      </x:c>
      <x:c r="R89" s="63" t="n">
        <x:f>J89/Economy!O89</x:f>
        <x:v>0.5569144304495707</x:v>
      </x:c>
      <x:c r="S89" s="114" t="n">
        <x:f>'Japan rescue'!E91</x:f>
        <x:v>0</x:v>
      </x:c>
      <x:c r="T89" s="114" t="n">
        <x:f>C89-S89</x:f>
        <x:v>1769.188433506912</x:v>
      </x:c>
      <x:c r="U89" s="114" t="n">
        <x:f>'Japan rescue'!M91</x:f>
        <x:v>264.98813549549175</x:v>
      </x:c>
    </x:row>
    <x:row r="90">
      <x:c r="A90" s="58" t="n">
        <x:v>1930</x:v>
      </x:c>
      <x:c r="B90" s="59" t="n">
        <x:v>0.005</x:v>
      </x:c>
      <x:c r="C90" s="53" t="n">
        <x:f>Economy!O90*B90</x:f>
        <x:v>236.97148650636038</x:v>
      </x:c>
      <x:c r="D90" s="53" t="n">
        <x:f>IF(AND($A90&gt;=1914,$A90&lt;=1918),entente_total*entente_private*CHOOSE($A90-1913,0.05,0.1333,0.2333,0.3,0.2834),0)</x:f>
        <x:v>0</x:v>
      </x:c>
      <x:c r="E90" s="53" t="n">
        <x:f>H89</x:f>
        <x:v>16633.071340312905</x:v>
      </x:c>
      <x:c r="F90" s="53" t="n">
        <x:f>(E90-'Japan rescue'!M91)*abroad_repat+'Japan rescue'!N92</x:f>
        <x:v>557.2895300183953</x:v>
      </x:c>
      <x:c r="G90" s="53" t="n">
        <x:f>IF($A90=1918,russia_writeoff*entente_total*entente_private,0)+IF(OR($A90=1931,$A90=1932),(E90-'Japan rescue'!M91)*abroad_loss/2,0)</x:f>
        <x:v>0</x:v>
      </x:c>
      <x:c r="H90" s="53" t="n">
        <x:f>E90+C90+D90-F90-G90</x:f>
        <x:v>16312.75329680087</x:v>
      </x:c>
      <x:c r="I90" s="69" t="n">
        <x:f>Champions!AY90</x:f>
        <x:v>10902.393190198101</x:v>
      </x:c>
      <x:c r="J90" s="53" t="n">
        <x:f>H90+I90</x:f>
        <x:v>27215.146486998972</x:v>
      </x:c>
      <x:c r="K90" s="53" t="n">
        <x:f>(E90-'Japan rescue'!M91)*abroad_return*IF(OR($A90=1931,$A90=1932),abroad_slump,1)+'Japan rescue'!L92</x:f>
        <x:v>996.6593397412968</x:v>
      </x:c>
      <x:c r="L90" s="69" t="n">
        <x:f>Champions!AZ90</x:f>
        <x:v>1026.088687310092</x:v>
      </x:c>
      <x:c r="M90" s="53" t="n">
        <x:f>K90+L90</x:f>
        <x:v>2022.7480270513888</x:v>
      </x:c>
      <x:c r="N90" s="53" t="n">
        <x:f>M90*abroad_tax</x:f>
        <x:v>202.27480270513888</x:v>
      </x:c>
      <x:c r="O90" s="69" t="n">
        <x:f>Labour!R90</x:f>
        <x:v>419.6359236322676</x:v>
      </x:c>
      <x:c r="P90" s="47" t="n">
        <x:f>Economy!O90+M90-O90</x:f>
        <x:v>48997.4094046912</x:v>
      </x:c>
      <x:c r="Q90" s="63" t="n">
        <x:f>M90/P90</x:f>
        <x:v>0.04128275457064722</x:v>
      </x:c>
      <x:c r="R90" s="63" t="n">
        <x:f>J90/Economy!O90</x:f>
        <x:v>0.5742282940498099</x:v>
      </x:c>
      <x:c r="S90" s="114" t="n">
        <x:f>'Japan rescue'!E92</x:f>
        <x:v>0</x:v>
      </x:c>
      <x:c r="T90" s="114" t="n">
        <x:f>C90-S90</x:f>
        <x:v>236.97148650636038</x:v>
      </x:c>
      <x:c r="U90" s="114" t="n">
        <x:f>'Japan rescue'!M92</x:f>
        <x:v>198.74110162161878</x:v>
      </x:c>
    </x:row>
    <x:row r="91">
      <x:c r="A91" s="58" t="n">
        <x:v>1931</x:v>
      </x:c>
      <x:c r="B91" s="59" t="n">
        <x:v>0.005</x:v>
      </x:c>
      <x:c r="C91" s="53" t="n">
        <x:f>Economy!O91*B91</x:f>
        <x:v>213.76220148176316</x:v>
      </x:c>
      <x:c r="D91" s="53" t="n">
        <x:f>IF(AND($A91&gt;=1914,$A91&lt;=1918),entente_total*entente_private*CHOOSE($A91-1913,0.05,0.1333,0.2333,0.3,0.2834),0)</x:f>
        <x:v>0</x:v>
      </x:c>
      <x:c r="E91" s="53" t="n">
        <x:f>H90</x:f>
        <x:v>16312.75329680087</x:v>
      </x:c>
      <x:c r="F91" s="53" t="n">
        <x:f>(E91-'Japan rescue'!M92)*abroad_repat+'Japan rescue'!N93</x:f>
        <x:v>549.6673997292505</x:v>
      </x:c>
      <x:c r="G91" s="53" t="n">
        <x:f>IF($A91=1918,russia_writeoff*entente_total*entente_private,0)+IF(OR($A91=1931,$A91=1932),(E91-'Japan rescue'!M92)*abroad_loss/2,0)</x:f>
        <x:v>644.56048780717</x:v>
      </x:c>
      <x:c r="H91" s="53" t="n">
        <x:f>E91+C91+D91-F91-G91</x:f>
        <x:v>15332.287610746214</x:v>
      </x:c>
      <x:c r="I91" s="69" t="n">
        <x:f>Champions!AY91</x:f>
        <x:v>10300.172606352577</x:v>
      </x:c>
      <x:c r="J91" s="53" t="n">
        <x:f>H91+I91</x:f>
        <x:v>25632.460217098793</x:v>
      </x:c>
      <x:c r="K91" s="53" t="n">
        <x:f>(E91-'Japan rescue'!M92)*abroad_return*IF(OR($A91=1931,$A91=1932),abroad_slump,1)+'Japan rescue'!L93</x:f>
        <x:v>687.7192727867176</x:v>
      </x:c>
      <x:c r="L91" s="69" t="n">
        <x:f>Champions!AZ91</x:f>
        <x:v>773.6455919268797</x:v>
      </x:c>
      <x:c r="M91" s="53" t="n">
        <x:f>K91+L91</x:f>
        <x:v>1461.3648647135974</x:v>
      </x:c>
      <x:c r="N91" s="53" t="n">
        <x:f>M91*abroad_tax</x:f>
        <x:v>146.13648647135975</x:v>
      </x:c>
      <x:c r="O91" s="69" t="n">
        <x:f>Labour!R91</x:f>
        <x:v>329.40111721710707</x:v>
      </x:c>
      <x:c r="P91" s="47" t="n">
        <x:f>Economy!O91+M91-O91</x:f>
        <x:v>43884.40404384912</x:v>
      </x:c>
      <x:c r="Q91" s="63" t="n">
        <x:f>M91/P91</x:f>
        <x:v>0.0333003238064577</x:v>
      </x:c>
      <x:c r="R91" s="63" t="n">
        <x:f>J91/Economy!O91</x:f>
        <x:v>0.599555488281346</x:v>
      </x:c>
      <x:c r="S91" s="114" t="n">
        <x:f>'Japan rescue'!E93</x:f>
        <x:v>0</x:v>
      </x:c>
      <x:c r="T91" s="114" t="n">
        <x:f>C91-S91</x:f>
        <x:v>213.76220148176316</x:v>
      </x:c>
      <x:c r="U91" s="114" t="n">
        <x:f>'Japan rescue'!M93</x:f>
        <x:v>132.49406774774587</x:v>
      </x:c>
    </x:row>
    <x:row r="92">
      <x:c r="A92" s="58" t="n">
        <x:v>1932</x:v>
      </x:c>
      <x:c r="B92" s="59" t="n">
        <x:v>0.005</x:v>
      </x:c>
      <x:c r="C92" s="53" t="n">
        <x:f>Economy!O92*B92</x:f>
        <x:v>196.5278126711412</x:v>
      </x:c>
      <x:c r="D92" s="53" t="n">
        <x:f>IF(AND($A92&gt;=1914,$A92&lt;=1918),entente_total*entente_private*CHOOSE($A92-1913,0.05,0.1333,0.2333,0.3,0.2834),0)</x:f>
        <x:v>0</x:v>
      </x:c>
      <x:c r="E92" s="53" t="n">
        <x:f>H91</x:f>
        <x:v>15332.287610746214</x:v>
      </x:c>
      <x:c r="F92" s="53" t="n">
        <x:f>(E92-'Japan rescue'!M93)*abroad_repat+'Japan rescue'!N94</x:f>
        <x:v>522.240840163827</x:v>
      </x:c>
      <x:c r="G92" s="53" t="n">
        <x:f>IF($A92=1918,russia_writeoff*entente_total*entente_private,0)+IF(OR($A92=1931,$A92=1932),(E92-'Japan rescue'!M93)*abroad_loss/2,0)</x:f>
        <x:v>607.9917417199388</x:v>
      </x:c>
      <x:c r="H92" s="53" t="n">
        <x:f>E92+C92+D92-F92-G92</x:f>
        <x:v>14398.582841533589</x:v>
      </x:c>
      <x:c r="I92" s="69" t="n">
        <x:f>Champions!AY92</x:f>
        <x:v>9667.041404844224</x:v>
      </x:c>
      <x:c r="J92" s="53" t="n">
        <x:f>H92+I92</x:f>
        <x:v>24065.62424637781</x:v>
      </x:c>
      <x:c r="K92" s="53" t="n">
        <x:f>(E92-'Japan rescue'!M93)*abroad_return*IF(OR($A92=1931,$A92=1932),abroad_slump,1)+'Japan rescue'!L94</x:f>
        <x:v>645.6785025320617</x:v>
      </x:c>
      <x:c r="L92" s="69" t="n">
        <x:f>Champions!AZ92</x:f>
        <x:v>685.6211048687919</x:v>
      </x:c>
      <x:c r="M92" s="53" t="n">
        <x:f>K92+L92</x:f>
        <x:v>1331.2996074008536</x:v>
      </x:c>
      <x:c r="N92" s="53" t="n">
        <x:f>M92*abroad_tax</x:f>
        <x:v>133.12996074008535</x:v>
      </x:c>
      <x:c r="O92" s="69" t="n">
        <x:f>Labour!R92</x:f>
        <x:v>263.3510132299662</x:v>
      </x:c>
      <x:c r="P92" s="47" t="n">
        <x:f>Economy!O92+M92-O92</x:f>
        <x:v>40373.51112839913</x:v>
      </x:c>
      <x:c r="Q92" s="63" t="n">
        <x:f>M92/P92</x:f>
        <x:v>0.032974580862361616</x:v>
      </x:c>
      <x:c r="R92" s="63" t="n">
        <x:f>J92/Economy!O92</x:f>
        <x:v>0.6122701901396497</x:v>
      </x:c>
      <x:c r="S92" s="114" t="n">
        <x:f>'Japan rescue'!E94</x:f>
        <x:v>0</x:v>
      </x:c>
      <x:c r="T92" s="114" t="n">
        <x:f>C92-S92</x:f>
        <x:v>196.5278126711412</x:v>
      </x:c>
      <x:c r="U92" s="114" t="n">
        <x:f>'Japan rescue'!M94</x:f>
        <x:v>66.24703387387294</x:v>
      </x:c>
    </x:row>
  </x:sheetData>
  <x:mergeCells>
    <x:mergeCell ref="E4:J4"/>
    <x:mergeCell ref="K4:R4"/>
    <x:mergeCell ref="B4:D4"/>
  </x:mergeCells>
  <x:pageMargins left="0.7" right="0.7" top="0.75" bottom="0.75" header="0.3" footer="0.3"/>
  <x:legacyDrawing xmlns:r="http://schemas.openxmlformats.org/officeDocument/2006/relationships" r:id="R54d29eb409294fa5"/>
</x:worksheet>
</file>

<file path=xl/worksheets/sheet14.xml><?xml version="1.0" encoding="utf-8"?>
<x:worksheet xmlns:x="http://schemas.openxmlformats.org/spreadsheetml/2006/main">
  <x:sheetPr>
    <x:tabColor rgb="FF548235"/>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2.5" customWidth="1"/>
    <x:col min="20" max="20" width="12.5" customWidth="1"/>
    <x:col min="21" max="21" width="12.5" customWidth="1"/>
    <x:col min="22" max="22" width="12.5" customWidth="1"/>
    <x:col min="23" max="23" width="12.5" customWidth="1"/>
    <x:col min="24" max="24" width="12.5" customWidth="1"/>
    <x:col min="25" max="25" width="12.5" customWidth="1"/>
    <x:col min="26" max="26" width="12.5" customWidth="1"/>
    <x:col min="27" max="27" width="12.5" customWidth="1"/>
    <x:col min="28" max="28" width="12.5" customWidth="1"/>
    <x:col min="29" max="29" width="12.5" customWidth="1"/>
    <x:col min="30" max="30" width="12.5" customWidth="1"/>
    <x:col min="31" max="31" width="12.5" customWidth="1"/>
    <x:col min="32" max="32" width="12.5" customWidth="1"/>
    <x:col min="33" max="33" width="12.5" customWidth="1"/>
    <x:col min="34" max="34" width="12.5" customWidth="1"/>
    <x:col min="35" max="35" width="12.5" customWidth="1"/>
    <x:col min="36" max="36" width="12.5" customWidth="1"/>
    <x:col min="37" max="37" width="12.5" customWidth="1"/>
    <x:col min="38" max="38" width="12.5" customWidth="1"/>
    <x:col min="39" max="39" width="12.5" customWidth="1"/>
    <x:col min="40" max="40" width="12.5" customWidth="1"/>
    <x:col min="41" max="41" width="12.5" customWidth="1"/>
    <x:col min="42" max="42" width="12.5" customWidth="1"/>
    <x:col min="43" max="43" width="12.5" customWidth="1"/>
    <x:col min="44" max="44" width="12.5" customWidth="1"/>
    <x:col min="45" max="45" width="12.5" customWidth="1"/>
    <x:col min="46" max="46" width="12.5" customWidth="1"/>
    <x:col min="47" max="47" width="12.5" customWidth="1"/>
    <x:col min="48" max="48" width="12.5" customWidth="1"/>
    <x:col min="49" max="49" width="12.5" customWidth="1"/>
    <x:col min="50" max="50" width="12.5" customWidth="1"/>
    <x:col min="51" max="51" width="12.5" customWidth="1"/>
    <x:col min="52" max="52" width="12.5" customWidth="1"/>
    <x:col min="53" max="53" width="12.5" customWidth="1"/>
    <x:col min="54" max="54" width="12.5" customWidth="1"/>
    <x:col min="55" max="55" width="12.5" customWidth="1"/>
    <x:col min="56" max="56" width="12.5" customWidth="1"/>
    <x:col min="57" max="57" width="12.5" customWidth="1"/>
  </x:cols>
  <x:sheetData>
    <x:row r="1">
      <x:c r="A1" s="18" t="inlineStr">
        <x:is>
          <x:t xml:space="preserve">National champions</x:t>
        </x:is>
      </x:c>
    </x:row>
    <x:row r="2">
      <x:c r="A2" s="2" t="inlineStr">
        <x:is>
          <x:t xml:space="preserve">The Polytechnic's talent and the industries it seeds: oil, steel, motor vehicles, chemicals, electrical, telecom, shipping and finance, film and aircraft, at home and abroad (CR-020 B9).</x:t>
        </x:is>
      </x:c>
    </x:row>
    <x:row r="3">
      <x:c r="A3" s="19" t="inlineStr">
        <x:is>
          <x:t xml:space="preserve">Years run down the page. Blue = input you can change · black = formula · green = link to another sheet. Hover a column heading for its definition.</x:t>
        </x:is>
      </x:c>
    </x:row>
    <x:row r="4">
      <x:c r="B4" s="56" t="inlineStr">
        <x:is>
          <x:t xml:space="preserve">Talent</x:t>
        </x:is>
      </x:c>
      <x:c r="J4" s="56" t="inlineStr">
        <x:is>
          <x:t xml:space="preserve">Oil trust</x:t>
        </x:is>
      </x:c>
      <x:c r="R4" s="56" t="inlineStr">
        <x:is>
          <x:t xml:space="preserve">Steel</x:t>
        </x:is>
      </x:c>
      <x:c r="U4" s="56" t="inlineStr">
        <x:is>
          <x:t xml:space="preserve">Motor vehicles</x:t>
        </x:is>
      </x:c>
      <x:c r="X4" s="56" t="inlineStr">
        <x:is>
          <x:t xml:space="preserve">Chemicals &amp; drugs</x:t>
        </x:is>
      </x:c>
      <x:c r="AC4" s="56" t="inlineStr">
        <x:is>
          <x:t xml:space="preserve">Electrical (AC standard)</x:t>
        </x:is>
      </x:c>
      <x:c r="AH4" s="56" t="inlineStr">
        <x:is>
          <x:t xml:space="preserve">Telecom &amp; services</x:t>
        </x:is>
      </x:c>
      <x:c r="AP4" s="56" t="inlineStr">
        <x:is>
          <x:t xml:space="preserve">At home</x:t>
        </x:is>
      </x:c>
      <x:c r="AS4" s="56" t="inlineStr">
        <x:is>
          <x:t xml:space="preserve">Assets abroad</x:t>
        </x:is>
      </x:c>
      <x:c r="AZ4" s="56" t="inlineStr">
        <x:is>
          <x:t xml:space="preserve">Earnings abroad</x:t>
        </x:is>
      </x:c>
      <x:c r="BA4" s="56" t="inlineStr">
        <x:is>
          <x:t xml:space="preserve">Crown share</x:t>
        </x:is>
      </x:c>
    </x:row>
    <x:row r="5" ht="54" customHeight="1">
      <x:c r="A5" s="57" t="inlineStr">
        <x:is>
          <x:t xml:space="preserve">Year</x:t>
        </x:is>
      </x:c>
      <x:c r="B5" s="6" t="inlineStr">
        <x:is>
          <x:t xml:space="preserve">Effective scale of the champions</x:t>
        </x:is>
      </x:c>
      <x:c r="C5" s="6" t="inlineStr">
        <x:is>
          <x:t xml:space="preserve">Polytechnic engineers and scientists graduating</x:t>
        </x:is>
      </x:c>
      <x:c r="D5" s="6" t="inlineStr">
        <x:is>
          <x:t xml:space="preserve">Foreign scientists and engineers recruited</x:t>
        </x:is>
      </x:c>
      <x:c r="E5" s="6" t="inlineStr">
        <x:is>
          <x:t xml:space="preserve">Patents granted to Pacificans, story path</x:t>
        </x:is>
      </x:c>
      <x:c r="F5" s="6" t="inlineStr">
        <x:is>
          <x:t xml:space="preserve">Patents granted to Pacificans</x:t>
        </x:is>
      </x:c>
      <x:c r="G5" s="6" t="inlineStr">
        <x:is>
          <x:t xml:space="preserve">Patents per million residents</x:t>
        </x:is>
      </x:c>
      <x:c r="H5" s="6" t="inlineStr">
        <x:is>
          <x:t xml:space="preserve">US patents per million, historical</x:t>
        </x:is>
      </x:c>
      <x:c r="I5" s="6" t="inlineStr">
        <x:is>
          <x:t xml:space="preserve">Patents per resident vs the US</x:t>
        </x:is>
      </x:c>
      <x:c r="J5" s="6" t="inlineStr">
        <x:is>
          <x:t xml:space="preserve">Home refining and bunkering margin ($/bbl)</x:t>
        </x:is>
      </x:c>
      <x:c r="K5" s="6" t="inlineStr">
        <x:is>
          <x:t xml:space="preserve">Oil: refining, bunkering, tankers at home ($m)</x:t>
        </x:is>
      </x:c>
      <x:c r="L5" s="6" t="inlineStr">
        <x:is>
          <x:t xml:space="preserve">Gulf crude output (m bbl)</x:t>
        </x:is>
      </x:c>
      <x:c r="M5" s="6" t="inlineStr">
        <x:is>
          <x:t xml:space="preserve">Share refined and sold by Pacifican firms</x:t>
        </x:is>
      </x:c>
      <x:c r="N5" s="6" t="inlineStr">
        <x:is>
          <x:t xml:space="preserve">Lamp oil, fuel and bunkers sold in Asia (m bbl)</x:t>
        </x:is>
      </x:c>
      <x:c r="O5" s="6" t="inlineStr">
        <x:is>
          <x:t xml:space="preserve">Trust margin abroad ($/bbl)</x:t>
        </x:is>
      </x:c>
      <x:c r="P5" s="6" t="inlineStr">
        <x:is>
          <x:t xml:space="preserve">Oil: earnings abroad ($m)</x:t>
        </x:is>
      </x:c>
      <x:c r="Q5" s="6" t="inlineStr">
        <x:is>
          <x:t xml:space="preserve">Oil: assets abroad ($m)</x:t>
        </x:is>
      </x:c>
      <x:c r="R5" s="6" t="inlineStr">
        <x:is>
          <x:t xml:space="preserve">Steel output (m tonnes)</x:t>
        </x:is>
      </x:c>
      <x:c r="S5" s="6" t="inlineStr">
        <x:is>
          <x:t xml:space="preserve">Value added per tonne ($)</x:t>
        </x:is>
      </x:c>
      <x:c r="T5" s="6" t="inlineStr">
        <x:is>
          <x:t xml:space="preserve">Steel ($m)</x:t>
        </x:is>
      </x:c>
      <x:c r="U5" s="6" t="inlineStr">
        <x:is>
          <x:t xml:space="preserve">Motor vehicles built (thousands)</x:t>
        </x:is>
      </x:c>
      <x:c r="V5" s="6" t="inlineStr">
        <x:is>
          <x:t xml:space="preserve">Value added per vehicle ($)</x:t>
        </x:is>
      </x:c>
      <x:c r="W5" s="6" t="inlineStr">
        <x:is>
          <x:t xml:space="preserve">Motor vehicles ($m)</x:t>
        </x:is>
      </x:c>
      <x:c r="X5" s="6" t="inlineStr">
        <x:is>
          <x:t xml:space="preserve">World chemical and drug sales ($m)</x:t>
        </x:is>
      </x:c>
      <x:c r="Y5" s="6" t="inlineStr">
        <x:is>
          <x:t xml:space="preserve">Pacifica's share of world output</x:t>
        </x:is>
      </x:c>
      <x:c r="Z5" s="6" t="inlineStr">
        <x:is>
          <x:t xml:space="preserve">Chemicals and drugs ($m)</x:t>
        </x:is>
      </x:c>
      <x:c r="AA5" s="6" t="inlineStr">
        <x:is>
          <x:t xml:space="preserve">World output made under Pacifican licence</x:t>
        </x:is>
      </x:c>
      <x:c r="AB5" s="6" t="inlineStr">
        <x:is>
          <x:t xml:space="preserve">Chemical patent royalties from abroad ($m)</x:t>
        </x:is>
      </x:c>
      <x:c r="AC5" s="6" t="inlineStr">
        <x:is>
          <x:t xml:space="preserve">World electrical equipment sales ($m)</x:t>
        </x:is>
      </x:c>
      <x:c r="AD5" s="6" t="inlineStr">
        <x:is>
          <x:t xml:space="preserve">Pacifica's production share</x:t>
        </x:is>
      </x:c>
      <x:c r="AE5" s="6" t="inlineStr">
        <x:is>
          <x:t xml:space="preserve">World sales on the Pacifican standard</x:t>
        </x:is>
      </x:c>
      <x:c r="AF5" s="6" t="inlineStr">
        <x:is>
          <x:t xml:space="preserve">Electrical equipment ($m)</x:t>
        </x:is>
      </x:c>
      <x:c r="AG5" s="6" t="inlineStr">
        <x:is>
          <x:t xml:space="preserve">Licence fees on the standard ($m)</x:t>
        </x:is>
      </x:c>
      <x:c r="AH5" s="6" t="inlineStr">
        <x:is>
          <x:t xml:space="preserve">Telegraph, cable, telephone, radio ($m)</x:t>
        </x:is>
      </x:c>
      <x:c r="AI5" s="6" t="inlineStr">
        <x:is>
          <x:t xml:space="preserve">Telecom value added, scaled ($m)</x:t>
        </x:is>
      </x:c>
      <x:c r="AJ5" s="6" t="inlineStr">
        <x:is>
          <x:t xml:space="preserve">Shipping and insurance ($m)</x:t>
        </x:is>
      </x:c>
      <x:c r="AK5" s="6" t="inlineStr">
        <x:is>
          <x:t xml:space="preserve">Shipping value added, scaled ($m)</x:t>
        </x:is>
      </x:c>
      <x:c r="AL5" s="6" t="inlineStr">
        <x:is>
          <x:t xml:space="preserve">Foreign bonds floated in San Francisco ($m)</x:t>
        </x:is>
      </x:c>
      <x:c r="AM5" s="6" t="inlineStr">
        <x:is>
          <x:t xml:space="preserve">Underwriting and banking fees ($m)</x:t>
        </x:is>
      </x:c>
      <x:c r="AN5" s="6" t="inlineStr">
        <x:is>
          <x:t xml:space="preserve">Film and sound ($m)</x:t>
        </x:is>
      </x:c>
      <x:c r="AO5" s="6" t="inlineStr">
        <x:is>
          <x:t xml:space="preserve">Aluminium and aircraft ($m)</x:t>
        </x:is>
      </x:c>
      <x:c r="AP5" s="6" t="inlineStr">
        <x:is>
          <x:t xml:space="preserve">Champions' value added at home ($m)</x:t>
        </x:is>
      </x:c>
      <x:c r="AQ5" s="6" t="inlineStr">
        <x:is>
          <x:t xml:space="preserve">Added to GDP ($m)</x:t>
        </x:is>
      </x:c>
      <x:c r="AR5" s="6" t="inlineStr">
        <x:is>
          <x:t xml:space="preserve">Champions at home / GDP</x:t>
        </x:is>
      </x:c>
      <x:c r="AS5" s="6" t="inlineStr">
        <x:is>
          <x:t xml:space="preserve">Rail, ports and canal concessions abroad ($m)</x:t>
        </x:is>
      </x:c>
      <x:c r="AT5" s="6" t="inlineStr">
        <x:is>
          <x:t xml:space="preserve">Cables and telegraphs abroad ($m)</x:t>
        </x:is>
      </x:c>
      <x:c r="AU5" s="6" t="inlineStr">
        <x:is>
          <x:t xml:space="preserve">Power companies and tramways abroad ($m)</x:t>
        </x:is>
      </x:c>
      <x:c r="AV5" s="6" t="inlineStr">
        <x:is>
          <x:t xml:space="preserve">Assembly plants abroad ($m)</x:t>
        </x:is>
      </x:c>
      <x:c r="AW5" s="6" t="inlineStr">
        <x:is>
          <x:t xml:space="preserve">Chemical and drug plants abroad ($m)</x:t>
        </x:is>
      </x:c>
      <x:c r="AX5" s="6" t="inlineStr">
        <x:is>
          <x:t xml:space="preserve">Ore mines and mills abroad ($m)</x:t>
        </x:is>
      </x:c>
      <x:c r="AY5" s="6" t="inlineStr">
        <x:is>
          <x:t xml:space="preserve">Champions' assets abroad ($m)</x:t>
        </x:is>
      </x:c>
      <x:c r="AZ5" s="6" t="inlineStr">
        <x:is>
          <x:t xml:space="preserve">Earnings abroad ($m)</x:t>
        </x:is>
      </x:c>
      <x:c r="BA5" s="6" t="inlineStr">
        <x:is>
          <x:t xml:space="preserve">Champions' profits ($m)</x:t>
        </x:is>
      </x:c>
      <x:c r="BB5" s="6" t="inlineStr">
        <x:is>
          <x:t xml:space="preserve">Profits of the chartered industries ($m)</x:t>
        </x:is>
      </x:c>
      <x:c r="BC5" s="6" t="inlineStr">
        <x:is>
          <x:t xml:space="preserve">Profits of the competitive industries ($m)</x:t>
        </x:is>
      </x:c>
      <x:c r="BD5" s="6" t="inlineStr">
        <x:is>
          <x:t xml:space="preserve">Dividends on the Crown share ($m)</x:t>
        </x:is>
      </x:c>
      <x:c r="BE5" s="6" t="inlineStr">
        <x:is>
          <x:t xml:space="preserve">Crown share, average across the champions</x:t>
        </x:is>
      </x:c>
    </x:row>
    <x:row r="6">
      <x:c r="A6" s="58" t="n">
        <x:v>1846</x:v>
      </x:c>
      <x:c r="B6" s="65" t="n">
        <x:f>champ_scale*(1+Labour!AP6)*(1+Partners!BX6)*(1-IF(union_resp=2,tariff_cut*Labour!S6,0))</x:f>
        <x:v>1</x:v>
      </x:c>
      <x:c r="C6" s="45" t="n">
        <x:v>0</x:v>
      </x:c>
      <x:c r="D6" s="45" t="n">
        <x:v>0</x:v>
      </x:c>
      <x:c r="E6" s="45" t="n">
        <x:v>0</x:v>
      </x:c>
      <x:c r="F6" s="47" t="n">
        <x:f>E6*B6</x:f>
        <x:v>0</x:v>
      </x:c>
      <x:c r="G6" s="47" t="n">
        <x:f>F6/Economy!B6*1000000</x:f>
        <x:v>0</x:v>
      </x:c>
      <x:c r="H6" s="45" t="n">
        <x:v>0</x:v>
      </x:c>
      <x:c r="I6" s="67" t="n">
        <x:f>IF(H6&gt;0,G6/H6,0)</x:f>
        <x:v>0</x:v>
      </x:c>
      <x:c r="J6" s="68" t="n">
        <x:v>0</x:v>
      </x:c>
      <x:c r="K6" s="53" t="n">
        <x:f>Resources!K6*J6*B6</x:f>
        <x:v>0</x:v>
      </x:c>
      <x:c r="L6" s="45" t="n">
        <x:v>0</x:v>
      </x:c>
      <x:c r="M6" s="59" t="n">
        <x:v>0</x:v>
      </x:c>
      <x:c r="N6" s="45" t="n">
        <x:v>0</x:v>
      </x:c>
      <x:c r="O6" s="68" t="n">
        <x:v>0</x:v>
      </x:c>
      <x:c r="P6" s="53" t="n">
        <x:f>(IF(Gulf!E6=1,0,L6*M6)+N6)*O6*B6</x:f>
        <x:v>0</x:v>
      </x:c>
      <x:c r="Q6" s="53" t="n">
        <x:f>P6*oil_book</x:f>
        <x:v>0</x:v>
      </x:c>
      <x:c r="R6" s="68" t="n">
        <x:v>0</x:v>
      </x:c>
      <x:c r="S6" s="45" t="n">
        <x:v>0</x:v>
      </x:c>
      <x:c r="T6" s="53" t="n">
        <x:f>R6*S6*B6</x:f>
        <x:v>0</x:v>
      </x:c>
      <x:c r="U6" s="45" t="n">
        <x:v>0</x:v>
      </x:c>
      <x:c r="V6" s="45" t="n">
        <x:v>0</x:v>
      </x:c>
      <x:c r="W6" s="53" t="n">
        <x:f>U6/1000*V6*B6</x:f>
        <x:v>0</x:v>
      </x:c>
      <x:c r="X6" s="45" t="n">
        <x:v>0</x:v>
      </x:c>
      <x:c r="Y6" s="59" t="n">
        <x:v>0</x:v>
      </x:c>
      <x:c r="Z6" s="53" t="n">
        <x:f>X6*Y6*chem_va*B6</x:f>
        <x:v>0</x:v>
      </x:c>
      <x:c r="AA6" s="59" t="n">
        <x:v>0</x:v>
      </x:c>
      <x:c r="AB6" s="53" t="n">
        <x:f>X6*AA6*roy_rate*B6*(1-IF(union_resp=2,lic_cut*Labour!S6,0))</x:f>
        <x:v>0</x:v>
      </x:c>
      <x:c r="AC6" s="45" t="n">
        <x:v>0</x:v>
      </x:c>
      <x:c r="AD6" s="59" t="n">
        <x:v>0</x:v>
      </x:c>
      <x:c r="AE6" s="59" t="n">
        <x:v>0</x:v>
      </x:c>
      <x:c r="AF6" s="53" t="n">
        <x:f>AC6*AD6*elec_va*B6</x:f>
        <x:v>0</x:v>
      </x:c>
      <x:c r="AG6" s="53" t="n">
        <x:f>MAX(0,AE6-AD6)*AC6*roy_rate*B6*(1-IF(union_resp=2,lic_cut*Labour!S6,0))</x:f>
        <x:v>0</x:v>
      </x:c>
      <x:c r="AH6" s="52" t="n">
        <x:v>0</x:v>
      </x:c>
      <x:c r="AI6" s="53" t="n">
        <x:f>AH6*B6</x:f>
        <x:v>0</x:v>
      </x:c>
      <x:c r="AJ6" s="52" t="n">
        <x:v>0</x:v>
      </x:c>
      <x:c r="AK6" s="53" t="n">
        <x:f>AJ6*B6</x:f>
        <x:v>0</x:v>
      </x:c>
      <x:c r="AL6" s="45" t="n">
        <x:v>0</x:v>
      </x:c>
      <x:c r="AM6" s="53" t="n">
        <x:f>AL6*uw_fee*B6</x:f>
        <x:v>0</x:v>
      </x:c>
      <x:c r="AN6" s="52" t="n">
        <x:v>0</x:v>
      </x:c>
      <x:c r="AO6" s="52" t="n">
        <x:v>0</x:v>
      </x:c>
      <x:c r="AP6" s="53" t="n">
        <x:f>K6+T6+W6+Z6+AF6+AI6+AK6+AM6+AN6+AO6</x:f>
        <x:v>0</x:v>
      </x:c>
      <x:c r="AQ6" s="53" t="n">
        <x:f>AP6*(1-1/champ_prem+champ_spill)</x:f>
        <x:v>0</x:v>
      </x:c>
      <x:c r="AR6" s="63" t="n">
        <x:f>AP6/Economy!O6</x:f>
        <x:v>0</x:v>
      </x:c>
      <x:c r="AS6" s="52" t="n">
        <x:v>0</x:v>
      </x:c>
      <x:c r="AT6" s="52" t="n">
        <x:v>0</x:v>
      </x:c>
      <x:c r="AU6" s="52" t="n">
        <x:v>0</x:v>
      </x:c>
      <x:c r="AV6" s="52" t="n">
        <x:v>0</x:v>
      </x:c>
      <x:c r="AW6" s="52" t="n">
        <x:v>0</x:v>
      </x:c>
      <x:c r="AX6" s="52" t="n">
        <x:v>0</x:v>
      </x:c>
      <x:c r="AY6" s="53" t="n">
        <x:f>Q6+(AS6+AT6+AU6+AV6+AW6+AX6)*B6</x:f>
        <x:v>0</x:v>
      </x:c>
      <x:c r="AZ6" s="53" t="n">
        <x:f>P6+(AS6*ret_rail+AT6*ret_tel+AU6*ret_elec+AV6*ret_auto+AW6*ret_chem+AX6*ret_steel)*B6*IF(OR($A6=1931,$A6=1932),abroad_slump,1)+AB6+AG6</x:f>
        <x:v>0</x:v>
      </x:c>
      <x:c r="BA6" s="53" t="n">
        <x:f>AP6*champ_profit+AZ6</x:f>
        <x:v>0</x:v>
      </x:c>
      <x:c r="BB6" s="53" t="n">
        <x:f>(K6+AI6+AK6)*champ_profit+P6+(AS6*ret_rail+AT6*ret_tel+AU6*ret_elec)*B6*IF(OR($A6=1931,$A6=1932),abroad_slump,1)</x:f>
        <x:v>0</x:v>
      </x:c>
      <x:c r="BC6" s="53" t="n">
        <x:f>(T6+W6+Z6+AF6+AN6+AO6)*champ_profit+(AV6*ret_auto+AW6*ret_chem+AX6*ret_steel)*B6*IF(OR($A6=1931,$A6=1932),abroad_slump,1)+AB6+AG6</x:f>
        <x:v>0</x:v>
      </x:c>
      <x:c r="BD6" s="53" t="n">
        <x:f>IF($A6&gt;=crown_start,(BB6*crown_charter+BC6*crown_comp)*crown_payout,0)</x:f>
        <x:v>0</x:v>
      </x:c>
      <x:c r="BE6" s="63" t="n">
        <x:f>IF(BB6+BC6&gt;0,(BB6*crown_charter+BC6*crown_comp)/(BA6),0)</x:f>
        <x:v>0</x:v>
      </x:c>
    </x:row>
    <x:row r="7">
      <x:c r="A7" s="58" t="n">
        <x:v>1847</x:v>
      </x:c>
      <x:c r="B7" s="65" t="n">
        <x:f>champ_scale*(1+Labour!AP7)*(1+Partners!BX7)*(1-IF(union_resp=2,tariff_cut*Labour!S7,0))</x:f>
        <x:v>1</x:v>
      </x:c>
      <x:c r="C7" s="45" t="n">
        <x:v>0</x:v>
      </x:c>
      <x:c r="D7" s="45" t="n">
        <x:v>0</x:v>
      </x:c>
      <x:c r="E7" s="45" t="n">
        <x:v>0</x:v>
      </x:c>
      <x:c r="F7" s="47" t="n">
        <x:f>E7*B7</x:f>
        <x:v>0</x:v>
      </x:c>
      <x:c r="G7" s="47" t="n">
        <x:f>F7/Economy!B7*1000000</x:f>
        <x:v>0</x:v>
      </x:c>
      <x:c r="H7" s="45" t="n">
        <x:v>0</x:v>
      </x:c>
      <x:c r="I7" s="67" t="n">
        <x:f>IF(H7&gt;0,G7/H7,0)</x:f>
        <x:v>0</x:v>
      </x:c>
      <x:c r="J7" s="68" t="n">
        <x:v>0</x:v>
      </x:c>
      <x:c r="K7" s="53" t="n">
        <x:f>Resources!K7*J7*B7</x:f>
        <x:v>0</x:v>
      </x:c>
      <x:c r="L7" s="45" t="n">
        <x:v>0</x:v>
      </x:c>
      <x:c r="M7" s="59" t="n">
        <x:v>0</x:v>
      </x:c>
      <x:c r="N7" s="45" t="n">
        <x:v>0</x:v>
      </x:c>
      <x:c r="O7" s="68" t="n">
        <x:v>0</x:v>
      </x:c>
      <x:c r="P7" s="53" t="n">
        <x:f>(IF(Gulf!E7=1,0,L7*M7)+N7)*O7*B7</x:f>
        <x:v>0</x:v>
      </x:c>
      <x:c r="Q7" s="53" t="n">
        <x:f>P7*oil_book</x:f>
        <x:v>0</x:v>
      </x:c>
      <x:c r="R7" s="68" t="n">
        <x:v>0</x:v>
      </x:c>
      <x:c r="S7" s="45" t="n">
        <x:v>0</x:v>
      </x:c>
      <x:c r="T7" s="53" t="n">
        <x:f>R7*S7*B7</x:f>
        <x:v>0</x:v>
      </x:c>
      <x:c r="U7" s="45" t="n">
        <x:v>0</x:v>
      </x:c>
      <x:c r="V7" s="45" t="n">
        <x:v>0</x:v>
      </x:c>
      <x:c r="W7" s="53" t="n">
        <x:f>U7/1000*V7*B7</x:f>
        <x:v>0</x:v>
      </x:c>
      <x:c r="X7" s="45" t="n">
        <x:v>0</x:v>
      </x:c>
      <x:c r="Y7" s="59" t="n">
        <x:v>0</x:v>
      </x:c>
      <x:c r="Z7" s="53" t="n">
        <x:f>X7*Y7*chem_va*B7</x:f>
        <x:v>0</x:v>
      </x:c>
      <x:c r="AA7" s="59" t="n">
        <x:v>0</x:v>
      </x:c>
      <x:c r="AB7" s="53" t="n">
        <x:f>X7*AA7*roy_rate*B7*(1-IF(union_resp=2,lic_cut*Labour!S7,0))</x:f>
        <x:v>0</x:v>
      </x:c>
      <x:c r="AC7" s="45" t="n">
        <x:v>0</x:v>
      </x:c>
      <x:c r="AD7" s="59" t="n">
        <x:v>0</x:v>
      </x:c>
      <x:c r="AE7" s="59" t="n">
        <x:v>0</x:v>
      </x:c>
      <x:c r="AF7" s="53" t="n">
        <x:f>AC7*AD7*elec_va*B7</x:f>
        <x:v>0</x:v>
      </x:c>
      <x:c r="AG7" s="53" t="n">
        <x:f>MAX(0,AE7-AD7)*AC7*roy_rate*B7*(1-IF(union_resp=2,lic_cut*Labour!S7,0))</x:f>
        <x:v>0</x:v>
      </x:c>
      <x:c r="AH7" s="52" t="n">
        <x:v>0</x:v>
      </x:c>
      <x:c r="AI7" s="53" t="n">
        <x:f>AH7*B7</x:f>
        <x:v>0</x:v>
      </x:c>
      <x:c r="AJ7" s="52" t="n">
        <x:v>0</x:v>
      </x:c>
      <x:c r="AK7" s="53" t="n">
        <x:f>AJ7*B7</x:f>
        <x:v>0</x:v>
      </x:c>
      <x:c r="AL7" s="45" t="n">
        <x:v>0</x:v>
      </x:c>
      <x:c r="AM7" s="53" t="n">
        <x:f>AL7*uw_fee*B7</x:f>
        <x:v>0</x:v>
      </x:c>
      <x:c r="AN7" s="52" t="n">
        <x:v>0</x:v>
      </x:c>
      <x:c r="AO7" s="52" t="n">
        <x:v>0</x:v>
      </x:c>
      <x:c r="AP7" s="53" t="n">
        <x:f>K7+T7+W7+Z7+AF7+AI7+AK7+AM7+AN7+AO7</x:f>
        <x:v>0</x:v>
      </x:c>
      <x:c r="AQ7" s="53" t="n">
        <x:f>AP7*(1-1/champ_prem+champ_spill)</x:f>
        <x:v>0</x:v>
      </x:c>
      <x:c r="AR7" s="63" t="n">
        <x:f>AP7/Economy!O7</x:f>
        <x:v>0</x:v>
      </x:c>
      <x:c r="AS7" s="52" t="n">
        <x:v>0</x:v>
      </x:c>
      <x:c r="AT7" s="52" t="n">
        <x:v>0</x:v>
      </x:c>
      <x:c r="AU7" s="52" t="n">
        <x:v>0</x:v>
      </x:c>
      <x:c r="AV7" s="52" t="n">
        <x:v>0</x:v>
      </x:c>
      <x:c r="AW7" s="52" t="n">
        <x:v>0</x:v>
      </x:c>
      <x:c r="AX7" s="52" t="n">
        <x:v>0</x:v>
      </x:c>
      <x:c r="AY7" s="53" t="n">
        <x:f>Q7+(AS7+AT7+AU7+AV7+AW7+AX7)*B7</x:f>
        <x:v>0</x:v>
      </x:c>
      <x:c r="AZ7" s="53" t="n">
        <x:f>P7+(AS7*ret_rail+AT7*ret_tel+AU7*ret_elec+AV7*ret_auto+AW7*ret_chem+AX7*ret_steel)*B7*IF(OR($A7=1931,$A7=1932),abroad_slump,1)+AB7+AG7</x:f>
        <x:v>0</x:v>
      </x:c>
      <x:c r="BA7" s="53" t="n">
        <x:f>AP7*champ_profit+AZ7</x:f>
        <x:v>0</x:v>
      </x:c>
      <x:c r="BB7" s="53" t="n">
        <x:f>(K7+AI7+AK7)*champ_profit+P7+(AS7*ret_rail+AT7*ret_tel+AU7*ret_elec)*B7*IF(OR($A7=1931,$A7=1932),abroad_slump,1)</x:f>
        <x:v>0</x:v>
      </x:c>
      <x:c r="BC7" s="53" t="n">
        <x:f>(T7+W7+Z7+AF7+AN7+AO7)*champ_profit+(AV7*ret_auto+AW7*ret_chem+AX7*ret_steel)*B7*IF(OR($A7=1931,$A7=1932),abroad_slump,1)+AB7+AG7</x:f>
        <x:v>0</x:v>
      </x:c>
      <x:c r="BD7" s="53" t="n">
        <x:f>IF($A7&gt;=crown_start,(BB7*crown_charter+BC7*crown_comp)*crown_payout,0)</x:f>
        <x:v>0</x:v>
      </x:c>
      <x:c r="BE7" s="63" t="n">
        <x:f>IF(BB7+BC7&gt;0,(BB7*crown_charter+BC7*crown_comp)/(BA7),0)</x:f>
        <x:v>0</x:v>
      </x:c>
    </x:row>
    <x:row r="8">
      <x:c r="A8" s="58" t="n">
        <x:v>1848</x:v>
      </x:c>
      <x:c r="B8" s="65" t="n">
        <x:f>champ_scale*(1+Labour!AP8)*(1+Partners!BX8)*(1-IF(union_resp=2,tariff_cut*Labour!S8,0))</x:f>
        <x:v>1</x:v>
      </x:c>
      <x:c r="C8" s="45" t="n">
        <x:v>0</x:v>
      </x:c>
      <x:c r="D8" s="45" t="n">
        <x:v>0</x:v>
      </x:c>
      <x:c r="E8" s="45" t="n">
        <x:v>0</x:v>
      </x:c>
      <x:c r="F8" s="47" t="n">
        <x:f>E8*B8</x:f>
        <x:v>0</x:v>
      </x:c>
      <x:c r="G8" s="47" t="n">
        <x:f>F8/Economy!B8*1000000</x:f>
        <x:v>0</x:v>
      </x:c>
      <x:c r="H8" s="45" t="n">
        <x:v>0</x:v>
      </x:c>
      <x:c r="I8" s="67" t="n">
        <x:f>IF(H8&gt;0,G8/H8,0)</x:f>
        <x:v>0</x:v>
      </x:c>
      <x:c r="J8" s="68" t="n">
        <x:v>0</x:v>
      </x:c>
      <x:c r="K8" s="53" t="n">
        <x:f>Resources!K8*J8*B8</x:f>
        <x:v>0</x:v>
      </x:c>
      <x:c r="L8" s="45" t="n">
        <x:v>0</x:v>
      </x:c>
      <x:c r="M8" s="59" t="n">
        <x:v>0</x:v>
      </x:c>
      <x:c r="N8" s="45" t="n">
        <x:v>0</x:v>
      </x:c>
      <x:c r="O8" s="68" t="n">
        <x:v>0</x:v>
      </x:c>
      <x:c r="P8" s="53" t="n">
        <x:f>(IF(Gulf!E8=1,0,L8*M8)+N8)*O8*B8</x:f>
        <x:v>0</x:v>
      </x:c>
      <x:c r="Q8" s="53" t="n">
        <x:f>P8*oil_book</x:f>
        <x:v>0</x:v>
      </x:c>
      <x:c r="R8" s="68" t="n">
        <x:v>0</x:v>
      </x:c>
      <x:c r="S8" s="45" t="n">
        <x:v>0</x:v>
      </x:c>
      <x:c r="T8" s="53" t="n">
        <x:f>R8*S8*B8</x:f>
        <x:v>0</x:v>
      </x:c>
      <x:c r="U8" s="45" t="n">
        <x:v>0</x:v>
      </x:c>
      <x:c r="V8" s="45" t="n">
        <x:v>0</x:v>
      </x:c>
      <x:c r="W8" s="53" t="n">
        <x:f>U8/1000*V8*B8</x:f>
        <x:v>0</x:v>
      </x:c>
      <x:c r="X8" s="45" t="n">
        <x:v>0</x:v>
      </x:c>
      <x:c r="Y8" s="59" t="n">
        <x:v>0</x:v>
      </x:c>
      <x:c r="Z8" s="53" t="n">
        <x:f>X8*Y8*chem_va*B8</x:f>
        <x:v>0</x:v>
      </x:c>
      <x:c r="AA8" s="59" t="n">
        <x:v>0</x:v>
      </x:c>
      <x:c r="AB8" s="53" t="n">
        <x:f>X8*AA8*roy_rate*B8*(1-IF(union_resp=2,lic_cut*Labour!S8,0))</x:f>
        <x:v>0</x:v>
      </x:c>
      <x:c r="AC8" s="45" t="n">
        <x:v>0</x:v>
      </x:c>
      <x:c r="AD8" s="59" t="n">
        <x:v>0</x:v>
      </x:c>
      <x:c r="AE8" s="59" t="n">
        <x:v>0</x:v>
      </x:c>
      <x:c r="AF8" s="53" t="n">
        <x:f>AC8*AD8*elec_va*B8</x:f>
        <x:v>0</x:v>
      </x:c>
      <x:c r="AG8" s="53" t="n">
        <x:f>MAX(0,AE8-AD8)*AC8*roy_rate*B8*(1-IF(union_resp=2,lic_cut*Labour!S8,0))</x:f>
        <x:v>0</x:v>
      </x:c>
      <x:c r="AH8" s="52" t="n">
        <x:v>0</x:v>
      </x:c>
      <x:c r="AI8" s="53" t="n">
        <x:f>AH8*B8</x:f>
        <x:v>0</x:v>
      </x:c>
      <x:c r="AJ8" s="52" t="n">
        <x:v>0</x:v>
      </x:c>
      <x:c r="AK8" s="53" t="n">
        <x:f>AJ8*B8</x:f>
        <x:v>0</x:v>
      </x:c>
      <x:c r="AL8" s="45" t="n">
        <x:v>0</x:v>
      </x:c>
      <x:c r="AM8" s="53" t="n">
        <x:f>AL8*uw_fee*B8</x:f>
        <x:v>0</x:v>
      </x:c>
      <x:c r="AN8" s="52" t="n">
        <x:v>0</x:v>
      </x:c>
      <x:c r="AO8" s="52" t="n">
        <x:v>0</x:v>
      </x:c>
      <x:c r="AP8" s="53" t="n">
        <x:f>K8+T8+W8+Z8+AF8+AI8+AK8+AM8+AN8+AO8</x:f>
        <x:v>0</x:v>
      </x:c>
      <x:c r="AQ8" s="53" t="n">
        <x:f>AP8*(1-1/champ_prem+champ_spill)</x:f>
        <x:v>0</x:v>
      </x:c>
      <x:c r="AR8" s="63" t="n">
        <x:f>AP8/Economy!O8</x:f>
        <x:v>0</x:v>
      </x:c>
      <x:c r="AS8" s="52" t="n">
        <x:v>0</x:v>
      </x:c>
      <x:c r="AT8" s="52" t="n">
        <x:v>0</x:v>
      </x:c>
      <x:c r="AU8" s="52" t="n">
        <x:v>0</x:v>
      </x:c>
      <x:c r="AV8" s="52" t="n">
        <x:v>0</x:v>
      </x:c>
      <x:c r="AW8" s="52" t="n">
        <x:v>0</x:v>
      </x:c>
      <x:c r="AX8" s="52" t="n">
        <x:v>0</x:v>
      </x:c>
      <x:c r="AY8" s="53" t="n">
        <x:f>Q8+(AS8+AT8+AU8+AV8+AW8+AX8)*B8</x:f>
        <x:v>0</x:v>
      </x:c>
      <x:c r="AZ8" s="53" t="n">
        <x:f>P8+(AS8*ret_rail+AT8*ret_tel+AU8*ret_elec+AV8*ret_auto+AW8*ret_chem+AX8*ret_steel)*B8*IF(OR($A8=1931,$A8=1932),abroad_slump,1)+AB8+AG8</x:f>
        <x:v>0</x:v>
      </x:c>
      <x:c r="BA8" s="53" t="n">
        <x:f>AP8*champ_profit+AZ8</x:f>
        <x:v>0</x:v>
      </x:c>
      <x:c r="BB8" s="53" t="n">
        <x:f>(K8+AI8+AK8)*champ_profit+P8+(AS8*ret_rail+AT8*ret_tel+AU8*ret_elec)*B8*IF(OR($A8=1931,$A8=1932),abroad_slump,1)</x:f>
        <x:v>0</x:v>
      </x:c>
      <x:c r="BC8" s="53" t="n">
        <x:f>(T8+W8+Z8+AF8+AN8+AO8)*champ_profit+(AV8*ret_auto+AW8*ret_chem+AX8*ret_steel)*B8*IF(OR($A8=1931,$A8=1932),abroad_slump,1)+AB8+AG8</x:f>
        <x:v>0</x:v>
      </x:c>
      <x:c r="BD8" s="53" t="n">
        <x:f>IF($A8&gt;=crown_start,(BB8*crown_charter+BC8*crown_comp)*crown_payout,0)</x:f>
        <x:v>0</x:v>
      </x:c>
      <x:c r="BE8" s="63" t="n">
        <x:f>IF(BB8+BC8&gt;0,(BB8*crown_charter+BC8*crown_comp)/(BA8),0)</x:f>
        <x:v>0</x:v>
      </x:c>
    </x:row>
    <x:row r="9">
      <x:c r="A9" s="58" t="n">
        <x:v>1849</x:v>
      </x:c>
      <x:c r="B9" s="65" t="n">
        <x:f>champ_scale*(1+Labour!AP9)*(1+Partners!BX9)*(1-IF(union_resp=2,tariff_cut*Labour!S9,0))</x:f>
        <x:v>1</x:v>
      </x:c>
      <x:c r="C9" s="45" t="n">
        <x:v>0</x:v>
      </x:c>
      <x:c r="D9" s="45" t="n">
        <x:v>0</x:v>
      </x:c>
      <x:c r="E9" s="45" t="n">
        <x:v>0</x:v>
      </x:c>
      <x:c r="F9" s="47" t="n">
        <x:f>E9*B9</x:f>
        <x:v>0</x:v>
      </x:c>
      <x:c r="G9" s="47" t="n">
        <x:f>F9/Economy!B9*1000000</x:f>
        <x:v>0</x:v>
      </x:c>
      <x:c r="H9" s="45" t="n">
        <x:v>0</x:v>
      </x:c>
      <x:c r="I9" s="67" t="n">
        <x:f>IF(H9&gt;0,G9/H9,0)</x:f>
        <x:v>0</x:v>
      </x:c>
      <x:c r="J9" s="68" t="n">
        <x:v>0</x:v>
      </x:c>
      <x:c r="K9" s="53" t="n">
        <x:f>Resources!K9*J9*B9</x:f>
        <x:v>0</x:v>
      </x:c>
      <x:c r="L9" s="45" t="n">
        <x:v>0</x:v>
      </x:c>
      <x:c r="M9" s="59" t="n">
        <x:v>0</x:v>
      </x:c>
      <x:c r="N9" s="45" t="n">
        <x:v>0</x:v>
      </x:c>
      <x:c r="O9" s="68" t="n">
        <x:v>0</x:v>
      </x:c>
      <x:c r="P9" s="53" t="n">
        <x:f>(IF(Gulf!E9=1,0,L9*M9)+N9)*O9*B9</x:f>
        <x:v>0</x:v>
      </x:c>
      <x:c r="Q9" s="53" t="n">
        <x:f>P9*oil_book</x:f>
        <x:v>0</x:v>
      </x:c>
      <x:c r="R9" s="68" t="n">
        <x:v>0</x:v>
      </x:c>
      <x:c r="S9" s="45" t="n">
        <x:v>0</x:v>
      </x:c>
      <x:c r="T9" s="53" t="n">
        <x:f>R9*S9*B9</x:f>
        <x:v>0</x:v>
      </x:c>
      <x:c r="U9" s="45" t="n">
        <x:v>0</x:v>
      </x:c>
      <x:c r="V9" s="45" t="n">
        <x:v>0</x:v>
      </x:c>
      <x:c r="W9" s="53" t="n">
        <x:f>U9/1000*V9*B9</x:f>
        <x:v>0</x:v>
      </x:c>
      <x:c r="X9" s="45" t="n">
        <x:v>0</x:v>
      </x:c>
      <x:c r="Y9" s="59" t="n">
        <x:v>0</x:v>
      </x:c>
      <x:c r="Z9" s="53" t="n">
        <x:f>X9*Y9*chem_va*B9</x:f>
        <x:v>0</x:v>
      </x:c>
      <x:c r="AA9" s="59" t="n">
        <x:v>0</x:v>
      </x:c>
      <x:c r="AB9" s="53" t="n">
        <x:f>X9*AA9*roy_rate*B9*(1-IF(union_resp=2,lic_cut*Labour!S9,0))</x:f>
        <x:v>0</x:v>
      </x:c>
      <x:c r="AC9" s="45" t="n">
        <x:v>0</x:v>
      </x:c>
      <x:c r="AD9" s="59" t="n">
        <x:v>0</x:v>
      </x:c>
      <x:c r="AE9" s="59" t="n">
        <x:v>0</x:v>
      </x:c>
      <x:c r="AF9" s="53" t="n">
        <x:f>AC9*AD9*elec_va*B9</x:f>
        <x:v>0</x:v>
      </x:c>
      <x:c r="AG9" s="53" t="n">
        <x:f>MAX(0,AE9-AD9)*AC9*roy_rate*B9*(1-IF(union_resp=2,lic_cut*Labour!S9,0))</x:f>
        <x:v>0</x:v>
      </x:c>
      <x:c r="AH9" s="52" t="n">
        <x:v>0</x:v>
      </x:c>
      <x:c r="AI9" s="53" t="n">
        <x:f>AH9*B9</x:f>
        <x:v>0</x:v>
      </x:c>
      <x:c r="AJ9" s="52" t="n">
        <x:v>0</x:v>
      </x:c>
      <x:c r="AK9" s="53" t="n">
        <x:f>AJ9*B9</x:f>
        <x:v>0</x:v>
      </x:c>
      <x:c r="AL9" s="45" t="n">
        <x:v>0</x:v>
      </x:c>
      <x:c r="AM9" s="53" t="n">
        <x:f>AL9*uw_fee*B9</x:f>
        <x:v>0</x:v>
      </x:c>
      <x:c r="AN9" s="52" t="n">
        <x:v>0</x:v>
      </x:c>
      <x:c r="AO9" s="52" t="n">
        <x:v>0</x:v>
      </x:c>
      <x:c r="AP9" s="53" t="n">
        <x:f>K9+T9+W9+Z9+AF9+AI9+AK9+AM9+AN9+AO9</x:f>
        <x:v>0</x:v>
      </x:c>
      <x:c r="AQ9" s="53" t="n">
        <x:f>AP9*(1-1/champ_prem+champ_spill)</x:f>
        <x:v>0</x:v>
      </x:c>
      <x:c r="AR9" s="63" t="n">
        <x:f>AP9/Economy!O9</x:f>
        <x:v>0</x:v>
      </x:c>
      <x:c r="AS9" s="52" t="n">
        <x:v>0</x:v>
      </x:c>
      <x:c r="AT9" s="52" t="n">
        <x:v>0</x:v>
      </x:c>
      <x:c r="AU9" s="52" t="n">
        <x:v>0</x:v>
      </x:c>
      <x:c r="AV9" s="52" t="n">
        <x:v>0</x:v>
      </x:c>
      <x:c r="AW9" s="52" t="n">
        <x:v>0</x:v>
      </x:c>
      <x:c r="AX9" s="52" t="n">
        <x:v>0</x:v>
      </x:c>
      <x:c r="AY9" s="53" t="n">
        <x:f>Q9+(AS9+AT9+AU9+AV9+AW9+AX9)*B9</x:f>
        <x:v>0</x:v>
      </x:c>
      <x:c r="AZ9" s="53" t="n">
        <x:f>P9+(AS9*ret_rail+AT9*ret_tel+AU9*ret_elec+AV9*ret_auto+AW9*ret_chem+AX9*ret_steel)*B9*IF(OR($A9=1931,$A9=1932),abroad_slump,1)+AB9+AG9</x:f>
        <x:v>0</x:v>
      </x:c>
      <x:c r="BA9" s="53" t="n">
        <x:f>AP9*champ_profit+AZ9</x:f>
        <x:v>0</x:v>
      </x:c>
      <x:c r="BB9" s="53" t="n">
        <x:f>(K9+AI9+AK9)*champ_profit+P9+(AS9*ret_rail+AT9*ret_tel+AU9*ret_elec)*B9*IF(OR($A9=1931,$A9=1932),abroad_slump,1)</x:f>
        <x:v>0</x:v>
      </x:c>
      <x:c r="BC9" s="53" t="n">
        <x:f>(T9+W9+Z9+AF9+AN9+AO9)*champ_profit+(AV9*ret_auto+AW9*ret_chem+AX9*ret_steel)*B9*IF(OR($A9=1931,$A9=1932),abroad_slump,1)+AB9+AG9</x:f>
        <x:v>0</x:v>
      </x:c>
      <x:c r="BD9" s="53" t="n">
        <x:f>IF($A9&gt;=crown_start,(BB9*crown_charter+BC9*crown_comp)*crown_payout,0)</x:f>
        <x:v>0</x:v>
      </x:c>
      <x:c r="BE9" s="63" t="n">
        <x:f>IF(BB9+BC9&gt;0,(BB9*crown_charter+BC9*crown_comp)/(BA9),0)</x:f>
        <x:v>0</x:v>
      </x:c>
    </x:row>
    <x:row r="10">
      <x:c r="A10" s="58" t="n">
        <x:v>1850</x:v>
      </x:c>
      <x:c r="B10" s="65" t="n">
        <x:f>champ_scale*(1+Labour!AP10)*(1+Partners!BX10)*(1-IF(union_resp=2,tariff_cut*Labour!S10,0))</x:f>
        <x:v>1</x:v>
      </x:c>
      <x:c r="C10" s="45" t="n">
        <x:v>0</x:v>
      </x:c>
      <x:c r="D10" s="45" t="n">
        <x:v>0</x:v>
      </x:c>
      <x:c r="E10" s="45" t="n">
        <x:v>0</x:v>
      </x:c>
      <x:c r="F10" s="47" t="n">
        <x:f>E10*B10</x:f>
        <x:v>0</x:v>
      </x:c>
      <x:c r="G10" s="47" t="n">
        <x:f>F10/Economy!B10*1000000</x:f>
        <x:v>0</x:v>
      </x:c>
      <x:c r="H10" s="45" t="n">
        <x:v>0</x:v>
      </x:c>
      <x:c r="I10" s="67" t="n">
        <x:f>IF(H10&gt;0,G10/H10,0)</x:f>
        <x:v>0</x:v>
      </x:c>
      <x:c r="J10" s="68" t="n">
        <x:v>0</x:v>
      </x:c>
      <x:c r="K10" s="53" t="n">
        <x:f>Resources!K10*J10*B10</x:f>
        <x:v>0</x:v>
      </x:c>
      <x:c r="L10" s="45" t="n">
        <x:v>0</x:v>
      </x:c>
      <x:c r="M10" s="59" t="n">
        <x:v>0</x:v>
      </x:c>
      <x:c r="N10" s="45" t="n">
        <x:v>0</x:v>
      </x:c>
      <x:c r="O10" s="68" t="n">
        <x:v>0</x:v>
      </x:c>
      <x:c r="P10" s="53" t="n">
        <x:f>(IF(Gulf!E10=1,0,L10*M10)+N10)*O10*B10</x:f>
        <x:v>0</x:v>
      </x:c>
      <x:c r="Q10" s="53" t="n">
        <x:f>P10*oil_book</x:f>
        <x:v>0</x:v>
      </x:c>
      <x:c r="R10" s="68" t="n">
        <x:v>0</x:v>
      </x:c>
      <x:c r="S10" s="45" t="n">
        <x:v>0</x:v>
      </x:c>
      <x:c r="T10" s="53" t="n">
        <x:f>R10*S10*B10</x:f>
        <x:v>0</x:v>
      </x:c>
      <x:c r="U10" s="45" t="n">
        <x:v>0</x:v>
      </x:c>
      <x:c r="V10" s="45" t="n">
        <x:v>0</x:v>
      </x:c>
      <x:c r="W10" s="53" t="n">
        <x:f>U10/1000*V10*B10</x:f>
        <x:v>0</x:v>
      </x:c>
      <x:c r="X10" s="45" t="n">
        <x:v>0</x:v>
      </x:c>
      <x:c r="Y10" s="59" t="n">
        <x:v>0</x:v>
      </x:c>
      <x:c r="Z10" s="53" t="n">
        <x:f>X10*Y10*chem_va*B10</x:f>
        <x:v>0</x:v>
      </x:c>
      <x:c r="AA10" s="59" t="n">
        <x:v>0</x:v>
      </x:c>
      <x:c r="AB10" s="53" t="n">
        <x:f>X10*AA10*roy_rate*B10*(1-IF(union_resp=2,lic_cut*Labour!S10,0))</x:f>
        <x:v>0</x:v>
      </x:c>
      <x:c r="AC10" s="45" t="n">
        <x:v>0</x:v>
      </x:c>
      <x:c r="AD10" s="59" t="n">
        <x:v>0</x:v>
      </x:c>
      <x:c r="AE10" s="59" t="n">
        <x:v>0</x:v>
      </x:c>
      <x:c r="AF10" s="53" t="n">
        <x:f>AC10*AD10*elec_va*B10</x:f>
        <x:v>0</x:v>
      </x:c>
      <x:c r="AG10" s="53" t="n">
        <x:f>MAX(0,AE10-AD10)*AC10*roy_rate*B10*(1-IF(union_resp=2,lic_cut*Labour!S10,0))</x:f>
        <x:v>0</x:v>
      </x:c>
      <x:c r="AH10" s="52" t="n">
        <x:v>0</x:v>
      </x:c>
      <x:c r="AI10" s="53" t="n">
        <x:f>AH10*B10</x:f>
        <x:v>0</x:v>
      </x:c>
      <x:c r="AJ10" s="52" t="n">
        <x:v>0</x:v>
      </x:c>
      <x:c r="AK10" s="53" t="n">
        <x:f>AJ10*B10</x:f>
        <x:v>0</x:v>
      </x:c>
      <x:c r="AL10" s="45" t="n">
        <x:v>0</x:v>
      </x:c>
      <x:c r="AM10" s="53" t="n">
        <x:f>AL10*uw_fee*B10</x:f>
        <x:v>0</x:v>
      </x:c>
      <x:c r="AN10" s="52" t="n">
        <x:v>0</x:v>
      </x:c>
      <x:c r="AO10" s="52" t="n">
        <x:v>0</x:v>
      </x:c>
      <x:c r="AP10" s="53" t="n">
        <x:f>K10+T10+W10+Z10+AF10+AI10+AK10+AM10+AN10+AO10</x:f>
        <x:v>0</x:v>
      </x:c>
      <x:c r="AQ10" s="53" t="n">
        <x:f>AP10*(1-1/champ_prem+champ_spill)</x:f>
        <x:v>0</x:v>
      </x:c>
      <x:c r="AR10" s="63" t="n">
        <x:f>AP10/Economy!O10</x:f>
        <x:v>0</x:v>
      </x:c>
      <x:c r="AS10" s="52" t="n">
        <x:v>0</x:v>
      </x:c>
      <x:c r="AT10" s="52" t="n">
        <x:v>0</x:v>
      </x:c>
      <x:c r="AU10" s="52" t="n">
        <x:v>0</x:v>
      </x:c>
      <x:c r="AV10" s="52" t="n">
        <x:v>0</x:v>
      </x:c>
      <x:c r="AW10" s="52" t="n">
        <x:v>0</x:v>
      </x:c>
      <x:c r="AX10" s="52" t="n">
        <x:v>0</x:v>
      </x:c>
      <x:c r="AY10" s="53" t="n">
        <x:f>Q10+(AS10+AT10+AU10+AV10+AW10+AX10)*B10</x:f>
        <x:v>0</x:v>
      </x:c>
      <x:c r="AZ10" s="53" t="n">
        <x:f>P10+(AS10*ret_rail+AT10*ret_tel+AU10*ret_elec+AV10*ret_auto+AW10*ret_chem+AX10*ret_steel)*B10*IF(OR($A10=1931,$A10=1932),abroad_slump,1)+AB10+AG10</x:f>
        <x:v>0</x:v>
      </x:c>
      <x:c r="BA10" s="53" t="n">
        <x:f>AP10*champ_profit+AZ10</x:f>
        <x:v>0</x:v>
      </x:c>
      <x:c r="BB10" s="53" t="n">
        <x:f>(K10+AI10+AK10)*champ_profit+P10+(AS10*ret_rail+AT10*ret_tel+AU10*ret_elec)*B10*IF(OR($A10=1931,$A10=1932),abroad_slump,1)</x:f>
        <x:v>0</x:v>
      </x:c>
      <x:c r="BC10" s="53" t="n">
        <x:f>(T10+W10+Z10+AF10+AN10+AO10)*champ_profit+(AV10*ret_auto+AW10*ret_chem+AX10*ret_steel)*B10*IF(OR($A10=1931,$A10=1932),abroad_slump,1)+AB10+AG10</x:f>
        <x:v>0</x:v>
      </x:c>
      <x:c r="BD10" s="53" t="n">
        <x:f>IF($A10&gt;=crown_start,(BB10*crown_charter+BC10*crown_comp)*crown_payout,0)</x:f>
        <x:v>0</x:v>
      </x:c>
      <x:c r="BE10" s="63" t="n">
        <x:f>IF(BB10+BC10&gt;0,(BB10*crown_charter+BC10*crown_comp)/(BA10),0)</x:f>
        <x:v>0</x:v>
      </x:c>
    </x:row>
    <x:row r="11">
      <x:c r="A11" s="58" t="n">
        <x:v>1851</x:v>
      </x:c>
      <x:c r="B11" s="65" t="n">
        <x:f>champ_scale*(1+Labour!AP11)*(1+Partners!BX11)*(1-IF(union_resp=2,tariff_cut*Labour!S11,0))</x:f>
        <x:v>1</x:v>
      </x:c>
      <x:c r="C11" s="45" t="n">
        <x:v>0</x:v>
      </x:c>
      <x:c r="D11" s="45" t="n">
        <x:v>0</x:v>
      </x:c>
      <x:c r="E11" s="45" t="n">
        <x:v>0</x:v>
      </x:c>
      <x:c r="F11" s="47" t="n">
        <x:f>E11*B11</x:f>
        <x:v>0</x:v>
      </x:c>
      <x:c r="G11" s="47" t="n">
        <x:f>F11/Economy!B11*1000000</x:f>
        <x:v>0</x:v>
      </x:c>
      <x:c r="H11" s="45" t="n">
        <x:v>0</x:v>
      </x:c>
      <x:c r="I11" s="67" t="n">
        <x:f>IF(H11&gt;0,G11/H11,0)</x:f>
        <x:v>0</x:v>
      </x:c>
      <x:c r="J11" s="68" t="n">
        <x:v>0</x:v>
      </x:c>
      <x:c r="K11" s="53" t="n">
        <x:f>Resources!K11*J11*B11</x:f>
        <x:v>0</x:v>
      </x:c>
      <x:c r="L11" s="45" t="n">
        <x:v>0</x:v>
      </x:c>
      <x:c r="M11" s="59" t="n">
        <x:v>0</x:v>
      </x:c>
      <x:c r="N11" s="45" t="n">
        <x:v>0</x:v>
      </x:c>
      <x:c r="O11" s="68" t="n">
        <x:v>0</x:v>
      </x:c>
      <x:c r="P11" s="53" t="n">
        <x:f>(IF(Gulf!E11=1,0,L11*M11)+N11)*O11*B11</x:f>
        <x:v>0</x:v>
      </x:c>
      <x:c r="Q11" s="53" t="n">
        <x:f>P11*oil_book</x:f>
        <x:v>0</x:v>
      </x:c>
      <x:c r="R11" s="68" t="n">
        <x:v>0</x:v>
      </x:c>
      <x:c r="S11" s="45" t="n">
        <x:v>0</x:v>
      </x:c>
      <x:c r="T11" s="53" t="n">
        <x:f>R11*S11*B11</x:f>
        <x:v>0</x:v>
      </x:c>
      <x:c r="U11" s="45" t="n">
        <x:v>0</x:v>
      </x:c>
      <x:c r="V11" s="45" t="n">
        <x:v>0</x:v>
      </x:c>
      <x:c r="W11" s="53" t="n">
        <x:f>U11/1000*V11*B11</x:f>
        <x:v>0</x:v>
      </x:c>
      <x:c r="X11" s="45" t="n">
        <x:v>0</x:v>
      </x:c>
      <x:c r="Y11" s="59" t="n">
        <x:v>0</x:v>
      </x:c>
      <x:c r="Z11" s="53" t="n">
        <x:f>X11*Y11*chem_va*B11</x:f>
        <x:v>0</x:v>
      </x:c>
      <x:c r="AA11" s="59" t="n">
        <x:v>0</x:v>
      </x:c>
      <x:c r="AB11" s="53" t="n">
        <x:f>X11*AA11*roy_rate*B11*(1-IF(union_resp=2,lic_cut*Labour!S11,0))</x:f>
        <x:v>0</x:v>
      </x:c>
      <x:c r="AC11" s="45" t="n">
        <x:v>0</x:v>
      </x:c>
      <x:c r="AD11" s="59" t="n">
        <x:v>0</x:v>
      </x:c>
      <x:c r="AE11" s="59" t="n">
        <x:v>0</x:v>
      </x:c>
      <x:c r="AF11" s="53" t="n">
        <x:f>AC11*AD11*elec_va*B11</x:f>
        <x:v>0</x:v>
      </x:c>
      <x:c r="AG11" s="53" t="n">
        <x:f>MAX(0,AE11-AD11)*AC11*roy_rate*B11*(1-IF(union_resp=2,lic_cut*Labour!S11,0))</x:f>
        <x:v>0</x:v>
      </x:c>
      <x:c r="AH11" s="52" t="n">
        <x:v>0</x:v>
      </x:c>
      <x:c r="AI11" s="53" t="n">
        <x:f>AH11*B11</x:f>
        <x:v>0</x:v>
      </x:c>
      <x:c r="AJ11" s="52" t="n">
        <x:v>0</x:v>
      </x:c>
      <x:c r="AK11" s="53" t="n">
        <x:f>AJ11*B11</x:f>
        <x:v>0</x:v>
      </x:c>
      <x:c r="AL11" s="45" t="n">
        <x:v>0</x:v>
      </x:c>
      <x:c r="AM11" s="53" t="n">
        <x:f>AL11*uw_fee*B11</x:f>
        <x:v>0</x:v>
      </x:c>
      <x:c r="AN11" s="52" t="n">
        <x:v>0</x:v>
      </x:c>
      <x:c r="AO11" s="52" t="n">
        <x:v>0</x:v>
      </x:c>
      <x:c r="AP11" s="53" t="n">
        <x:f>K11+T11+W11+Z11+AF11+AI11+AK11+AM11+AN11+AO11</x:f>
        <x:v>0</x:v>
      </x:c>
      <x:c r="AQ11" s="53" t="n">
        <x:f>AP11*(1-1/champ_prem+champ_spill)</x:f>
        <x:v>0</x:v>
      </x:c>
      <x:c r="AR11" s="63" t="n">
        <x:f>AP11/Economy!O11</x:f>
        <x:v>0</x:v>
      </x:c>
      <x:c r="AS11" s="52" t="n">
        <x:v>0</x:v>
      </x:c>
      <x:c r="AT11" s="52" t="n">
        <x:v>0</x:v>
      </x:c>
      <x:c r="AU11" s="52" t="n">
        <x:v>0</x:v>
      </x:c>
      <x:c r="AV11" s="52" t="n">
        <x:v>0</x:v>
      </x:c>
      <x:c r="AW11" s="52" t="n">
        <x:v>0</x:v>
      </x:c>
      <x:c r="AX11" s="52" t="n">
        <x:v>0</x:v>
      </x:c>
      <x:c r="AY11" s="53" t="n">
        <x:f>Q11+(AS11+AT11+AU11+AV11+AW11+AX11)*B11</x:f>
        <x:v>0</x:v>
      </x:c>
      <x:c r="AZ11" s="53" t="n">
        <x:f>P11+(AS11*ret_rail+AT11*ret_tel+AU11*ret_elec+AV11*ret_auto+AW11*ret_chem+AX11*ret_steel)*B11*IF(OR($A11=1931,$A11=1932),abroad_slump,1)+AB11+AG11</x:f>
        <x:v>0</x:v>
      </x:c>
      <x:c r="BA11" s="53" t="n">
        <x:f>AP11*champ_profit+AZ11</x:f>
        <x:v>0</x:v>
      </x:c>
      <x:c r="BB11" s="53" t="n">
        <x:f>(K11+AI11+AK11)*champ_profit+P11+(AS11*ret_rail+AT11*ret_tel+AU11*ret_elec)*B11*IF(OR($A11=1931,$A11=1932),abroad_slump,1)</x:f>
        <x:v>0</x:v>
      </x:c>
      <x:c r="BC11" s="53" t="n">
        <x:f>(T11+W11+Z11+AF11+AN11+AO11)*champ_profit+(AV11*ret_auto+AW11*ret_chem+AX11*ret_steel)*B11*IF(OR($A11=1931,$A11=1932),abroad_slump,1)+AB11+AG11</x:f>
        <x:v>0</x:v>
      </x:c>
      <x:c r="BD11" s="53" t="n">
        <x:f>IF($A11&gt;=crown_start,(BB11*crown_charter+BC11*crown_comp)*crown_payout,0)</x:f>
        <x:v>0</x:v>
      </x:c>
      <x:c r="BE11" s="63" t="n">
        <x:f>IF(BB11+BC11&gt;0,(BB11*crown_charter+BC11*crown_comp)/(BA11),0)</x:f>
        <x:v>0</x:v>
      </x:c>
    </x:row>
    <x:row r="12">
      <x:c r="A12" s="58" t="n">
        <x:v>1852</x:v>
      </x:c>
      <x:c r="B12" s="65" t="n">
        <x:f>champ_scale*(1+Labour!AP12)*(1+Partners!BX12)*(1-IF(union_resp=2,tariff_cut*Labour!S12,0))</x:f>
        <x:v>1</x:v>
      </x:c>
      <x:c r="C12" s="45" t="n">
        <x:v>0</x:v>
      </x:c>
      <x:c r="D12" s="45" t="n">
        <x:v>0</x:v>
      </x:c>
      <x:c r="E12" s="45" t="n">
        <x:v>0</x:v>
      </x:c>
      <x:c r="F12" s="47" t="n">
        <x:f>E12*B12</x:f>
        <x:v>0</x:v>
      </x:c>
      <x:c r="G12" s="47" t="n">
        <x:f>F12/Economy!B12*1000000</x:f>
        <x:v>0</x:v>
      </x:c>
      <x:c r="H12" s="45" t="n">
        <x:v>0</x:v>
      </x:c>
      <x:c r="I12" s="67" t="n">
        <x:f>IF(H12&gt;0,G12/H12,0)</x:f>
        <x:v>0</x:v>
      </x:c>
      <x:c r="J12" s="68" t="n">
        <x:v>0</x:v>
      </x:c>
      <x:c r="K12" s="53" t="n">
        <x:f>Resources!K12*J12*B12</x:f>
        <x:v>0</x:v>
      </x:c>
      <x:c r="L12" s="45" t="n">
        <x:v>0</x:v>
      </x:c>
      <x:c r="M12" s="59" t="n">
        <x:v>0</x:v>
      </x:c>
      <x:c r="N12" s="45" t="n">
        <x:v>0</x:v>
      </x:c>
      <x:c r="O12" s="68" t="n">
        <x:v>0</x:v>
      </x:c>
      <x:c r="P12" s="53" t="n">
        <x:f>(IF(Gulf!E12=1,0,L12*M12)+N12)*O12*B12</x:f>
        <x:v>0</x:v>
      </x:c>
      <x:c r="Q12" s="53" t="n">
        <x:f>P12*oil_book</x:f>
        <x:v>0</x:v>
      </x:c>
      <x:c r="R12" s="68" t="n">
        <x:v>0</x:v>
      </x:c>
      <x:c r="S12" s="45" t="n">
        <x:v>0</x:v>
      </x:c>
      <x:c r="T12" s="53" t="n">
        <x:f>R12*S12*B12</x:f>
        <x:v>0</x:v>
      </x:c>
      <x:c r="U12" s="45" t="n">
        <x:v>0</x:v>
      </x:c>
      <x:c r="V12" s="45" t="n">
        <x:v>0</x:v>
      </x:c>
      <x:c r="W12" s="53" t="n">
        <x:f>U12/1000*V12*B12</x:f>
        <x:v>0</x:v>
      </x:c>
      <x:c r="X12" s="45" t="n">
        <x:v>0</x:v>
      </x:c>
      <x:c r="Y12" s="59" t="n">
        <x:v>0</x:v>
      </x:c>
      <x:c r="Z12" s="53" t="n">
        <x:f>X12*Y12*chem_va*B12</x:f>
        <x:v>0</x:v>
      </x:c>
      <x:c r="AA12" s="59" t="n">
        <x:v>0</x:v>
      </x:c>
      <x:c r="AB12" s="53" t="n">
        <x:f>X12*AA12*roy_rate*B12*(1-IF(union_resp=2,lic_cut*Labour!S12,0))</x:f>
        <x:v>0</x:v>
      </x:c>
      <x:c r="AC12" s="45" t="n">
        <x:v>0</x:v>
      </x:c>
      <x:c r="AD12" s="59" t="n">
        <x:v>0</x:v>
      </x:c>
      <x:c r="AE12" s="59" t="n">
        <x:v>0</x:v>
      </x:c>
      <x:c r="AF12" s="53" t="n">
        <x:f>AC12*AD12*elec_va*B12</x:f>
        <x:v>0</x:v>
      </x:c>
      <x:c r="AG12" s="53" t="n">
        <x:f>MAX(0,AE12-AD12)*AC12*roy_rate*B12*(1-IF(union_resp=2,lic_cut*Labour!S12,0))</x:f>
        <x:v>0</x:v>
      </x:c>
      <x:c r="AH12" s="52" t="n">
        <x:v>0</x:v>
      </x:c>
      <x:c r="AI12" s="53" t="n">
        <x:f>AH12*B12</x:f>
        <x:v>0</x:v>
      </x:c>
      <x:c r="AJ12" s="52" t="n">
        <x:v>0</x:v>
      </x:c>
      <x:c r="AK12" s="53" t="n">
        <x:f>AJ12*B12</x:f>
        <x:v>0</x:v>
      </x:c>
      <x:c r="AL12" s="45" t="n">
        <x:v>0</x:v>
      </x:c>
      <x:c r="AM12" s="53" t="n">
        <x:f>AL12*uw_fee*B12</x:f>
        <x:v>0</x:v>
      </x:c>
      <x:c r="AN12" s="52" t="n">
        <x:v>0</x:v>
      </x:c>
      <x:c r="AO12" s="52" t="n">
        <x:v>0</x:v>
      </x:c>
      <x:c r="AP12" s="53" t="n">
        <x:f>K12+T12+W12+Z12+AF12+AI12+AK12+AM12+AN12+AO12</x:f>
        <x:v>0</x:v>
      </x:c>
      <x:c r="AQ12" s="53" t="n">
        <x:f>AP12*(1-1/champ_prem+champ_spill)</x:f>
        <x:v>0</x:v>
      </x:c>
      <x:c r="AR12" s="63" t="n">
        <x:f>AP12/Economy!O12</x:f>
        <x:v>0</x:v>
      </x:c>
      <x:c r="AS12" s="52" t="n">
        <x:v>0</x:v>
      </x:c>
      <x:c r="AT12" s="52" t="n">
        <x:v>0</x:v>
      </x:c>
      <x:c r="AU12" s="52" t="n">
        <x:v>0</x:v>
      </x:c>
      <x:c r="AV12" s="52" t="n">
        <x:v>0</x:v>
      </x:c>
      <x:c r="AW12" s="52" t="n">
        <x:v>0</x:v>
      </x:c>
      <x:c r="AX12" s="52" t="n">
        <x:v>0</x:v>
      </x:c>
      <x:c r="AY12" s="53" t="n">
        <x:f>Q12+(AS12+AT12+AU12+AV12+AW12+AX12)*B12</x:f>
        <x:v>0</x:v>
      </x:c>
      <x:c r="AZ12" s="53" t="n">
        <x:f>P12+(AS12*ret_rail+AT12*ret_tel+AU12*ret_elec+AV12*ret_auto+AW12*ret_chem+AX12*ret_steel)*B12*IF(OR($A12=1931,$A12=1932),abroad_slump,1)+AB12+AG12</x:f>
        <x:v>0</x:v>
      </x:c>
      <x:c r="BA12" s="53" t="n">
        <x:f>AP12*champ_profit+AZ12</x:f>
        <x:v>0</x:v>
      </x:c>
      <x:c r="BB12" s="53" t="n">
        <x:f>(K12+AI12+AK12)*champ_profit+P12+(AS12*ret_rail+AT12*ret_tel+AU12*ret_elec)*B12*IF(OR($A12=1931,$A12=1932),abroad_slump,1)</x:f>
        <x:v>0</x:v>
      </x:c>
      <x:c r="BC12" s="53" t="n">
        <x:f>(T12+W12+Z12+AF12+AN12+AO12)*champ_profit+(AV12*ret_auto+AW12*ret_chem+AX12*ret_steel)*B12*IF(OR($A12=1931,$A12=1932),abroad_slump,1)+AB12+AG12</x:f>
        <x:v>0</x:v>
      </x:c>
      <x:c r="BD12" s="53" t="n">
        <x:f>IF($A12&gt;=crown_start,(BB12*crown_charter+BC12*crown_comp)*crown_payout,0)</x:f>
        <x:v>0</x:v>
      </x:c>
      <x:c r="BE12" s="63" t="n">
        <x:f>IF(BB12+BC12&gt;0,(BB12*crown_charter+BC12*crown_comp)/(BA12),0)</x:f>
        <x:v>0</x:v>
      </x:c>
    </x:row>
    <x:row r="13">
      <x:c r="A13" s="58" t="n">
        <x:v>1853</x:v>
      </x:c>
      <x:c r="B13" s="65" t="n">
        <x:f>champ_scale*(1+Labour!AP13)*(1+Partners!BX13)*(1-IF(union_resp=2,tariff_cut*Labour!S13,0))</x:f>
        <x:v>1</x:v>
      </x:c>
      <x:c r="C13" s="45" t="n">
        <x:v>0</x:v>
      </x:c>
      <x:c r="D13" s="45" t="n">
        <x:v>0</x:v>
      </x:c>
      <x:c r="E13" s="45" t="n">
        <x:v>0</x:v>
      </x:c>
      <x:c r="F13" s="47" t="n">
        <x:f>E13*B13</x:f>
        <x:v>0</x:v>
      </x:c>
      <x:c r="G13" s="47" t="n">
        <x:f>F13/Economy!B13*1000000</x:f>
        <x:v>0</x:v>
      </x:c>
      <x:c r="H13" s="45" t="n">
        <x:v>0</x:v>
      </x:c>
      <x:c r="I13" s="67" t="n">
        <x:f>IF(H13&gt;0,G13/H13,0)</x:f>
        <x:v>0</x:v>
      </x:c>
      <x:c r="J13" s="68" t="n">
        <x:v>0</x:v>
      </x:c>
      <x:c r="K13" s="53" t="n">
        <x:f>Resources!K13*J13*B13</x:f>
        <x:v>0</x:v>
      </x:c>
      <x:c r="L13" s="45" t="n">
        <x:v>0</x:v>
      </x:c>
      <x:c r="M13" s="59" t="n">
        <x:v>0</x:v>
      </x:c>
      <x:c r="N13" s="45" t="n">
        <x:v>0</x:v>
      </x:c>
      <x:c r="O13" s="68" t="n">
        <x:v>0</x:v>
      </x:c>
      <x:c r="P13" s="53" t="n">
        <x:f>(IF(Gulf!E13=1,0,L13*M13)+N13)*O13*B13</x:f>
        <x:v>0</x:v>
      </x:c>
      <x:c r="Q13" s="53" t="n">
        <x:f>P13*oil_book</x:f>
        <x:v>0</x:v>
      </x:c>
      <x:c r="R13" s="68" t="n">
        <x:v>0</x:v>
      </x:c>
      <x:c r="S13" s="45" t="n">
        <x:v>0</x:v>
      </x:c>
      <x:c r="T13" s="53" t="n">
        <x:f>R13*S13*B13</x:f>
        <x:v>0</x:v>
      </x:c>
      <x:c r="U13" s="45" t="n">
        <x:v>0</x:v>
      </x:c>
      <x:c r="V13" s="45" t="n">
        <x:v>0</x:v>
      </x:c>
      <x:c r="W13" s="53" t="n">
        <x:f>U13/1000*V13*B13</x:f>
        <x:v>0</x:v>
      </x:c>
      <x:c r="X13" s="45" t="n">
        <x:v>0</x:v>
      </x:c>
      <x:c r="Y13" s="59" t="n">
        <x:v>0</x:v>
      </x:c>
      <x:c r="Z13" s="53" t="n">
        <x:f>X13*Y13*chem_va*B13</x:f>
        <x:v>0</x:v>
      </x:c>
      <x:c r="AA13" s="59" t="n">
        <x:v>0</x:v>
      </x:c>
      <x:c r="AB13" s="53" t="n">
        <x:f>X13*AA13*roy_rate*B13*(1-IF(union_resp=2,lic_cut*Labour!S13,0))</x:f>
        <x:v>0</x:v>
      </x:c>
      <x:c r="AC13" s="45" t="n">
        <x:v>0</x:v>
      </x:c>
      <x:c r="AD13" s="59" t="n">
        <x:v>0</x:v>
      </x:c>
      <x:c r="AE13" s="59" t="n">
        <x:v>0</x:v>
      </x:c>
      <x:c r="AF13" s="53" t="n">
        <x:f>AC13*AD13*elec_va*B13</x:f>
        <x:v>0</x:v>
      </x:c>
      <x:c r="AG13" s="53" t="n">
        <x:f>MAX(0,AE13-AD13)*AC13*roy_rate*B13*(1-IF(union_resp=2,lic_cut*Labour!S13,0))</x:f>
        <x:v>0</x:v>
      </x:c>
      <x:c r="AH13" s="52" t="n">
        <x:v>0</x:v>
      </x:c>
      <x:c r="AI13" s="53" t="n">
        <x:f>AH13*B13</x:f>
        <x:v>0</x:v>
      </x:c>
      <x:c r="AJ13" s="52" t="n">
        <x:v>0</x:v>
      </x:c>
      <x:c r="AK13" s="53" t="n">
        <x:f>AJ13*B13</x:f>
        <x:v>0</x:v>
      </x:c>
      <x:c r="AL13" s="45" t="n">
        <x:v>0</x:v>
      </x:c>
      <x:c r="AM13" s="53" t="n">
        <x:f>AL13*uw_fee*B13</x:f>
        <x:v>0</x:v>
      </x:c>
      <x:c r="AN13" s="52" t="n">
        <x:v>0</x:v>
      </x:c>
      <x:c r="AO13" s="52" t="n">
        <x:v>0</x:v>
      </x:c>
      <x:c r="AP13" s="53" t="n">
        <x:f>K13+T13+W13+Z13+AF13+AI13+AK13+AM13+AN13+AO13</x:f>
        <x:v>0</x:v>
      </x:c>
      <x:c r="AQ13" s="53" t="n">
        <x:f>AP13*(1-1/champ_prem+champ_spill)</x:f>
        <x:v>0</x:v>
      </x:c>
      <x:c r="AR13" s="63" t="n">
        <x:f>AP13/Economy!O13</x:f>
        <x:v>0</x:v>
      </x:c>
      <x:c r="AS13" s="52" t="n">
        <x:v>0</x:v>
      </x:c>
      <x:c r="AT13" s="52" t="n">
        <x:v>0</x:v>
      </x:c>
      <x:c r="AU13" s="52" t="n">
        <x:v>0</x:v>
      </x:c>
      <x:c r="AV13" s="52" t="n">
        <x:v>0</x:v>
      </x:c>
      <x:c r="AW13" s="52" t="n">
        <x:v>0</x:v>
      </x:c>
      <x:c r="AX13" s="52" t="n">
        <x:v>0</x:v>
      </x:c>
      <x:c r="AY13" s="53" t="n">
        <x:f>Q13+(AS13+AT13+AU13+AV13+AW13+AX13)*B13</x:f>
        <x:v>0</x:v>
      </x:c>
      <x:c r="AZ13" s="53" t="n">
        <x:f>P13+(AS13*ret_rail+AT13*ret_tel+AU13*ret_elec+AV13*ret_auto+AW13*ret_chem+AX13*ret_steel)*B13*IF(OR($A13=1931,$A13=1932),abroad_slump,1)+AB13+AG13</x:f>
        <x:v>0</x:v>
      </x:c>
      <x:c r="BA13" s="53" t="n">
        <x:f>AP13*champ_profit+AZ13</x:f>
        <x:v>0</x:v>
      </x:c>
      <x:c r="BB13" s="53" t="n">
        <x:f>(K13+AI13+AK13)*champ_profit+P13+(AS13*ret_rail+AT13*ret_tel+AU13*ret_elec)*B13*IF(OR($A13=1931,$A13=1932),abroad_slump,1)</x:f>
        <x:v>0</x:v>
      </x:c>
      <x:c r="BC13" s="53" t="n">
        <x:f>(T13+W13+Z13+AF13+AN13+AO13)*champ_profit+(AV13*ret_auto+AW13*ret_chem+AX13*ret_steel)*B13*IF(OR($A13=1931,$A13=1932),abroad_slump,1)+AB13+AG13</x:f>
        <x:v>0</x:v>
      </x:c>
      <x:c r="BD13" s="53" t="n">
        <x:f>IF($A13&gt;=crown_start,(BB13*crown_charter+BC13*crown_comp)*crown_payout,0)</x:f>
        <x:v>0</x:v>
      </x:c>
      <x:c r="BE13" s="63" t="n">
        <x:f>IF(BB13+BC13&gt;0,(BB13*crown_charter+BC13*crown_comp)/(BA13),0)</x:f>
        <x:v>0</x:v>
      </x:c>
    </x:row>
    <x:row r="14">
      <x:c r="A14" s="58" t="n">
        <x:v>1854</x:v>
      </x:c>
      <x:c r="B14" s="65" t="n">
        <x:f>champ_scale*(1+Labour!AP14)*(1+Partners!BX14)*(1-IF(union_resp=2,tariff_cut*Labour!S14,0))</x:f>
        <x:v>1</x:v>
      </x:c>
      <x:c r="C14" s="45" t="n">
        <x:v>0</x:v>
      </x:c>
      <x:c r="D14" s="45" t="n">
        <x:v>0</x:v>
      </x:c>
      <x:c r="E14" s="45" t="n">
        <x:v>0</x:v>
      </x:c>
      <x:c r="F14" s="47" t="n">
        <x:f>E14*B14</x:f>
        <x:v>0</x:v>
      </x:c>
      <x:c r="G14" s="47" t="n">
        <x:f>F14/Economy!B14*1000000</x:f>
        <x:v>0</x:v>
      </x:c>
      <x:c r="H14" s="45" t="n">
        <x:v>0</x:v>
      </x:c>
      <x:c r="I14" s="67" t="n">
        <x:f>IF(H14&gt;0,G14/H14,0)</x:f>
        <x:v>0</x:v>
      </x:c>
      <x:c r="J14" s="68" t="n">
        <x:v>0</x:v>
      </x:c>
      <x:c r="K14" s="53" t="n">
        <x:f>Resources!K14*J14*B14</x:f>
        <x:v>0</x:v>
      </x:c>
      <x:c r="L14" s="45" t="n">
        <x:v>0</x:v>
      </x:c>
      <x:c r="M14" s="59" t="n">
        <x:v>0</x:v>
      </x:c>
      <x:c r="N14" s="45" t="n">
        <x:v>0</x:v>
      </x:c>
      <x:c r="O14" s="68" t="n">
        <x:v>0</x:v>
      </x:c>
      <x:c r="P14" s="53" t="n">
        <x:f>(IF(Gulf!E14=1,0,L14*M14)+N14)*O14*B14</x:f>
        <x:v>0</x:v>
      </x:c>
      <x:c r="Q14" s="53" t="n">
        <x:f>P14*oil_book</x:f>
        <x:v>0</x:v>
      </x:c>
      <x:c r="R14" s="68" t="n">
        <x:v>0</x:v>
      </x:c>
      <x:c r="S14" s="45" t="n">
        <x:v>0</x:v>
      </x:c>
      <x:c r="T14" s="53" t="n">
        <x:f>R14*S14*B14</x:f>
        <x:v>0</x:v>
      </x:c>
      <x:c r="U14" s="45" t="n">
        <x:v>0</x:v>
      </x:c>
      <x:c r="V14" s="45" t="n">
        <x:v>0</x:v>
      </x:c>
      <x:c r="W14" s="53" t="n">
        <x:f>U14/1000*V14*B14</x:f>
        <x:v>0</x:v>
      </x:c>
      <x:c r="X14" s="45" t="n">
        <x:v>0</x:v>
      </x:c>
      <x:c r="Y14" s="59" t="n">
        <x:v>0</x:v>
      </x:c>
      <x:c r="Z14" s="53" t="n">
        <x:f>X14*Y14*chem_va*B14</x:f>
        <x:v>0</x:v>
      </x:c>
      <x:c r="AA14" s="59" t="n">
        <x:v>0</x:v>
      </x:c>
      <x:c r="AB14" s="53" t="n">
        <x:f>X14*AA14*roy_rate*B14*(1-IF(union_resp=2,lic_cut*Labour!S14,0))</x:f>
        <x:v>0</x:v>
      </x:c>
      <x:c r="AC14" s="45" t="n">
        <x:v>0</x:v>
      </x:c>
      <x:c r="AD14" s="59" t="n">
        <x:v>0</x:v>
      </x:c>
      <x:c r="AE14" s="59" t="n">
        <x:v>0</x:v>
      </x:c>
      <x:c r="AF14" s="53" t="n">
        <x:f>AC14*AD14*elec_va*B14</x:f>
        <x:v>0</x:v>
      </x:c>
      <x:c r="AG14" s="53" t="n">
        <x:f>MAX(0,AE14-AD14)*AC14*roy_rate*B14*(1-IF(union_resp=2,lic_cut*Labour!S14,0))</x:f>
        <x:v>0</x:v>
      </x:c>
      <x:c r="AH14" s="52" t="n">
        <x:v>0</x:v>
      </x:c>
      <x:c r="AI14" s="53" t="n">
        <x:f>AH14*B14</x:f>
        <x:v>0</x:v>
      </x:c>
      <x:c r="AJ14" s="52" t="n">
        <x:v>0</x:v>
      </x:c>
      <x:c r="AK14" s="53" t="n">
        <x:f>AJ14*B14</x:f>
        <x:v>0</x:v>
      </x:c>
      <x:c r="AL14" s="45" t="n">
        <x:v>0</x:v>
      </x:c>
      <x:c r="AM14" s="53" t="n">
        <x:f>AL14*uw_fee*B14</x:f>
        <x:v>0</x:v>
      </x:c>
      <x:c r="AN14" s="52" t="n">
        <x:v>0</x:v>
      </x:c>
      <x:c r="AO14" s="52" t="n">
        <x:v>0</x:v>
      </x:c>
      <x:c r="AP14" s="53" t="n">
        <x:f>K14+T14+W14+Z14+AF14+AI14+AK14+AM14+AN14+AO14</x:f>
        <x:v>0</x:v>
      </x:c>
      <x:c r="AQ14" s="53" t="n">
        <x:f>AP14*(1-1/champ_prem+champ_spill)</x:f>
        <x:v>0</x:v>
      </x:c>
      <x:c r="AR14" s="63" t="n">
        <x:f>AP14/Economy!O14</x:f>
        <x:v>0</x:v>
      </x:c>
      <x:c r="AS14" s="52" t="n">
        <x:v>0</x:v>
      </x:c>
      <x:c r="AT14" s="52" t="n">
        <x:v>0</x:v>
      </x:c>
      <x:c r="AU14" s="52" t="n">
        <x:v>0</x:v>
      </x:c>
      <x:c r="AV14" s="52" t="n">
        <x:v>0</x:v>
      </x:c>
      <x:c r="AW14" s="52" t="n">
        <x:v>0</x:v>
      </x:c>
      <x:c r="AX14" s="52" t="n">
        <x:v>0</x:v>
      </x:c>
      <x:c r="AY14" s="53" t="n">
        <x:f>Q14+(AS14+AT14+AU14+AV14+AW14+AX14)*B14</x:f>
        <x:v>0</x:v>
      </x:c>
      <x:c r="AZ14" s="53" t="n">
        <x:f>P14+(AS14*ret_rail+AT14*ret_tel+AU14*ret_elec+AV14*ret_auto+AW14*ret_chem+AX14*ret_steel)*B14*IF(OR($A14=1931,$A14=1932),abroad_slump,1)+AB14+AG14</x:f>
        <x:v>0</x:v>
      </x:c>
      <x:c r="BA14" s="53" t="n">
        <x:f>AP14*champ_profit+AZ14</x:f>
        <x:v>0</x:v>
      </x:c>
      <x:c r="BB14" s="53" t="n">
        <x:f>(K14+AI14+AK14)*champ_profit+P14+(AS14*ret_rail+AT14*ret_tel+AU14*ret_elec)*B14*IF(OR($A14=1931,$A14=1932),abroad_slump,1)</x:f>
        <x:v>0</x:v>
      </x:c>
      <x:c r="BC14" s="53" t="n">
        <x:f>(T14+W14+Z14+AF14+AN14+AO14)*champ_profit+(AV14*ret_auto+AW14*ret_chem+AX14*ret_steel)*B14*IF(OR($A14=1931,$A14=1932),abroad_slump,1)+AB14+AG14</x:f>
        <x:v>0</x:v>
      </x:c>
      <x:c r="BD14" s="53" t="n">
        <x:f>IF($A14&gt;=crown_start,(BB14*crown_charter+BC14*crown_comp)*crown_payout,0)</x:f>
        <x:v>0</x:v>
      </x:c>
      <x:c r="BE14" s="63" t="n">
        <x:f>IF(BB14+BC14&gt;0,(BB14*crown_charter+BC14*crown_comp)/(BA14),0)</x:f>
        <x:v>0</x:v>
      </x:c>
    </x:row>
    <x:row r="15">
      <x:c r="A15" s="58" t="n">
        <x:v>1855</x:v>
      </x:c>
      <x:c r="B15" s="65" t="n">
        <x:f>champ_scale*(1+Labour!AP15)*(1+Partners!BX15)*(1-IF(union_resp=2,tariff_cut*Labour!S15,0))</x:f>
        <x:v>1</x:v>
      </x:c>
      <x:c r="C15" s="45" t="n">
        <x:v>0</x:v>
      </x:c>
      <x:c r="D15" s="45" t="n">
        <x:v>0</x:v>
      </x:c>
      <x:c r="E15" s="45" t="n">
        <x:v>0</x:v>
      </x:c>
      <x:c r="F15" s="47" t="n">
        <x:f>E15*B15</x:f>
        <x:v>0</x:v>
      </x:c>
      <x:c r="G15" s="47" t="n">
        <x:f>F15/Economy!B15*1000000</x:f>
        <x:v>0</x:v>
      </x:c>
      <x:c r="H15" s="45" t="n">
        <x:v>0</x:v>
      </x:c>
      <x:c r="I15" s="67" t="n">
        <x:f>IF(H15&gt;0,G15/H15,0)</x:f>
        <x:v>0</x:v>
      </x:c>
      <x:c r="J15" s="68" t="n">
        <x:v>0</x:v>
      </x:c>
      <x:c r="K15" s="53" t="n">
        <x:f>Resources!K15*J15*B15</x:f>
        <x:v>0</x:v>
      </x:c>
      <x:c r="L15" s="45" t="n">
        <x:v>0</x:v>
      </x:c>
      <x:c r="M15" s="59" t="n">
        <x:v>0</x:v>
      </x:c>
      <x:c r="N15" s="45" t="n">
        <x:v>0</x:v>
      </x:c>
      <x:c r="O15" s="68" t="n">
        <x:v>0</x:v>
      </x:c>
      <x:c r="P15" s="53" t="n">
        <x:f>(IF(Gulf!E15=1,0,L15*M15)+N15)*O15*B15</x:f>
        <x:v>0</x:v>
      </x:c>
      <x:c r="Q15" s="53" t="n">
        <x:f>P15*oil_book</x:f>
        <x:v>0</x:v>
      </x:c>
      <x:c r="R15" s="68" t="n">
        <x:v>0</x:v>
      </x:c>
      <x:c r="S15" s="45" t="n">
        <x:v>0</x:v>
      </x:c>
      <x:c r="T15" s="53" t="n">
        <x:f>R15*S15*B15</x:f>
        <x:v>0</x:v>
      </x:c>
      <x:c r="U15" s="45" t="n">
        <x:v>0</x:v>
      </x:c>
      <x:c r="V15" s="45" t="n">
        <x:v>0</x:v>
      </x:c>
      <x:c r="W15" s="53" t="n">
        <x:f>U15/1000*V15*B15</x:f>
        <x:v>0</x:v>
      </x:c>
      <x:c r="X15" s="45" t="n">
        <x:v>0</x:v>
      </x:c>
      <x:c r="Y15" s="59" t="n">
        <x:v>0</x:v>
      </x:c>
      <x:c r="Z15" s="53" t="n">
        <x:f>X15*Y15*chem_va*B15</x:f>
        <x:v>0</x:v>
      </x:c>
      <x:c r="AA15" s="59" t="n">
        <x:v>0</x:v>
      </x:c>
      <x:c r="AB15" s="53" t="n">
        <x:f>X15*AA15*roy_rate*B15*(1-IF(union_resp=2,lic_cut*Labour!S15,0))</x:f>
        <x:v>0</x:v>
      </x:c>
      <x:c r="AC15" s="45" t="n">
        <x:v>0</x:v>
      </x:c>
      <x:c r="AD15" s="59" t="n">
        <x:v>0</x:v>
      </x:c>
      <x:c r="AE15" s="59" t="n">
        <x:v>0</x:v>
      </x:c>
      <x:c r="AF15" s="53" t="n">
        <x:f>AC15*AD15*elec_va*B15</x:f>
        <x:v>0</x:v>
      </x:c>
      <x:c r="AG15" s="53" t="n">
        <x:f>MAX(0,AE15-AD15)*AC15*roy_rate*B15*(1-IF(union_resp=2,lic_cut*Labour!S15,0))</x:f>
        <x:v>0</x:v>
      </x:c>
      <x:c r="AH15" s="52" t="n">
        <x:v>0</x:v>
      </x:c>
      <x:c r="AI15" s="53" t="n">
        <x:f>AH15*B15</x:f>
        <x:v>0</x:v>
      </x:c>
      <x:c r="AJ15" s="52" t="n">
        <x:v>0</x:v>
      </x:c>
      <x:c r="AK15" s="53" t="n">
        <x:f>AJ15*B15</x:f>
        <x:v>0</x:v>
      </x:c>
      <x:c r="AL15" s="45" t="n">
        <x:v>0</x:v>
      </x:c>
      <x:c r="AM15" s="53" t="n">
        <x:f>AL15*uw_fee*B15</x:f>
        <x:v>0</x:v>
      </x:c>
      <x:c r="AN15" s="52" t="n">
        <x:v>0</x:v>
      </x:c>
      <x:c r="AO15" s="52" t="n">
        <x:v>0</x:v>
      </x:c>
      <x:c r="AP15" s="53" t="n">
        <x:f>K15+T15+W15+Z15+AF15+AI15+AK15+AM15+AN15+AO15</x:f>
        <x:v>0</x:v>
      </x:c>
      <x:c r="AQ15" s="53" t="n">
        <x:f>AP15*(1-1/champ_prem+champ_spill)</x:f>
        <x:v>0</x:v>
      </x:c>
      <x:c r="AR15" s="63" t="n">
        <x:f>AP15/Economy!O15</x:f>
        <x:v>0</x:v>
      </x:c>
      <x:c r="AS15" s="52" t="n">
        <x:v>0</x:v>
      </x:c>
      <x:c r="AT15" s="52" t="n">
        <x:v>0</x:v>
      </x:c>
      <x:c r="AU15" s="52" t="n">
        <x:v>0</x:v>
      </x:c>
      <x:c r="AV15" s="52" t="n">
        <x:v>0</x:v>
      </x:c>
      <x:c r="AW15" s="52" t="n">
        <x:v>0</x:v>
      </x:c>
      <x:c r="AX15" s="52" t="n">
        <x:v>0</x:v>
      </x:c>
      <x:c r="AY15" s="53" t="n">
        <x:f>Q15+(AS15+AT15+AU15+AV15+AW15+AX15)*B15</x:f>
        <x:v>0</x:v>
      </x:c>
      <x:c r="AZ15" s="53" t="n">
        <x:f>P15+(AS15*ret_rail+AT15*ret_tel+AU15*ret_elec+AV15*ret_auto+AW15*ret_chem+AX15*ret_steel)*B15*IF(OR($A15=1931,$A15=1932),abroad_slump,1)+AB15+AG15</x:f>
        <x:v>0</x:v>
      </x:c>
      <x:c r="BA15" s="53" t="n">
        <x:f>AP15*champ_profit+AZ15</x:f>
        <x:v>0</x:v>
      </x:c>
      <x:c r="BB15" s="53" t="n">
        <x:f>(K15+AI15+AK15)*champ_profit+P15+(AS15*ret_rail+AT15*ret_tel+AU15*ret_elec)*B15*IF(OR($A15=1931,$A15=1932),abroad_slump,1)</x:f>
        <x:v>0</x:v>
      </x:c>
      <x:c r="BC15" s="53" t="n">
        <x:f>(T15+W15+Z15+AF15+AN15+AO15)*champ_profit+(AV15*ret_auto+AW15*ret_chem+AX15*ret_steel)*B15*IF(OR($A15=1931,$A15=1932),abroad_slump,1)+AB15+AG15</x:f>
        <x:v>0</x:v>
      </x:c>
      <x:c r="BD15" s="53" t="n">
        <x:f>IF($A15&gt;=crown_start,(BB15*crown_charter+BC15*crown_comp)*crown_payout,0)</x:f>
        <x:v>0</x:v>
      </x:c>
      <x:c r="BE15" s="63" t="n">
        <x:f>IF(BB15+BC15&gt;0,(BB15*crown_charter+BC15*crown_comp)/(BA15),0)</x:f>
        <x:v>0</x:v>
      </x:c>
    </x:row>
    <x:row r="16">
      <x:c r="A16" s="58" t="n">
        <x:v>1856</x:v>
      </x:c>
      <x:c r="B16" s="65" t="n">
        <x:f>champ_scale*(1+Labour!AP16)*(1+Partners!BX16)*(1-IF(union_resp=2,tariff_cut*Labour!S16,0))</x:f>
        <x:v>1</x:v>
      </x:c>
      <x:c r="C16" s="45" t="n">
        <x:v>0</x:v>
      </x:c>
      <x:c r="D16" s="45" t="n">
        <x:v>0</x:v>
      </x:c>
      <x:c r="E16" s="45" t="n">
        <x:v>0</x:v>
      </x:c>
      <x:c r="F16" s="47" t="n">
        <x:f>E16*B16</x:f>
        <x:v>0</x:v>
      </x:c>
      <x:c r="G16" s="47" t="n">
        <x:f>F16/Economy!B16*1000000</x:f>
        <x:v>0</x:v>
      </x:c>
      <x:c r="H16" s="45" t="n">
        <x:v>0</x:v>
      </x:c>
      <x:c r="I16" s="67" t="n">
        <x:f>IF(H16&gt;0,G16/H16,0)</x:f>
        <x:v>0</x:v>
      </x:c>
      <x:c r="J16" s="68" t="n">
        <x:v>0</x:v>
      </x:c>
      <x:c r="K16" s="53" t="n">
        <x:f>Resources!K16*J16*B16</x:f>
        <x:v>0</x:v>
      </x:c>
      <x:c r="L16" s="45" t="n">
        <x:v>0</x:v>
      </x:c>
      <x:c r="M16" s="59" t="n">
        <x:v>0</x:v>
      </x:c>
      <x:c r="N16" s="45" t="n">
        <x:v>0</x:v>
      </x:c>
      <x:c r="O16" s="68" t="n">
        <x:v>0</x:v>
      </x:c>
      <x:c r="P16" s="53" t="n">
        <x:f>(IF(Gulf!E16=1,0,L16*M16)+N16)*O16*B16</x:f>
        <x:v>0</x:v>
      </x:c>
      <x:c r="Q16" s="53" t="n">
        <x:f>P16*oil_book</x:f>
        <x:v>0</x:v>
      </x:c>
      <x:c r="R16" s="68" t="n">
        <x:v>0</x:v>
      </x:c>
      <x:c r="S16" s="45" t="n">
        <x:v>0</x:v>
      </x:c>
      <x:c r="T16" s="53" t="n">
        <x:f>R16*S16*B16</x:f>
        <x:v>0</x:v>
      </x:c>
      <x:c r="U16" s="45" t="n">
        <x:v>0</x:v>
      </x:c>
      <x:c r="V16" s="45" t="n">
        <x:v>0</x:v>
      </x:c>
      <x:c r="W16" s="53" t="n">
        <x:f>U16/1000*V16*B16</x:f>
        <x:v>0</x:v>
      </x:c>
      <x:c r="X16" s="45" t="n">
        <x:v>0</x:v>
      </x:c>
      <x:c r="Y16" s="59" t="n">
        <x:v>0</x:v>
      </x:c>
      <x:c r="Z16" s="53" t="n">
        <x:f>X16*Y16*chem_va*B16</x:f>
        <x:v>0</x:v>
      </x:c>
      <x:c r="AA16" s="59" t="n">
        <x:v>0</x:v>
      </x:c>
      <x:c r="AB16" s="53" t="n">
        <x:f>X16*AA16*roy_rate*B16*(1-IF(union_resp=2,lic_cut*Labour!S16,0))</x:f>
        <x:v>0</x:v>
      </x:c>
      <x:c r="AC16" s="45" t="n">
        <x:v>0</x:v>
      </x:c>
      <x:c r="AD16" s="59" t="n">
        <x:v>0</x:v>
      </x:c>
      <x:c r="AE16" s="59" t="n">
        <x:v>0</x:v>
      </x:c>
      <x:c r="AF16" s="53" t="n">
        <x:f>AC16*AD16*elec_va*B16</x:f>
        <x:v>0</x:v>
      </x:c>
      <x:c r="AG16" s="53" t="n">
        <x:f>MAX(0,AE16-AD16)*AC16*roy_rate*B16*(1-IF(union_resp=2,lic_cut*Labour!S16,0))</x:f>
        <x:v>0</x:v>
      </x:c>
      <x:c r="AH16" s="52" t="n">
        <x:v>0</x:v>
      </x:c>
      <x:c r="AI16" s="53" t="n">
        <x:f>AH16*B16</x:f>
        <x:v>0</x:v>
      </x:c>
      <x:c r="AJ16" s="52" t="n">
        <x:v>0</x:v>
      </x:c>
      <x:c r="AK16" s="53" t="n">
        <x:f>AJ16*B16</x:f>
        <x:v>0</x:v>
      </x:c>
      <x:c r="AL16" s="45" t="n">
        <x:v>0</x:v>
      </x:c>
      <x:c r="AM16" s="53" t="n">
        <x:f>AL16*uw_fee*B16</x:f>
        <x:v>0</x:v>
      </x:c>
      <x:c r="AN16" s="52" t="n">
        <x:v>0</x:v>
      </x:c>
      <x:c r="AO16" s="52" t="n">
        <x:v>0</x:v>
      </x:c>
      <x:c r="AP16" s="53" t="n">
        <x:f>K16+T16+W16+Z16+AF16+AI16+AK16+AM16+AN16+AO16</x:f>
        <x:v>0</x:v>
      </x:c>
      <x:c r="AQ16" s="53" t="n">
        <x:f>AP16*(1-1/champ_prem+champ_spill)</x:f>
        <x:v>0</x:v>
      </x:c>
      <x:c r="AR16" s="63" t="n">
        <x:f>AP16/Economy!O16</x:f>
        <x:v>0</x:v>
      </x:c>
      <x:c r="AS16" s="52" t="n">
        <x:v>0</x:v>
      </x:c>
      <x:c r="AT16" s="52" t="n">
        <x:v>0</x:v>
      </x:c>
      <x:c r="AU16" s="52" t="n">
        <x:v>0</x:v>
      </x:c>
      <x:c r="AV16" s="52" t="n">
        <x:v>0</x:v>
      </x:c>
      <x:c r="AW16" s="52" t="n">
        <x:v>0</x:v>
      </x:c>
      <x:c r="AX16" s="52" t="n">
        <x:v>0</x:v>
      </x:c>
      <x:c r="AY16" s="53" t="n">
        <x:f>Q16+(AS16+AT16+AU16+AV16+AW16+AX16)*B16</x:f>
        <x:v>0</x:v>
      </x:c>
      <x:c r="AZ16" s="53" t="n">
        <x:f>P16+(AS16*ret_rail+AT16*ret_tel+AU16*ret_elec+AV16*ret_auto+AW16*ret_chem+AX16*ret_steel)*B16*IF(OR($A16=1931,$A16=1932),abroad_slump,1)+AB16+AG16</x:f>
        <x:v>0</x:v>
      </x:c>
      <x:c r="BA16" s="53" t="n">
        <x:f>AP16*champ_profit+AZ16</x:f>
        <x:v>0</x:v>
      </x:c>
      <x:c r="BB16" s="53" t="n">
        <x:f>(K16+AI16+AK16)*champ_profit+P16+(AS16*ret_rail+AT16*ret_tel+AU16*ret_elec)*B16*IF(OR($A16=1931,$A16=1932),abroad_slump,1)</x:f>
        <x:v>0</x:v>
      </x:c>
      <x:c r="BC16" s="53" t="n">
        <x:f>(T16+W16+Z16+AF16+AN16+AO16)*champ_profit+(AV16*ret_auto+AW16*ret_chem+AX16*ret_steel)*B16*IF(OR($A16=1931,$A16=1932),abroad_slump,1)+AB16+AG16</x:f>
        <x:v>0</x:v>
      </x:c>
      <x:c r="BD16" s="53" t="n">
        <x:f>IF($A16&gt;=crown_start,(BB16*crown_charter+BC16*crown_comp)*crown_payout,0)</x:f>
        <x:v>0</x:v>
      </x:c>
      <x:c r="BE16" s="63" t="n">
        <x:f>IF(BB16+BC16&gt;0,(BB16*crown_charter+BC16*crown_comp)/(BA16),0)</x:f>
        <x:v>0</x:v>
      </x:c>
    </x:row>
    <x:row r="17">
      <x:c r="A17" s="58" t="n">
        <x:v>1857</x:v>
      </x:c>
      <x:c r="B17" s="65" t="n">
        <x:f>champ_scale*(1+Labour!AP17)*(1+Partners!BX17)*(1-IF(union_resp=2,tariff_cut*Labour!S17,0))</x:f>
        <x:v>1</x:v>
      </x:c>
      <x:c r="C17" s="45" t="n">
        <x:v>0</x:v>
      </x:c>
      <x:c r="D17" s="45" t="n">
        <x:v>0</x:v>
      </x:c>
      <x:c r="E17" s="45" t="n">
        <x:v>0</x:v>
      </x:c>
      <x:c r="F17" s="47" t="n">
        <x:f>E17*B17</x:f>
        <x:v>0</x:v>
      </x:c>
      <x:c r="G17" s="47" t="n">
        <x:f>F17/Economy!B17*1000000</x:f>
        <x:v>0</x:v>
      </x:c>
      <x:c r="H17" s="45" t="n">
        <x:v>0</x:v>
      </x:c>
      <x:c r="I17" s="67" t="n">
        <x:f>IF(H17&gt;0,G17/H17,0)</x:f>
        <x:v>0</x:v>
      </x:c>
      <x:c r="J17" s="68" t="n">
        <x:v>0</x:v>
      </x:c>
      <x:c r="K17" s="53" t="n">
        <x:f>Resources!K17*J17*B17</x:f>
        <x:v>0</x:v>
      </x:c>
      <x:c r="L17" s="45" t="n">
        <x:v>0</x:v>
      </x:c>
      <x:c r="M17" s="59" t="n">
        <x:v>0</x:v>
      </x:c>
      <x:c r="N17" s="45" t="n">
        <x:v>0</x:v>
      </x:c>
      <x:c r="O17" s="68" t="n">
        <x:v>0</x:v>
      </x:c>
      <x:c r="P17" s="53" t="n">
        <x:f>(IF(Gulf!E17=1,0,L17*M17)+N17)*O17*B17</x:f>
        <x:v>0</x:v>
      </x:c>
      <x:c r="Q17" s="53" t="n">
        <x:f>P17*oil_book</x:f>
        <x:v>0</x:v>
      </x:c>
      <x:c r="R17" s="68" t="n">
        <x:v>0</x:v>
      </x:c>
      <x:c r="S17" s="45" t="n">
        <x:v>0</x:v>
      </x:c>
      <x:c r="T17" s="53" t="n">
        <x:f>R17*S17*B17</x:f>
        <x:v>0</x:v>
      </x:c>
      <x:c r="U17" s="45" t="n">
        <x:v>0</x:v>
      </x:c>
      <x:c r="V17" s="45" t="n">
        <x:v>0</x:v>
      </x:c>
      <x:c r="W17" s="53" t="n">
        <x:f>U17/1000*V17*B17</x:f>
        <x:v>0</x:v>
      </x:c>
      <x:c r="X17" s="45" t="n">
        <x:v>0</x:v>
      </x:c>
      <x:c r="Y17" s="59" t="n">
        <x:v>0</x:v>
      </x:c>
      <x:c r="Z17" s="53" t="n">
        <x:f>X17*Y17*chem_va*B17</x:f>
        <x:v>0</x:v>
      </x:c>
      <x:c r="AA17" s="59" t="n">
        <x:v>0</x:v>
      </x:c>
      <x:c r="AB17" s="53" t="n">
        <x:f>X17*AA17*roy_rate*B17*(1-IF(union_resp=2,lic_cut*Labour!S17,0))</x:f>
        <x:v>0</x:v>
      </x:c>
      <x:c r="AC17" s="45" t="n">
        <x:v>0</x:v>
      </x:c>
      <x:c r="AD17" s="59" t="n">
        <x:v>0</x:v>
      </x:c>
      <x:c r="AE17" s="59" t="n">
        <x:v>0</x:v>
      </x:c>
      <x:c r="AF17" s="53" t="n">
        <x:f>AC17*AD17*elec_va*B17</x:f>
        <x:v>0</x:v>
      </x:c>
      <x:c r="AG17" s="53" t="n">
        <x:f>MAX(0,AE17-AD17)*AC17*roy_rate*B17*(1-IF(union_resp=2,lic_cut*Labour!S17,0))</x:f>
        <x:v>0</x:v>
      </x:c>
      <x:c r="AH17" s="52" t="n">
        <x:v>0</x:v>
      </x:c>
      <x:c r="AI17" s="53" t="n">
        <x:f>AH17*B17</x:f>
        <x:v>0</x:v>
      </x:c>
      <x:c r="AJ17" s="52" t="n">
        <x:v>0</x:v>
      </x:c>
      <x:c r="AK17" s="53" t="n">
        <x:f>AJ17*B17</x:f>
        <x:v>0</x:v>
      </x:c>
      <x:c r="AL17" s="45" t="n">
        <x:v>0</x:v>
      </x:c>
      <x:c r="AM17" s="53" t="n">
        <x:f>AL17*uw_fee*B17</x:f>
        <x:v>0</x:v>
      </x:c>
      <x:c r="AN17" s="52" t="n">
        <x:v>0</x:v>
      </x:c>
      <x:c r="AO17" s="52" t="n">
        <x:v>0</x:v>
      </x:c>
      <x:c r="AP17" s="53" t="n">
        <x:f>K17+T17+W17+Z17+AF17+AI17+AK17+AM17+AN17+AO17</x:f>
        <x:v>0</x:v>
      </x:c>
      <x:c r="AQ17" s="53" t="n">
        <x:f>AP17*(1-1/champ_prem+champ_spill)</x:f>
        <x:v>0</x:v>
      </x:c>
      <x:c r="AR17" s="63" t="n">
        <x:f>AP17/Economy!O17</x:f>
        <x:v>0</x:v>
      </x:c>
      <x:c r="AS17" s="52" t="n">
        <x:v>0</x:v>
      </x:c>
      <x:c r="AT17" s="52" t="n">
        <x:v>0</x:v>
      </x:c>
      <x:c r="AU17" s="52" t="n">
        <x:v>0</x:v>
      </x:c>
      <x:c r="AV17" s="52" t="n">
        <x:v>0</x:v>
      </x:c>
      <x:c r="AW17" s="52" t="n">
        <x:v>0</x:v>
      </x:c>
      <x:c r="AX17" s="52" t="n">
        <x:v>0</x:v>
      </x:c>
      <x:c r="AY17" s="53" t="n">
        <x:f>Q17+(AS17+AT17+AU17+AV17+AW17+AX17)*B17</x:f>
        <x:v>0</x:v>
      </x:c>
      <x:c r="AZ17" s="53" t="n">
        <x:f>P17+(AS17*ret_rail+AT17*ret_tel+AU17*ret_elec+AV17*ret_auto+AW17*ret_chem+AX17*ret_steel)*B17*IF(OR($A17=1931,$A17=1932),abroad_slump,1)+AB17+AG17</x:f>
        <x:v>0</x:v>
      </x:c>
      <x:c r="BA17" s="53" t="n">
        <x:f>AP17*champ_profit+AZ17</x:f>
        <x:v>0</x:v>
      </x:c>
      <x:c r="BB17" s="53" t="n">
        <x:f>(K17+AI17+AK17)*champ_profit+P17+(AS17*ret_rail+AT17*ret_tel+AU17*ret_elec)*B17*IF(OR($A17=1931,$A17=1932),abroad_slump,1)</x:f>
        <x:v>0</x:v>
      </x:c>
      <x:c r="BC17" s="53" t="n">
        <x:f>(T17+W17+Z17+AF17+AN17+AO17)*champ_profit+(AV17*ret_auto+AW17*ret_chem+AX17*ret_steel)*B17*IF(OR($A17=1931,$A17=1932),abroad_slump,1)+AB17+AG17</x:f>
        <x:v>0</x:v>
      </x:c>
      <x:c r="BD17" s="53" t="n">
        <x:f>IF($A17&gt;=crown_start,(BB17*crown_charter+BC17*crown_comp)*crown_payout,0)</x:f>
        <x:v>0</x:v>
      </x:c>
      <x:c r="BE17" s="63" t="n">
        <x:f>IF(BB17+BC17&gt;0,(BB17*crown_charter+BC17*crown_comp)/(BA17),0)</x:f>
        <x:v>0</x:v>
      </x:c>
    </x:row>
    <x:row r="18">
      <x:c r="A18" s="58" t="n">
        <x:v>1858</x:v>
      </x:c>
      <x:c r="B18" s="65" t="n">
        <x:f>champ_scale*(1+Labour!AP18)*(1+Partners!BX18)*(1-IF(union_resp=2,tariff_cut*Labour!S18,0))</x:f>
        <x:v>1</x:v>
      </x:c>
      <x:c r="C18" s="45" t="n">
        <x:v>0</x:v>
      </x:c>
      <x:c r="D18" s="45" t="n">
        <x:v>0</x:v>
      </x:c>
      <x:c r="E18" s="45" t="n">
        <x:v>0</x:v>
      </x:c>
      <x:c r="F18" s="47" t="n">
        <x:f>E18*B18</x:f>
        <x:v>0</x:v>
      </x:c>
      <x:c r="G18" s="47" t="n">
        <x:f>F18/Economy!B18*1000000</x:f>
        <x:v>0</x:v>
      </x:c>
      <x:c r="H18" s="45" t="n">
        <x:v>0</x:v>
      </x:c>
      <x:c r="I18" s="67" t="n">
        <x:f>IF(H18&gt;0,G18/H18,0)</x:f>
        <x:v>0</x:v>
      </x:c>
      <x:c r="J18" s="68" t="n">
        <x:v>0</x:v>
      </x:c>
      <x:c r="K18" s="53" t="n">
        <x:f>Resources!K18*J18*B18</x:f>
        <x:v>0</x:v>
      </x:c>
      <x:c r="L18" s="45" t="n">
        <x:v>0</x:v>
      </x:c>
      <x:c r="M18" s="59" t="n">
        <x:v>0</x:v>
      </x:c>
      <x:c r="N18" s="45" t="n">
        <x:v>0</x:v>
      </x:c>
      <x:c r="O18" s="68" t="n">
        <x:v>0</x:v>
      </x:c>
      <x:c r="P18" s="53" t="n">
        <x:f>(IF(Gulf!E18=1,0,L18*M18)+N18)*O18*B18</x:f>
        <x:v>0</x:v>
      </x:c>
      <x:c r="Q18" s="53" t="n">
        <x:f>P18*oil_book</x:f>
        <x:v>0</x:v>
      </x:c>
      <x:c r="R18" s="68" t="n">
        <x:v>0</x:v>
      </x:c>
      <x:c r="S18" s="45" t="n">
        <x:v>0</x:v>
      </x:c>
      <x:c r="T18" s="53" t="n">
        <x:f>R18*S18*B18</x:f>
        <x:v>0</x:v>
      </x:c>
      <x:c r="U18" s="45" t="n">
        <x:v>0</x:v>
      </x:c>
      <x:c r="V18" s="45" t="n">
        <x:v>0</x:v>
      </x:c>
      <x:c r="W18" s="53" t="n">
        <x:f>U18/1000*V18*B18</x:f>
        <x:v>0</x:v>
      </x:c>
      <x:c r="X18" s="45" t="n">
        <x:v>0</x:v>
      </x:c>
      <x:c r="Y18" s="59" t="n">
        <x:v>0</x:v>
      </x:c>
      <x:c r="Z18" s="53" t="n">
        <x:f>X18*Y18*chem_va*B18</x:f>
        <x:v>0</x:v>
      </x:c>
      <x:c r="AA18" s="59" t="n">
        <x:v>0</x:v>
      </x:c>
      <x:c r="AB18" s="53" t="n">
        <x:f>X18*AA18*roy_rate*B18*(1-IF(union_resp=2,lic_cut*Labour!S18,0))</x:f>
        <x:v>0</x:v>
      </x:c>
      <x:c r="AC18" s="45" t="n">
        <x:v>0</x:v>
      </x:c>
      <x:c r="AD18" s="59" t="n">
        <x:v>0</x:v>
      </x:c>
      <x:c r="AE18" s="59" t="n">
        <x:v>0</x:v>
      </x:c>
      <x:c r="AF18" s="53" t="n">
        <x:f>AC18*AD18*elec_va*B18</x:f>
        <x:v>0</x:v>
      </x:c>
      <x:c r="AG18" s="53" t="n">
        <x:f>MAX(0,AE18-AD18)*AC18*roy_rate*B18*(1-IF(union_resp=2,lic_cut*Labour!S18,0))</x:f>
        <x:v>0</x:v>
      </x:c>
      <x:c r="AH18" s="52" t="n">
        <x:v>0</x:v>
      </x:c>
      <x:c r="AI18" s="53" t="n">
        <x:f>AH18*B18</x:f>
        <x:v>0</x:v>
      </x:c>
      <x:c r="AJ18" s="52" t="n">
        <x:v>0</x:v>
      </x:c>
      <x:c r="AK18" s="53" t="n">
        <x:f>AJ18*B18</x:f>
        <x:v>0</x:v>
      </x:c>
      <x:c r="AL18" s="45" t="n">
        <x:v>0</x:v>
      </x:c>
      <x:c r="AM18" s="53" t="n">
        <x:f>AL18*uw_fee*B18</x:f>
        <x:v>0</x:v>
      </x:c>
      <x:c r="AN18" s="52" t="n">
        <x:v>0</x:v>
      </x:c>
      <x:c r="AO18" s="52" t="n">
        <x:v>0</x:v>
      </x:c>
      <x:c r="AP18" s="53" t="n">
        <x:f>K18+T18+W18+Z18+AF18+AI18+AK18+AM18+AN18+AO18</x:f>
        <x:v>0</x:v>
      </x:c>
      <x:c r="AQ18" s="53" t="n">
        <x:f>AP18*(1-1/champ_prem+champ_spill)</x:f>
        <x:v>0</x:v>
      </x:c>
      <x:c r="AR18" s="63" t="n">
        <x:f>AP18/Economy!O18</x:f>
        <x:v>0</x:v>
      </x:c>
      <x:c r="AS18" s="52" t="n">
        <x:v>0</x:v>
      </x:c>
      <x:c r="AT18" s="52" t="n">
        <x:v>0</x:v>
      </x:c>
      <x:c r="AU18" s="52" t="n">
        <x:v>0</x:v>
      </x:c>
      <x:c r="AV18" s="52" t="n">
        <x:v>0</x:v>
      </x:c>
      <x:c r="AW18" s="52" t="n">
        <x:v>0</x:v>
      </x:c>
      <x:c r="AX18" s="52" t="n">
        <x:v>0</x:v>
      </x:c>
      <x:c r="AY18" s="53" t="n">
        <x:f>Q18+(AS18+AT18+AU18+AV18+AW18+AX18)*B18</x:f>
        <x:v>0</x:v>
      </x:c>
      <x:c r="AZ18" s="53" t="n">
        <x:f>P18+(AS18*ret_rail+AT18*ret_tel+AU18*ret_elec+AV18*ret_auto+AW18*ret_chem+AX18*ret_steel)*B18*IF(OR($A18=1931,$A18=1932),abroad_slump,1)+AB18+AG18</x:f>
        <x:v>0</x:v>
      </x:c>
      <x:c r="BA18" s="53" t="n">
        <x:f>AP18*champ_profit+AZ18</x:f>
        <x:v>0</x:v>
      </x:c>
      <x:c r="BB18" s="53" t="n">
        <x:f>(K18+AI18+AK18)*champ_profit+P18+(AS18*ret_rail+AT18*ret_tel+AU18*ret_elec)*B18*IF(OR($A18=1931,$A18=1932),abroad_slump,1)</x:f>
        <x:v>0</x:v>
      </x:c>
      <x:c r="BC18" s="53" t="n">
        <x:f>(T18+W18+Z18+AF18+AN18+AO18)*champ_profit+(AV18*ret_auto+AW18*ret_chem+AX18*ret_steel)*B18*IF(OR($A18=1931,$A18=1932),abroad_slump,1)+AB18+AG18</x:f>
        <x:v>0</x:v>
      </x:c>
      <x:c r="BD18" s="53" t="n">
        <x:f>IF($A18&gt;=crown_start,(BB18*crown_charter+BC18*crown_comp)*crown_payout,0)</x:f>
        <x:v>0</x:v>
      </x:c>
      <x:c r="BE18" s="63" t="n">
        <x:f>IF(BB18+BC18&gt;0,(BB18*crown_charter+BC18*crown_comp)/(BA18),0)</x:f>
        <x:v>0</x:v>
      </x:c>
    </x:row>
    <x:row r="19">
      <x:c r="A19" s="58" t="n">
        <x:v>1859</x:v>
      </x:c>
      <x:c r="B19" s="65" t="n">
        <x:f>champ_scale*(1+Labour!AP19)*(1+Partners!BX19)*(1-IF(union_resp=2,tariff_cut*Labour!S19,0))</x:f>
        <x:v>1</x:v>
      </x:c>
      <x:c r="C19" s="45" t="n">
        <x:v>0</x:v>
      </x:c>
      <x:c r="D19" s="45" t="n">
        <x:v>0</x:v>
      </x:c>
      <x:c r="E19" s="45" t="n">
        <x:v>0</x:v>
      </x:c>
      <x:c r="F19" s="47" t="n">
        <x:f>E19*B19</x:f>
        <x:v>0</x:v>
      </x:c>
      <x:c r="G19" s="47" t="n">
        <x:f>F19/Economy!B19*1000000</x:f>
        <x:v>0</x:v>
      </x:c>
      <x:c r="H19" s="45" t="n">
        <x:v>0</x:v>
      </x:c>
      <x:c r="I19" s="67" t="n">
        <x:f>IF(H19&gt;0,G19/H19,0)</x:f>
        <x:v>0</x:v>
      </x:c>
      <x:c r="J19" s="68" t="n">
        <x:v>0</x:v>
      </x:c>
      <x:c r="K19" s="53" t="n">
        <x:f>Resources!K19*J19*B19</x:f>
        <x:v>0</x:v>
      </x:c>
      <x:c r="L19" s="45" t="n">
        <x:v>0</x:v>
      </x:c>
      <x:c r="M19" s="59" t="n">
        <x:v>0</x:v>
      </x:c>
      <x:c r="N19" s="45" t="n">
        <x:v>0</x:v>
      </x:c>
      <x:c r="O19" s="68" t="n">
        <x:v>0</x:v>
      </x:c>
      <x:c r="P19" s="53" t="n">
        <x:f>(IF(Gulf!E19=1,0,L19*M19)+N19)*O19*B19</x:f>
        <x:v>0</x:v>
      </x:c>
      <x:c r="Q19" s="53" t="n">
        <x:f>P19*oil_book</x:f>
        <x:v>0</x:v>
      </x:c>
      <x:c r="R19" s="68" t="n">
        <x:v>0</x:v>
      </x:c>
      <x:c r="S19" s="45" t="n">
        <x:v>0</x:v>
      </x:c>
      <x:c r="T19" s="53" t="n">
        <x:f>R19*S19*B19</x:f>
        <x:v>0</x:v>
      </x:c>
      <x:c r="U19" s="45" t="n">
        <x:v>0</x:v>
      </x:c>
      <x:c r="V19" s="45" t="n">
        <x:v>0</x:v>
      </x:c>
      <x:c r="W19" s="53" t="n">
        <x:f>U19/1000*V19*B19</x:f>
        <x:v>0</x:v>
      </x:c>
      <x:c r="X19" s="45" t="n">
        <x:v>0</x:v>
      </x:c>
      <x:c r="Y19" s="59" t="n">
        <x:v>0</x:v>
      </x:c>
      <x:c r="Z19" s="53" t="n">
        <x:f>X19*Y19*chem_va*B19</x:f>
        <x:v>0</x:v>
      </x:c>
      <x:c r="AA19" s="59" t="n">
        <x:v>0</x:v>
      </x:c>
      <x:c r="AB19" s="53" t="n">
        <x:f>X19*AA19*roy_rate*B19*(1-IF(union_resp=2,lic_cut*Labour!S19,0))</x:f>
        <x:v>0</x:v>
      </x:c>
      <x:c r="AC19" s="45" t="n">
        <x:v>0</x:v>
      </x:c>
      <x:c r="AD19" s="59" t="n">
        <x:v>0</x:v>
      </x:c>
      <x:c r="AE19" s="59" t="n">
        <x:v>0</x:v>
      </x:c>
      <x:c r="AF19" s="53" t="n">
        <x:f>AC19*AD19*elec_va*B19</x:f>
        <x:v>0</x:v>
      </x:c>
      <x:c r="AG19" s="53" t="n">
        <x:f>MAX(0,AE19-AD19)*AC19*roy_rate*B19*(1-IF(union_resp=2,lic_cut*Labour!S19,0))</x:f>
        <x:v>0</x:v>
      </x:c>
      <x:c r="AH19" s="52" t="n">
        <x:v>0</x:v>
      </x:c>
      <x:c r="AI19" s="53" t="n">
        <x:f>AH19*B19</x:f>
        <x:v>0</x:v>
      </x:c>
      <x:c r="AJ19" s="52" t="n">
        <x:v>0</x:v>
      </x:c>
      <x:c r="AK19" s="53" t="n">
        <x:f>AJ19*B19</x:f>
        <x:v>0</x:v>
      </x:c>
      <x:c r="AL19" s="45" t="n">
        <x:v>0</x:v>
      </x:c>
      <x:c r="AM19" s="53" t="n">
        <x:f>AL19*uw_fee*B19</x:f>
        <x:v>0</x:v>
      </x:c>
      <x:c r="AN19" s="52" t="n">
        <x:v>0</x:v>
      </x:c>
      <x:c r="AO19" s="52" t="n">
        <x:v>0</x:v>
      </x:c>
      <x:c r="AP19" s="53" t="n">
        <x:f>K19+T19+W19+Z19+AF19+AI19+AK19+AM19+AN19+AO19</x:f>
        <x:v>0</x:v>
      </x:c>
      <x:c r="AQ19" s="53" t="n">
        <x:f>AP19*(1-1/champ_prem+champ_spill)</x:f>
        <x:v>0</x:v>
      </x:c>
      <x:c r="AR19" s="63" t="n">
        <x:f>AP19/Economy!O19</x:f>
        <x:v>0</x:v>
      </x:c>
      <x:c r="AS19" s="52" t="n">
        <x:v>0</x:v>
      </x:c>
      <x:c r="AT19" s="52" t="n">
        <x:v>0</x:v>
      </x:c>
      <x:c r="AU19" s="52" t="n">
        <x:v>0</x:v>
      </x:c>
      <x:c r="AV19" s="52" t="n">
        <x:v>0</x:v>
      </x:c>
      <x:c r="AW19" s="52" t="n">
        <x:v>0</x:v>
      </x:c>
      <x:c r="AX19" s="52" t="n">
        <x:v>0</x:v>
      </x:c>
      <x:c r="AY19" s="53" t="n">
        <x:f>Q19+(AS19+AT19+AU19+AV19+AW19+AX19)*B19</x:f>
        <x:v>0</x:v>
      </x:c>
      <x:c r="AZ19" s="53" t="n">
        <x:f>P19+(AS19*ret_rail+AT19*ret_tel+AU19*ret_elec+AV19*ret_auto+AW19*ret_chem+AX19*ret_steel)*B19*IF(OR($A19=1931,$A19=1932),abroad_slump,1)+AB19+AG19</x:f>
        <x:v>0</x:v>
      </x:c>
      <x:c r="BA19" s="53" t="n">
        <x:f>AP19*champ_profit+AZ19</x:f>
        <x:v>0</x:v>
      </x:c>
      <x:c r="BB19" s="53" t="n">
        <x:f>(K19+AI19+AK19)*champ_profit+P19+(AS19*ret_rail+AT19*ret_tel+AU19*ret_elec)*B19*IF(OR($A19=1931,$A19=1932),abroad_slump,1)</x:f>
        <x:v>0</x:v>
      </x:c>
      <x:c r="BC19" s="53" t="n">
        <x:f>(T19+W19+Z19+AF19+AN19+AO19)*champ_profit+(AV19*ret_auto+AW19*ret_chem+AX19*ret_steel)*B19*IF(OR($A19=1931,$A19=1932),abroad_slump,1)+AB19+AG19</x:f>
        <x:v>0</x:v>
      </x:c>
      <x:c r="BD19" s="53" t="n">
        <x:f>IF($A19&gt;=crown_start,(BB19*crown_charter+BC19*crown_comp)*crown_payout,0)</x:f>
        <x:v>0</x:v>
      </x:c>
      <x:c r="BE19" s="63" t="n">
        <x:f>IF(BB19+BC19&gt;0,(BB19*crown_charter+BC19*crown_comp)/(BA19),0)</x:f>
        <x:v>0</x:v>
      </x:c>
    </x:row>
    <x:row r="20">
      <x:c r="A20" s="58" t="n">
        <x:v>1860</x:v>
      </x:c>
      <x:c r="B20" s="65" t="n">
        <x:f>champ_scale*(1+Labour!AP20)*(1+Partners!BX20)*(1-IF(union_resp=2,tariff_cut*Labour!S20,0))</x:f>
        <x:v>1</x:v>
      </x:c>
      <x:c r="C20" s="45" t="n">
        <x:v>0</x:v>
      </x:c>
      <x:c r="D20" s="45" t="n">
        <x:v>0</x:v>
      </x:c>
      <x:c r="E20" s="45" t="n">
        <x:v>50</x:v>
      </x:c>
      <x:c r="F20" s="47" t="n">
        <x:f>E20*B20</x:f>
        <x:v>50</x:v>
      </x:c>
      <x:c r="G20" s="47" t="n">
        <x:f>F20/Economy!B20*1000000</x:f>
        <x:v>74.42209485462702</x:v>
      </x:c>
      <x:c r="H20" s="45" t="n">
        <x:v>150</x:v>
      </x:c>
      <x:c r="I20" s="67" t="n">
        <x:f>IF(H20&gt;0,G20/H20,0)</x:f>
        <x:v>0.4961472990308468</x:v>
      </x:c>
      <x:c r="J20" s="68" t="n">
        <x:v>0</x:v>
      </x:c>
      <x:c r="K20" s="53" t="n">
        <x:f>Resources!K20*J20*B20</x:f>
        <x:v>0</x:v>
      </x:c>
      <x:c r="L20" s="45" t="n">
        <x:v>0</x:v>
      </x:c>
      <x:c r="M20" s="59" t="n">
        <x:v>0</x:v>
      </x:c>
      <x:c r="N20" s="45" t="n">
        <x:v>0</x:v>
      </x:c>
      <x:c r="O20" s="68" t="n">
        <x:v>0</x:v>
      </x:c>
      <x:c r="P20" s="53" t="n">
        <x:f>(IF(Gulf!E20=1,0,L20*M20)+N20)*O20*B20</x:f>
        <x:v>0</x:v>
      </x:c>
      <x:c r="Q20" s="53" t="n">
        <x:f>P20*oil_book</x:f>
        <x:v>0</x:v>
      </x:c>
      <x:c r="R20" s="68" t="n">
        <x:v>0</x:v>
      </x:c>
      <x:c r="S20" s="45" t="n">
        <x:v>0</x:v>
      </x:c>
      <x:c r="T20" s="53" t="n">
        <x:f>R20*S20*B20</x:f>
        <x:v>0</x:v>
      </x:c>
      <x:c r="U20" s="45" t="n">
        <x:v>0</x:v>
      </x:c>
      <x:c r="V20" s="45" t="n">
        <x:v>0</x:v>
      </x:c>
      <x:c r="W20" s="53" t="n">
        <x:f>U20/1000*V20*B20</x:f>
        <x:v>0</x:v>
      </x:c>
      <x:c r="X20" s="45" t="n">
        <x:v>0</x:v>
      </x:c>
      <x:c r="Y20" s="59" t="n">
        <x:v>0</x:v>
      </x:c>
      <x:c r="Z20" s="53" t="n">
        <x:f>X20*Y20*chem_va*B20</x:f>
        <x:v>0</x:v>
      </x:c>
      <x:c r="AA20" s="59" t="n">
        <x:v>0</x:v>
      </x:c>
      <x:c r="AB20" s="53" t="n">
        <x:f>X20*AA20*roy_rate*B20*(1-IF(union_resp=2,lic_cut*Labour!S20,0))</x:f>
        <x:v>0</x:v>
      </x:c>
      <x:c r="AC20" s="45" t="n">
        <x:v>0</x:v>
      </x:c>
      <x:c r="AD20" s="59" t="n">
        <x:v>0</x:v>
      </x:c>
      <x:c r="AE20" s="59" t="n">
        <x:v>0</x:v>
      </x:c>
      <x:c r="AF20" s="53" t="n">
        <x:f>AC20*AD20*elec_va*B20</x:f>
        <x:v>0</x:v>
      </x:c>
      <x:c r="AG20" s="53" t="n">
        <x:f>MAX(0,AE20-AD20)*AC20*roy_rate*B20*(1-IF(union_resp=2,lic_cut*Labour!S20,0))</x:f>
        <x:v>0</x:v>
      </x:c>
      <x:c r="AH20" s="52" t="n">
        <x:v>1</x:v>
      </x:c>
      <x:c r="AI20" s="53" t="n">
        <x:f>AH20*B20</x:f>
        <x:v>1</x:v>
      </x:c>
      <x:c r="AJ20" s="52" t="n">
        <x:v>0</x:v>
      </x:c>
      <x:c r="AK20" s="53" t="n">
        <x:f>AJ20*B20</x:f>
        <x:v>0</x:v>
      </x:c>
      <x:c r="AL20" s="45" t="n">
        <x:v>0</x:v>
      </x:c>
      <x:c r="AM20" s="53" t="n">
        <x:f>AL20*uw_fee*B20</x:f>
        <x:v>0</x:v>
      </x:c>
      <x:c r="AN20" s="52" t="n">
        <x:v>0</x:v>
      </x:c>
      <x:c r="AO20" s="52" t="n">
        <x:v>0</x:v>
      </x:c>
      <x:c r="AP20" s="53" t="n">
        <x:f>K20+T20+W20+Z20+AF20+AI20+AK20+AM20+AN20+AO20</x:f>
        <x:v>1</x:v>
      </x:c>
      <x:c r="AQ20" s="53" t="n">
        <x:f>AP20*(1-1/champ_prem+champ_spill)</x:f>
        <x:v>0.6944444444444444</x:v>
      </x:c>
      <x:c r="AR20" s="63" t="n">
        <x:f>AP20/Economy!O20</x:f>
        <x:v>0.005714110460059934</x:v>
      </x:c>
      <x:c r="AS20" s="52" t="n">
        <x:v>0</x:v>
      </x:c>
      <x:c r="AT20" s="52" t="n">
        <x:v>0</x:v>
      </x:c>
      <x:c r="AU20" s="52" t="n">
        <x:v>0</x:v>
      </x:c>
      <x:c r="AV20" s="52" t="n">
        <x:v>0</x:v>
      </x:c>
      <x:c r="AW20" s="52" t="n">
        <x:v>0</x:v>
      </x:c>
      <x:c r="AX20" s="52" t="n">
        <x:v>0</x:v>
      </x:c>
      <x:c r="AY20" s="53" t="n">
        <x:f>Q20+(AS20+AT20+AU20+AV20+AW20+AX20)*B20</x:f>
        <x:v>0</x:v>
      </x:c>
      <x:c r="AZ20" s="53" t="n">
        <x:f>P20+(AS20*ret_rail+AT20*ret_tel+AU20*ret_elec+AV20*ret_auto+AW20*ret_chem+AX20*ret_steel)*B20*IF(OR($A20=1931,$A20=1932),abroad_slump,1)+AB20+AG20</x:f>
        <x:v>0</x:v>
      </x:c>
      <x:c r="BA20" s="53" t="n">
        <x:f>AP20*champ_profit+AZ20</x:f>
        <x:v>0.2</x:v>
      </x:c>
      <x:c r="BB20" s="53" t="n">
        <x:f>(K20+AI20+AK20)*champ_profit+P20+(AS20*ret_rail+AT20*ret_tel+AU20*ret_elec)*B20*IF(OR($A20=1931,$A20=1932),abroad_slump,1)</x:f>
        <x:v>0.2</x:v>
      </x:c>
      <x:c r="BC20" s="53" t="n">
        <x:f>(T20+W20+Z20+AF20+AN20+AO20)*champ_profit+(AV20*ret_auto+AW20*ret_chem+AX20*ret_steel)*B20*IF(OR($A20=1931,$A20=1932),abroad_slump,1)+AB20+AG20</x:f>
        <x:v>0</x:v>
      </x:c>
      <x:c r="BD20" s="53" t="n">
        <x:f>IF($A20&gt;=crown_start,(BB20*crown_charter+BC20*crown_comp)*crown_payout,0)</x:f>
        <x:v>0</x:v>
      </x:c>
      <x:c r="BE20" s="63" t="n">
        <x:f>IF(BB20+BC20&gt;0,(BB20*crown_charter+BC20*crown_comp)/(BA20),0)</x:f>
        <x:v>0.25</x:v>
      </x:c>
    </x:row>
    <x:row r="21">
      <x:c r="A21" s="61" t="n">
        <x:v>1861</x:v>
      </x:c>
      <x:c r="B21" s="65" t="n">
        <x:f>champ_scale*(1+Labour!AP21)*(1+Partners!BX21)*(1-IF(union_resp=2,tariff_cut*Labour!S21,0))</x:f>
        <x:v>1</x:v>
      </x:c>
      <x:c r="C21" s="45" t="n">
        <x:v>0</x:v>
      </x:c>
      <x:c r="D21" s="45" t="n">
        <x:v>0</x:v>
      </x:c>
      <x:c r="E21" s="45" t="n">
        <x:v>60</x:v>
      </x:c>
      <x:c r="F21" s="47" t="n">
        <x:f>E21*B21</x:f>
        <x:v>60</x:v>
      </x:c>
      <x:c r="G21" s="47" t="n">
        <x:f>F21/Economy!B21*1000000</x:f>
        <x:v>84.38892519038771</x:v>
      </x:c>
      <x:c r="H21" s="45" t="n">
        <x:v>166</x:v>
      </x:c>
      <x:c r="I21" s="67" t="n">
        <x:f>IF(H21&gt;0,G21/H21,0)</x:f>
        <x:v>0.508367019219203</x:v>
      </x:c>
      <x:c r="J21" s="68" t="n">
        <x:v>0</x:v>
      </x:c>
      <x:c r="K21" s="53" t="n">
        <x:f>Resources!K21*J21*B21</x:f>
        <x:v>0</x:v>
      </x:c>
      <x:c r="L21" s="45" t="n">
        <x:v>0</x:v>
      </x:c>
      <x:c r="M21" s="59" t="n">
        <x:v>0</x:v>
      </x:c>
      <x:c r="N21" s="45" t="n">
        <x:v>0</x:v>
      </x:c>
      <x:c r="O21" s="68" t="n">
        <x:v>0</x:v>
      </x:c>
      <x:c r="P21" s="53" t="n">
        <x:f>(IF(Gulf!E21=1,0,L21*M21)+N21)*O21*B21</x:f>
        <x:v>0</x:v>
      </x:c>
      <x:c r="Q21" s="53" t="n">
        <x:f>P21*oil_book</x:f>
        <x:v>0</x:v>
      </x:c>
      <x:c r="R21" s="68" t="n">
        <x:v>0</x:v>
      </x:c>
      <x:c r="S21" s="45" t="n">
        <x:v>0</x:v>
      </x:c>
      <x:c r="T21" s="53" t="n">
        <x:f>R21*S21*B21</x:f>
        <x:v>0</x:v>
      </x:c>
      <x:c r="U21" s="45" t="n">
        <x:v>0</x:v>
      </x:c>
      <x:c r="V21" s="45" t="n">
        <x:v>0</x:v>
      </x:c>
      <x:c r="W21" s="53" t="n">
        <x:f>U21/1000*V21*B21</x:f>
        <x:v>0</x:v>
      </x:c>
      <x:c r="X21" s="45" t="n">
        <x:v>0</x:v>
      </x:c>
      <x:c r="Y21" s="59" t="n">
        <x:v>0</x:v>
      </x:c>
      <x:c r="Z21" s="53" t="n">
        <x:f>X21*Y21*chem_va*B21</x:f>
        <x:v>0</x:v>
      </x:c>
      <x:c r="AA21" s="59" t="n">
        <x:v>0</x:v>
      </x:c>
      <x:c r="AB21" s="53" t="n">
        <x:f>X21*AA21*roy_rate*B21*(1-IF(union_resp=2,lic_cut*Labour!S21,0))</x:f>
        <x:v>0</x:v>
      </x:c>
      <x:c r="AC21" s="45" t="n">
        <x:v>0</x:v>
      </x:c>
      <x:c r="AD21" s="59" t="n">
        <x:v>0</x:v>
      </x:c>
      <x:c r="AE21" s="59" t="n">
        <x:v>0</x:v>
      </x:c>
      <x:c r="AF21" s="53" t="n">
        <x:f>AC21*AD21*elec_va*B21</x:f>
        <x:v>0</x:v>
      </x:c>
      <x:c r="AG21" s="53" t="n">
        <x:f>MAX(0,AE21-AD21)*AC21*roy_rate*B21*(1-IF(union_resp=2,lic_cut*Labour!S21,0))</x:f>
        <x:v>0</x:v>
      </x:c>
      <x:c r="AH21" s="52" t="n">
        <x:v>1</x:v>
      </x:c>
      <x:c r="AI21" s="53" t="n">
        <x:f>AH21*B21</x:f>
        <x:v>1</x:v>
      </x:c>
      <x:c r="AJ21" s="52" t="n">
        <x:v>0</x:v>
      </x:c>
      <x:c r="AK21" s="53" t="n">
        <x:f>AJ21*B21</x:f>
        <x:v>0</x:v>
      </x:c>
      <x:c r="AL21" s="45" t="n">
        <x:v>0</x:v>
      </x:c>
      <x:c r="AM21" s="53" t="n">
        <x:f>AL21*uw_fee*B21</x:f>
        <x:v>0</x:v>
      </x:c>
      <x:c r="AN21" s="52" t="n">
        <x:v>0</x:v>
      </x:c>
      <x:c r="AO21" s="52" t="n">
        <x:v>0</x:v>
      </x:c>
      <x:c r="AP21" s="53" t="n">
        <x:f>K21+T21+W21+Z21+AF21+AI21+AK21+AM21+AN21+AO21</x:f>
        <x:v>1</x:v>
      </x:c>
      <x:c r="AQ21" s="53" t="n">
        <x:f>AP21*(1-1/champ_prem+champ_spill)</x:f>
        <x:v>0.6944444444444444</x:v>
      </x:c>
      <x:c r="AR21" s="63" t="n">
        <x:f>AP21/Economy!O21</x:f>
        <x:v>0.00554118164193307</x:v>
      </x:c>
      <x:c r="AS21" s="52" t="n">
        <x:v>0</x:v>
      </x:c>
      <x:c r="AT21" s="52" t="n">
        <x:v>0</x:v>
      </x:c>
      <x:c r="AU21" s="52" t="n">
        <x:v>0</x:v>
      </x:c>
      <x:c r="AV21" s="52" t="n">
        <x:v>0</x:v>
      </x:c>
      <x:c r="AW21" s="52" t="n">
        <x:v>0</x:v>
      </x:c>
      <x:c r="AX21" s="52" t="n">
        <x:v>0</x:v>
      </x:c>
      <x:c r="AY21" s="53" t="n">
        <x:f>Q21+(AS21+AT21+AU21+AV21+AW21+AX21)*B21</x:f>
        <x:v>0</x:v>
      </x:c>
      <x:c r="AZ21" s="53" t="n">
        <x:f>P21+(AS21*ret_rail+AT21*ret_tel+AU21*ret_elec+AV21*ret_auto+AW21*ret_chem+AX21*ret_steel)*B21*IF(OR($A21=1931,$A21=1932),abroad_slump,1)+AB21+AG21</x:f>
        <x:v>0</x:v>
      </x:c>
      <x:c r="BA21" s="53" t="n">
        <x:f>AP21*champ_profit+AZ21</x:f>
        <x:v>0.2</x:v>
      </x:c>
      <x:c r="BB21" s="53" t="n">
        <x:f>(K21+AI21+AK21)*champ_profit+P21+(AS21*ret_rail+AT21*ret_tel+AU21*ret_elec)*B21*IF(OR($A21=1931,$A21=1932),abroad_slump,1)</x:f>
        <x:v>0.2</x:v>
      </x:c>
      <x:c r="BC21" s="53" t="n">
        <x:f>(T21+W21+Z21+AF21+AN21+AO21)*champ_profit+(AV21*ret_auto+AW21*ret_chem+AX21*ret_steel)*B21*IF(OR($A21=1931,$A21=1932),abroad_slump,1)+AB21+AG21</x:f>
        <x:v>0</x:v>
      </x:c>
      <x:c r="BD21" s="53" t="n">
        <x:f>IF($A21&gt;=crown_start,(BB21*crown_charter+BC21*crown_comp)*crown_payout,0)</x:f>
        <x:v>0</x:v>
      </x:c>
      <x:c r="BE21" s="63" t="n">
        <x:f>IF(BB21+BC21&gt;0,(BB21*crown_charter+BC21*crown_comp)/(BA21),0)</x:f>
        <x:v>0.25</x:v>
      </x:c>
    </x:row>
    <x:row r="22">
      <x:c r="A22" s="61" t="n">
        <x:v>1862</x:v>
      </x:c>
      <x:c r="B22" s="65" t="n">
        <x:f>champ_scale*(1+Labour!AP22)*(1+Partners!BX22)*(1-IF(union_resp=2,tariff_cut*Labour!S22,0))</x:f>
        <x:v>1</x:v>
      </x:c>
      <x:c r="C22" s="45" t="n">
        <x:v>0</x:v>
      </x:c>
      <x:c r="D22" s="45" t="n">
        <x:v>0</x:v>
      </x:c>
      <x:c r="E22" s="45" t="n">
        <x:v>80</x:v>
      </x:c>
      <x:c r="F22" s="47" t="n">
        <x:f>E22*B22</x:f>
        <x:v>80</x:v>
      </x:c>
      <x:c r="G22" s="47" t="n">
        <x:f>F22/Economy!B22*1000000</x:f>
        <x:v>94.99244856216399</x:v>
      </x:c>
      <x:c r="H22" s="45" t="n">
        <x:v>183</x:v>
      </x:c>
      <x:c r="I22" s="67" t="n">
        <x:f>IF(H22&gt;0,G22/H22,0)</x:f>
        <x:v>0.5190844183724808</x:v>
      </x:c>
      <x:c r="J22" s="68" t="n">
        <x:v>0</x:v>
      </x:c>
      <x:c r="K22" s="53" t="n">
        <x:f>Resources!K22*J22*B22</x:f>
        <x:v>0</x:v>
      </x:c>
      <x:c r="L22" s="45" t="n">
        <x:v>0</x:v>
      </x:c>
      <x:c r="M22" s="59" t="n">
        <x:v>0</x:v>
      </x:c>
      <x:c r="N22" s="45" t="n">
        <x:v>0</x:v>
      </x:c>
      <x:c r="O22" s="68" t="n">
        <x:v>0</x:v>
      </x:c>
      <x:c r="P22" s="53" t="n">
        <x:f>(IF(Gulf!E22=1,0,L22*M22)+N22)*O22*B22</x:f>
        <x:v>0</x:v>
      </x:c>
      <x:c r="Q22" s="53" t="n">
        <x:f>P22*oil_book</x:f>
        <x:v>0</x:v>
      </x:c>
      <x:c r="R22" s="68" t="n">
        <x:v>0</x:v>
      </x:c>
      <x:c r="S22" s="45" t="n">
        <x:v>0</x:v>
      </x:c>
      <x:c r="T22" s="53" t="n">
        <x:f>R22*S22*B22</x:f>
        <x:v>0</x:v>
      </x:c>
      <x:c r="U22" s="45" t="n">
        <x:v>0</x:v>
      </x:c>
      <x:c r="V22" s="45" t="n">
        <x:v>0</x:v>
      </x:c>
      <x:c r="W22" s="53" t="n">
        <x:f>U22/1000*V22*B22</x:f>
        <x:v>0</x:v>
      </x:c>
      <x:c r="X22" s="45" t="n">
        <x:v>0</x:v>
      </x:c>
      <x:c r="Y22" s="59" t="n">
        <x:v>0</x:v>
      </x:c>
      <x:c r="Z22" s="53" t="n">
        <x:f>X22*Y22*chem_va*B22</x:f>
        <x:v>0</x:v>
      </x:c>
      <x:c r="AA22" s="59" t="n">
        <x:v>0</x:v>
      </x:c>
      <x:c r="AB22" s="53" t="n">
        <x:f>X22*AA22*roy_rate*B22*(1-IF(union_resp=2,lic_cut*Labour!S22,0))</x:f>
        <x:v>0</x:v>
      </x:c>
      <x:c r="AC22" s="45" t="n">
        <x:v>0</x:v>
      </x:c>
      <x:c r="AD22" s="59" t="n">
        <x:v>0</x:v>
      </x:c>
      <x:c r="AE22" s="59" t="n">
        <x:v>0</x:v>
      </x:c>
      <x:c r="AF22" s="53" t="n">
        <x:f>AC22*AD22*elec_va*B22</x:f>
        <x:v>0</x:v>
      </x:c>
      <x:c r="AG22" s="53" t="n">
        <x:f>MAX(0,AE22-AD22)*AC22*roy_rate*B22*(1-IF(union_resp=2,lic_cut*Labour!S22,0))</x:f>
        <x:v>0</x:v>
      </x:c>
      <x:c r="AH22" s="52" t="n">
        <x:v>1</x:v>
      </x:c>
      <x:c r="AI22" s="53" t="n">
        <x:f>AH22*B22</x:f>
        <x:v>1</x:v>
      </x:c>
      <x:c r="AJ22" s="52" t="n">
        <x:v>0</x:v>
      </x:c>
      <x:c r="AK22" s="53" t="n">
        <x:f>AJ22*B22</x:f>
        <x:v>0</x:v>
      </x:c>
      <x:c r="AL22" s="45" t="n">
        <x:v>0</x:v>
      </x:c>
      <x:c r="AM22" s="53" t="n">
        <x:f>AL22*uw_fee*B22</x:f>
        <x:v>0</x:v>
      </x:c>
      <x:c r="AN22" s="52" t="n">
        <x:v>0</x:v>
      </x:c>
      <x:c r="AO22" s="52" t="n">
        <x:v>0</x:v>
      </x:c>
      <x:c r="AP22" s="53" t="n">
        <x:f>K22+T22+W22+Z22+AF22+AI22+AK22+AM22+AN22+AO22</x:f>
        <x:v>1</x:v>
      </x:c>
      <x:c r="AQ22" s="53" t="n">
        <x:f>AP22*(1-1/champ_prem+champ_spill)</x:f>
        <x:v>0.6944444444444444</x:v>
      </x:c>
      <x:c r="AR22" s="63" t="n">
        <x:f>AP22/Economy!O22</x:f>
        <x:v>0.004808704254320047</x:v>
      </x:c>
      <x:c r="AS22" s="52" t="n">
        <x:v>0</x:v>
      </x:c>
      <x:c r="AT22" s="52" t="n">
        <x:v>0</x:v>
      </x:c>
      <x:c r="AU22" s="52" t="n">
        <x:v>0</x:v>
      </x:c>
      <x:c r="AV22" s="52" t="n">
        <x:v>0</x:v>
      </x:c>
      <x:c r="AW22" s="52" t="n">
        <x:v>0</x:v>
      </x:c>
      <x:c r="AX22" s="52" t="n">
        <x:v>0</x:v>
      </x:c>
      <x:c r="AY22" s="53" t="n">
        <x:f>Q22+(AS22+AT22+AU22+AV22+AW22+AX22)*B22</x:f>
        <x:v>0</x:v>
      </x:c>
      <x:c r="AZ22" s="53" t="n">
        <x:f>P22+(AS22*ret_rail+AT22*ret_tel+AU22*ret_elec+AV22*ret_auto+AW22*ret_chem+AX22*ret_steel)*B22*IF(OR($A22=1931,$A22=1932),abroad_slump,1)+AB22+AG22</x:f>
        <x:v>0</x:v>
      </x:c>
      <x:c r="BA22" s="53" t="n">
        <x:f>AP22*champ_profit+AZ22</x:f>
        <x:v>0.2</x:v>
      </x:c>
      <x:c r="BB22" s="53" t="n">
        <x:f>(K22+AI22+AK22)*champ_profit+P22+(AS22*ret_rail+AT22*ret_tel+AU22*ret_elec)*B22*IF(OR($A22=1931,$A22=1932),abroad_slump,1)</x:f>
        <x:v>0.2</x:v>
      </x:c>
      <x:c r="BC22" s="53" t="n">
        <x:f>(T22+W22+Z22+AF22+AN22+AO22)*champ_profit+(AV22*ret_auto+AW22*ret_chem+AX22*ret_steel)*B22*IF(OR($A22=1931,$A22=1932),abroad_slump,1)+AB22+AG22</x:f>
        <x:v>0</x:v>
      </x:c>
      <x:c r="BD22" s="53" t="n">
        <x:f>IF($A22&gt;=crown_start,(BB22*crown_charter+BC22*crown_comp)*crown_payout,0)</x:f>
        <x:v>0</x:v>
      </x:c>
      <x:c r="BE22" s="63" t="n">
        <x:f>IF(BB22+BC22&gt;0,(BB22*crown_charter+BC22*crown_comp)/(BA22),0)</x:f>
        <x:v>0.25</x:v>
      </x:c>
    </x:row>
    <x:row r="23">
      <x:c r="A23" s="61" t="n">
        <x:v>1863</x:v>
      </x:c>
      <x:c r="B23" s="65" t="n">
        <x:f>champ_scale*(1+Labour!AP23)*(1+Partners!BX23)*(1-IF(union_resp=2,tariff_cut*Labour!S23,0))</x:f>
        <x:v>1.0001322468284517</x:v>
      </x:c>
      <x:c r="C23" s="45" t="n">
        <x:v>0</x:v>
      </x:c>
      <x:c r="D23" s="45" t="n">
        <x:v>0</x:v>
      </x:c>
      <x:c r="E23" s="45" t="n">
        <x:v>100</x:v>
      </x:c>
      <x:c r="F23" s="47" t="n">
        <x:f>E23*B23</x:f>
        <x:v>100.01322468284516</x:v>
      </x:c>
      <x:c r="G23" s="47" t="n">
        <x:f>F23/Economy!B23*1000000</x:f>
        <x:v>98.17512930627593</x:v>
      </x:c>
      <x:c r="H23" s="45" t="n">
        <x:v>199</x:v>
      </x:c>
      <x:c r="I23" s="67" t="n">
        <x:f>IF(H23&gt;0,G23/H23,0)</x:f>
        <x:v>0.49334235832299467</x:v>
      </x:c>
      <x:c r="J23" s="68" t="n">
        <x:v>0</x:v>
      </x:c>
      <x:c r="K23" s="53" t="n">
        <x:f>Resources!K23*J23*B23</x:f>
        <x:v>0</x:v>
      </x:c>
      <x:c r="L23" s="45" t="n">
        <x:v>0</x:v>
      </x:c>
      <x:c r="M23" s="59" t="n">
        <x:v>0</x:v>
      </x:c>
      <x:c r="N23" s="45" t="n">
        <x:v>0</x:v>
      </x:c>
      <x:c r="O23" s="68" t="n">
        <x:v>0</x:v>
      </x:c>
      <x:c r="P23" s="53" t="n">
        <x:f>(IF(Gulf!E23=1,0,L23*M23)+N23)*O23*B23</x:f>
        <x:v>0</x:v>
      </x:c>
      <x:c r="Q23" s="53" t="n">
        <x:f>P23*oil_book</x:f>
        <x:v>0</x:v>
      </x:c>
      <x:c r="R23" s="68" t="n">
        <x:v>0</x:v>
      </x:c>
      <x:c r="S23" s="45" t="n">
        <x:v>0</x:v>
      </x:c>
      <x:c r="T23" s="53" t="n">
        <x:f>R23*S23*B23</x:f>
        <x:v>0</x:v>
      </x:c>
      <x:c r="U23" s="45" t="n">
        <x:v>0</x:v>
      </x:c>
      <x:c r="V23" s="45" t="n">
        <x:v>0</x:v>
      </x:c>
      <x:c r="W23" s="53" t="n">
        <x:f>U23/1000*V23*B23</x:f>
        <x:v>0</x:v>
      </x:c>
      <x:c r="X23" s="45" t="n">
        <x:v>0</x:v>
      </x:c>
      <x:c r="Y23" s="59" t="n">
        <x:v>0</x:v>
      </x:c>
      <x:c r="Z23" s="53" t="n">
        <x:f>X23*Y23*chem_va*B23</x:f>
        <x:v>0</x:v>
      </x:c>
      <x:c r="AA23" s="59" t="n">
        <x:v>0</x:v>
      </x:c>
      <x:c r="AB23" s="53" t="n">
        <x:f>X23*AA23*roy_rate*B23*(1-IF(union_resp=2,lic_cut*Labour!S23,0))</x:f>
        <x:v>0</x:v>
      </x:c>
      <x:c r="AC23" s="45" t="n">
        <x:v>0</x:v>
      </x:c>
      <x:c r="AD23" s="59" t="n">
        <x:v>0</x:v>
      </x:c>
      <x:c r="AE23" s="59" t="n">
        <x:v>0</x:v>
      </x:c>
      <x:c r="AF23" s="53" t="n">
        <x:f>AC23*AD23*elec_va*B23</x:f>
        <x:v>0</x:v>
      </x:c>
      <x:c r="AG23" s="53" t="n">
        <x:f>MAX(0,AE23-AD23)*AC23*roy_rate*B23*(1-IF(union_resp=2,lic_cut*Labour!S23,0))</x:f>
        <x:v>0</x:v>
      </x:c>
      <x:c r="AH23" s="52" t="n">
        <x:v>2</x:v>
      </x:c>
      <x:c r="AI23" s="53" t="n">
        <x:f>AH23*B23</x:f>
        <x:v>2.0002644936569034</x:v>
      </x:c>
      <x:c r="AJ23" s="52" t="n">
        <x:v>0</x:v>
      </x:c>
      <x:c r="AK23" s="53" t="n">
        <x:f>AJ23*B23</x:f>
        <x:v>0</x:v>
      </x:c>
      <x:c r="AL23" s="45" t="n">
        <x:v>0</x:v>
      </x:c>
      <x:c r="AM23" s="53" t="n">
        <x:f>AL23*uw_fee*B23</x:f>
        <x:v>0</x:v>
      </x:c>
      <x:c r="AN23" s="52" t="n">
        <x:v>0</x:v>
      </x:c>
      <x:c r="AO23" s="52" t="n">
        <x:v>0</x:v>
      </x:c>
      <x:c r="AP23" s="53" t="n">
        <x:f>K23+T23+W23+Z23+AF23+AI23+AK23+AM23+AN23+AO23</x:f>
        <x:v>2.0002644936569034</x:v>
      </x:c>
      <x:c r="AQ23" s="53" t="n">
        <x:f>AP23*(1-1/champ_prem+champ_spill)</x:f>
        <x:v>1.3890725650395161</x:v>
      </x:c>
      <x:c r="AR23" s="63" t="n">
        <x:f>AP23/Economy!O23</x:f>
        <x:v>0.007718388131154626</x:v>
      </x:c>
      <x:c r="AS23" s="52" t="n">
        <x:v>0</x:v>
      </x:c>
      <x:c r="AT23" s="52" t="n">
        <x:v>0</x:v>
      </x:c>
      <x:c r="AU23" s="52" t="n">
        <x:v>0</x:v>
      </x:c>
      <x:c r="AV23" s="52" t="n">
        <x:v>0</x:v>
      </x:c>
      <x:c r="AW23" s="52" t="n">
        <x:v>0</x:v>
      </x:c>
      <x:c r="AX23" s="52" t="n">
        <x:v>0</x:v>
      </x:c>
      <x:c r="AY23" s="53" t="n">
        <x:f>Q23+(AS23+AT23+AU23+AV23+AW23+AX23)*B23</x:f>
        <x:v>0</x:v>
      </x:c>
      <x:c r="AZ23" s="53" t="n">
        <x:f>P23+(AS23*ret_rail+AT23*ret_tel+AU23*ret_elec+AV23*ret_auto+AW23*ret_chem+AX23*ret_steel)*B23*IF(OR($A23=1931,$A23=1932),abroad_slump,1)+AB23+AG23</x:f>
        <x:v>0</x:v>
      </x:c>
      <x:c r="BA23" s="53" t="n">
        <x:f>AP23*champ_profit+AZ23</x:f>
        <x:v>0.4000528987313807</x:v>
      </x:c>
      <x:c r="BB23" s="53" t="n">
        <x:f>(K23+AI23+AK23)*champ_profit+P23+(AS23*ret_rail+AT23*ret_tel+AU23*ret_elec)*B23*IF(OR($A23=1931,$A23=1932),abroad_slump,1)</x:f>
        <x:v>0.4000528987313807</x:v>
      </x:c>
      <x:c r="BC23" s="53" t="n">
        <x:f>(T23+W23+Z23+AF23+AN23+AO23)*champ_profit+(AV23*ret_auto+AW23*ret_chem+AX23*ret_steel)*B23*IF(OR($A23=1931,$A23=1932),abroad_slump,1)+AB23+AG23</x:f>
        <x:v>0</x:v>
      </x:c>
      <x:c r="BD23" s="53" t="n">
        <x:f>IF($A23&gt;=crown_start,(BB23*crown_charter+BC23*crown_comp)*crown_payout,0)</x:f>
        <x:v>0</x:v>
      </x:c>
      <x:c r="BE23" s="63" t="n">
        <x:f>IF(BB23+BC23&gt;0,(BB23*crown_charter+BC23*crown_comp)/(BA23),0)</x:f>
        <x:v>0.25</x:v>
      </x:c>
    </x:row>
    <x:row r="24">
      <x:c r="A24" s="61" t="n">
        <x:v>1864</x:v>
      </x:c>
      <x:c r="B24" s="65" t="n">
        <x:f>champ_scale*(1+Labour!AP24)*(1+Partners!BX24)*(1-IF(union_resp=2,tariff_cut*Labour!S24,0))</x:f>
        <x:v>1.0002755566245325</x:v>
      </x:c>
      <x:c r="C24" s="45" t="n">
        <x:v>0</x:v>
      </x:c>
      <x:c r="D24" s="45" t="n">
        <x:v>0</x:v>
      </x:c>
      <x:c r="E24" s="45" t="n">
        <x:v>110</x:v>
      </x:c>
      <x:c r="F24" s="47" t="n">
        <x:f>E24*B24</x:f>
        <x:v>110.03031122869858</x:v>
      </x:c>
      <x:c r="G24" s="47" t="n">
        <x:f>F24/Economy!B24*1000000</x:f>
        <x:v>98.08854715082585</x:v>
      </x:c>
      <x:c r="H24" s="45" t="n">
        <x:v>216</x:v>
      </x:c>
      <x:c r="I24" s="67" t="n">
        <x:f>IF(H24&gt;0,G24/H24,0)</x:f>
        <x:v>0.45411364421678635</x:v>
      </x:c>
      <x:c r="J24" s="68" t="n">
        <x:v>0</x:v>
      </x:c>
      <x:c r="K24" s="53" t="n">
        <x:f>Resources!K24*J24*B24</x:f>
        <x:v>0</x:v>
      </x:c>
      <x:c r="L24" s="45" t="n">
        <x:v>0</x:v>
      </x:c>
      <x:c r="M24" s="59" t="n">
        <x:v>0</x:v>
      </x:c>
      <x:c r="N24" s="45" t="n">
        <x:v>0</x:v>
      </x:c>
      <x:c r="O24" s="68" t="n">
        <x:v>0</x:v>
      </x:c>
      <x:c r="P24" s="53" t="n">
        <x:f>(IF(Gulf!E24=1,0,L24*M24)+N24)*O24*B24</x:f>
        <x:v>0</x:v>
      </x:c>
      <x:c r="Q24" s="53" t="n">
        <x:f>P24*oil_book</x:f>
        <x:v>0</x:v>
      </x:c>
      <x:c r="R24" s="68" t="n">
        <x:v>0</x:v>
      </x:c>
      <x:c r="S24" s="45" t="n">
        <x:v>0</x:v>
      </x:c>
      <x:c r="T24" s="53" t="n">
        <x:f>R24*S24*B24</x:f>
        <x:v>0</x:v>
      </x:c>
      <x:c r="U24" s="45" t="n">
        <x:v>0</x:v>
      </x:c>
      <x:c r="V24" s="45" t="n">
        <x:v>0</x:v>
      </x:c>
      <x:c r="W24" s="53" t="n">
        <x:f>U24/1000*V24*B24</x:f>
        <x:v>0</x:v>
      </x:c>
      <x:c r="X24" s="45" t="n">
        <x:v>0</x:v>
      </x:c>
      <x:c r="Y24" s="59" t="n">
        <x:v>0</x:v>
      </x:c>
      <x:c r="Z24" s="53" t="n">
        <x:f>X24*Y24*chem_va*B24</x:f>
        <x:v>0</x:v>
      </x:c>
      <x:c r="AA24" s="59" t="n">
        <x:v>0</x:v>
      </x:c>
      <x:c r="AB24" s="53" t="n">
        <x:f>X24*AA24*roy_rate*B24*(1-IF(union_resp=2,lic_cut*Labour!S24,0))</x:f>
        <x:v>0</x:v>
      </x:c>
      <x:c r="AC24" s="45" t="n">
        <x:v>0</x:v>
      </x:c>
      <x:c r="AD24" s="59" t="n">
        <x:v>0</x:v>
      </x:c>
      <x:c r="AE24" s="59" t="n">
        <x:v>0</x:v>
      </x:c>
      <x:c r="AF24" s="53" t="n">
        <x:f>AC24*AD24*elec_va*B24</x:f>
        <x:v>0</x:v>
      </x:c>
      <x:c r="AG24" s="53" t="n">
        <x:f>MAX(0,AE24-AD24)*AC24*roy_rate*B24*(1-IF(union_resp=2,lic_cut*Labour!S24,0))</x:f>
        <x:v>0</x:v>
      </x:c>
      <x:c r="AH24" s="52" t="n">
        <x:v>2</x:v>
      </x:c>
      <x:c r="AI24" s="53" t="n">
        <x:f>AH24*B24</x:f>
        <x:v>2.000551113249065</x:v>
      </x:c>
      <x:c r="AJ24" s="52" t="n">
        <x:v>0</x:v>
      </x:c>
      <x:c r="AK24" s="53" t="n">
        <x:f>AJ24*B24</x:f>
        <x:v>0</x:v>
      </x:c>
      <x:c r="AL24" s="45" t="n">
        <x:v>0</x:v>
      </x:c>
      <x:c r="AM24" s="53" t="n">
        <x:f>AL24*uw_fee*B24</x:f>
        <x:v>0</x:v>
      </x:c>
      <x:c r="AN24" s="52" t="n">
        <x:v>0</x:v>
      </x:c>
      <x:c r="AO24" s="52" t="n">
        <x:v>0</x:v>
      </x:c>
      <x:c r="AP24" s="53" t="n">
        <x:f>K24+T24+W24+Z24+AF24+AI24+AK24+AM24+AN24+AO24</x:f>
        <x:v>2.000551113249065</x:v>
      </x:c>
      <x:c r="AQ24" s="53" t="n">
        <x:f>AP24*(1-1/champ_prem+champ_spill)</x:f>
        <x:v>1.3892716064229618</x:v>
      </x:c>
      <x:c r="AR24" s="63" t="n">
        <x:f>AP24/Economy!O24</x:f>
        <x:v>0.006361332147112688</x:v>
      </x:c>
      <x:c r="AS24" s="52" t="n">
        <x:v>0</x:v>
      </x:c>
      <x:c r="AT24" s="52" t="n">
        <x:v>0</x:v>
      </x:c>
      <x:c r="AU24" s="52" t="n">
        <x:v>0</x:v>
      </x:c>
      <x:c r="AV24" s="52" t="n">
        <x:v>0</x:v>
      </x:c>
      <x:c r="AW24" s="52" t="n">
        <x:v>0</x:v>
      </x:c>
      <x:c r="AX24" s="52" t="n">
        <x:v>0</x:v>
      </x:c>
      <x:c r="AY24" s="53" t="n">
        <x:f>Q24+(AS24+AT24+AU24+AV24+AW24+AX24)*B24</x:f>
        <x:v>0</x:v>
      </x:c>
      <x:c r="AZ24" s="53" t="n">
        <x:f>P24+(AS24*ret_rail+AT24*ret_tel+AU24*ret_elec+AV24*ret_auto+AW24*ret_chem+AX24*ret_steel)*B24*IF(OR($A24=1931,$A24=1932),abroad_slump,1)+AB24+AG24</x:f>
        <x:v>0</x:v>
      </x:c>
      <x:c r="BA24" s="53" t="n">
        <x:f>AP24*champ_profit+AZ24</x:f>
        <x:v>0.400110222649813</x:v>
      </x:c>
      <x:c r="BB24" s="53" t="n">
        <x:f>(K24+AI24+AK24)*champ_profit+P24+(AS24*ret_rail+AT24*ret_tel+AU24*ret_elec)*B24*IF(OR($A24=1931,$A24=1932),abroad_slump,1)</x:f>
        <x:v>0.400110222649813</x:v>
      </x:c>
      <x:c r="BC24" s="53" t="n">
        <x:f>(T24+W24+Z24+AF24+AN24+AO24)*champ_profit+(AV24*ret_auto+AW24*ret_chem+AX24*ret_steel)*B24*IF(OR($A24=1931,$A24=1932),abroad_slump,1)+AB24+AG24</x:f>
        <x:v>0</x:v>
      </x:c>
      <x:c r="BD24" s="53" t="n">
        <x:f>IF($A24&gt;=crown_start,(BB24*crown_charter+BC24*crown_comp)*crown_payout,0)</x:f>
        <x:v>0</x:v>
      </x:c>
      <x:c r="BE24" s="63" t="n">
        <x:f>IF(BB24+BC24&gt;0,(BB24*crown_charter+BC24*crown_comp)/(BA24),0)</x:f>
        <x:v>0.25</x:v>
      </x:c>
    </x:row>
    <x:row r="25">
      <x:c r="A25" s="61" t="n">
        <x:v>1865</x:v>
      </x:c>
      <x:c r="B25" s="65" t="n">
        <x:f>champ_scale*(1+Labour!AP25)*(1+Partners!BX25)*(1-IF(union_resp=2,tariff_cut*Labour!S25,0))</x:f>
        <x:v>1.0004332715556041</x:v>
      </x:c>
      <x:c r="C25" s="45" t="n">
        <x:v>0</x:v>
      </x:c>
      <x:c r="D25" s="45" t="n">
        <x:v>0</x:v>
      </x:c>
      <x:c r="E25" s="45" t="n">
        <x:v>120</x:v>
      </x:c>
      <x:c r="F25" s="47" t="n">
        <x:f>E25*B25</x:f>
        <x:v>120.0519925866725</x:v>
      </x:c>
      <x:c r="G25" s="47" t="n">
        <x:f>F25/Economy!B25*1000000</x:f>
        <x:v>100.99357908742056</x:v>
      </x:c>
      <x:c r="H25" s="45" t="n">
        <x:v>232</x:v>
      </x:c>
      <x:c r="I25" s="67" t="n">
        <x:f>IF(H25&gt;0,G25/H25,0)</x:f>
        <x:v>0.4353171512388817</x:v>
      </x:c>
      <x:c r="J25" s="68" t="n">
        <x:v>0</x:v>
      </x:c>
      <x:c r="K25" s="53" t="n">
        <x:f>Resources!K25*J25*B25</x:f>
        <x:v>0</x:v>
      </x:c>
      <x:c r="L25" s="45" t="n">
        <x:v>0</x:v>
      </x:c>
      <x:c r="M25" s="59" t="n">
        <x:v>0</x:v>
      </x:c>
      <x:c r="N25" s="45" t="n">
        <x:v>0</x:v>
      </x:c>
      <x:c r="O25" s="68" t="n">
        <x:v>0</x:v>
      </x:c>
      <x:c r="P25" s="53" t="n">
        <x:f>(IF(Gulf!E25=1,0,L25*M25)+N25)*O25*B25</x:f>
        <x:v>0</x:v>
      </x:c>
      <x:c r="Q25" s="53" t="n">
        <x:f>P25*oil_book</x:f>
        <x:v>0</x:v>
      </x:c>
      <x:c r="R25" s="68" t="n">
        <x:v>0</x:v>
      </x:c>
      <x:c r="S25" s="45" t="n">
        <x:v>0</x:v>
      </x:c>
      <x:c r="T25" s="53" t="n">
        <x:f>R25*S25*B25</x:f>
        <x:v>0</x:v>
      </x:c>
      <x:c r="U25" s="45" t="n">
        <x:v>0</x:v>
      </x:c>
      <x:c r="V25" s="45" t="n">
        <x:v>0</x:v>
      </x:c>
      <x:c r="W25" s="53" t="n">
        <x:f>U25/1000*V25*B25</x:f>
        <x:v>0</x:v>
      </x:c>
      <x:c r="X25" s="45" t="n">
        <x:v>0</x:v>
      </x:c>
      <x:c r="Y25" s="59" t="n">
        <x:v>0</x:v>
      </x:c>
      <x:c r="Z25" s="53" t="n">
        <x:f>X25*Y25*chem_va*B25</x:f>
        <x:v>0</x:v>
      </x:c>
      <x:c r="AA25" s="59" t="n">
        <x:v>0</x:v>
      </x:c>
      <x:c r="AB25" s="53" t="n">
        <x:f>X25*AA25*roy_rate*B25*(1-IF(union_resp=2,lic_cut*Labour!S25,0))</x:f>
        <x:v>0</x:v>
      </x:c>
      <x:c r="AC25" s="45" t="n">
        <x:v>0</x:v>
      </x:c>
      <x:c r="AD25" s="59" t="n">
        <x:v>0</x:v>
      </x:c>
      <x:c r="AE25" s="59" t="n">
        <x:v>0</x:v>
      </x:c>
      <x:c r="AF25" s="53" t="n">
        <x:f>AC25*AD25*elec_va*B25</x:f>
        <x:v>0</x:v>
      </x:c>
      <x:c r="AG25" s="53" t="n">
        <x:f>MAX(0,AE25-AD25)*AC25*roy_rate*B25*(1-IF(union_resp=2,lic_cut*Labour!S25,0))</x:f>
        <x:v>0</x:v>
      </x:c>
      <x:c r="AH25" s="52" t="n">
        <x:v>2</x:v>
      </x:c>
      <x:c r="AI25" s="53" t="n">
        <x:f>AH25*B25</x:f>
        <x:v>2.0008665431112083</x:v>
      </x:c>
      <x:c r="AJ25" s="52" t="n">
        <x:v>0</x:v>
      </x:c>
      <x:c r="AK25" s="53" t="n">
        <x:f>AJ25*B25</x:f>
        <x:v>0</x:v>
      </x:c>
      <x:c r="AL25" s="45" t="n">
        <x:v>0</x:v>
      </x:c>
      <x:c r="AM25" s="53" t="n">
        <x:f>AL25*uw_fee*B25</x:f>
        <x:v>0</x:v>
      </x:c>
      <x:c r="AN25" s="52" t="n">
        <x:v>0</x:v>
      </x:c>
      <x:c r="AO25" s="52" t="n">
        <x:v>0</x:v>
      </x:c>
      <x:c r="AP25" s="53" t="n">
        <x:f>K25+T25+W25+Z25+AF25+AI25+AK25+AM25+AN25+AO25</x:f>
        <x:v>2.0008665431112083</x:v>
      </x:c>
      <x:c r="AQ25" s="53" t="n">
        <x:f>AP25*(1-1/champ_prem+champ_spill)</x:f>
        <x:v>1.389490654938339</x:v>
      </x:c>
      <x:c r="AR25" s="63" t="n">
        <x:f>AP25/Economy!O25</x:f>
        <x:v>0.005830730677148398</x:v>
      </x:c>
      <x:c r="AS25" s="52" t="n">
        <x:v>0</x:v>
      </x:c>
      <x:c r="AT25" s="52" t="n">
        <x:v>0</x:v>
      </x:c>
      <x:c r="AU25" s="52" t="n">
        <x:v>0</x:v>
      </x:c>
      <x:c r="AV25" s="52" t="n">
        <x:v>0</x:v>
      </x:c>
      <x:c r="AW25" s="52" t="n">
        <x:v>0</x:v>
      </x:c>
      <x:c r="AX25" s="52" t="n">
        <x:v>0</x:v>
      </x:c>
      <x:c r="AY25" s="53" t="n">
        <x:f>Q25+(AS25+AT25+AU25+AV25+AW25+AX25)*B25</x:f>
        <x:v>0</x:v>
      </x:c>
      <x:c r="AZ25" s="53" t="n">
        <x:f>P25+(AS25*ret_rail+AT25*ret_tel+AU25*ret_elec+AV25*ret_auto+AW25*ret_chem+AX25*ret_steel)*B25*IF(OR($A25=1931,$A25=1932),abroad_slump,1)+AB25+AG25</x:f>
        <x:v>0</x:v>
      </x:c>
      <x:c r="BA25" s="53" t="n">
        <x:f>AP25*champ_profit+AZ25</x:f>
        <x:v>0.40017330862224165</x:v>
      </x:c>
      <x:c r="BB25" s="53" t="n">
        <x:f>(K25+AI25+AK25)*champ_profit+P25+(AS25*ret_rail+AT25*ret_tel+AU25*ret_elec)*B25*IF(OR($A25=1931,$A25=1932),abroad_slump,1)</x:f>
        <x:v>0.40017330862224165</x:v>
      </x:c>
      <x:c r="BC25" s="53" t="n">
        <x:f>(T25+W25+Z25+AF25+AN25+AO25)*champ_profit+(AV25*ret_auto+AW25*ret_chem+AX25*ret_steel)*B25*IF(OR($A25=1931,$A25=1932),abroad_slump,1)+AB25+AG25</x:f>
        <x:v>0</x:v>
      </x:c>
      <x:c r="BD25" s="53" t="n">
        <x:f>IF($A25&gt;=crown_start,(BB25*crown_charter+BC25*crown_comp)*crown_payout,0)</x:f>
        <x:v>0</x:v>
      </x:c>
      <x:c r="BE25" s="63" t="n">
        <x:f>IF(BB25+BC25&gt;0,(BB25*crown_charter+BC25*crown_comp)/(BA25),0)</x:f>
        <x:v>0.25</x:v>
      </x:c>
    </x:row>
    <x:row r="26">
      <x:c r="A26" s="58" t="n">
        <x:v>1866</x:v>
      </x:c>
      <x:c r="B26" s="65" t="n">
        <x:f>champ_scale*(1+Labour!AP26)*(1+Partners!BX26)*(1-IF(union_resp=2,tariff_cut*Labour!S26,0))</x:f>
        <x:v>1.0006000713856844</x:v>
      </x:c>
      <x:c r="C26" s="45" t="n">
        <x:v>0</x:v>
      </x:c>
      <x:c r="D26" s="45" t="n">
        <x:v>0</x:v>
      </x:c>
      <x:c r="E26" s="45" t="n">
        <x:v>140</x:v>
      </x:c>
      <x:c r="F26" s="47" t="n">
        <x:f>E26*B26</x:f>
        <x:v>140.0840099939958</x:v>
      </x:c>
      <x:c r="G26" s="47" t="n">
        <x:f>F26/Economy!B26*1000000</x:f>
        <x:v>110.99182256792774</x:v>
      </x:c>
      <x:c r="H26" s="45" t="n">
        <x:v>248</x:v>
      </x:c>
      <x:c r="I26" s="67" t="n">
        <x:f>IF(H26&gt;0,G26/H26,0)</x:f>
        <x:v>0.4475476716448699</x:v>
      </x:c>
      <x:c r="J26" s="68" t="n">
        <x:v>0</x:v>
      </x:c>
      <x:c r="K26" s="53" t="n">
        <x:f>Resources!K26*J26*B26</x:f>
        <x:v>0</x:v>
      </x:c>
      <x:c r="L26" s="45" t="n">
        <x:v>0</x:v>
      </x:c>
      <x:c r="M26" s="59" t="n">
        <x:v>0</x:v>
      </x:c>
      <x:c r="N26" s="45" t="n">
        <x:v>0</x:v>
      </x:c>
      <x:c r="O26" s="68" t="n">
        <x:v>0</x:v>
      </x:c>
      <x:c r="P26" s="53" t="n">
        <x:f>(IF(Gulf!E26=1,0,L26*M26)+N26)*O26*B26</x:f>
        <x:v>0</x:v>
      </x:c>
      <x:c r="Q26" s="53" t="n">
        <x:f>P26*oil_book</x:f>
        <x:v>0</x:v>
      </x:c>
      <x:c r="R26" s="68" t="n">
        <x:v>0</x:v>
      </x:c>
      <x:c r="S26" s="45" t="n">
        <x:v>0</x:v>
      </x:c>
      <x:c r="T26" s="53" t="n">
        <x:f>R26*S26*B26</x:f>
        <x:v>0</x:v>
      </x:c>
      <x:c r="U26" s="45" t="n">
        <x:v>0</x:v>
      </x:c>
      <x:c r="V26" s="45" t="n">
        <x:v>0</x:v>
      </x:c>
      <x:c r="W26" s="53" t="n">
        <x:f>U26/1000*V26*B26</x:f>
        <x:v>0</x:v>
      </x:c>
      <x:c r="X26" s="45" t="n">
        <x:v>0</x:v>
      </x:c>
      <x:c r="Y26" s="59" t="n">
        <x:v>0</x:v>
      </x:c>
      <x:c r="Z26" s="53" t="n">
        <x:f>X26*Y26*chem_va*B26</x:f>
        <x:v>0</x:v>
      </x:c>
      <x:c r="AA26" s="59" t="n">
        <x:v>0</x:v>
      </x:c>
      <x:c r="AB26" s="53" t="n">
        <x:f>X26*AA26*roy_rate*B26*(1-IF(union_resp=2,lic_cut*Labour!S26,0))</x:f>
        <x:v>0</x:v>
      </x:c>
      <x:c r="AC26" s="45" t="n">
        <x:v>0</x:v>
      </x:c>
      <x:c r="AD26" s="59" t="n">
        <x:v>0</x:v>
      </x:c>
      <x:c r="AE26" s="59" t="n">
        <x:v>0</x:v>
      </x:c>
      <x:c r="AF26" s="53" t="n">
        <x:f>AC26*AD26*elec_va*B26</x:f>
        <x:v>0</x:v>
      </x:c>
      <x:c r="AG26" s="53" t="n">
        <x:f>MAX(0,AE26-AD26)*AC26*roy_rate*B26*(1-IF(union_resp=2,lic_cut*Labour!S26,0))</x:f>
        <x:v>0</x:v>
      </x:c>
      <x:c r="AH26" s="52" t="n">
        <x:v>2</x:v>
      </x:c>
      <x:c r="AI26" s="53" t="n">
        <x:f>AH26*B26</x:f>
        <x:v>2.001200142771369</x:v>
      </x:c>
      <x:c r="AJ26" s="52" t="n">
        <x:v>0</x:v>
      </x:c>
      <x:c r="AK26" s="53" t="n">
        <x:f>AJ26*B26</x:f>
        <x:v>0</x:v>
      </x:c>
      <x:c r="AL26" s="45" t="n">
        <x:v>0</x:v>
      </x:c>
      <x:c r="AM26" s="53" t="n">
        <x:f>AL26*uw_fee*B26</x:f>
        <x:v>0</x:v>
      </x:c>
      <x:c r="AN26" s="52" t="n">
        <x:v>0</x:v>
      </x:c>
      <x:c r="AO26" s="52" t="n">
        <x:v>0</x:v>
      </x:c>
      <x:c r="AP26" s="53" t="n">
        <x:f>K26+T26+W26+Z26+AF26+AI26+AK26+AM26+AN26+AO26</x:f>
        <x:v>2.001200142771369</x:v>
      </x:c>
      <x:c r="AQ26" s="53" t="n">
        <x:f>AP26*(1-1/champ_prem+champ_spill)</x:f>
        <x:v>1.389722321369006</x:v>
      </x:c>
      <x:c r="AR26" s="63" t="n">
        <x:f>AP26/Economy!O26</x:f>
        <x:v>0.005456558442201886</x:v>
      </x:c>
      <x:c r="AS26" s="52" t="n">
        <x:v>0</x:v>
      </x:c>
      <x:c r="AT26" s="52" t="n">
        <x:v>0</x:v>
      </x:c>
      <x:c r="AU26" s="52" t="n">
        <x:v>0</x:v>
      </x:c>
      <x:c r="AV26" s="52" t="n">
        <x:v>0</x:v>
      </x:c>
      <x:c r="AW26" s="52" t="n">
        <x:v>0</x:v>
      </x:c>
      <x:c r="AX26" s="52" t="n">
        <x:v>0</x:v>
      </x:c>
      <x:c r="AY26" s="53" t="n">
        <x:f>Q26+(AS26+AT26+AU26+AV26+AW26+AX26)*B26</x:f>
        <x:v>0</x:v>
      </x:c>
      <x:c r="AZ26" s="53" t="n">
        <x:f>P26+(AS26*ret_rail+AT26*ret_tel+AU26*ret_elec+AV26*ret_auto+AW26*ret_chem+AX26*ret_steel)*B26*IF(OR($A26=1931,$A26=1932),abroad_slump,1)+AB26+AG26</x:f>
        <x:v>0</x:v>
      </x:c>
      <x:c r="BA26" s="53" t="n">
        <x:f>AP26*champ_profit+AZ26</x:f>
        <x:v>0.40024002855427376</x:v>
      </x:c>
      <x:c r="BB26" s="53" t="n">
        <x:f>(K26+AI26+AK26)*champ_profit+P26+(AS26*ret_rail+AT26*ret_tel+AU26*ret_elec)*B26*IF(OR($A26=1931,$A26=1932),abroad_slump,1)</x:f>
        <x:v>0.40024002855427376</x:v>
      </x:c>
      <x:c r="BC26" s="53" t="n">
        <x:f>(T26+W26+Z26+AF26+AN26+AO26)*champ_profit+(AV26*ret_auto+AW26*ret_chem+AX26*ret_steel)*B26*IF(OR($A26=1931,$A26=1932),abroad_slump,1)+AB26+AG26</x:f>
        <x:v>0</x:v>
      </x:c>
      <x:c r="BD26" s="53" t="n">
        <x:f>IF($A26&gt;=crown_start,(BB26*crown_charter+BC26*crown_comp)*crown_payout,0)</x:f>
        <x:v>0</x:v>
      </x:c>
      <x:c r="BE26" s="63" t="n">
        <x:f>IF(BB26+BC26&gt;0,(BB26*crown_charter+BC26*crown_comp)/(BA26),0)</x:f>
        <x:v>0.25</x:v>
      </x:c>
    </x:row>
    <x:row r="27">
      <x:c r="A27" s="58" t="n">
        <x:v>1867</x:v>
      </x:c>
      <x:c r="B27" s="65" t="n">
        <x:f>champ_scale*(1+Labour!AP27)*(1+Partners!BX27)*(1-IF(union_resp=2,tariff_cut*Labour!S27,0))</x:f>
        <x:v>1.0007775175912768</x:v>
      </x:c>
      <x:c r="C27" s="45" t="n">
        <x:v>0</x:v>
      </x:c>
      <x:c r="D27" s="45" t="n">
        <x:v>0</x:v>
      </x:c>
      <x:c r="E27" s="45" t="n">
        <x:v>160</x:v>
      </x:c>
      <x:c r="F27" s="47" t="n">
        <x:f>E27*B27</x:f>
        <x:v>160.12440281460428</x:v>
      </x:c>
      <x:c r="G27" s="47" t="n">
        <x:f>F27/Economy!B27*1000000</x:f>
        <x:v>116.49302881358497</x:v>
      </x:c>
      <x:c r="H27" s="45" t="n">
        <x:v>265</x:v>
      </x:c>
      <x:c r="I27" s="67" t="n">
        <x:f>IF(H27&gt;0,G27/H27,0)</x:f>
        <x:v>0.43959633514560364</x:v>
      </x:c>
      <x:c r="J27" s="68" t="n">
        <x:v>0</x:v>
      </x:c>
      <x:c r="K27" s="53" t="n">
        <x:f>Resources!K27*J27*B27</x:f>
        <x:v>0</x:v>
      </x:c>
      <x:c r="L27" s="45" t="n">
        <x:v>0</x:v>
      </x:c>
      <x:c r="M27" s="59" t="n">
        <x:v>0</x:v>
      </x:c>
      <x:c r="N27" s="45" t="n">
        <x:v>0</x:v>
      </x:c>
      <x:c r="O27" s="68" t="n">
        <x:v>0</x:v>
      </x:c>
      <x:c r="P27" s="53" t="n">
        <x:f>(IF(Gulf!E27=1,0,L27*M27)+N27)*O27*B27</x:f>
        <x:v>0</x:v>
      </x:c>
      <x:c r="Q27" s="53" t="n">
        <x:f>P27*oil_book</x:f>
        <x:v>0</x:v>
      </x:c>
      <x:c r="R27" s="68" t="n">
        <x:v>0</x:v>
      </x:c>
      <x:c r="S27" s="45" t="n">
        <x:v>0</x:v>
      </x:c>
      <x:c r="T27" s="53" t="n">
        <x:f>R27*S27*B27</x:f>
        <x:v>0</x:v>
      </x:c>
      <x:c r="U27" s="45" t="n">
        <x:v>0</x:v>
      </x:c>
      <x:c r="V27" s="45" t="n">
        <x:v>0</x:v>
      </x:c>
      <x:c r="W27" s="53" t="n">
        <x:f>U27/1000*V27*B27</x:f>
        <x:v>0</x:v>
      </x:c>
      <x:c r="X27" s="45" t="n">
        <x:v>300</x:v>
      </x:c>
      <x:c r="Y27" s="59" t="n">
        <x:v>0.002</x:v>
      </x:c>
      <x:c r="Z27" s="53" t="n">
        <x:f>X27*Y27*chem_va*B27</x:f>
        <x:v>0.27020992974964475</x:v>
      </x:c>
      <x:c r="AA27" s="59" t="n">
        <x:v>0.002</x:v>
      </x:c>
      <x:c r="AB27" s="53" t="n">
        <x:f>X27*AA27*roy_rate*B27*(1-IF(union_resp=2,lic_cut*Labour!S27,0))</x:f>
        <x:v>0.01801399531664298</x:v>
      </x:c>
      <x:c r="AC27" s="45" t="n">
        <x:v>0</x:v>
      </x:c>
      <x:c r="AD27" s="59" t="n">
        <x:v>0</x:v>
      </x:c>
      <x:c r="AE27" s="59" t="n">
        <x:v>0</x:v>
      </x:c>
      <x:c r="AF27" s="53" t="n">
        <x:f>AC27*AD27*elec_va*B27</x:f>
        <x:v>0</x:v>
      </x:c>
      <x:c r="AG27" s="53" t="n">
        <x:f>MAX(0,AE27-AD27)*AC27*roy_rate*B27*(1-IF(union_resp=2,lic_cut*Labour!S27,0))</x:f>
        <x:v>0</x:v>
      </x:c>
      <x:c r="AH27" s="52" t="n">
        <x:v>2</x:v>
      </x:c>
      <x:c r="AI27" s="53" t="n">
        <x:f>AH27*B27</x:f>
        <x:v>2.0015550351825535</x:v>
      </x:c>
      <x:c r="AJ27" s="52" t="n">
        <x:v>0</x:v>
      </x:c>
      <x:c r="AK27" s="53" t="n">
        <x:f>AJ27*B27</x:f>
        <x:v>0</x:v>
      </x:c>
      <x:c r="AL27" s="45" t="n">
        <x:v>0</x:v>
      </x:c>
      <x:c r="AM27" s="53" t="n">
        <x:f>AL27*uw_fee*B27</x:f>
        <x:v>0</x:v>
      </x:c>
      <x:c r="AN27" s="52" t="n">
        <x:v>0</x:v>
      </x:c>
      <x:c r="AO27" s="52" t="n">
        <x:v>0</x:v>
      </x:c>
      <x:c r="AP27" s="53" t="n">
        <x:f>K27+T27+W27+Z27+AF27+AI27+AK27+AM27+AN27+AO27</x:f>
        <x:v>2.2717649649321983</x:v>
      </x:c>
      <x:c r="AQ27" s="53" t="n">
        <x:f>AP27*(1-1/champ_prem+champ_spill)</x:f>
        <x:v>1.5776145589806931</x:v>
      </x:c>
      <x:c r="AR27" s="63" t="n">
        <x:f>AP27/Economy!O27</x:f>
        <x:v>0.005695099279239435</x:v>
      </x:c>
      <x:c r="AS27" s="52" t="n">
        <x:v>0</x:v>
      </x:c>
      <x:c r="AT27" s="52" t="n">
        <x:v>0</x:v>
      </x:c>
      <x:c r="AU27" s="52" t="n">
        <x:v>0</x:v>
      </x:c>
      <x:c r="AV27" s="52" t="n">
        <x:v>0</x:v>
      </x:c>
      <x:c r="AW27" s="52" t="n">
        <x:v>0</x:v>
      </x:c>
      <x:c r="AX27" s="52" t="n">
        <x:v>0</x:v>
      </x:c>
      <x:c r="AY27" s="53" t="n">
        <x:f>Q27+(AS27+AT27+AU27+AV27+AW27+AX27)*B27</x:f>
        <x:v>0</x:v>
      </x:c>
      <x:c r="AZ27" s="53" t="n">
        <x:f>P27+(AS27*ret_rail+AT27*ret_tel+AU27*ret_elec+AV27*ret_auto+AW27*ret_chem+AX27*ret_steel)*B27*IF(OR($A27=1931,$A27=1932),abroad_slump,1)+AB27+AG27</x:f>
        <x:v>0.01801399531664298</x:v>
      </x:c>
      <x:c r="BA27" s="53" t="n">
        <x:f>AP27*champ_profit+AZ27</x:f>
        <x:v>0.47236698830308266</x:v>
      </x:c>
      <x:c r="BB27" s="53" t="n">
        <x:f>(K27+AI27+AK27)*champ_profit+P27+(AS27*ret_rail+AT27*ret_tel+AU27*ret_elec)*B27*IF(OR($A27=1931,$A27=1932),abroad_slump,1)</x:f>
        <x:v>0.40031100703651074</x:v>
      </x:c>
      <x:c r="BC27" s="53" t="n">
        <x:f>(T27+W27+Z27+AF27+AN27+AO27)*champ_profit+(AV27*ret_auto+AW27*ret_chem+AX27*ret_steel)*B27*IF(OR($A27=1931,$A27=1932),abroad_slump,1)+AB27+AG27</x:f>
        <x:v>0.07205598126657194</x:v>
      </x:c>
      <x:c r="BD27" s="53" t="n">
        <x:f>IF($A27&gt;=crown_start,(BB27*crown_charter+BC27*crown_comp)*crown_payout,0)</x:f>
        <x:v>0</x:v>
      </x:c>
      <x:c r="BE27" s="63" t="n">
        <x:f>IF(BB27+BC27&gt;0,(BB27*crown_charter+BC27*crown_comp)/(BA27),0)</x:f>
        <x:v>0.2240677966101695</x:v>
      </x:c>
    </x:row>
    <x:row r="28">
      <x:c r="A28" s="58" t="n">
        <x:v>1868</x:v>
      </x:c>
      <x:c r="B28" s="65" t="n">
        <x:f>champ_scale*(1+Labour!AP28)*(1+Partners!BX28)*(1-IF(union_resp=2,tariff_cut*Labour!S28,0))</x:f>
        <x:v>1.0009652397176922</x:v>
      </x:c>
      <x:c r="C28" s="45" t="n">
        <x:v>0</x:v>
      </x:c>
      <x:c r="D28" s="45" t="n">
        <x:v>0</x:v>
      </x:c>
      <x:c r="E28" s="45" t="n">
        <x:v>170</x:v>
      </x:c>
      <x:c r="F28" s="47" t="n">
        <x:f>E28*B28</x:f>
        <x:v>170.1640907520077</x:v>
      </x:c>
      <x:c r="G28" s="47" t="n">
        <x:f>F28/Economy!B28*1000000</x:f>
        <x:v>113.84702748856255</x:v>
      </x:c>
      <x:c r="H28" s="45" t="n">
        <x:v>281</x:v>
      </x:c>
      <x:c r="I28" s="67" t="n">
        <x:f>IF(H28&gt;0,G28/H28,0)</x:f>
        <x:v>0.4051495640162368</x:v>
      </x:c>
      <x:c r="J28" s="68" t="n">
        <x:v>0</x:v>
      </x:c>
      <x:c r="K28" s="53" t="n">
        <x:f>Resources!K28*J28*B28</x:f>
        <x:v>0</x:v>
      </x:c>
      <x:c r="L28" s="45" t="n">
        <x:v>0</x:v>
      </x:c>
      <x:c r="M28" s="59" t="n">
        <x:v>0</x:v>
      </x:c>
      <x:c r="N28" s="45" t="n">
        <x:v>0</x:v>
      </x:c>
      <x:c r="O28" s="68" t="n">
        <x:v>0</x:v>
      </x:c>
      <x:c r="P28" s="53" t="n">
        <x:f>(IF(Gulf!E28=1,0,L28*M28)+N28)*O28*B28</x:f>
        <x:v>0</x:v>
      </x:c>
      <x:c r="Q28" s="53" t="n">
        <x:f>P28*oil_book</x:f>
        <x:v>0</x:v>
      </x:c>
      <x:c r="R28" s="68" t="n">
        <x:v>0.005</x:v>
      </x:c>
      <x:c r="S28" s="45" t="n">
        <x:v>40</x:v>
      </x:c>
      <x:c r="T28" s="53" t="n">
        <x:f>R28*S28*B28</x:f>
        <x:v>0.20019304794353845</x:v>
      </x:c>
      <x:c r="U28" s="45" t="n">
        <x:v>0</x:v>
      </x:c>
      <x:c r="V28" s="45" t="n">
        <x:v>0</x:v>
      </x:c>
      <x:c r="W28" s="53" t="n">
        <x:f>U28/1000*V28*B28</x:f>
        <x:v>0</x:v>
      </x:c>
      <x:c r="X28" s="45" t="n">
        <x:v>323</x:v>
      </x:c>
      <x:c r="Y28" s="59" t="n">
        <x:v>0.003</x:v>
      </x:c>
      <x:c r="Z28" s="53" t="n">
        <x:f>X28*Y28*chem_va*B28</x:f>
        <x:v>0.4364708927788997</x:v>
      </x:c>
      <x:c r="AA28" s="59" t="n">
        <x:v>0.002</x:v>
      </x:c>
      <x:c r="AB28" s="53" t="n">
        <x:f>X28*AA28*roy_rate*B28*(1-IF(union_resp=2,lic_cut*Labour!S28,0))</x:f>
        <x:v>0.019398706345728878</x:v>
      </x:c>
      <x:c r="AC28" s="45" t="n">
        <x:v>0</x:v>
      </x:c>
      <x:c r="AD28" s="59" t="n">
        <x:v>0</x:v>
      </x:c>
      <x:c r="AE28" s="59" t="n">
        <x:v>0</x:v>
      </x:c>
      <x:c r="AF28" s="53" t="n">
        <x:f>AC28*AD28*elec_va*B28</x:f>
        <x:v>0</x:v>
      </x:c>
      <x:c r="AG28" s="53" t="n">
        <x:f>MAX(0,AE28-AD28)*AC28*roy_rate*B28*(1-IF(union_resp=2,lic_cut*Labour!S28,0))</x:f>
        <x:v>0</x:v>
      </x:c>
      <x:c r="AH28" s="52" t="n">
        <x:v>3</x:v>
      </x:c>
      <x:c r="AI28" s="53" t="n">
        <x:f>AH28*B28</x:f>
        <x:v>3.0028957191530767</x:v>
      </x:c>
      <x:c r="AJ28" s="52" t="n">
        <x:v>0</x:v>
      </x:c>
      <x:c r="AK28" s="53" t="n">
        <x:f>AJ28*B28</x:f>
        <x:v>0</x:v>
      </x:c>
      <x:c r="AL28" s="45" t="n">
        <x:v>0</x:v>
      </x:c>
      <x:c r="AM28" s="53" t="n">
        <x:f>AL28*uw_fee*B28</x:f>
        <x:v>0</x:v>
      </x:c>
      <x:c r="AN28" s="52" t="n">
        <x:v>0</x:v>
      </x:c>
      <x:c r="AO28" s="52" t="n">
        <x:v>0</x:v>
      </x:c>
      <x:c r="AP28" s="53" t="n">
        <x:f>K28+T28+W28+Z28+AF28+AI28+AK28+AM28+AN28+AO28</x:f>
        <x:v>3.639559659875515</x:v>
      </x:c>
      <x:c r="AQ28" s="53" t="n">
        <x:f>AP28*(1-1/champ_prem+champ_spill)</x:f>
        <x:v>2.527471986024663</x:v>
      </x:c>
      <x:c r="AR28" s="63" t="n">
        <x:f>AP28/Economy!O28</x:f>
        <x:v>0.008381048279457242</x:v>
      </x:c>
      <x:c r="AS28" s="52" t="n">
        <x:v>0</x:v>
      </x:c>
      <x:c r="AT28" s="52" t="n">
        <x:v>0</x:v>
      </x:c>
      <x:c r="AU28" s="52" t="n">
        <x:v>0</x:v>
      </x:c>
      <x:c r="AV28" s="52" t="n">
        <x:v>0</x:v>
      </x:c>
      <x:c r="AW28" s="52" t="n">
        <x:v>0</x:v>
      </x:c>
      <x:c r="AX28" s="52" t="n">
        <x:v>0</x:v>
      </x:c>
      <x:c r="AY28" s="53" t="n">
        <x:f>Q28+(AS28+AT28+AU28+AV28+AW28+AX28)*B28</x:f>
        <x:v>0</x:v>
      </x:c>
      <x:c r="AZ28" s="53" t="n">
        <x:f>P28+(AS28*ret_rail+AT28*ret_tel+AU28*ret_elec+AV28*ret_auto+AW28*ret_chem+AX28*ret_steel)*B28*IF(OR($A28=1931,$A28=1932),abroad_slump,1)+AB28+AG28</x:f>
        <x:v>0.019398706345728878</x:v>
      </x:c>
      <x:c r="BA28" s="53" t="n">
        <x:f>AP28*champ_profit+AZ28</x:f>
        <x:v>0.7473106383208319</x:v>
      </x:c>
      <x:c r="BB28" s="53" t="n">
        <x:f>(K28+AI28+AK28)*champ_profit+P28+(AS28*ret_rail+AT28*ret_tel+AU28*ret_elec)*B28*IF(OR($A28=1931,$A28=1932),abroad_slump,1)</x:f>
        <x:v>0.6005791438306154</x:v>
      </x:c>
      <x:c r="BC28" s="53" t="n">
        <x:f>(T28+W28+Z28+AF28+AN28+AO28)*champ_profit+(AV28*ret_auto+AW28*ret_chem+AX28*ret_steel)*B28*IF(OR($A28=1931,$A28=1932),abroad_slump,1)+AB28+AG28</x:f>
        <x:v>0.14673149449021652</x:v>
      </x:c>
      <x:c r="BD28" s="53" t="n">
        <x:f>IF($A28&gt;=crown_start,(BB28*crown_charter+BC28*crown_comp)*crown_payout,0)</x:f>
        <x:v>0</x:v>
      </x:c>
      <x:c r="BE28" s="63" t="n">
        <x:f>IF(BB28+BC28&gt;0,(BB28*crown_charter+BC28*crown_comp)/(BA28),0)</x:f>
        <x:v>0.2166211709238002</x:v>
      </x:c>
    </x:row>
    <x:row r="29">
      <x:c r="A29" s="58" t="n">
        <x:v>1869</x:v>
      </x:c>
      <x:c r="B29" s="65" t="n">
        <x:f>champ_scale*(1+Labour!AP29)*(1+Partners!BX29)*(1-IF(union_resp=2,tariff_cut*Labour!S29,0))</x:f>
        <x:v>1.0023526076292044</x:v>
      </x:c>
      <x:c r="C29" s="45" t="n">
        <x:v>0</x:v>
      </x:c>
      <x:c r="D29" s="45" t="n">
        <x:v>0</x:v>
      </x:c>
      <x:c r="E29" s="45" t="n">
        <x:v>180</x:v>
      </x:c>
      <x:c r="F29" s="47" t="n">
        <x:f>E29*B29</x:f>
        <x:v>180.4234693732568</x:v>
      </x:c>
      <x:c r="G29" s="47" t="n">
        <x:f>F29/Economy!B29*1000000</x:f>
        <x:v>112.65596238943068</x:v>
      </x:c>
      <x:c r="H29" s="45" t="n">
        <x:v>298</x:v>
      </x:c>
      <x:c r="I29" s="67" t="n">
        <x:f>IF(H29&gt;0,G29/H29,0)</x:f>
        <x:v>0.3780401422464117</x:v>
      </x:c>
      <x:c r="J29" s="68" t="n">
        <x:v>0</x:v>
      </x:c>
      <x:c r="K29" s="53" t="n">
        <x:f>Resources!K29*J29*B29</x:f>
        <x:v>0</x:v>
      </x:c>
      <x:c r="L29" s="45" t="n">
        <x:v>0</x:v>
      </x:c>
      <x:c r="M29" s="59" t="n">
        <x:v>0</x:v>
      </x:c>
      <x:c r="N29" s="45" t="n">
        <x:v>0</x:v>
      </x:c>
      <x:c r="O29" s="68" t="n">
        <x:v>0</x:v>
      </x:c>
      <x:c r="P29" s="53" t="n">
        <x:f>(IF(Gulf!E29=1,0,L29*M29)+N29)*O29*B29</x:f>
        <x:v>0</x:v>
      </x:c>
      <x:c r="Q29" s="53" t="n">
        <x:f>P29*oil_book</x:f>
        <x:v>0</x:v>
      </x:c>
      <x:c r="R29" s="68" t="n">
        <x:v>0.013</x:v>
      </x:c>
      <x:c r="S29" s="45" t="n">
        <x:v>39</x:v>
      </x:c>
      <x:c r="T29" s="53" t="n">
        <x:f>R29*S29*B29</x:f>
        <x:v>0.5081927720680066</x:v>
      </x:c>
      <x:c r="U29" s="45" t="n">
        <x:v>0</x:v>
      </x:c>
      <x:c r="V29" s="45" t="n">
        <x:v>0</x:v>
      </x:c>
      <x:c r="W29" s="53" t="n">
        <x:f>U29/1000*V29*B29</x:f>
        <x:v>0</x:v>
      </x:c>
      <x:c r="X29" s="45" t="n">
        <x:v>346</x:v>
      </x:c>
      <x:c r="Y29" s="59" t="n">
        <x:v>0.003</x:v>
      </x:c>
      <x:c r="Z29" s="53" t="n">
        <x:f>X29*Y29*chem_va*B29</x:f>
        <x:v>0.4681989030236014</x:v>
      </x:c>
      <x:c r="AA29" s="59" t="n">
        <x:v>0.003</x:v>
      </x:c>
      <x:c r="AB29" s="53" t="n">
        <x:f>X29*AA29*roy_rate*B29*(1-IF(union_resp=2,lic_cut*Labour!S29,0))</x:f>
        <x:v>0.031213260201573428</x:v>
      </x:c>
      <x:c r="AC29" s="45" t="n">
        <x:v>0</x:v>
      </x:c>
      <x:c r="AD29" s="59" t="n">
        <x:v>0</x:v>
      </x:c>
      <x:c r="AE29" s="59" t="n">
        <x:v>0</x:v>
      </x:c>
      <x:c r="AF29" s="53" t="n">
        <x:f>AC29*AD29*elec_va*B29</x:f>
        <x:v>0</x:v>
      </x:c>
      <x:c r="AG29" s="53" t="n">
        <x:f>MAX(0,AE29-AD29)*AC29*roy_rate*B29*(1-IF(union_resp=2,lic_cut*Labour!S29,0))</x:f>
        <x:v>0</x:v>
      </x:c>
      <x:c r="AH29" s="52" t="n">
        <x:v>3</x:v>
      </x:c>
      <x:c r="AI29" s="53" t="n">
        <x:f>AH29*B29</x:f>
        <x:v>3.0070578228876133</x:v>
      </x:c>
      <x:c r="AJ29" s="52" t="n">
        <x:v>0</x:v>
      </x:c>
      <x:c r="AK29" s="53" t="n">
        <x:f>AJ29*B29</x:f>
        <x:v>0</x:v>
      </x:c>
      <x:c r="AL29" s="45" t="n">
        <x:v>0</x:v>
      </x:c>
      <x:c r="AM29" s="53" t="n">
        <x:f>AL29*uw_fee*B29</x:f>
        <x:v>0</x:v>
      </x:c>
      <x:c r="AN29" s="52" t="n">
        <x:v>0</x:v>
      </x:c>
      <x:c r="AO29" s="52" t="n">
        <x:v>0</x:v>
      </x:c>
      <x:c r="AP29" s="53" t="n">
        <x:f>K29+T29+W29+Z29+AF29+AI29+AK29+AM29+AN29+AO29</x:f>
        <x:v>3.983449497979221</x:v>
      </x:c>
      <x:c r="AQ29" s="53" t="n">
        <x:f>AP29*(1-1/champ_prem+champ_spill)</x:f>
        <x:v>2.7662843735966813</x:v>
      </x:c>
      <x:c r="AR29" s="63" t="n">
        <x:f>AP29/Economy!O29</x:f>
        <x:v>0.008446453775050244</x:v>
      </x:c>
      <x:c r="AS29" s="52" t="n">
        <x:v>0</x:v>
      </x:c>
      <x:c r="AT29" s="52" t="n">
        <x:v>0</x:v>
      </x:c>
      <x:c r="AU29" s="52" t="n">
        <x:v>0</x:v>
      </x:c>
      <x:c r="AV29" s="52" t="n">
        <x:v>0</x:v>
      </x:c>
      <x:c r="AW29" s="52" t="n">
        <x:v>0</x:v>
      </x:c>
      <x:c r="AX29" s="52" t="n">
        <x:v>0</x:v>
      </x:c>
      <x:c r="AY29" s="53" t="n">
        <x:f>Q29+(AS29+AT29+AU29+AV29+AW29+AX29)*B29</x:f>
        <x:v>0</x:v>
      </x:c>
      <x:c r="AZ29" s="53" t="n">
        <x:f>P29+(AS29*ret_rail+AT29*ret_tel+AU29*ret_elec+AV29*ret_auto+AW29*ret_chem+AX29*ret_steel)*B29*IF(OR($A29=1931,$A29=1932),abroad_slump,1)+AB29+AG29</x:f>
        <x:v>0.031213260201573428</x:v>
      </x:c>
      <x:c r="BA29" s="53" t="n">
        <x:f>AP29*champ_profit+AZ29</x:f>
        <x:v>0.8279031597974177</x:v>
      </x:c>
      <x:c r="BB29" s="53" t="n">
        <x:f>(K29+AI29+AK29)*champ_profit+P29+(AS29*ret_rail+AT29*ret_tel+AU29*ret_elec)*B29*IF(OR($A29=1931,$A29=1932),abroad_slump,1)</x:f>
        <x:v>0.6014115645775227</x:v>
      </x:c>
      <x:c r="BC29" s="53" t="n">
        <x:f>(T29+W29+Z29+AF29+AN29+AO29)*champ_profit+(AV29*ret_auto+AW29*ret_chem+AX29*ret_steel)*B29*IF(OR($A29=1931,$A29=1932),abroad_slump,1)+AB29+AG29</x:f>
        <x:v>0.226491595219895</x:v>
      </x:c>
      <x:c r="BD29" s="53" t="n">
        <x:f>IF($A29&gt;=crown_start,(BB29*crown_charter+BC29*crown_comp)*crown_payout,0)</x:f>
        <x:v>0</x:v>
      </x:c>
      <x:c r="BE29" s="63" t="n">
        <x:f>IF(BB29+BC29&gt;0,(BB29*crown_charter+BC29*crown_comp)/(BA29),0)</x:f>
        <x:v>0.20349266308295802</x:v>
      </x:c>
    </x:row>
    <x:row r="30">
      <x:c r="A30" s="61" t="n">
        <x:v>1870</x:v>
      </x:c>
      <x:c r="B30" s="65" t="n">
        <x:f>champ_scale*(1+Labour!AP30)*(1+Partners!BX30)*(1-IF(union_resp=2,tariff_cut*Labour!S30,0))</x:f>
        <x:v>1.0037977010699244</x:v>
      </x:c>
      <x:c r="C30" s="45" t="n">
        <x:v>50</x:v>
      </x:c>
      <x:c r="D30" s="45" t="n">
        <x:v>20</x:v>
      </x:c>
      <x:c r="E30" s="45" t="n">
        <x:v>200</x:v>
      </x:c>
      <x:c r="F30" s="47" t="n">
        <x:f>E30*B30</x:f>
        <x:v>200.75954021398488</x:v>
      </x:c>
      <x:c r="G30" s="47" t="n">
        <x:f>F30/Economy!B30*1000000</x:f>
        <x:v>117.11386357520823</x:v>
      </x:c>
      <x:c r="H30" s="45" t="n">
        <x:v>314</x:v>
      </x:c>
      <x:c r="I30" s="67" t="n">
        <x:f>IF(H30&gt;0,G30/H30,0)</x:f>
        <x:v>0.3729740878191345</x:v>
      </x:c>
      <x:c r="J30" s="68" t="n">
        <x:v>0</x:v>
      </x:c>
      <x:c r="K30" s="53" t="n">
        <x:f>Resources!K30*J30*B30</x:f>
        <x:v>0</x:v>
      </x:c>
      <x:c r="L30" s="45" t="n">
        <x:v>0</x:v>
      </x:c>
      <x:c r="M30" s="59" t="n">
        <x:v>0</x:v>
      </x:c>
      <x:c r="N30" s="45" t="n">
        <x:v>0</x:v>
      </x:c>
      <x:c r="O30" s="68" t="n">
        <x:v>0</x:v>
      </x:c>
      <x:c r="P30" s="53" t="n">
        <x:f>(IF(Gulf!E30=1,0,L30*M30)+N30)*O30*B30</x:f>
        <x:v>0</x:v>
      </x:c>
      <x:c r="Q30" s="53" t="n">
        <x:f>P30*oil_book</x:f>
        <x:v>0</x:v>
      </x:c>
      <x:c r="R30" s="68" t="n">
        <x:v>0.02</x:v>
      </x:c>
      <x:c r="S30" s="45" t="n">
        <x:v>38</x:v>
      </x:c>
      <x:c r="T30" s="53" t="n">
        <x:f>R30*S30*B30</x:f>
        <x:v>0.7628862528131426</x:v>
      </x:c>
      <x:c r="U30" s="45" t="n">
        <x:v>0</x:v>
      </x:c>
      <x:c r="V30" s="45" t="n">
        <x:v>0</x:v>
      </x:c>
      <x:c r="W30" s="53" t="n">
        <x:f>U30/1000*V30*B30</x:f>
        <x:v>0</x:v>
      </x:c>
      <x:c r="X30" s="45" t="n">
        <x:v>369</x:v>
      </x:c>
      <x:c r="Y30" s="59" t="n">
        <x:v>0.004</x:v>
      </x:c>
      <x:c r="Z30" s="53" t="n">
        <x:f>X30*Y30*chem_va*B30</x:f>
        <x:v>0.6667224330506438</x:v>
      </x:c>
      <x:c r="AA30" s="59" t="n">
        <x:v>0.003</x:v>
      </x:c>
      <x:c r="AB30" s="53" t="n">
        <x:f>X30*AA30*roy_rate*B30*(1-IF(union_resp=2,lic_cut*Labour!S30,0))</x:f>
        <x:v>0.033336121652532184</x:v>
      </x:c>
      <x:c r="AC30" s="45" t="n">
        <x:v>0</x:v>
      </x:c>
      <x:c r="AD30" s="59" t="n">
        <x:v>0</x:v>
      </x:c>
      <x:c r="AE30" s="59" t="n">
        <x:v>0</x:v>
      </x:c>
      <x:c r="AF30" s="53" t="n">
        <x:f>AC30*AD30*elec_va*B30</x:f>
        <x:v>0</x:v>
      </x:c>
      <x:c r="AG30" s="53" t="n">
        <x:f>MAX(0,AE30-AD30)*AC30*roy_rate*B30*(1-IF(union_resp=2,lic_cut*Labour!S30,0))</x:f>
        <x:v>0</x:v>
      </x:c>
      <x:c r="AH30" s="52" t="n">
        <x:v>3</x:v>
      </x:c>
      <x:c r="AI30" s="53" t="n">
        <x:f>AH30*B30</x:f>
        <x:v>3.011393103209773</x:v>
      </x:c>
      <x:c r="AJ30" s="52" t="n">
        <x:v>3</x:v>
      </x:c>
      <x:c r="AK30" s="53" t="n">
        <x:f>AJ30*B30</x:f>
        <x:v>3.011393103209773</x:v>
      </x:c>
      <x:c r="AL30" s="45" t="n">
        <x:v>2</x:v>
      </x:c>
      <x:c r="AM30" s="53" t="n">
        <x:f>AL30*uw_fee*B30</x:f>
        <x:v>0.050189885053496225</x:v>
      </x:c>
      <x:c r="AN30" s="52" t="n">
        <x:v>0</x:v>
      </x:c>
      <x:c r="AO30" s="52" t="n">
        <x:v>0</x:v>
      </x:c>
      <x:c r="AP30" s="53" t="n">
        <x:f>K30+T30+W30+Z30+AF30+AI30+AK30+AM30+AN30+AO30</x:f>
        <x:v>7.502584777336828</x:v>
      </x:c>
      <x:c r="AQ30" s="53" t="n">
        <x:f>AP30*(1-1/champ_prem+champ_spill)</x:f>
        <x:v>5.21012831759502</x:v>
      </x:c>
      <x:c r="AR30" s="63" t="n">
        <x:f>AP30/Economy!O30</x:f>
        <x:v>0.014582936683362364</x:v>
      </x:c>
      <x:c r="AS30" s="52" t="n">
        <x:v>5</x:v>
      </x:c>
      <x:c r="AT30" s="52" t="n">
        <x:v>2</x:v>
      </x:c>
      <x:c r="AU30" s="52" t="n">
        <x:v>0</x:v>
      </x:c>
      <x:c r="AV30" s="52" t="n">
        <x:v>0</x:v>
      </x:c>
      <x:c r="AW30" s="52" t="n">
        <x:v>0</x:v>
      </x:c>
      <x:c r="AX30" s="52" t="n">
        <x:v>0</x:v>
      </x:c>
      <x:c r="AY30" s="53" t="n">
        <x:f>Q30+(AS30+AT30+AU30+AV30+AW30+AX30)*B30</x:f>
        <x:v>7.026583907489471</x:v>
      </x:c>
      <x:c r="AZ30" s="53" t="n">
        <x:f>P30+(AS30*ret_rail+AT30*ret_tel+AU30*ret_elec+AV30*ret_auto+AW30*ret_chem+AX30*ret_steel)*B30*IF(OR($A30=1931,$A30=1932),abroad_slump,1)+AB30+AG30</x:f>
        <x:v>0.4850450871339982</x:v>
      </x:c>
      <x:c r="BA30" s="53" t="n">
        <x:f>AP30*champ_profit+AZ30</x:f>
        <x:v>1.985562042601364</x:v>
      </x:c>
      <x:c r="BB30" s="53" t="n">
        <x:f>(K30+AI30+AK30)*champ_profit+P30+(AS30*ret_rail+AT30*ret_tel+AU30*ret_elec)*B30*IF(OR($A30=1931,$A30=1932),abroad_slump,1)</x:f>
        <x:v>1.6562662067653755</x:v>
      </x:c>
      <x:c r="BC30" s="53" t="n">
        <x:f>(T30+W30+Z30+AF30+AN30+AO30)*champ_profit+(AV30*ret_auto+AW30*ret_chem+AX30*ret_steel)*B30*IF(OR($A30=1931,$A30=1932),abroad_slump,1)+AB30+AG30</x:f>
        <x:v>0.3192578588252895</x:v>
      </x:c>
      <x:c r="BD30" s="53" t="n">
        <x:f>IF($A30&gt;=crown_start,(BB30*crown_charter+BC30*crown_comp)*crown_payout,0)</x:f>
        <x:v>0</x:v>
      </x:c>
      <x:c r="BE30" s="63" t="n">
        <x:f>IF(BB30+BC30&gt;0,(BB30*crown_charter+BC30*crown_comp)/(BA30),0)</x:f>
        <x:v>0.22140188569550823</x:v>
      </x:c>
    </x:row>
    <x:row r="31">
      <x:c r="A31" s="61" t="n">
        <x:v>1871</x:v>
      </x:c>
      <x:c r="B31" s="65" t="n">
        <x:f>champ_scale*(1+Labour!AP31)*(1+Partners!BX31)*(1-IF(union_resp=2,tariff_cut*Labour!S31,0))</x:f>
        <x:v>1.0053604486948042</x:v>
      </x:c>
      <x:c r="C31" s="45" t="n">
        <x:v>80</x:v>
      </x:c>
      <x:c r="D31" s="45" t="n">
        <x:v>30</x:v>
      </x:c>
      <x:c r="E31" s="45" t="n">
        <x:v>280</x:v>
      </x:c>
      <x:c r="F31" s="47" t="n">
        <x:f>E31*B31</x:f>
        <x:v>281.5009256345452</x:v>
      </x:c>
      <x:c r="G31" s="47" t="n">
        <x:f>F31/Economy!B31*1000000</x:f>
        <x:v>153.89666080090967</x:v>
      </x:c>
      <x:c r="H31" s="45" t="n">
        <x:v>308</x:v>
      </x:c>
      <x:c r="I31" s="67" t="n">
        <x:f>IF(H31&gt;0,G31/H31,0)</x:f>
        <x:v>0.4996644831198366</x:v>
      </x:c>
      <x:c r="J31" s="68" t="n">
        <x:v>0</x:v>
      </x:c>
      <x:c r="K31" s="53" t="n">
        <x:f>Resources!K31*J31*B31</x:f>
        <x:v>0</x:v>
      </x:c>
      <x:c r="L31" s="45" t="n">
        <x:v>0</x:v>
      </x:c>
      <x:c r="M31" s="59" t="n">
        <x:v>0</x:v>
      </x:c>
      <x:c r="N31" s="45" t="n">
        <x:v>0</x:v>
      </x:c>
      <x:c r="O31" s="68" t="n">
        <x:v>0</x:v>
      </x:c>
      <x:c r="P31" s="53" t="n">
        <x:f>(IF(Gulf!E31=1,0,L31*M31)+N31)*O31*B31</x:f>
        <x:v>0</x:v>
      </x:c>
      <x:c r="Q31" s="53" t="n">
        <x:f>P31*oil_book</x:f>
        <x:v>0</x:v>
      </x:c>
      <x:c r="R31" s="68" t="n">
        <x:v>0.03</x:v>
      </x:c>
      <x:c r="S31" s="45" t="n">
        <x:v>37</x:v>
      </x:c>
      <x:c r="T31" s="53" t="n">
        <x:f>R31*S31*B31</x:f>
        <x:v>1.1159500980512325</x:v>
      </x:c>
      <x:c r="U31" s="45" t="n">
        <x:v>0</x:v>
      </x:c>
      <x:c r="V31" s="45" t="n">
        <x:v>0</x:v>
      </x:c>
      <x:c r="W31" s="53" t="n">
        <x:f>U31/1000*V31*B31</x:f>
        <x:v>0</x:v>
      </x:c>
      <x:c r="X31" s="45" t="n">
        <x:v>392</x:v>
      </x:c>
      <x:c r="Y31" s="59" t="n">
        <x:v>0.004</x:v>
      </x:c>
      <x:c r="Z31" s="53" t="n">
        <x:f>X31*Y31*chem_va*B31</x:f>
        <x:v>0.7093823325990539</x:v>
      </x:c>
      <x:c r="AA31" s="59" t="n">
        <x:v>0.003</x:v>
      </x:c>
      <x:c r="AB31" s="53" t="n">
        <x:f>X31*AA31*roy_rate*B31*(1-IF(union_resp=2,lic_cut*Labour!S31,0))</x:f>
        <x:v>0.03546911662995269</x:v>
      </x:c>
      <x:c r="AC31" s="45" t="n">
        <x:v>0</x:v>
      </x:c>
      <x:c r="AD31" s="59" t="n">
        <x:v>0</x:v>
      </x:c>
      <x:c r="AE31" s="59" t="n">
        <x:v>0</x:v>
      </x:c>
      <x:c r="AF31" s="53" t="n">
        <x:f>AC31*AD31*elec_va*B31</x:f>
        <x:v>0</x:v>
      </x:c>
      <x:c r="AG31" s="53" t="n">
        <x:f>MAX(0,AE31-AD31)*AC31*roy_rate*B31*(1-IF(union_resp=2,lic_cut*Labour!S31,0))</x:f>
        <x:v>0</x:v>
      </x:c>
      <x:c r="AH31" s="52" t="n">
        <x:v>3</x:v>
      </x:c>
      <x:c r="AI31" s="53" t="n">
        <x:f>AH31*B31</x:f>
        <x:v>3.0160813460844125</x:v>
      </x:c>
      <x:c r="AJ31" s="52" t="n">
        <x:v>4</x:v>
      </x:c>
      <x:c r="AK31" s="53" t="n">
        <x:f>AJ31*B31</x:f>
        <x:v>4.021441794779217</x:v>
      </x:c>
      <x:c r="AL31" s="45" t="n">
        <x:v>3</x:v>
      </x:c>
      <x:c r="AM31" s="53" t="n">
        <x:f>AL31*uw_fee*B31</x:f>
        <x:v>0.07540203365211033</x:v>
      </x:c>
      <x:c r="AN31" s="52" t="n">
        <x:v>0</x:v>
      </x:c>
      <x:c r="AO31" s="52" t="n">
        <x:v>0</x:v>
      </x:c>
      <x:c r="AP31" s="53" t="n">
        <x:f>K31+T31+W31+Z31+AF31+AI31+AK31+AM31+AN31+AO31</x:f>
        <x:v>8.938257605166026</x:v>
      </x:c>
      <x:c r="AQ31" s="53" t="n">
        <x:f>AP31*(1-1/champ_prem+champ_spill)</x:f>
        <x:v>6.207123336920851</x:v>
      </x:c>
      <x:c r="AR31" s="63" t="n">
        <x:f>AP31/Economy!O31</x:f>
        <x:v>0.016163401920151133</x:v>
      </x:c>
      <x:c r="AS31" s="52" t="n">
        <x:v>8</x:v>
      </x:c>
      <x:c r="AT31" s="52" t="n">
        <x:v>3</x:v>
      </x:c>
      <x:c r="AU31" s="52" t="n">
        <x:v>0</x:v>
      </x:c>
      <x:c r="AV31" s="52" t="n">
        <x:v>0</x:v>
      </x:c>
      <x:c r="AW31" s="52" t="n">
        <x:v>0</x:v>
      </x:c>
      <x:c r="AX31" s="52" t="n">
        <x:v>0</x:v>
      </x:c>
      <x:c r="AY31" s="53" t="n">
        <x:f>Q31+(AS31+AT31+AU31+AV31+AW31+AX31)*B31</x:f>
        <x:v>11.058964935642846</x:v>
      </x:c>
      <x:c r="AZ31" s="53" t="n">
        <x:f>P31+(AS31*ret_rail+AT31*ret_tel+AU31*ret_elec+AV31*ret_auto+AW31*ret_chem+AX31*ret_steel)*B31*IF(OR($A31=1931,$A31=1932),abroad_slump,1)+AB31+AG31</x:f>
        <x:v>0.7392214307163157</x:v>
      </x:c>
      <x:c r="BA31" s="53" t="n">
        <x:f>AP31*champ_profit+AZ31</x:f>
        <x:v>2.526872951749521</x:v>
      </x:c>
      <x:c r="BB31" s="53" t="n">
        <x:f>(K31+AI31+AK31)*champ_profit+P31+(AS31*ret_rail+AT31*ret_tel+AU31*ret_elec)*B31*IF(OR($A31=1931,$A31=1932),abroad_slump,1)</x:f>
        <x:v>2.111256942259089</x:v>
      </x:c>
      <x:c r="BC31" s="53" t="n">
        <x:f>(T31+W31+Z31+AF31+AN31+AO31)*champ_profit+(AV31*ret_auto+AW31*ret_chem+AX31*ret_steel)*B31*IF(OR($A31=1931,$A31=1932),abroad_slump,1)+AB31+AG31</x:f>
        <x:v>0.40053560276001</x:v>
      </x:c>
      <x:c r="BD31" s="53" t="n">
        <x:f>IF($A31&gt;=crown_start,(BB31*crown_charter+BC31*crown_comp)*crown_payout,0)</x:f>
        <x:v>0</x:v>
      </x:c>
      <x:c r="BE31" s="63" t="n">
        <x:f>IF(BB31+BC31&gt;0,(BB31*crown_charter+BC31*crown_comp)/(BA31),0)</x:f>
        <x:v>0.22156123179756507</x:v>
      </x:c>
    </x:row>
    <x:row r="32">
      <x:c r="A32" s="58" t="n">
        <x:v>1872</x:v>
      </x:c>
      <x:c r="B32" s="65" t="n">
        <x:f>champ_scale*(1+Labour!AP32)*(1+Partners!BX32)*(1-IF(union_resp=2,tariff_cut*Labour!S32,0))</x:f>
        <x:v>1.0069752172677315</x:v>
      </x:c>
      <x:c r="C32" s="45" t="n">
        <x:v>100</x:v>
      </x:c>
      <x:c r="D32" s="45" t="n">
        <x:v>40</x:v>
      </x:c>
      <x:c r="E32" s="45" t="n">
        <x:v>360</x:v>
      </x:c>
      <x:c r="F32" s="47" t="n">
        <x:f>E32*B32</x:f>
        <x:v>362.51107821638334</x:v>
      </x:c>
      <x:c r="G32" s="47" t="n">
        <x:f>F32/Economy!B32*1000000</x:f>
        <x:v>186.25944870564646</x:v>
      </x:c>
      <x:c r="H32" s="45" t="n">
        <x:v>303</x:v>
      </x:c>
      <x:c r="I32" s="67" t="n">
        <x:f>IF(H32&gt;0,G32/H32,0)</x:f>
        <x:v>0.6147176524938828</x:v>
      </x:c>
      <x:c r="J32" s="68" t="n">
        <x:v>0</x:v>
      </x:c>
      <x:c r="K32" s="53" t="n">
        <x:f>Resources!K32*J32*B32</x:f>
        <x:v>0</x:v>
      </x:c>
      <x:c r="L32" s="45" t="n">
        <x:v>0</x:v>
      </x:c>
      <x:c r="M32" s="59" t="n">
        <x:v>0</x:v>
      </x:c>
      <x:c r="N32" s="45" t="n">
        <x:v>0</x:v>
      </x:c>
      <x:c r="O32" s="68" t="n">
        <x:v>0</x:v>
      </x:c>
      <x:c r="P32" s="53" t="n">
        <x:f>(IF(Gulf!E32=1,0,L32*M32)+N32)*O32*B32</x:f>
        <x:v>0</x:v>
      </x:c>
      <x:c r="Q32" s="53" t="n">
        <x:f>P32*oil_book</x:f>
        <x:v>0</x:v>
      </x:c>
      <x:c r="R32" s="68" t="n">
        <x:v>0.04</x:v>
      </x:c>
      <x:c r="S32" s="45" t="n">
        <x:v>36</x:v>
      </x:c>
      <x:c r="T32" s="53" t="n">
        <x:f>R32*S32*B32</x:f>
        <x:v>1.4500443128655334</x:v>
      </x:c>
      <x:c r="U32" s="45" t="n">
        <x:v>0</x:v>
      </x:c>
      <x:c r="V32" s="45" t="n">
        <x:v>0</x:v>
      </x:c>
      <x:c r="W32" s="53" t="n">
        <x:f>U32/1000*V32*B32</x:f>
        <x:v>0</x:v>
      </x:c>
      <x:c r="X32" s="45" t="n">
        <x:v>415</x:v>
      </x:c>
      <x:c r="Y32" s="59" t="n">
        <x:v>0.005</x:v>
      </x:c>
      <x:c r="Z32" s="53" t="n">
        <x:f>X32*Y32*chem_va*B32</x:f>
        <x:v>0.9402631091237444</x:v>
      </x:c>
      <x:c r="AA32" s="59" t="n">
        <x:v>0.004</x:v>
      </x:c>
      <x:c r="AB32" s="53" t="n">
        <x:f>X32*AA32*roy_rate*B32*(1-IF(union_resp=2,lic_cut*Labour!S32,0))</x:f>
        <x:v>0.05014736581993304</x:v>
      </x:c>
      <x:c r="AC32" s="45" t="n">
        <x:v>0</x:v>
      </x:c>
      <x:c r="AD32" s="59" t="n">
        <x:v>0</x:v>
      </x:c>
      <x:c r="AE32" s="59" t="n">
        <x:v>0</x:v>
      </x:c>
      <x:c r="AF32" s="53" t="n">
        <x:f>AC32*AD32*elec_va*B32</x:f>
        <x:v>0</x:v>
      </x:c>
      <x:c r="AG32" s="53" t="n">
        <x:f>MAX(0,AE32-AD32)*AC32*roy_rate*B32*(1-IF(union_resp=2,lic_cut*Labour!S32,0))</x:f>
        <x:v>0</x:v>
      </x:c>
      <x:c r="AH32" s="52" t="n">
        <x:v>4</x:v>
      </x:c>
      <x:c r="AI32" s="53" t="n">
        <x:f>AH32*B32</x:f>
        <x:v>4.027900869070926</x:v>
      </x:c>
      <x:c r="AJ32" s="52" t="n">
        <x:v>4</x:v>
      </x:c>
      <x:c r="AK32" s="53" t="n">
        <x:f>AJ32*B32</x:f>
        <x:v>4.027900869070926</x:v>
      </x:c>
      <x:c r="AL32" s="45" t="n">
        <x:v>4</x:v>
      </x:c>
      <x:c r="AM32" s="53" t="n">
        <x:f>AL32*uw_fee*B32</x:f>
        <x:v>0.10069752172677315</x:v>
      </x:c>
      <x:c r="AN32" s="52" t="n">
        <x:v>0</x:v>
      </x:c>
      <x:c r="AO32" s="52" t="n">
        <x:v>0</x:v>
      </x:c>
      <x:c r="AP32" s="53" t="n">
        <x:f>K32+T32+W32+Z32+AF32+AI32+AK32+AM32+AN32+AO32</x:f>
        <x:v>10.546806681857902</x:v>
      </x:c>
      <x:c r="AQ32" s="53" t="n">
        <x:f>AP32*(1-1/champ_prem+champ_spill)</x:f>
        <x:v>7.324171306845765</x:v>
      </x:c>
      <x:c r="AR32" s="63" t="n">
        <x:f>AP32/Economy!O32</x:f>
        <x:v>0.017797559704457813</x:v>
      </x:c>
      <x:c r="AS32" s="52" t="n">
        <x:v>10</x:v>
      </x:c>
      <x:c r="AT32" s="52" t="n">
        <x:v>4</x:v>
      </x:c>
      <x:c r="AU32" s="52" t="n">
        <x:v>0</x:v>
      </x:c>
      <x:c r="AV32" s="52" t="n">
        <x:v>0</x:v>
      </x:c>
      <x:c r="AW32" s="52" t="n">
        <x:v>0</x:v>
      </x:c>
      <x:c r="AX32" s="52" t="n">
        <x:v>0</x:v>
      </x:c>
      <x:c r="AY32" s="53" t="n">
        <x:f>Q32+(AS32+AT32+AU32+AV32+AW32+AX32)*B32</x:f>
        <x:v>14.097653041748242</x:v>
      </x:c>
      <x:c r="AZ32" s="53" t="n">
        <x:f>P32+(AS32*ret_rail+AT32*ret_tel+AU32*ret_elec+AV32*ret_auto+AW32*ret_chem+AX32*ret_steel)*B32*IF(OR($A32=1931,$A32=1932),abroad_slump,1)+AB32+AG32</x:f>
        <x:v>0.9564250613608914</x:v>
      </x:c>
      <x:c r="BA32" s="53" t="n">
        <x:f>AP32*champ_profit+AZ32</x:f>
        <x:v>3.065786397732472</x:v>
      </x:c>
      <x:c r="BB32" s="53" t="n">
        <x:f>(K32+AI32+AK32)*champ_profit+P32+(AS32*ret_rail+AT32*ret_tel+AU32*ret_elec)*B32*IF(OR($A32=1931,$A32=1932),abroad_slump,1)</x:f>
        <x:v>2.517438043169329</x:v>
      </x:c>
      <x:c r="BC32" s="53" t="n">
        <x:f>(T32+W32+Z32+AF32+AN32+AO32)*champ_profit+(AV32*ret_auto+AW32*ret_chem+AX32*ret_steel)*B32*IF(OR($A32=1931,$A32=1932),abroad_slump,1)+AB32+AG32</x:f>
        <x:v>0.5282088502177886</x:v>
      </x:c>
      <x:c r="BD32" s="53" t="n">
        <x:f>IF($A32&gt;=crown_start,(BB32*crown_charter+BC32*crown_comp)*crown_payout,0)</x:f>
        <x:v>0</x:v>
      </x:c>
      <x:c r="BE32" s="63" t="n">
        <x:f>IF(BB32+BC32&gt;0,(BB32*crown_charter+BC32*crown_comp)/(BA32),0)</x:f>
        <x:v>0.2190681709940714</x:v>
      </x:c>
    </x:row>
    <x:row r="33">
      <x:c r="A33" s="58" t="n">
        <x:v>1873</x:v>
      </x:c>
      <x:c r="B33" s="65" t="n">
        <x:f>champ_scale*(1+Labour!AP33)*(1+Partners!BX33)*(1-IF(union_resp=2,tariff_cut*Labour!S33,0))</x:f>
        <x:v>1.008647055272518</x:v>
      </x:c>
      <x:c r="C33" s="45" t="n">
        <x:v>120</x:v>
      </x:c>
      <x:c r="D33" s="45" t="n">
        <x:v>40</x:v>
      </x:c>
      <x:c r="E33" s="45" t="n">
        <x:v>440</x:v>
      </x:c>
      <x:c r="F33" s="47" t="n">
        <x:f>E33*B33</x:f>
        <x:v>443.8047043199079</x:v>
      </x:c>
      <x:c r="G33" s="47" t="n">
        <x:f>F33/Economy!B33*1000000</x:f>
        <x:v>213.61324111758748</x:v>
      </x:c>
      <x:c r="H33" s="45" t="n">
        <x:v>297</x:v>
      </x:c>
      <x:c r="I33" s="67" t="n">
        <x:f>IF(H33&gt;0,G33/H33,0)</x:f>
        <x:v>0.7192365020794191</x:v>
      </x:c>
      <x:c r="J33" s="68" t="n">
        <x:v>0</x:v>
      </x:c>
      <x:c r="K33" s="53" t="n">
        <x:f>Resources!K33*J33*B33</x:f>
        <x:v>0</x:v>
      </x:c>
      <x:c r="L33" s="45" t="n">
        <x:v>0</x:v>
      </x:c>
      <x:c r="M33" s="59" t="n">
        <x:v>0</x:v>
      </x:c>
      <x:c r="N33" s="45" t="n">
        <x:v>0</x:v>
      </x:c>
      <x:c r="O33" s="68" t="n">
        <x:v>0</x:v>
      </x:c>
      <x:c r="P33" s="53" t="n">
        <x:f>(IF(Gulf!E33=1,0,L33*M33)+N33)*O33*B33</x:f>
        <x:v>0</x:v>
      </x:c>
      <x:c r="Q33" s="53" t="n">
        <x:f>P33*oil_book</x:f>
        <x:v>0</x:v>
      </x:c>
      <x:c r="R33" s="68" t="n">
        <x:v>0.05</x:v>
      </x:c>
      <x:c r="S33" s="45" t="n">
        <x:v>35</x:v>
      </x:c>
      <x:c r="T33" s="53" t="n">
        <x:f>R33*S33*B33</x:f>
        <x:v>1.7651323467269064</x:v>
      </x:c>
      <x:c r="U33" s="45" t="n">
        <x:v>0</x:v>
      </x:c>
      <x:c r="V33" s="45" t="n">
        <x:v>0</x:v>
      </x:c>
      <x:c r="W33" s="53" t="n">
        <x:f>U33/1000*V33*B33</x:f>
        <x:v>0</x:v>
      </x:c>
      <x:c r="X33" s="45" t="n">
        <x:v>438</x:v>
      </x:c>
      <x:c r="Y33" s="59" t="n">
        <x:v>0.006</x:v>
      </x:c>
      <x:c r="Z33" s="53" t="n">
        <x:f>X33*Y33*chem_va*B33</x:f>
        <x:v>1.19282600756528</x:v>
      </x:c>
      <x:c r="AA33" s="59" t="n">
        <x:v>0.004</x:v>
      </x:c>
      <x:c r="AB33" s="53" t="n">
        <x:f>X33*AA33*roy_rate*B33*(1-IF(union_resp=2,lic_cut*Labour!S33,0))</x:f>
        <x:v>0.05301448922512354</x:v>
      </x:c>
      <x:c r="AC33" s="45" t="n">
        <x:v>0</x:v>
      </x:c>
      <x:c r="AD33" s="59" t="n">
        <x:v>0</x:v>
      </x:c>
      <x:c r="AE33" s="59" t="n">
        <x:v>0</x:v>
      </x:c>
      <x:c r="AF33" s="53" t="n">
        <x:f>AC33*AD33*elec_va*B33</x:f>
        <x:v>0</x:v>
      </x:c>
      <x:c r="AG33" s="53" t="n">
        <x:f>MAX(0,AE33-AD33)*AC33*roy_rate*B33*(1-IF(union_resp=2,lic_cut*Labour!S33,0))</x:f>
        <x:v>0</x:v>
      </x:c>
      <x:c r="AH33" s="52" t="n">
        <x:v>4</x:v>
      </x:c>
      <x:c r="AI33" s="53" t="n">
        <x:f>AH33*B33</x:f>
        <x:v>4.034588221090072</x:v>
      </x:c>
      <x:c r="AJ33" s="52" t="n">
        <x:v>5</x:v>
      </x:c>
      <x:c r="AK33" s="53" t="n">
        <x:f>AJ33*B33</x:f>
        <x:v>5.04323527636259</x:v>
      </x:c>
      <x:c r="AL33" s="45" t="n">
        <x:v>4</x:v>
      </x:c>
      <x:c r="AM33" s="53" t="n">
        <x:f>AL33*uw_fee*B33</x:f>
        <x:v>0.1008647055272518</x:v>
      </x:c>
      <x:c r="AN33" s="52" t="n">
        <x:v>0</x:v>
      </x:c>
      <x:c r="AO33" s="52" t="n">
        <x:v>0</x:v>
      </x:c>
      <x:c r="AP33" s="53" t="n">
        <x:f>K33+T33+W33+Z33+AF33+AI33+AK33+AM33+AN33+AO33</x:f>
        <x:v>12.1366465572721</x:v>
      </x:c>
      <x:c r="AQ33" s="53" t="n">
        <x:f>AP33*(1-1/champ_prem+champ_spill)</x:f>
        <x:v>8.428226775883402</x:v>
      </x:c>
      <x:c r="AR33" s="63" t="n">
        <x:f>AP33/Economy!O33</x:f>
        <x:v>0.019308203524169402</x:v>
      </x:c>
      <x:c r="AS33" s="52" t="n">
        <x:v>12</x:v>
      </x:c>
      <x:c r="AT33" s="52" t="n">
        <x:v>4</x:v>
      </x:c>
      <x:c r="AU33" s="52" t="n">
        <x:v>0</x:v>
      </x:c>
      <x:c r="AV33" s="52" t="n">
        <x:v>0</x:v>
      </x:c>
      <x:c r="AW33" s="52" t="n">
        <x:v>0</x:v>
      </x:c>
      <x:c r="AX33" s="52" t="n">
        <x:v>0</x:v>
      </x:c>
      <x:c r="AY33" s="53" t="n">
        <x:f>Q33+(AS33+AT33+AU33+AV33+AW33+AX33)*B33</x:f>
        <x:v>16.138352884360287</x:v>
      </x:c>
      <x:c r="AZ33" s="53" t="n">
        <x:f>P33+(AS33*ret_rail+AT33*ret_tel+AU33*ret_elec+AV33*ret_auto+AW33*ret_chem+AX33*ret_steel)*B33*IF(OR($A33=1931,$A33=1932),abroad_slump,1)+AB33+AG33</x:f>
        <x:v>1.0616615444976416</x:v>
      </x:c>
      <x:c r="BA33" s="53" t="n">
        <x:f>AP33*champ_profit+AZ33</x:f>
        <x:v>3.4889908559520615</x:v>
      </x:c>
      <x:c r="BB33" s="53" t="n">
        <x:f>(K33+AI33+AK33)*champ_profit+P33+(AS33*ret_rail+AT33*ret_tel+AU33*ret_elec)*B33*IF(OR($A33=1931,$A33=1932),abroad_slump,1)</x:f>
        <x:v>2.8242117547630503</x:v>
      </x:c>
      <x:c r="BC33" s="53" t="n">
        <x:f>(T33+W33+Z33+AF33+AN33+AO33)*champ_profit+(AV33*ret_auto+AW33*ret_chem+AX33*ret_steel)*B33*IF(OR($A33=1931,$A33=1932),abroad_slump,1)+AB33+AG33</x:f>
        <x:v>0.6446061600835609</x:v>
      </x:c>
      <x:c r="BD33" s="53" t="n">
        <x:f>IF($A33&gt;=crown_start,(BB33*crown_charter+BC33*crown_comp)*crown_payout,0)</x:f>
        <x:v>0</x:v>
      </x:c>
      <x:c r="BE33" s="63" t="n">
        <x:f>IF(BB33+BC33&gt;0,(BB33*crown_charter+BC33*crown_comp)/(BA33),0)</x:f>
        <x:v>0.2171462932340391</x:v>
      </x:c>
    </x:row>
    <x:row r="34">
      <x:c r="A34" s="58" t="n">
        <x:v>1874</x:v>
      </x:c>
      <x:c r="B34" s="65" t="n">
        <x:f>champ_scale*(1+Labour!AP34)*(1+Partners!BX34)*(1-IF(union_resp=2,tariff_cut*Labour!S34,0))</x:f>
        <x:v>1.0103661475940748</x:v>
      </x:c>
      <x:c r="C34" s="45" t="n">
        <x:v>150</x:v>
      </x:c>
      <x:c r="D34" s="45" t="n">
        <x:v>50</x:v>
      </x:c>
      <x:c r="E34" s="45" t="n">
        <x:v>520</x:v>
      </x:c>
      <x:c r="F34" s="47" t="n">
        <x:f>E34*B34</x:f>
        <x:v>525.3903967489189</x:v>
      </x:c>
      <x:c r="G34" s="47" t="n">
        <x:f>F34/Economy!B34*1000000</x:f>
        <x:v>236.29585330320236</x:v>
      </x:c>
      <x:c r="H34" s="45" t="n">
        <x:v>292</x:v>
      </x:c>
      <x:c r="I34" s="67" t="n">
        <x:f>IF(H34&gt;0,G34/H34,0)</x:f>
        <x:v>0.8092323743260355</x:v>
      </x:c>
      <x:c r="J34" s="68" t="n">
        <x:v>0</x:v>
      </x:c>
      <x:c r="K34" s="53" t="n">
        <x:f>Resources!K34*J34*B34</x:f>
        <x:v>0</x:v>
      </x:c>
      <x:c r="L34" s="45" t="n">
        <x:v>0</x:v>
      </x:c>
      <x:c r="M34" s="59" t="n">
        <x:v>0</x:v>
      </x:c>
      <x:c r="N34" s="45" t="n">
        <x:v>0</x:v>
      </x:c>
      <x:c r="O34" s="68" t="n">
        <x:v>0</x:v>
      </x:c>
      <x:c r="P34" s="53" t="n">
        <x:f>(IF(Gulf!E34=1,0,L34*M34)+N34)*O34*B34</x:f>
        <x:v>0</x:v>
      </x:c>
      <x:c r="Q34" s="53" t="n">
        <x:f>P34*oil_book</x:f>
        <x:v>0</x:v>
      </x:c>
      <x:c r="R34" s="68" t="n">
        <x:v>0.06</x:v>
      </x:c>
      <x:c r="S34" s="45" t="n">
        <x:v>34</x:v>
      </x:c>
      <x:c r="T34" s="53" t="n">
        <x:f>R34*S34*B34</x:f>
        <x:v>2.0611469410919128</x:v>
      </x:c>
      <x:c r="U34" s="45" t="n">
        <x:v>0</x:v>
      </x:c>
      <x:c r="V34" s="45" t="n">
        <x:v>0</x:v>
      </x:c>
      <x:c r="W34" s="53" t="n">
        <x:f>U34/1000*V34*B34</x:f>
        <x:v>0</x:v>
      </x:c>
      <x:c r="X34" s="45" t="n">
        <x:v>462</x:v>
      </x:c>
      <x:c r="Y34" s="59" t="n">
        <x:v>0.006</x:v>
      </x:c>
      <x:c r="Z34" s="53" t="n">
        <x:f>X34*Y34*chem_va*B34</x:f>
        <x:v>1.260330732508849</x:v>
      </x:c>
      <x:c r="AA34" s="59" t="n">
        <x:v>0.004</x:v>
      </x:c>
      <x:c r="AB34" s="53" t="n">
        <x:f>X34*AA34*roy_rate*B34*(1-IF(union_resp=2,lic_cut*Labour!S34,0))</x:f>
        <x:v>0.05601469922261551</x:v>
      </x:c>
      <x:c r="AC34" s="45" t="n">
        <x:v>0</x:v>
      </x:c>
      <x:c r="AD34" s="59" t="n">
        <x:v>0</x:v>
      </x:c>
      <x:c r="AE34" s="59" t="n">
        <x:v>0</x:v>
      </x:c>
      <x:c r="AF34" s="53" t="n">
        <x:f>AC34*AD34*elec_va*B34</x:f>
        <x:v>0</x:v>
      </x:c>
      <x:c r="AG34" s="53" t="n">
        <x:f>MAX(0,AE34-AD34)*AC34*roy_rate*B34*(1-IF(union_resp=2,lic_cut*Labour!S34,0))</x:f>
        <x:v>0</x:v>
      </x:c>
      <x:c r="AH34" s="52" t="n">
        <x:v>5</x:v>
      </x:c>
      <x:c r="AI34" s="53" t="n">
        <x:f>AH34*B34</x:f>
        <x:v>5.051830737970374</x:v>
      </x:c>
      <x:c r="AJ34" s="52" t="n">
        <x:v>5</x:v>
      </x:c>
      <x:c r="AK34" s="53" t="n">
        <x:f>AJ34*B34</x:f>
        <x:v>5.051830737970374</x:v>
      </x:c>
      <x:c r="AL34" s="45" t="n">
        <x:v>5</x:v>
      </x:c>
      <x:c r="AM34" s="53" t="n">
        <x:f>AL34*uw_fee*B34</x:f>
        <x:v>0.12629576844925935</x:v>
      </x:c>
      <x:c r="AN34" s="52" t="n">
        <x:v>0</x:v>
      </x:c>
      <x:c r="AO34" s="52" t="n">
        <x:v>0</x:v>
      </x:c>
      <x:c r="AP34" s="53" t="n">
        <x:f>K34+T34+W34+Z34+AF34+AI34+AK34+AM34+AN34+AO34</x:f>
        <x:v>13.55143491799077</x:v>
      </x:c>
      <x:c r="AQ34" s="53" t="n">
        <x:f>AP34*(1-1/champ_prem+champ_spill)</x:f>
        <x:v>9.410718693049146</x:v>
      </x:c>
      <x:c r="AR34" s="63" t="n">
        <x:f>AP34/Economy!O34</x:f>
        <x:v>0.02021509322997746</x:v>
      </x:c>
      <x:c r="AS34" s="52" t="n">
        <x:v>15</x:v>
      </x:c>
      <x:c r="AT34" s="52" t="n">
        <x:v>5</x:v>
      </x:c>
      <x:c r="AU34" s="52" t="n">
        <x:v>0</x:v>
      </x:c>
      <x:c r="AV34" s="52" t="n">
        <x:v>0</x:v>
      </x:c>
      <x:c r="AW34" s="52" t="n">
        <x:v>0</x:v>
      </x:c>
      <x:c r="AX34" s="52" t="n">
        <x:v>0</x:v>
      </x:c>
      <x:c r="AY34" s="53" t="n">
        <x:f>Q34+(AS34+AT34+AU34+AV34+AW34+AX34)*B34</x:f>
        <x:v>20.207322951881498</x:v>
      </x:c>
      <x:c r="AZ34" s="53" t="n">
        <x:f>P34+(AS34*ret_rail+AT34*ret_tel+AU34*ret_elec+AV34*ret_auto+AW34*ret_chem+AX34*ret_steel)*B34*IF(OR($A34=1931,$A34=1932),abroad_slump,1)+AB34+AG34</x:f>
        <x:v>1.3189723837152092</x:v>
      </x:c>
      <x:c r="BA34" s="53" t="n">
        <x:f>AP34*champ_profit+AZ34</x:f>
        <x:v>4.029259367313363</x:v>
      </x:c>
      <x:c r="BB34" s="53" t="n">
        <x:f>(K34+AI34+AK34)*champ_profit+P34+(AS34*ret_rail+AT34*ret_tel+AU34*ret_elec)*B34*IF(OR($A34=1931,$A34=1932),abroad_slump,1)</x:f>
        <x:v>3.2836899796807435</x:v>
      </x:c>
      <x:c r="BC34" s="53" t="n">
        <x:f>(T34+W34+Z34+AF34+AN34+AO34)*champ_profit+(AV34*ret_auto+AW34*ret_chem+AX34*ret_steel)*B34*IF(OR($A34=1931,$A34=1932),abroad_slump,1)+AB34+AG34</x:f>
        <x:v>0.7203102339427678</x:v>
      </x:c>
      <x:c r="BD34" s="53" t="n">
        <x:f>IF($A34&gt;=crown_start,(BB34*crown_charter+BC34*crown_comp)*crown_payout,0)</x:f>
        <x:v>0</x:v>
      </x:c>
      <x:c r="BE34" s="63" t="n">
        <x:f>IF(BB34+BC34&gt;0,(BB34*crown_charter+BC34*crown_comp)/(BA34),0)</x:f>
        <x:v>0.21804188649722162</x:v>
      </x:c>
    </x:row>
    <x:row r="35">
      <x:c r="A35" s="58" t="n">
        <x:v>1875</x:v>
      </x:c>
      <x:c r="B35" s="65" t="n">
        <x:f>champ_scale*(1+Labour!AP35)*(1+Partners!BX35)*(1-IF(union_resp=2,tariff_cut*Labour!S35,0))</x:f>
        <x:v>1.0121354950535075</x:v>
      </x:c>
      <x:c r="C35" s="45" t="n">
        <x:v>180</x:v>
      </x:c>
      <x:c r="D35" s="45" t="n">
        <x:v>60</x:v>
      </x:c>
      <x:c r="E35" s="45" t="n">
        <x:v>600</x:v>
      </x:c>
      <x:c r="F35" s="47" t="n">
        <x:f>E35*B35</x:f>
        <x:v>607.2812970321045</x:v>
      </x:c>
      <x:c r="G35" s="47" t="n">
        <x:f>F35/Economy!B35*1000000</x:f>
        <x:v>256.01554047678695</x:v>
      </x:c>
      <x:c r="H35" s="45" t="n">
        <x:v>286</x:v>
      </x:c>
      <x:c r="I35" s="67" t="n">
        <x:f>IF(H35&gt;0,G35/H35,0)</x:f>
        <x:v>0.895159232436318</x:v>
      </x:c>
      <x:c r="J35" s="68" t="n">
        <x:v>0</x:v>
      </x:c>
      <x:c r="K35" s="53" t="n">
        <x:f>Resources!K35*J35*B35</x:f>
        <x:v>0</x:v>
      </x:c>
      <x:c r="L35" s="45" t="n">
        <x:v>0</x:v>
      </x:c>
      <x:c r="M35" s="59" t="n">
        <x:v>0</x:v>
      </x:c>
      <x:c r="N35" s="45" t="n">
        <x:v>0</x:v>
      </x:c>
      <x:c r="O35" s="68" t="n">
        <x:v>0</x:v>
      </x:c>
      <x:c r="P35" s="53" t="n">
        <x:f>(IF(Gulf!E35=1,0,L35*M35)+N35)*O35*B35</x:f>
        <x:v>0</x:v>
      </x:c>
      <x:c r="Q35" s="53" t="n">
        <x:f>P35*oil_book</x:f>
        <x:v>0</x:v>
      </x:c>
      <x:c r="R35" s="68" t="n">
        <x:v>0.07000000000000001</x:v>
      </x:c>
      <x:c r="S35" s="45" t="n">
        <x:v>33</x:v>
      </x:c>
      <x:c r="T35" s="53" t="n">
        <x:f>R35*S35*B35</x:f>
        <x:v>2.3380329935736026</x:v>
      </x:c>
      <x:c r="U35" s="45" t="n">
        <x:v>0</x:v>
      </x:c>
      <x:c r="V35" s="45" t="n">
        <x:v>0</x:v>
      </x:c>
      <x:c r="W35" s="53" t="n">
        <x:f>U35/1000*V35*B35</x:f>
        <x:v>0</x:v>
      </x:c>
      <x:c r="X35" s="45" t="n">
        <x:v>485</x:v>
      </x:c>
      <x:c r="Y35" s="59" t="n">
        <x:v>0.007</x:v>
      </x:c>
      <x:c r="Z35" s="53" t="n">
        <x:f>X35*Y35*chem_va*B35</x:f>
        <x:v>1.546290002567996</x:v>
      </x:c>
      <x:c r="AA35" s="59" t="n">
        <x:v>0.005</x:v>
      </x:c>
      <x:c r="AB35" s="53" t="n">
        <x:f>X35*AA35*roy_rate*B35*(1-IF(union_resp=2,lic_cut*Labour!S35,0))</x:f>
        <x:v>0.07363285726514268</x:v>
      </x:c>
      <x:c r="AC35" s="45" t="n">
        <x:v>0</x:v>
      </x:c>
      <x:c r="AD35" s="59" t="n">
        <x:v>0</x:v>
      </x:c>
      <x:c r="AE35" s="59" t="n">
        <x:v>0</x:v>
      </x:c>
      <x:c r="AF35" s="53" t="n">
        <x:f>AC35*AD35*elec_va*B35</x:f>
        <x:v>0</x:v>
      </x:c>
      <x:c r="AG35" s="53" t="n">
        <x:f>MAX(0,AE35-AD35)*AC35*roy_rate*B35*(1-IF(union_resp=2,lic_cut*Labour!S35,0))</x:f>
        <x:v>0</x:v>
      </x:c>
      <x:c r="AH35" s="52" t="n">
        <x:v>5</x:v>
      </x:c>
      <x:c r="AI35" s="53" t="n">
        <x:f>AH35*B35</x:f>
        <x:v>5.060677475267537</x:v>
      </x:c>
      <x:c r="AJ35" s="52" t="n">
        <x:v>6</x:v>
      </x:c>
      <x:c r="AK35" s="53" t="n">
        <x:f>AJ35*B35</x:f>
        <x:v>6.072812970321046</x:v>
      </x:c>
      <x:c r="AL35" s="45" t="n">
        <x:v>6</x:v>
      </x:c>
      <x:c r="AM35" s="53" t="n">
        <x:f>AL35*uw_fee*B35</x:f>
        <x:v>0.15182032425802616</x:v>
      </x:c>
      <x:c r="AN35" s="52" t="n">
        <x:v>0</x:v>
      </x:c>
      <x:c r="AO35" s="52" t="n">
        <x:v>0</x:v>
      </x:c>
      <x:c r="AP35" s="53" t="n">
        <x:f>K35+T35+W35+Z35+AF35+AI35+AK35+AM35+AN35+AO35</x:f>
        <x:v>15.169633765988207</x:v>
      </x:c>
      <x:c r="AQ35" s="53" t="n">
        <x:f>AP35*(1-1/champ_prem+champ_spill)</x:f>
        <x:v>10.534467893047365</x:v>
      </x:c>
      <x:c r="AR35" s="63" t="n">
        <x:f>AP35/Economy!O35</x:f>
        <x:v>0.020888579018319035</x:v>
      </x:c>
      <x:c r="AS35" s="52" t="n">
        <x:v>18</x:v>
      </x:c>
      <x:c r="AT35" s="52" t="n">
        <x:v>6</x:v>
      </x:c>
      <x:c r="AU35" s="52" t="n">
        <x:v>0</x:v>
      </x:c>
      <x:c r="AV35" s="52" t="n">
        <x:v>0</x:v>
      </x:c>
      <x:c r="AW35" s="52" t="n">
        <x:v>0</x:v>
      </x:c>
      <x:c r="AX35" s="52" t="n">
        <x:v>0</x:v>
      </x:c>
      <x:c r="AY35" s="53" t="n">
        <x:f>Q35+(AS35+AT35+AU35+AV35+AW35+AX35)*B35</x:f>
        <x:v>24.291251881284182</x:v>
      </x:c>
      <x:c r="AZ35" s="53" t="n">
        <x:f>P35+(AS35*ret_rail+AT35*ret_tel+AU35*ret_elec+AV35*ret_auto+AW35*ret_chem+AX35*ret_steel)*B35*IF(OR($A35=1931,$A35=1932),abroad_slump,1)+AB35+AG35</x:f>
        <x:v>1.5918360998454042</x:v>
      </x:c>
      <x:c r="BA35" s="53" t="n">
        <x:f>AP35*champ_profit+AZ35</x:f>
        <x:v>4.625762853043046</x:v>
      </x:c>
      <x:c r="BB35" s="53" t="n">
        <x:f>(K35+AI35+AK35)*champ_profit+P35+(AS35*ret_rail+AT35*ret_tel+AU35*ret_elec)*B35*IF(OR($A35=1931,$A35=1932),abroad_slump,1)</x:f>
        <x:v>3.744901331697978</x:v>
      </x:c>
      <x:c r="BC35" s="53" t="n">
        <x:f>(T35+W35+Z35+AF35+AN35+AO35)*champ_profit+(AV35*ret_auto+AW35*ret_chem+AX35*ret_steel)*B35*IF(OR($A35=1931,$A35=1932),abroad_slump,1)+AB35+AG35</x:f>
        <x:v>0.8504974564934624</x:v>
      </x:c>
      <x:c r="BD35" s="53" t="n">
        <x:f>IF($A35&gt;=crown_start,(BB35*crown_charter+BC35*crown_comp)*crown_payout,0)</x:f>
        <x:v>0</x:v>
      </x:c>
      <x:c r="BE35" s="63" t="n">
        <x:f>IF(BB35+BC35&gt;0,(BB35*crown_charter+BC35*crown_comp)/(BA35),0)</x:f>
        <x:v>0.21710259720368466</x:v>
      </x:c>
    </x:row>
    <x:row r="36">
      <x:c r="A36" s="58" t="n">
        <x:v>1876</x:v>
      </x:c>
      <x:c r="B36" s="65" t="n">
        <x:f>champ_scale*(1+Labour!AP36)*(1+Partners!BX36)*(1-IF(union_resp=2,tariff_cut*Labour!S36,0))</x:f>
        <x:v>1.013969794948027</x:v>
      </x:c>
      <x:c r="C36" s="45" t="n">
        <x:v>200</x:v>
      </x:c>
      <x:c r="D36" s="45" t="n">
        <x:v>70</x:v>
      </x:c>
      <x:c r="E36" s="45" t="n">
        <x:v>680</x:v>
      </x:c>
      <x:c r="F36" s="47" t="n">
        <x:f>E36*B36</x:f>
        <x:v>689.4994605646584</x:v>
      </x:c>
      <x:c r="G36" s="47" t="n">
        <x:f>F36/Economy!B36*1000000</x:f>
        <x:v>273.2338458127968</x:v>
      </x:c>
      <x:c r="H36" s="45" t="n">
        <x:v>280</x:v>
      </x:c>
      <x:c r="I36" s="67" t="n">
        <x:f>IF(H36&gt;0,G36/H36,0)</x:f>
        <x:v>0.9758351636171314</x:v>
      </x:c>
      <x:c r="J36" s="68" t="n">
        <x:v>0</x:v>
      </x:c>
      <x:c r="K36" s="53" t="n">
        <x:f>Resources!K36*J36*B36</x:f>
        <x:v>0</x:v>
      </x:c>
      <x:c r="L36" s="45" t="n">
        <x:v>0</x:v>
      </x:c>
      <x:c r="M36" s="59" t="n">
        <x:v>0</x:v>
      </x:c>
      <x:c r="N36" s="45" t="n">
        <x:v>0</x:v>
      </x:c>
      <x:c r="O36" s="68" t="n">
        <x:v>0</x:v>
      </x:c>
      <x:c r="P36" s="53" t="n">
        <x:f>(IF(Gulf!E36=1,0,L36*M36)+N36)*O36*B36</x:f>
        <x:v>0</x:v>
      </x:c>
      <x:c r="Q36" s="53" t="n">
        <x:f>P36*oil_book</x:f>
        <x:v>0</x:v>
      </x:c>
      <x:c r="R36" s="68" t="n">
        <x:v>0.08</x:v>
      </x:c>
      <x:c r="S36" s="45" t="n">
        <x:v>32</x:v>
      </x:c>
      <x:c r="T36" s="53" t="n">
        <x:f>R36*S36*B36</x:f>
        <x:v>2.5957626750669496</x:v>
      </x:c>
      <x:c r="U36" s="45" t="n">
        <x:v>0</x:v>
      </x:c>
      <x:c r="V36" s="45" t="n">
        <x:v>0</x:v>
      </x:c>
      <x:c r="W36" s="53" t="n">
        <x:f>U36/1000*V36*B36</x:f>
        <x:v>0</x:v>
      </x:c>
      <x:c r="X36" s="45" t="n">
        <x:v>508</x:v>
      </x:c>
      <x:c r="Y36" s="59" t="n">
        <x:v>0.008</x:v>
      </x:c>
      <x:c r="Z36" s="53" t="n">
        <x:f>X36*Y36*chem_va*B36</x:f>
        <x:v>1.854347961000952</x:v>
      </x:c>
      <x:c r="AA36" s="59" t="n">
        <x:v>0.005</x:v>
      </x:c>
      <x:c r="AB36" s="53" t="n">
        <x:f>X36*AA36*roy_rate*B36*(1-IF(union_resp=2,lic_cut*Labour!S36,0))</x:f>
        <x:v>0.07726449837503967</x:v>
      </x:c>
      <x:c r="AC36" s="45" t="n">
        <x:v>0</x:v>
      </x:c>
      <x:c r="AD36" s="59" t="n">
        <x:v>0</x:v>
      </x:c>
      <x:c r="AE36" s="59" t="n">
        <x:v>0</x:v>
      </x:c>
      <x:c r="AF36" s="53" t="n">
        <x:f>AC36*AD36*elec_va*B36</x:f>
        <x:v>0</x:v>
      </x:c>
      <x:c r="AG36" s="53" t="n">
        <x:f>MAX(0,AE36-AD36)*AC36*roy_rate*B36*(1-IF(union_resp=2,lic_cut*Labour!S36,0))</x:f>
        <x:v>0</x:v>
      </x:c>
      <x:c r="AH36" s="52" t="n">
        <x:v>5</x:v>
      </x:c>
      <x:c r="AI36" s="53" t="n">
        <x:f>AH36*B36</x:f>
        <x:v>5.069848974740135</x:v>
      </x:c>
      <x:c r="AJ36" s="52" t="n">
        <x:v>7</x:v>
      </x:c>
      <x:c r="AK36" s="53" t="n">
        <x:f>AJ36*B36</x:f>
        <x:v>7.09778856463619</x:v>
      </x:c>
      <x:c r="AL36" s="45" t="n">
        <x:v>7</x:v>
      </x:c>
      <x:c r="AM36" s="53" t="n">
        <x:f>AL36*uw_fee*B36</x:f>
        <x:v>0.17744471411590476</x:v>
      </x:c>
      <x:c r="AN36" s="52" t="n">
        <x:v>0</x:v>
      </x:c>
      <x:c r="AO36" s="52" t="n">
        <x:v>0</x:v>
      </x:c>
      <x:c r="AP36" s="53" t="n">
        <x:f>K36+T36+W36+Z36+AF36+AI36+AK36+AM36+AN36+AO36</x:f>
        <x:v>16.79519288956013</x:v>
      </x:c>
      <x:c r="AQ36" s="53" t="n">
        <x:f>AP36*(1-1/champ_prem+champ_spill)</x:f>
        <x:v>11.663328395527868</x:v>
      </x:c>
      <x:c r="AR36" s="63" t="n">
        <x:f>AP36/Economy!O36</x:f>
        <x:v>0.02121354917372747</x:v>
      </x:c>
      <x:c r="AS36" s="52" t="n">
        <x:v>20</x:v>
      </x:c>
      <x:c r="AT36" s="52" t="n">
        <x:v>7</x:v>
      </x:c>
      <x:c r="AU36" s="52" t="n">
        <x:v>0</x:v>
      </x:c>
      <x:c r="AV36" s="52" t="n">
        <x:v>0</x:v>
      </x:c>
      <x:c r="AW36" s="52" t="n">
        <x:v>0</x:v>
      </x:c>
      <x:c r="AX36" s="52" t="n">
        <x:v>0</x:v>
      </x:c>
      <x:c r="AY36" s="53" t="n">
        <x:f>Q36+(AS36+AT36+AU36+AV36+AW36+AX36)*B36</x:f>
        <x:v>27.37718446359673</x:v>
      </x:c>
      <x:c r="AZ36" s="53" t="n">
        <x:f>P36+(AS36*ret_rail+AT36*ret_tel+AU36*ret_elec+AV36*ret_auto+AW36*ret_chem+AX36*ret_steel)*B36*IF(OR($A36=1931,$A36=1932),abroad_slump,1)+AB36+AG36</x:f>
        <x:v>1.801013149786686</x:v>
      </x:c>
      <x:c r="BA36" s="53" t="n">
        <x:f>AP36*champ_profit+AZ36</x:f>
        <x:v>5.160051727698712</x:v>
      </x:c>
      <x:c r="BB36" s="53" t="n">
        <x:f>(K36+AI36+AK36)*champ_profit+P36+(AS36*ret_rail+AT36*ret_tel+AU36*ret_elec)*B36*IF(OR($A36=1931,$A36=1932),abroad_slump,1)</x:f>
        <x:v>4.157276159286911</x:v>
      </x:c>
      <x:c r="BC36" s="53" t="n">
        <x:f>(T36+W36+Z36+AF36+AN36+AO36)*champ_profit+(AV36*ret_auto+AW36*ret_chem+AX36*ret_steel)*B36*IF(OR($A36=1931,$A36=1932),abroad_slump,1)+AB36+AG36</x:f>
        <x:v>0.9672866255886199</x:v>
      </x:c>
      <x:c r="BD36" s="53" t="n">
        <x:f>IF($A36&gt;=crown_start,(BB36*crown_charter+BC36*crown_comp)*crown_payout,0)</x:f>
        <x:v>0</x:v>
      </x:c>
      <x:c r="BE36" s="63" t="n">
        <x:f>IF(BB36+BC36&gt;0,(BB36*crown_charter+BC36*crown_comp)/(BA36),0)</x:f>
        <x:v>0.2164129409545369</x:v>
      </x:c>
    </x:row>
    <x:row r="37">
      <x:c r="A37" s="58" t="n">
        <x:v>1877</x:v>
      </x:c>
      <x:c r="B37" s="65" t="n">
        <x:f>champ_scale*(1+Labour!AP37)*(1+Partners!BX37)*(1-IF(union_resp=2,tariff_cut*Labour!S37,0))</x:f>
        <x:v>1.016176845282321</x:v>
      </x:c>
      <x:c r="C37" s="45" t="n">
        <x:v>220</x:v>
      </x:c>
      <x:c r="D37" s="45" t="n">
        <x:v>80</x:v>
      </x:c>
      <x:c r="E37" s="45" t="n">
        <x:v>760</x:v>
      </x:c>
      <x:c r="F37" s="47" t="n">
        <x:f>E37*B37</x:f>
        <x:v>772.2944024145639</x:v>
      </x:c>
      <x:c r="G37" s="47" t="n">
        <x:f>F37/Economy!B37*1000000</x:f>
        <x:v>288.369306278614</x:v>
      </x:c>
      <x:c r="H37" s="45" t="n">
        <x:v>275</x:v>
      </x:c>
      <x:c r="I37" s="67" t="n">
        <x:f>IF(H37&gt;0,G37/H37,0)</x:f>
        <x:v>1.0486156591949598</x:v>
      </x:c>
      <x:c r="J37" s="68" t="n">
        <x:v>0</x:v>
      </x:c>
      <x:c r="K37" s="53" t="n">
        <x:f>Resources!K37*J37*B37</x:f>
        <x:v>0</x:v>
      </x:c>
      <x:c r="L37" s="45" t="n">
        <x:v>0</x:v>
      </x:c>
      <x:c r="M37" s="59" t="n">
        <x:v>0</x:v>
      </x:c>
      <x:c r="N37" s="45" t="n">
        <x:v>0</x:v>
      </x:c>
      <x:c r="O37" s="68" t="n">
        <x:v>0</x:v>
      </x:c>
      <x:c r="P37" s="53" t="n">
        <x:f>(IF(Gulf!E37=1,0,L37*M37)+N37)*O37*B37</x:f>
        <x:v>0</x:v>
      </x:c>
      <x:c r="Q37" s="53" t="n">
        <x:f>P37*oil_book</x:f>
        <x:v>0</x:v>
      </x:c>
      <x:c r="R37" s="68" t="n">
        <x:v>0.09</x:v>
      </x:c>
      <x:c r="S37" s="45" t="n">
        <x:v>31</x:v>
      </x:c>
      <x:c r="T37" s="53" t="n">
        <x:f>R37*S37*B37</x:f>
        <x:v>2.8351333983376756</x:v>
      </x:c>
      <x:c r="U37" s="45" t="n">
        <x:v>0</x:v>
      </x:c>
      <x:c r="V37" s="45" t="n">
        <x:v>0</x:v>
      </x:c>
      <x:c r="W37" s="53" t="n">
        <x:f>U37/1000*V37*B37</x:f>
        <x:v>0</x:v>
      </x:c>
      <x:c r="X37" s="45" t="n">
        <x:v>531</x:v>
      </x:c>
      <x:c r="Y37" s="59" t="n">
        <x:v>0.008</x:v>
      </x:c>
      <x:c r="Z37" s="53" t="n">
        <x:f>X37*Y37*chem_va*B37</x:f>
        <x:v>1.942523657441685</x:v>
      </x:c>
      <x:c r="AA37" s="59" t="n">
        <x:v>0.005</x:v>
      </x:c>
      <x:c r="AB37" s="53" t="n">
        <x:f>X37*AA37*roy_rate*B37*(1-IF(union_resp=2,lic_cut*Labour!S37,0))</x:f>
        <x:v>0.08093848572673687</x:v>
      </x:c>
      <x:c r="AC37" s="45" t="n">
        <x:v>0</x:v>
      </x:c>
      <x:c r="AD37" s="59" t="n">
        <x:v>0</x:v>
      </x:c>
      <x:c r="AE37" s="59" t="n">
        <x:v>0</x:v>
      </x:c>
      <x:c r="AF37" s="53" t="n">
        <x:f>AC37*AD37*elec_va*B37</x:f>
        <x:v>0</x:v>
      </x:c>
      <x:c r="AG37" s="53" t="n">
        <x:f>MAX(0,AE37-AD37)*AC37*roy_rate*B37*(1-IF(union_resp=2,lic_cut*Labour!S37,0))</x:f>
        <x:v>0</x:v>
      </x:c>
      <x:c r="AH37" s="52" t="n">
        <x:v>6</x:v>
      </x:c>
      <x:c r="AI37" s="53" t="n">
        <x:f>AH37*B37</x:f>
        <x:v>6.0970610716939255</x:v>
      </x:c>
      <x:c r="AJ37" s="52" t="n">
        <x:v>7</x:v>
      </x:c>
      <x:c r="AK37" s="53" t="n">
        <x:f>AJ37*B37</x:f>
        <x:v>7.113237916976247</x:v>
      </x:c>
      <x:c r="AL37" s="45" t="n">
        <x:v>8</x:v>
      </x:c>
      <x:c r="AM37" s="53" t="n">
        <x:f>AL37*uw_fee*B37</x:f>
        <x:v>0.20323536905646422</x:v>
      </x:c>
      <x:c r="AN37" s="52" t="n">
        <x:v>0</x:v>
      </x:c>
      <x:c r="AO37" s="52" t="n">
        <x:v>0</x:v>
      </x:c>
      <x:c r="AP37" s="53" t="n">
        <x:f>K37+T37+W37+Z37+AF37+AI37+AK37+AM37+AN37+AO37</x:f>
        <x:v>18.191191413505997</x:v>
      </x:c>
      <x:c r="AQ37" s="53" t="n">
        <x:f>AP37*(1-1/champ_prem+champ_spill)</x:f>
        <x:v>12.63277181493472</x:v>
      </x:c>
      <x:c r="AR37" s="63" t="n">
        <x:f>AP37/Economy!O37</x:f>
        <x:v>0.02194225122005172</x:v>
      </x:c>
      <x:c r="AS37" s="52" t="n">
        <x:v>22</x:v>
      </x:c>
      <x:c r="AT37" s="52" t="n">
        <x:v>8</x:v>
      </x:c>
      <x:c r="AU37" s="52" t="n">
        <x:v>0</x:v>
      </x:c>
      <x:c r="AV37" s="52" t="n">
        <x:v>0</x:v>
      </x:c>
      <x:c r="AW37" s="52" t="n">
        <x:v>0</x:v>
      </x:c>
      <x:c r="AX37" s="52" t="n">
        <x:v>0</x:v>
      </x:c>
      <x:c r="AY37" s="53" t="n">
        <x:f>Q37+(AS37+AT37+AU37+AV37+AW37+AX37)*B37</x:f>
        <x:v>30.48530535846963</x:v>
      </x:c>
      <x:c r="AZ37" s="53" t="n">
        <x:f>P37+(AS37*ret_rail+AT37*ret_tel+AU37*ret_elec+AV37*ret_auto+AW37*ret_chem+AX37*ret_steel)*B37*IF(OR($A37=1931,$A37=1932),abroad_slump,1)+AB37+AG37</x:f>
        <x:v>2.011674491763147</x:v>
      </x:c>
      <x:c r="BA37" s="53" t="n">
        <x:f>AP37*champ_profit+AZ37</x:f>
        <x:v>5.6499127744643465</x:v>
      </x:c>
      <x:c r="BB37" s="53" t="n">
        <x:f>(K37+AI37+AK37)*champ_profit+P37+(AS37*ret_rail+AT37*ret_tel+AU37*ret_elec)*B37*IF(OR($A37=1931,$A37=1932),abroad_slump,1)</x:f>
        <x:v>4.572795803770445</x:v>
      </x:c>
      <x:c r="BC37" s="53" t="n">
        <x:f>(T37+W37+Z37+AF37+AN37+AO37)*champ_profit+(AV37*ret_auto+AW37*ret_chem+AX37*ret_steel)*B37*IF(OR($A37=1931,$A37=1932),abroad_slump,1)+AB37+AG37</x:f>
        <x:v>1.0364698968826092</x:v>
      </x:c>
      <x:c r="BD37" s="53" t="n">
        <x:f>IF($A37&gt;=crown_start,(BB37*crown_charter+BC37*crown_comp)*crown_payout,0)</x:f>
        <x:v>0</x:v>
      </x:c>
      <x:c r="BE37" s="63" t="n">
        <x:f>IF(BB37+BC37&gt;0,(BB37*crown_charter+BC37*crown_comp)/(BA37),0)</x:f>
        <x:v>0.21701512777946644</x:v>
      </x:c>
    </x:row>
    <x:row r="38">
      <x:c r="A38" s="58" t="n">
        <x:v>1878</x:v>
      </x:c>
      <x:c r="B38" s="65" t="n">
        <x:f>champ_scale*(1+Labour!AP38)*(1+Partners!BX38)*(1-IF(union_resp=2,tariff_cut*Labour!S38,0))</x:f>
        <x:v>1.018427906020702</x:v>
      </x:c>
      <x:c r="C38" s="45" t="n">
        <x:v>250</x:v>
      </x:c>
      <x:c r="D38" s="45" t="n">
        <x:v>80</x:v>
      </x:c>
      <x:c r="E38" s="45" t="n">
        <x:v>840</x:v>
      </x:c>
      <x:c r="F38" s="47" t="n">
        <x:f>E38*B38</x:f>
        <x:v>855.4794410573896</x:v>
      </x:c>
      <x:c r="G38" s="47" t="n">
        <x:f>F38/Economy!B38*1000000</x:f>
        <x:v>301.6384962300064</x:v>
      </x:c>
      <x:c r="H38" s="45" t="n">
        <x:v>269</x:v>
      </x:c>
      <x:c r="I38" s="67" t="n">
        <x:f>IF(H38&gt;0,G38/H38,0)</x:f>
        <x:v>1.1213326997398008</x:v>
      </x:c>
      <x:c r="J38" s="68" t="n">
        <x:v>0</x:v>
      </x:c>
      <x:c r="K38" s="53" t="n">
        <x:f>Resources!K38*J38*B38</x:f>
        <x:v>0</x:v>
      </x:c>
      <x:c r="L38" s="45" t="n">
        <x:v>0</x:v>
      </x:c>
      <x:c r="M38" s="59" t="n">
        <x:v>0</x:v>
      </x:c>
      <x:c r="N38" s="45" t="n">
        <x:v>0</x:v>
      </x:c>
      <x:c r="O38" s="68" t="n">
        <x:v>0</x:v>
      </x:c>
      <x:c r="P38" s="53" t="n">
        <x:f>(IF(Gulf!E38=1,0,L38*M38)+N38)*O38*B38</x:f>
        <x:v>0</x:v>
      </x:c>
      <x:c r="Q38" s="53" t="n">
        <x:f>P38*oil_book</x:f>
        <x:v>0</x:v>
      </x:c>
      <x:c r="R38" s="68" t="n">
        <x:v>0.1</x:v>
      </x:c>
      <x:c r="S38" s="45" t="n">
        <x:v>30</x:v>
      </x:c>
      <x:c r="T38" s="53" t="n">
        <x:f>R38*S38*B38</x:f>
        <x:v>3.055283718062106</x:v>
      </x:c>
      <x:c r="U38" s="45" t="n">
        <x:v>0</x:v>
      </x:c>
      <x:c r="V38" s="45" t="n">
        <x:v>0</x:v>
      </x:c>
      <x:c r="W38" s="53" t="n">
        <x:f>U38/1000*V38*B38</x:f>
        <x:v>0</x:v>
      </x:c>
      <x:c r="X38" s="45" t="n">
        <x:v>554</x:v>
      </x:c>
      <x:c r="Y38" s="59" t="n">
        <x:v>0.008999999999999999</x:v>
      </x:c>
      <x:c r="Z38" s="53" t="n">
        <x:f>X38*Y38*chem_va*B38</x:f>
        <x:v>2.285046692738649</x:v>
      </x:c>
      <x:c r="AA38" s="59" t="n">
        <x:v>0.006</x:v>
      </x:c>
      <x:c r="AB38" s="53" t="n">
        <x:f>X38*AA38*roy_rate*B38*(1-IF(union_resp=2,lic_cut*Labour!S38,0))</x:f>
        <x:v>0.10155763078838441</x:v>
      </x:c>
      <x:c r="AC38" s="45" t="n">
        <x:v>0</x:v>
      </x:c>
      <x:c r="AD38" s="59" t="n">
        <x:v>0</x:v>
      </x:c>
      <x:c r="AE38" s="59" t="n">
        <x:v>0</x:v>
      </x:c>
      <x:c r="AF38" s="53" t="n">
        <x:f>AC38*AD38*elec_va*B38</x:f>
        <x:v>0</x:v>
      </x:c>
      <x:c r="AG38" s="53" t="n">
        <x:f>MAX(0,AE38-AD38)*AC38*roy_rate*B38*(1-IF(union_resp=2,lic_cut*Labour!S38,0))</x:f>
        <x:v>0</x:v>
      </x:c>
      <x:c r="AH38" s="52" t="n">
        <x:v>6</x:v>
      </x:c>
      <x:c r="AI38" s="53" t="n">
        <x:f>AH38*B38</x:f>
        <x:v>6.110567436124212</x:v>
      </x:c>
      <x:c r="AJ38" s="52" t="n">
        <x:v>8</x:v>
      </x:c>
      <x:c r="AK38" s="53" t="n">
        <x:f>AJ38*B38</x:f>
        <x:v>8.147423248165616</x:v>
      </x:c>
      <x:c r="AL38" s="45" t="n">
        <x:v>8</x:v>
      </x:c>
      <x:c r="AM38" s="53" t="n">
        <x:f>AL38*uw_fee*B38</x:f>
        <x:v>0.2036855812041404</x:v>
      </x:c>
      <x:c r="AN38" s="52" t="n">
        <x:v>0</x:v>
      </x:c>
      <x:c r="AO38" s="52" t="n">
        <x:v>0</x:v>
      </x:c>
      <x:c r="AP38" s="53" t="n">
        <x:f>K38+T38+W38+Z38+AF38+AI38+AK38+AM38+AN38+AO38</x:f>
        <x:v>19.802006676294724</x:v>
      </x:c>
      <x:c r="AQ38" s="53" t="n">
        <x:f>AP38*(1-1/champ_prem+champ_spill)</x:f>
        <x:v>13.75139352520467</x:v>
      </x:c>
      <x:c r="AR38" s="63" t="n">
        <x:f>AP38/Economy!O38</x:f>
        <x:v>0.02241779773771017</x:v>
      </x:c>
      <x:c r="AS38" s="52" t="n">
        <x:v>25</x:v>
      </x:c>
      <x:c r="AT38" s="52" t="n">
        <x:v>8</x:v>
      </x:c>
      <x:c r="AU38" s="52" t="n">
        <x:v>0</x:v>
      </x:c>
      <x:c r="AV38" s="52" t="n">
        <x:v>0</x:v>
      </x:c>
      <x:c r="AW38" s="52" t="n">
        <x:v>0</x:v>
      </x:c>
      <x:c r="AX38" s="52" t="n">
        <x:v>0</x:v>
      </x:c>
      <x:c r="AY38" s="53" t="n">
        <x:f>Q38+(AS38+AT38+AU38+AV38+AW38+AX38)*B38</x:f>
        <x:v>33.60812089868317</x:v>
      </x:c>
      <x:c r="AZ38" s="53" t="n">
        <x:f>P38+(AS38*ret_rail+AT38*ret_tel+AU38*ret_elec+AV38*ret_auto+AW38*ret_chem+AX38*ret_steel)*B38*IF(OR($A38=1931,$A38=1932),abroad_slump,1)+AB38+AG38</x:f>
        <x:v>2.189334838130823</x:v>
      </x:c>
      <x:c r="BA38" s="53" t="n">
        <x:f>AP38*champ_profit+AZ38</x:f>
        <x:v>6.149736173389768</x:v>
      </x:c>
      <x:c r="BB38" s="53" t="n">
        <x:f>(K38+AI38+AK38)*champ_profit+P38+(AS38*ret_rail+AT38*ret_tel+AU38*ret_elec)*B38*IF(OR($A38=1931,$A38=1932),abroad_slump,1)</x:f>
        <x:v>4.939375344200405</x:v>
      </x:c>
      <x:c r="BC38" s="53" t="n">
        <x:f>(T38+W38+Z38+AF38+AN38+AO38)*champ_profit+(AV38*ret_auto+AW38*ret_chem+AX38*ret_steel)*B38*IF(OR($A38=1931,$A38=1932),abroad_slump,1)+AB38+AG38</x:f>
        <x:v>1.1696237129485354</x:v>
      </x:c>
      <x:c r="BD38" s="53" t="n">
        <x:f>IF($A38&gt;=crown_start,(BB38*crown_charter+BC38*crown_comp)*crown_payout,0)</x:f>
        <x:v>0</x:v>
      </x:c>
      <x:c r="BE38" s="63" t="n">
        <x:f>IF(BB38+BC38&gt;0,(BB38*crown_charter+BC38*crown_comp)/(BA38),0)</x:f>
        <x:v>0.21601149962076427</x:v>
      </x:c>
    </x:row>
    <x:row r="39">
      <x:c r="A39" s="58" t="n">
        <x:v>1879</x:v>
      </x:c>
      <x:c r="B39" s="65" t="n">
        <x:f>champ_scale*(1+Labour!AP39)*(1+Partners!BX39)*(1-IF(union_resp=2,tariff_cut*Labour!S39,0))</x:f>
        <x:v>1.0207382916318182</x:v>
      </x:c>
      <x:c r="C39" s="45" t="n">
        <x:v>280</x:v>
      </x:c>
      <x:c r="D39" s="45" t="n">
        <x:v>90</x:v>
      </x:c>
      <x:c r="E39" s="45" t="n">
        <x:v>920</x:v>
      </x:c>
      <x:c r="F39" s="47" t="n">
        <x:f>E39*B39</x:f>
        <x:v>939.0792283012727</x:v>
      </x:c>
      <x:c r="G39" s="47" t="n">
        <x:f>F39/Economy!B39*1000000</x:f>
        <x:v>313.3319757943693</x:v>
      </x:c>
      <x:c r="H39" s="45" t="n">
        <x:v>264</x:v>
      </x:c>
      <x:c r="I39" s="67" t="n">
        <x:f>IF(H39&gt;0,G39/H39,0)</x:f>
        <x:v>1.1868635446756415</x:v>
      </x:c>
      <x:c r="J39" s="68" t="n">
        <x:v>0</x:v>
      </x:c>
      <x:c r="K39" s="53" t="n">
        <x:f>Resources!K39*J39*B39</x:f>
        <x:v>0</x:v>
      </x:c>
      <x:c r="L39" s="45" t="n">
        <x:v>0</x:v>
      </x:c>
      <x:c r="M39" s="59" t="n">
        <x:v>0</x:v>
      </x:c>
      <x:c r="N39" s="45" t="n">
        <x:v>0</x:v>
      </x:c>
      <x:c r="O39" s="68" t="n">
        <x:v>0</x:v>
      </x:c>
      <x:c r="P39" s="53" t="n">
        <x:f>(IF(Gulf!E39=1,0,L39*M39)+N39)*O39*B39</x:f>
        <x:v>0</x:v>
      </x:c>
      <x:c r="Q39" s="53" t="n">
        <x:f>P39*oil_book</x:f>
        <x:v>0</x:v>
      </x:c>
      <x:c r="R39" s="68" t="n">
        <x:v>0.11</x:v>
      </x:c>
      <x:c r="S39" s="45" t="n">
        <x:v>29</x:v>
      </x:c>
      <x:c r="T39" s="53" t="n">
        <x:f>R39*S39*B39</x:f>
        <x:v>3.2561551503054997</x:v>
      </x:c>
      <x:c r="U39" s="45" t="n">
        <x:v>0</x:v>
      </x:c>
      <x:c r="V39" s="45" t="n">
        <x:v>0</x:v>
      </x:c>
      <x:c r="W39" s="53" t="n">
        <x:f>U39/1000*V39*B39</x:f>
        <x:v>0</x:v>
      </x:c>
      <x:c r="X39" s="45" t="n">
        <x:v>577</x:v>
      </x:c>
      <x:c r="Y39" s="59" t="n">
        <x:v>0.008999999999999999</x:v>
      </x:c>
      <x:c r="Z39" s="53" t="n">
        <x:f>X39*Y39*chem_va*B39</x:f>
        <x:v>2.3853122767998145</x:v>
      </x:c>
      <x:c r="AA39" s="59" t="n">
        <x:v>0.006</x:v>
      </x:c>
      <x:c r="AB39" s="53" t="n">
        <x:f>X39*AA39*roy_rate*B39*(1-IF(union_resp=2,lic_cut*Labour!S39,0))</x:f>
        <x:v>0.10601387896888065</x:v>
      </x:c>
      <x:c r="AC39" s="45" t="n">
        <x:v>0</x:v>
      </x:c>
      <x:c r="AD39" s="59" t="n">
        <x:v>0</x:v>
      </x:c>
      <x:c r="AE39" s="59" t="n">
        <x:v>0</x:v>
      </x:c>
      <x:c r="AF39" s="53" t="n">
        <x:f>AC39*AD39*elec_va*B39</x:f>
        <x:v>0</x:v>
      </x:c>
      <x:c r="AG39" s="53" t="n">
        <x:f>MAX(0,AE39-AD39)*AC39*roy_rate*B39*(1-IF(union_resp=2,lic_cut*Labour!S39,0))</x:f>
        <x:v>0</x:v>
      </x:c>
      <x:c r="AH39" s="52" t="n">
        <x:v>7</x:v>
      </x:c>
      <x:c r="AI39" s="53" t="n">
        <x:f>AH39*B39</x:f>
        <x:v>7.145168041422727</x:v>
      </x:c>
      <x:c r="AJ39" s="52" t="n">
        <x:v>8</x:v>
      </x:c>
      <x:c r="AK39" s="53" t="n">
        <x:f>AJ39*B39</x:f>
        <x:v>8.165906333054545</x:v>
      </x:c>
      <x:c r="AL39" s="45" t="n">
        <x:v>9</x:v>
      </x:c>
      <x:c r="AM39" s="53" t="n">
        <x:f>AL39*uw_fee*B39</x:f>
        <x:v>0.2296661156171591</x:v>
      </x:c>
      <x:c r="AN39" s="52" t="n">
        <x:v>0</x:v>
      </x:c>
      <x:c r="AO39" s="52" t="n">
        <x:v>0</x:v>
      </x:c>
      <x:c r="AP39" s="53" t="n">
        <x:f>K39+T39+W39+Z39+AF39+AI39+AK39+AM39+AN39+AO39</x:f>
        <x:v>21.182207917199747</x:v>
      </x:c>
      <x:c r="AQ39" s="53" t="n">
        <x:f>AP39*(1-1/champ_prem+champ_spill)</x:f>
        <x:v>14.709866609166491</x:v>
      </x:c>
      <x:c r="AR39" s="63" t="n">
        <x:f>AP39/Economy!O39</x:f>
        <x:v>0.022869949952796217</x:v>
      </x:c>
      <x:c r="AS39" s="52" t="n">
        <x:v>28</x:v>
      </x:c>
      <x:c r="AT39" s="52" t="n">
        <x:v>9</x:v>
      </x:c>
      <x:c r="AU39" s="52" t="n">
        <x:v>0</x:v>
      </x:c>
      <x:c r="AV39" s="52" t="n">
        <x:v>0</x:v>
      </x:c>
      <x:c r="AW39" s="52" t="n">
        <x:v>0</x:v>
      </x:c>
      <x:c r="AX39" s="52" t="n">
        <x:v>0</x:v>
      </x:c>
      <x:c r="AY39" s="53" t="n">
        <x:f>Q39+(AS39+AT39+AU39+AV39+AW39+AX39)*B39</x:f>
        <x:v>37.76731679037727</x:v>
      </x:c>
      <x:c r="AZ39" s="53" t="n">
        <x:f>P39+(AS39*ret_rail+AT39*ret_tel+AU39*ret_elec+AV39*ret_auto+AW39*ret_chem+AX39*ret_steel)*B39*IF(OR($A39=1931,$A39=1932),abroad_slump,1)+AB39+AG39</x:f>
        <x:v>2.453711949722063</x:v>
      </x:c>
      <x:c r="BA39" s="53" t="n">
        <x:f>AP39*champ_profit+AZ39</x:f>
        <x:v>6.690153533162013</x:v>
      </x:c>
      <x:c r="BB39" s="53" t="n">
        <x:f>(K39+AI39+AK39)*champ_profit+P39+(AS39*ret_rail+AT39*ret_tel+AU39*ret_elec)*B39*IF(OR($A39=1931,$A39=1932),abroad_slump,1)</x:f>
        <x:v>5.409912945648637</x:v>
      </x:c>
      <x:c r="BC39" s="53" t="n">
        <x:f>(T39+W39+Z39+AF39+AN39+AO39)*champ_profit+(AV39*ret_auto+AW39*ret_chem+AX39*ret_steel)*B39*IF(OR($A39=1931,$A39=1932),abroad_slump,1)+AB39+AG39</x:f>
        <x:v>1.2343073643899436</x:v>
      </x:c>
      <x:c r="BD39" s="53" t="n">
        <x:f>IF($A39&gt;=crown_start,(BB39*crown_charter+BC39*crown_comp)*crown_payout,0)</x:f>
        <x:v>0</x:v>
      </x:c>
      <x:c r="BE39" s="63" t="n">
        <x:f>IF(BB39+BC39&gt;0,(BB39*crown_charter+BC39*crown_comp)/(BA39),0)</x:f>
        <x:v>0.21691921095231628</x:v>
      </x:c>
    </x:row>
    <x:row r="40">
      <x:c r="A40" s="58" t="n">
        <x:v>1880</x:v>
      </x:c>
      <x:c r="B40" s="65" t="n">
        <x:f>champ_scale*(1+Labour!AP40)*(1+Partners!BX40)*(1-IF(union_resp=2,tariff_cut*Labour!S40,0))</x:f>
        <x:v>1.0231920385427273</x:v>
      </x:c>
      <x:c r="C40" s="45" t="n">
        <x:v>300</x:v>
      </x:c>
      <x:c r="D40" s="45" t="n">
        <x:v>100</x:v>
      </x:c>
      <x:c r="E40" s="45" t="n">
        <x:v>1000</x:v>
      </x:c>
      <x:c r="F40" s="47" t="n">
        <x:f>E40*B40</x:f>
        <x:v>1023.1920385427273</x:v>
      </x:c>
      <x:c r="G40" s="47" t="n">
        <x:f>F40/Economy!B40*1000000</x:f>
        <x:v>323.23860871382544</x:v>
      </x:c>
      <x:c r="H40" s="45" t="n">
        <x:v>258</x:v>
      </x:c>
      <x:c r="I40" s="67" t="n">
        <x:f>IF(H40&gt;0,G40/H40,0)</x:f>
        <x:v>1.2528628244721915</x:v>
      </x:c>
      <x:c r="J40" s="68" t="n">
        <x:v>0</x:v>
      </x:c>
      <x:c r="K40" s="53" t="n">
        <x:f>Resources!K40*J40*B40</x:f>
        <x:v>0</x:v>
      </x:c>
      <x:c r="L40" s="45" t="n">
        <x:v>0</x:v>
      </x:c>
      <x:c r="M40" s="59" t="n">
        <x:v>0</x:v>
      </x:c>
      <x:c r="N40" s="45" t="n">
        <x:v>1</x:v>
      </x:c>
      <x:c r="O40" s="68" t="n">
        <x:v>0.6</x:v>
      </x:c>
      <x:c r="P40" s="53" t="n">
        <x:f>(IF(Gulf!E40=1,0,L40*M40)+N40)*O40*B40</x:f>
        <x:v>0.6139152231256364</x:v>
      </x:c>
      <x:c r="Q40" s="53" t="n">
        <x:f>P40*oil_book</x:f>
        <x:v>4.297406561879455</x:v>
      </x:c>
      <x:c r="R40" s="68" t="n">
        <x:v>0.12</x:v>
      </x:c>
      <x:c r="S40" s="45" t="n">
        <x:v>28</x:v>
      </x:c>
      <x:c r="T40" s="53" t="n">
        <x:f>R40*S40*B40</x:f>
        <x:v>3.437925249503564</x:v>
      </x:c>
      <x:c r="U40" s="45" t="n">
        <x:v>0</x:v>
      </x:c>
      <x:c r="V40" s="45" t="n">
        <x:v>0</x:v>
      </x:c>
      <x:c r="W40" s="53" t="n">
        <x:f>U40/1000*V40*B40</x:f>
        <x:v>0</x:v>
      </x:c>
      <x:c r="X40" s="45" t="n">
        <x:v>600</x:v>
      </x:c>
      <x:c r="Y40" s="59" t="n">
        <x:v>0.01</x:v>
      </x:c>
      <x:c r="Z40" s="53" t="n">
        <x:f>X40*Y40*chem_va*B40</x:f>
        <x:v>2.762618504065364</x:v>
      </x:c>
      <x:c r="AA40" s="59" t="n">
        <x:v>0.007</x:v>
      </x:c>
      <x:c r="AB40" s="53" t="n">
        <x:f>X40*AA40*roy_rate*B40*(1-IF(union_resp=2,lic_cut*Labour!S40,0))</x:f>
        <x:v>0.12892219685638365</x:v>
      </x:c>
      <x:c r="AC40" s="45" t="n">
        <x:v>0</x:v>
      </x:c>
      <x:c r="AD40" s="59" t="n">
        <x:v>0</x:v>
      </x:c>
      <x:c r="AE40" s="59" t="n">
        <x:v>0</x:v>
      </x:c>
      <x:c r="AF40" s="53" t="n">
        <x:f>AC40*AD40*elec_va*B40</x:f>
        <x:v>0</x:v>
      </x:c>
      <x:c r="AG40" s="53" t="n">
        <x:f>MAX(0,AE40-AD40)*AC40*roy_rate*B40*(1-IF(union_resp=2,lic_cut*Labour!S40,0))</x:f>
        <x:v>0</x:v>
      </x:c>
      <x:c r="AH40" s="52" t="n">
        <x:v>7</x:v>
      </x:c>
      <x:c r="AI40" s="53" t="n">
        <x:f>AH40*B40</x:f>
        <x:v>7.162344269799092</x:v>
      </x:c>
      <x:c r="AJ40" s="52" t="n">
        <x:v>9</x:v>
      </x:c>
      <x:c r="AK40" s="53" t="n">
        <x:f>AJ40*B40</x:f>
        <x:v>9.208728346884547</x:v>
      </x:c>
      <x:c r="AL40" s="45" t="n">
        <x:v>10</x:v>
      </x:c>
      <x:c r="AM40" s="53" t="n">
        <x:f>AL40*uw_fee*B40</x:f>
        <x:v>0.25579800963568183</x:v>
      </x:c>
      <x:c r="AN40" s="52" t="n">
        <x:v>0</x:v>
      </x:c>
      <x:c r="AO40" s="52" t="n">
        <x:v>0</x:v>
      </x:c>
      <x:c r="AP40" s="53" t="n">
        <x:f>K40+T40+W40+Z40+AF40+AI40+AK40+AM40+AN40+AO40</x:f>
        <x:v>22.827414379888246</x:v>
      </x:c>
      <x:c r="AQ40" s="53" t="n">
        <x:f>AP40*(1-1/champ_prem+champ_spill)</x:f>
        <x:v>15.852371097144616</x:v>
      </x:c>
      <x:c r="AR40" s="63" t="n">
        <x:f>AP40/Economy!O40</x:f>
        <x:v>0.023329529427754247</x:v>
      </x:c>
      <x:c r="AS40" s="52" t="n">
        <x:v>30</x:v>
      </x:c>
      <x:c r="AT40" s="52" t="n">
        <x:v>10</x:v>
      </x:c>
      <x:c r="AU40" s="52" t="n">
        <x:v>0</x:v>
      </x:c>
      <x:c r="AV40" s="52" t="n">
        <x:v>0</x:v>
      </x:c>
      <x:c r="AW40" s="52" t="n">
        <x:v>1</x:v>
      </x:c>
      <x:c r="AX40" s="52" t="n">
        <x:v>0</x:v>
      </x:c>
      <x:c r="AY40" s="53" t="n">
        <x:f>Q40+(AS40+AT40+AU40+AV40+AW40+AX40)*B40</x:f>
        <x:v>46.24828014213128</x:v>
      </x:c>
      <x:c r="AZ40" s="53" t="n">
        <x:f>P40+(AS40*ret_rail+AT40*ret_tel+AU40*ret_elec+AV40*ret_auto+AW40*ret_chem+AX40*ret_steel)*B40*IF(OR($A40=1931,$A40=1932),abroad_slump,1)+AB40+AG40</x:f>
        <x:v>3.4236005609639664</x:v>
      </x:c>
      <x:c r="BA40" s="53" t="n">
        <x:f>AP40*champ_profit+AZ40</x:f>
        <x:v>7.989083436941616</x:v>
      </x:c>
      <x:c r="BB40" s="53" t="n">
        <x:f>(K40+AI40+AK40)*champ_profit+P40+(AS40*ret_rail+AT40*ret_tel+AU40*ret_elec)*B40*IF(OR($A40=1931,$A40=1932),abroad_slump,1)</x:f>
        <x:v>6.446109842819182</x:v>
      </x:c>
      <x:c r="BC40" s="53" t="n">
        <x:f>(T40+W40+Z40+AF40+AN40+AO40)*champ_profit+(AV40*ret_auto+AW40*ret_chem+AX40*ret_steel)*B40*IF(OR($A40=1931,$A40=1932),abroad_slump,1)+AB40+AG40</x:f>
        <x:v>1.4918139921952964</x:v>
      </x:c>
      <x:c r="BD40" s="53" t="n">
        <x:f>IF($A40&gt;=crown_start,(BB40*crown_charter+BC40*crown_comp)*crown_payout,0)</x:f>
        <x:v>0.8654362900402096</x:v>
      </x:c>
      <x:c r="BE40" s="63" t="n">
        <x:f>IF(BB40+BC40&gt;0,(BB40*crown_charter+BC40*crown_comp)/(BA40),0)</x:f>
        <x:v>0.21665471311475407</x:v>
      </x:c>
    </x:row>
    <x:row r="41">
      <x:c r="A41" s="58" t="n">
        <x:v>1881</x:v>
      </x:c>
      <x:c r="B41" s="65" t="n">
        <x:f>champ_scale*(1+Labour!AP41)*(1+Partners!BX41)*(1-IF(union_resp=2,tariff_cut*Labour!S41,0))</x:f>
        <x:v>1.0279271356658757</x:v>
      </x:c>
      <x:c r="C41" s="45" t="n">
        <x:v>360</x:v>
      </x:c>
      <x:c r="D41" s="45" t="n">
        <x:v>120</x:v>
      </x:c>
      <x:c r="E41" s="45" t="n">
        <x:v>1150</x:v>
      </x:c>
      <x:c r="F41" s="47" t="n">
        <x:f>E41*B41</x:f>
        <x:v>1182.1162060157571</x:v>
      </x:c>
      <x:c r="G41" s="47" t="n">
        <x:f>F41/Economy!B41*1000000</x:f>
        <x:v>354.1721494747099</x:v>
      </x:c>
      <x:c r="H41" s="45" t="n">
        <x:v>272</x:v>
      </x:c>
      <x:c r="I41" s="67" t="n">
        <x:f>IF(H41&gt;0,G41/H41,0)</x:f>
        <x:v>1.3021034907158453</x:v>
      </x:c>
      <x:c r="J41" s="68" t="n">
        <x:v>0</x:v>
      </x:c>
      <x:c r="K41" s="53" t="n">
        <x:f>Resources!K41*J41*B41</x:f>
        <x:v>0</x:v>
      </x:c>
      <x:c r="L41" s="45" t="n">
        <x:v>0</x:v>
      </x:c>
      <x:c r="M41" s="59" t="n">
        <x:v>0</x:v>
      </x:c>
      <x:c r="N41" s="45" t="n">
        <x:v>1</x:v>
      </x:c>
      <x:c r="O41" s="68" t="n">
        <x:v>0.598</x:v>
      </x:c>
      <x:c r="P41" s="53" t="n">
        <x:f>(IF(Gulf!E41=1,0,L41*M41)+N41)*O41*B41</x:f>
        <x:v>0.6147004271281936</x:v>
      </x:c>
      <x:c r="Q41" s="53" t="n">
        <x:f>P41*oil_book</x:f>
        <x:v>4.302902989897356</x:v>
      </x:c>
      <x:c r="R41" s="68" t="n">
        <x:v>0.153</x:v>
      </x:c>
      <x:c r="S41" s="45" t="n">
        <x:v>27</x:v>
      </x:c>
      <x:c r="T41" s="53" t="n">
        <x:f>R41*S41*B41</x:f>
        <x:v>4.246366997435732</x:v>
      </x:c>
      <x:c r="U41" s="45" t="n">
        <x:v>0</x:v>
      </x:c>
      <x:c r="V41" s="45" t="n">
        <x:v>0</x:v>
      </x:c>
      <x:c r="W41" s="53" t="n">
        <x:f>U41/1000*V41*B41</x:f>
        <x:v>0</x:v>
      </x:c>
      <x:c r="X41" s="45" t="n">
        <x:v>630</x:v>
      </x:c>
      <x:c r="Y41" s="59" t="n">
        <x:v>0.011</x:v>
      </x:c>
      <x:c r="Z41" s="53" t="n">
        <x:f>X41*Y41*chem_va*B41</x:f>
        <x:v>3.2055907725740336</x:v>
      </x:c>
      <x:c r="AA41" s="59" t="n">
        <x:v>0.007</x:v>
      </x:c>
      <x:c r="AB41" s="53" t="n">
        <x:f>X41*AA41*roy_rate*B41*(1-IF(union_resp=2,lic_cut*Labour!S41,0))</x:f>
        <x:v>0.13599476004859534</x:v>
      </x:c>
      <x:c r="AC41" s="45" t="n">
        <x:v>0</x:v>
      </x:c>
      <x:c r="AD41" s="59" t="n">
        <x:v>0</x:v>
      </x:c>
      <x:c r="AE41" s="59" t="n">
        <x:v>0</x:v>
      </x:c>
      <x:c r="AF41" s="53" t="n">
        <x:f>AC41*AD41*elec_va*B41</x:f>
        <x:v>0</x:v>
      </x:c>
      <x:c r="AG41" s="53" t="n">
        <x:f>MAX(0,AE41-AD41)*AC41*roy_rate*B41*(1-IF(union_resp=2,lic_cut*Labour!S41,0))</x:f>
        <x:v>0</x:v>
      </x:c>
      <x:c r="AH41" s="52" t="n">
        <x:v>8</x:v>
      </x:c>
      <x:c r="AI41" s="53" t="n">
        <x:f>AH41*B41</x:f>
        <x:v>8.223417085327005</x:v>
      </x:c>
      <x:c r="AJ41" s="52" t="n">
        <x:v>10</x:v>
      </x:c>
      <x:c r="AK41" s="53" t="n">
        <x:f>AJ41*B41</x:f>
        <x:v>10.279271356658757</x:v>
      </x:c>
      <x:c r="AL41" s="45" t="n">
        <x:v>12</x:v>
      </x:c>
      <x:c r="AM41" s="53" t="n">
        <x:f>AL41*uw_fee*B41</x:f>
        <x:v>0.30837814069976277</x:v>
      </x:c>
      <x:c r="AN41" s="52" t="n">
        <x:v>0</x:v>
      </x:c>
      <x:c r="AO41" s="52" t="n">
        <x:v>0</x:v>
      </x:c>
      <x:c r="AP41" s="53" t="n">
        <x:f>K41+T41+W41+Z41+AF41+AI41+AK41+AM41+AN41+AO41</x:f>
        <x:v>26.263024352695293</x:v>
      </x:c>
      <x:c r="AQ41" s="53" t="n">
        <x:f>AP41*(1-1/champ_prem+champ_spill)</x:f>
        <x:v>18.2382113560384</x:v>
      </x:c>
      <x:c r="AR41" s="63" t="n">
        <x:f>AP41/Economy!O41</x:f>
        <x:v>0.02526981341209928</x:v>
      </x:c>
      <x:c r="AS41" s="52" t="n">
        <x:v>35</x:v>
      </x:c>
      <x:c r="AT41" s="52" t="n">
        <x:v>12</x:v>
      </x:c>
      <x:c r="AU41" s="52" t="n">
        <x:v>0</x:v>
      </x:c>
      <x:c r="AV41" s="52" t="n">
        <x:v>0</x:v>
      </x:c>
      <x:c r="AW41" s="52" t="n">
        <x:v>1</x:v>
      </x:c>
      <x:c r="AX41" s="52" t="n">
        <x:v>0</x:v>
      </x:c>
      <x:c r="AY41" s="53" t="n">
        <x:f>Q41+(AS41+AT41+AU41+AV41+AW41+AX41)*B41</x:f>
        <x:v>53.643405501859384</x:v>
      </x:c>
      <x:c r="AZ41" s="53" t="n">
        <x:f>P41+(AS41*ret_rail+AT41*ret_tel+AU41*ret_elec+AV41*ret_auto+AW41*ret_chem+AX41*ret_steel)*B41*IF(OR($A41=1931,$A41=1932),abroad_slump,1)+AB41+AG41</x:f>
        <x:v>3.9064314936710276</x:v>
      </x:c>
      <x:c r="BA41" s="53" t="n">
        <x:f>AP41*champ_profit+AZ41</x:f>
        <x:v>9.159036364210086</x:v>
      </x:c>
      <x:c r="BB41" s="53" t="n">
        <x:f>(K41+AI41+AK41)*champ_profit+P41+(AS41*ret_rail+AT41*ret_tel+AU41*ret_elec)*B41*IF(OR($A41=1931,$A41=1932),abroad_slump,1)</x:f>
        <x:v>7.347623165739678</x:v>
      </x:c>
      <x:c r="BC41" s="53" t="n">
        <x:f>(T41+W41+Z41+AF41+AN41+AO41)*champ_profit+(AV41*ret_auto+AW41*ret_chem+AX41*ret_steel)*B41*IF(OR($A41=1931,$A41=1932),abroad_slump,1)+AB41+AG41</x:f>
        <x:v>1.7497375703304539</x:v>
      </x:c>
      <x:c r="BD41" s="53" t="n">
        <x:f>IF($A41&gt;=crown_start,(BB41*crown_charter+BC41*crown_comp)*crown_payout,0)</x:f>
        <x:v>0.988442398530678</x:v>
      </x:c>
      <x:c r="BE41" s="63" t="n">
        <x:f>IF(BB41+BC41&gt;0,(BB41*crown_charter+BC41*crown_comp)/(BA41),0)</x:f>
        <x:v>0.21583982402190743</x:v>
      </x:c>
    </x:row>
    <x:row r="42">
      <x:c r="A42" s="58" t="n">
        <x:v>1882</x:v>
      </x:c>
      <x:c r="B42" s="65" t="n">
        <x:f>champ_scale*(1+Labour!AP42)*(1+Partners!BX42)*(1-IF(union_resp=2,tariff_cut*Labour!S42,0))</x:f>
        <x:v>1.030486089189467</x:v>
      </x:c>
      <x:c r="C42" s="45" t="n">
        <x:v>420</x:v>
      </x:c>
      <x:c r="D42" s="45" t="n">
        <x:v>140</x:v>
      </x:c>
      <x:c r="E42" s="45" t="n">
        <x:v>1300</x:v>
      </x:c>
      <x:c r="F42" s="47" t="n">
        <x:f>E42*B42</x:f>
        <x:v>1339.6319159463071</x:v>
      </x:c>
      <x:c r="G42" s="47" t="n">
        <x:f>F42/Economy!B42*1000000</x:f>
        <x:v>381.57308834036667</x:v>
      </x:c>
      <x:c r="H42" s="45" t="n">
        <x:v>287</x:v>
      </x:c>
      <x:c r="I42" s="67" t="n">
        <x:f>IF(H42&gt;0,G42/H42,0)</x:f>
        <x:v>1.3295229558897794</x:v>
      </x:c>
      <x:c r="J42" s="68" t="n">
        <x:v>0</x:v>
      </x:c>
      <x:c r="K42" s="53" t="n">
        <x:f>Resources!K42*J42*B42</x:f>
        <x:v>0</x:v>
      </x:c>
      <x:c r="L42" s="45" t="n">
        <x:v>0</x:v>
      </x:c>
      <x:c r="M42" s="59" t="n">
        <x:v>0</x:v>
      </x:c>
      <x:c r="N42" s="45" t="n">
        <x:v>2</x:v>
      </x:c>
      <x:c r="O42" s="68" t="n">
        <x:v>0.595</x:v>
      </x:c>
      <x:c r="P42" s="53" t="n">
        <x:f>(IF(Gulf!E42=1,0,L42*M42)+N42)*O42*B42</x:f>
        <x:v>1.2262784461354657</x:v>
      </x:c>
      <x:c r="Q42" s="53" t="n">
        <x:f>P42*oil_book</x:f>
        <x:v>8.58394912294826</x:v>
      </x:c>
      <x:c r="R42" s="68" t="n">
        <x:v>0.186</x:v>
      </x:c>
      <x:c r="S42" s="45" t="n">
        <x:v>26</x:v>
      </x:c>
      <x:c r="T42" s="53" t="n">
        <x:f>R42*S42*B42</x:f>
        <x:v>4.983430727320262</x:v>
      </x:c>
      <x:c r="U42" s="45" t="n">
        <x:v>0</x:v>
      </x:c>
      <x:c r="V42" s="45" t="n">
        <x:v>0</x:v>
      </x:c>
      <x:c r="W42" s="53" t="n">
        <x:f>U42/1000*V42*B42</x:f>
        <x:v>0</x:v>
      </x:c>
      <x:c r="X42" s="45" t="n">
        <x:v>660</x:v>
      </x:c>
      <x:c r="Y42" s="59" t="n">
        <x:v>0.013</x:v>
      </x:c>
      <x:c r="Z42" s="53" t="n">
        <x:f>X42*Y42*chem_va*B42</x:f>
        <x:v>3.978706790360532</x:v>
      </x:c>
      <x:c r="AA42" s="59" t="n">
        <x:v>0.007</x:v>
      </x:c>
      <x:c r="AB42" s="53" t="n">
        <x:f>X42*AA42*roy_rate*B42*(1-IF(union_resp=2,lic_cut*Labour!S42,0))</x:f>
        <x:v>0.14282537196166012</x:v>
      </x:c>
      <x:c r="AC42" s="45" t="n">
        <x:v>0</x:v>
      </x:c>
      <x:c r="AD42" s="59" t="n">
        <x:v>0</x:v>
      </x:c>
      <x:c r="AE42" s="59" t="n">
        <x:v>0</x:v>
      </x:c>
      <x:c r="AF42" s="53" t="n">
        <x:f>AC42*AD42*elec_va*B42</x:f>
        <x:v>0</x:v>
      </x:c>
      <x:c r="AG42" s="53" t="n">
        <x:f>MAX(0,AE42-AD42)*AC42*roy_rate*B42*(1-IF(union_resp=2,lic_cut*Labour!S42,0))</x:f>
        <x:v>0</x:v>
      </x:c>
      <x:c r="AH42" s="52" t="n">
        <x:v>9</x:v>
      </x:c>
      <x:c r="AI42" s="53" t="n">
        <x:f>AH42*B42</x:f>
        <x:v>9.274374802705202</x:v>
      </x:c>
      <x:c r="AJ42" s="52" t="n">
        <x:v>10</x:v>
      </x:c>
      <x:c r="AK42" s="53" t="n">
        <x:f>AJ42*B42</x:f>
        <x:v>10.30486089189467</x:v>
      </x:c>
      <x:c r="AL42" s="45" t="n">
        <x:v>14</x:v>
      </x:c>
      <x:c r="AM42" s="53" t="n">
        <x:f>AL42*uw_fee*B42</x:f>
        <x:v>0.36067013121631347</x:v>
      </x:c>
      <x:c r="AN42" s="52" t="n">
        <x:v>0</x:v>
      </x:c>
      <x:c r="AO42" s="52" t="n">
        <x:v>0</x:v>
      </x:c>
      <x:c r="AP42" s="53" t="n">
        <x:f>K42+T42+W42+Z42+AF42+AI42+AK42+AM42+AN42+AO42</x:f>
        <x:v>28.90204334349698</x:v>
      </x:c>
      <x:c r="AQ42" s="53" t="n">
        <x:f>AP42*(1-1/champ_prem+champ_spill)</x:f>
        <x:v>20.070863432984012</x:v>
      </x:c>
      <x:c r="AR42" s="63" t="n">
        <x:f>AP42/Economy!O42</x:f>
        <x:v>0.026278681883810943</x:v>
      </x:c>
      <x:c r="AS42" s="52" t="n">
        <x:v>40</x:v>
      </x:c>
      <x:c r="AT42" s="52" t="n">
        <x:v>13</x:v>
      </x:c>
      <x:c r="AU42" s="52" t="n">
        <x:v>0</x:v>
      </x:c>
      <x:c r="AV42" s="52" t="n">
        <x:v>0</x:v>
      </x:c>
      <x:c r="AW42" s="52" t="n">
        <x:v>1</x:v>
      </x:c>
      <x:c r="AX42" s="52" t="n">
        <x:v>0</x:v>
      </x:c>
      <x:c r="AY42" s="53" t="n">
        <x:f>Q42+(AS42+AT42+AU42+AV42+AW42+AX42)*B42</x:f>
        <x:v>64.23019793917948</x:v>
      </x:c>
      <x:c r="AZ42" s="53" t="n">
        <x:f>P42+(AS42*ret_rail+AT42*ret_tel+AU42*ret_elec+AV42*ret_auto+AW42*ret_chem+AX42*ret_steel)*B42*IF(OR($A42=1931,$A42=1932),abroad_slump,1)+AB42+AG42</x:f>
        <x:v>4.893366243125103</x:v>
      </x:c>
      <x:c r="BA42" s="53" t="n">
        <x:f>AP42*champ_profit+AZ42</x:f>
        <x:v>10.673774911824498</x:v>
      </x:c>
      <x:c r="BB42" s="53" t="n">
        <x:f>(K42+AI42+AK42)*champ_profit+P42+(AS42*ret_rail+AT42*ret_tel+AU42*ret_elec)*B42*IF(OR($A42=1931,$A42=1932),abroad_slump,1)</x:f>
        <x:v>8.542729679380681</x:v>
      </x:c>
      <x:c r="BC42" s="53" t="n">
        <x:f>(T42+W42+Z42+AF42+AN42+AO42)*champ_profit+(AV42*ret_auto+AW42*ret_chem+AX42*ret_steel)*B42*IF(OR($A42=1931,$A42=1932),abroad_slump,1)+AB42+AG42</x:f>
        <x:v>2.0589112062005555</x:v>
      </x:c>
      <x:c r="BD42" s="53" t="n">
        <x:f>IF($A42&gt;=crown_start,(BB42*crown_charter+BC42*crown_comp)*crown_payout,0)</x:f>
        <x:v>1.1501976581706073</x:v>
      </x:c>
      <x:c r="BE42" s="63" t="n">
        <x:f>IF(BB42+BC42&gt;0,(BB42*crown_charter+BC42*crown_comp)/(BA42),0)</x:f>
        <x:v>0.21551843985325353</x:v>
      </x:c>
    </x:row>
    <x:row r="43">
      <x:c r="A43" s="58" t="n">
        <x:v>1883</x:v>
      </x:c>
      <x:c r="B43" s="65" t="n">
        <x:f>champ_scale*(1+Labour!AP43)*(1+Partners!BX43)*(1-IF(union_resp=2,tariff_cut*Labour!S43,0))</x:f>
        <x:v>1.0334389609688461</x:v>
      </x:c>
      <x:c r="C43" s="45" t="n">
        <x:v>480</x:v>
      </x:c>
      <x:c r="D43" s="45" t="n">
        <x:v>160</x:v>
      </x:c>
      <x:c r="E43" s="45" t="n">
        <x:v>1450</x:v>
      </x:c>
      <x:c r="F43" s="47" t="n">
        <x:f>E43*B43</x:f>
        <x:v>1498.486493404827</x:v>
      </x:c>
      <x:c r="G43" s="47" t="n">
        <x:f>F43/Economy!B43*1000000</x:f>
        <x:v>406.17224316804646</x:v>
      </x:c>
      <x:c r="H43" s="45" t="n">
        <x:v>301</x:v>
      </x:c>
      <x:c r="I43" s="67" t="n">
        <x:f>IF(H43&gt;0,G43/H43,0)</x:f>
        <x:v>1.3494094457410182</x:v>
      </x:c>
      <x:c r="J43" s="68" t="n">
        <x:v>0</x:v>
      </x:c>
      <x:c r="K43" s="53" t="n">
        <x:f>Resources!K43*J43*B43</x:f>
        <x:v>0</x:v>
      </x:c>
      <x:c r="L43" s="45" t="n">
        <x:v>0</x:v>
      </x:c>
      <x:c r="M43" s="59" t="n">
        <x:v>0</x:v>
      </x:c>
      <x:c r="N43" s="45" t="n">
        <x:v>2</x:v>
      </x:c>
      <x:c r="O43" s="68" t="n">
        <x:v>0.593</x:v>
      </x:c>
      <x:c r="P43" s="53" t="n">
        <x:f>(IF(Gulf!E43=1,0,L43*M43)+N43)*O43*B43</x:f>
        <x:v>1.2256586077090514</x:v>
      </x:c>
      <x:c r="Q43" s="53" t="n">
        <x:f>P43*oil_book</x:f>
        <x:v>8.57961025396336</x:v>
      </x:c>
      <x:c r="R43" s="68" t="n">
        <x:v>0.219</x:v>
      </x:c>
      <x:c r="S43" s="45" t="n">
        <x:v>25</x:v>
      </x:c>
      <x:c r="T43" s="53" t="n">
        <x:f>R43*S43*B43</x:f>
        <x:v>5.658078311304433</x:v>
      </x:c>
      <x:c r="U43" s="45" t="n">
        <x:v>0</x:v>
      </x:c>
      <x:c r="V43" s="45" t="n">
        <x:v>0</x:v>
      </x:c>
      <x:c r="W43" s="53" t="n">
        <x:f>U43/1000*V43*B43</x:f>
        <x:v>0</x:v>
      </x:c>
      <x:c r="X43" s="45" t="n">
        <x:v>690</x:v>
      </x:c>
      <x:c r="Y43" s="59" t="n">
        <x:v>0.015</x:v>
      </x:c>
      <x:c r="Z43" s="53" t="n">
        <x:f>X43*Y43*chem_va*B43</x:f>
        <x:v>4.813241960712401</x:v>
      </x:c>
      <x:c r="AA43" s="59" t="n">
        <x:v>0.008</x:v>
      </x:c>
      <x:c r="AB43" s="53" t="n">
        <x:f>X43*AA43*roy_rate*B43*(1-IF(union_resp=2,lic_cut*Labour!S43,0))</x:f>
        <x:v>0.17113749193644093</x:v>
      </x:c>
      <x:c r="AC43" s="45" t="n">
        <x:v>0</x:v>
      </x:c>
      <x:c r="AD43" s="59" t="n">
        <x:v>0</x:v>
      </x:c>
      <x:c r="AE43" s="59" t="n">
        <x:v>0</x:v>
      </x:c>
      <x:c r="AF43" s="53" t="n">
        <x:f>AC43*AD43*elec_va*B43</x:f>
        <x:v>0</x:v>
      </x:c>
      <x:c r="AG43" s="53" t="n">
        <x:f>MAX(0,AE43-AD43)*AC43*roy_rate*B43*(1-IF(union_resp=2,lic_cut*Labour!S43,0))</x:f>
        <x:v>0</x:v>
      </x:c>
      <x:c r="AH43" s="52" t="n">
        <x:v>9</x:v>
      </x:c>
      <x:c r="AI43" s="53" t="n">
        <x:f>AH43*B43</x:f>
        <x:v>9.300950648719615</x:v>
      </x:c>
      <x:c r="AJ43" s="52" t="n">
        <x:v>11</x:v>
      </x:c>
      <x:c r="AK43" s="53" t="n">
        <x:f>AJ43*B43</x:f>
        <x:v>11.367828570657307</x:v>
      </x:c>
      <x:c r="AL43" s="45" t="n">
        <x:v>16</x:v>
      </x:c>
      <x:c r="AM43" s="53" t="n">
        <x:f>AL43*uw_fee*B43</x:f>
        <x:v>0.41337558438753846</x:v>
      </x:c>
      <x:c r="AN43" s="52" t="n">
        <x:v>0</x:v>
      </x:c>
      <x:c r="AO43" s="52" t="n">
        <x:v>0</x:v>
      </x:c>
      <x:c r="AP43" s="53" t="n">
        <x:f>K43+T43+W43+Z43+AF43+AI43+AK43+AM43+AN43+AO43</x:f>
        <x:v>31.553475075781293</x:v>
      </x:c>
      <x:c r="AQ43" s="53" t="n">
        <x:f>AP43*(1-1/champ_prem+champ_spill)</x:f>
        <x:v>21.912135469292565</x:v>
      </x:c>
      <x:c r="AR43" s="63" t="n">
        <x:f>AP43/Economy!O43</x:f>
        <x:v>0.027142831189791074</x:v>
      </x:c>
      <x:c r="AS43" s="52" t="n">
        <x:v>45</x:v>
      </x:c>
      <x:c r="AT43" s="52" t="n">
        <x:v>14</x:v>
      </x:c>
      <x:c r="AU43" s="52" t="n">
        <x:v>0</x:v>
      </x:c>
      <x:c r="AV43" s="52" t="n">
        <x:v>0</x:v>
      </x:c>
      <x:c r="AW43" s="52" t="n">
        <x:v>2</x:v>
      </x:c>
      <x:c r="AX43" s="52" t="n">
        <x:v>0</x:v>
      </x:c>
      <x:c r="AY43" s="53" t="n">
        <x:f>Q43+(AS43+AT43+AU43+AV43+AW43+AX43)*B43</x:f>
        <x:v>71.61938687306298</x:v>
      </x:c>
      <x:c r="AZ43" s="53" t="n">
        <x:f>P43+(AS43*ret_rail+AT43*ret_tel+AU43*ret_elec+AV43*ret_auto+AW43*ret_chem+AX43*ret_steel)*B43*IF(OR($A43=1931,$A43=1932),abroad_slump,1)+AB43+AG43</x:f>
        <x:v>5.416873657814304</x:v>
      </x:c>
      <x:c r="BA43" s="53" t="n">
        <x:f>AP43*champ_profit+AZ43</x:f>
        <x:v>11.727568672970563</x:v>
      </x:c>
      <x:c r="BB43" s="53" t="n">
        <x:f>(K43+AI43+AK43)*champ_profit+P43+(AS43*ret_rail+AT43*ret_tel+AU43*ret_elec)*B43*IF(OR($A43=1931,$A43=1932),abroad_slump,1)</x:f>
        <x:v>9.131466659120724</x:v>
      </x:c>
      <x:c r="BC43" s="53" t="n">
        <x:f>(T43+W43+Z43+AF43+AN43+AO43)*champ_profit+(AV43*ret_auto+AW43*ret_chem+AX43*ret_steel)*B43*IF(OR($A43=1931,$A43=1932),abroad_slump,1)+AB43+AG43</x:f>
        <x:v>2.5134268969723306</x:v>
      </x:c>
      <x:c r="BD43" s="53" t="n">
        <x:f>IF($A43&gt;=crown_start,(BB43*crown_charter+BC43*crown_comp)*crown_payout,0)</x:f>
        <x:v>1.2419704082689837</x:v>
      </x:c>
      <x:c r="BE43" s="63" t="n">
        <x:f>IF(BB43+BC43&gt;0,(BB43*crown_charter+BC43*crown_comp)/(BA43),0)</x:f>
        <x:v>0.21180356182973362</x:v>
      </x:c>
    </x:row>
    <x:row r="44">
      <x:c r="A44" s="58" t="n">
        <x:v>1884</x:v>
      </x:c>
      <x:c r="B44" s="65" t="n">
        <x:f>champ_scale*(1+Labour!AP44)*(1+Partners!BX44)*(1-IF(union_resp=2,tariff_cut*Labour!S44,0))</x:f>
        <x:v>1.037029944938654</x:v>
      </x:c>
      <x:c r="C44" s="45" t="n">
        <x:v>540</x:v>
      </x:c>
      <x:c r="D44" s="45" t="n">
        <x:v>180</x:v>
      </x:c>
      <x:c r="E44" s="45" t="n">
        <x:v>1600</x:v>
      </x:c>
      <x:c r="F44" s="47" t="n">
        <x:f>E44*B44</x:f>
        <x:v>1659.2479119018462</x:v>
      </x:c>
      <x:c r="G44" s="47" t="n">
        <x:f>F44/Economy!B44*1000000</x:f>
        <x:v>428.33920079145497</x:v>
      </x:c>
      <x:c r="H44" s="45" t="n">
        <x:v>316</x:v>
      </x:c>
      <x:c r="I44" s="67" t="n">
        <x:f>IF(H44&gt;0,G44/H44,0)</x:f>
        <x:v>1.3555037999729587</x:v>
      </x:c>
      <x:c r="J44" s="68" t="n">
        <x:v>0</x:v>
      </x:c>
      <x:c r="K44" s="53" t="n">
        <x:f>Resources!K44*J44*B44</x:f>
        <x:v>0</x:v>
      </x:c>
      <x:c r="L44" s="45" t="n">
        <x:v>0</x:v>
      </x:c>
      <x:c r="M44" s="59" t="n">
        <x:v>0</x:v>
      </x:c>
      <x:c r="N44" s="45" t="n">
        <x:v>3</x:v>
      </x:c>
      <x:c r="O44" s="68" t="n">
        <x:v>0.59</x:v>
      </x:c>
      <x:c r="P44" s="53" t="n">
        <x:f>(IF(Gulf!E44=1,0,L44*M44)+N44)*O44*B44</x:f>
        <x:v>1.8355430025414174</x:v>
      </x:c>
      <x:c r="Q44" s="53" t="n">
        <x:f>P44*oil_book</x:f>
        <x:v>12.848801017789922</x:v>
      </x:c>
      <x:c r="R44" s="68" t="n">
        <x:v>0.252</x:v>
      </x:c>
      <x:c r="S44" s="45" t="n">
        <x:v>24</x:v>
      </x:c>
      <x:c r="T44" s="53" t="n">
        <x:f>R44*S44*B44</x:f>
        <x:v>6.271957106988979</x:v>
      </x:c>
      <x:c r="U44" s="45" t="n">
        <x:v>0</x:v>
      </x:c>
      <x:c r="V44" s="45" t="n">
        <x:v>0</x:v>
      </x:c>
      <x:c r="W44" s="53" t="n">
        <x:f>U44/1000*V44*B44</x:f>
        <x:v>0</x:v>
      </x:c>
      <x:c r="X44" s="45" t="n">
        <x:v>720</x:v>
      </x:c>
      <x:c r="Y44" s="59" t="n">
        <x:v>0.016</x:v>
      </x:c>
      <x:c r="Z44" s="53" t="n">
        <x:f>X44*Y44*chem_va*B44</x:f>
        <x:v>5.375963234561983</x:v>
      </x:c>
      <x:c r="AA44" s="59" t="n">
        <x:v>0.008</x:v>
      </x:c>
      <x:c r="AB44" s="53" t="n">
        <x:f>X44*AA44*roy_rate*B44*(1-IF(union_resp=2,lic_cut*Labour!S44,0))</x:f>
        <x:v>0.1791987744853994</x:v>
      </x:c>
      <x:c r="AC44" s="45" t="n">
        <x:v>0</x:v>
      </x:c>
      <x:c r="AD44" s="59" t="n">
        <x:v>0</x:v>
      </x:c>
      <x:c r="AE44" s="59" t="n">
        <x:v>0</x:v>
      </x:c>
      <x:c r="AF44" s="53" t="n">
        <x:f>AC44*AD44*elec_va*B44</x:f>
        <x:v>0</x:v>
      </x:c>
      <x:c r="AG44" s="53" t="n">
        <x:f>MAX(0,AE44-AD44)*AC44*roy_rate*B44*(1-IF(union_resp=2,lic_cut*Labour!S44,0))</x:f>
        <x:v>0</x:v>
      </x:c>
      <x:c r="AH44" s="52" t="n">
        <x:v>10</x:v>
      </x:c>
      <x:c r="AI44" s="53" t="n">
        <x:f>AH44*B44</x:f>
        <x:v>10.37029944938654</x:v>
      </x:c>
      <x:c r="AJ44" s="52" t="n">
        <x:v>11</x:v>
      </x:c>
      <x:c r="AK44" s="53" t="n">
        <x:f>AJ44*B44</x:f>
        <x:v>11.407329394325194</x:v>
      </x:c>
      <x:c r="AL44" s="45" t="n">
        <x:v>18</x:v>
      </x:c>
      <x:c r="AM44" s="53" t="n">
        <x:f>AL44*uw_fee*B44</x:f>
        <x:v>0.4666634752223943</x:v>
      </x:c>
      <x:c r="AN44" s="52" t="n">
        <x:v>0</x:v>
      </x:c>
      <x:c r="AO44" s="52" t="n">
        <x:v>0</x:v>
      </x:c>
      <x:c r="AP44" s="53" t="n">
        <x:f>K44+T44+W44+Z44+AF44+AI44+AK44+AM44+AN44+AO44</x:f>
        <x:v>33.89221266048509</x:v>
      </x:c>
      <x:c r="AQ44" s="53" t="n">
        <x:f>AP44*(1-1/champ_prem+champ_spill)</x:f>
        <x:v>23.536258792003537</x:v>
      </x:c>
      <x:c r="AR44" s="63" t="n">
        <x:f>AP44/Economy!O44</x:f>
        <x:v>0.028155342743643102</x:v>
      </x:c>
      <x:c r="AS44" s="52" t="n">
        <x:v>50</x:v>
      </x:c>
      <x:c r="AT44" s="52" t="n">
        <x:v>16</x:v>
      </x:c>
      <x:c r="AU44" s="52" t="n">
        <x:v>0</x:v>
      </x:c>
      <x:c r="AV44" s="52" t="n">
        <x:v>0</x:v>
      </x:c>
      <x:c r="AW44" s="52" t="n">
        <x:v>2</x:v>
      </x:c>
      <x:c r="AX44" s="52" t="n">
        <x:v>0</x:v>
      </x:c>
      <x:c r="AY44" s="53" t="n">
        <x:f>Q44+(AS44+AT44+AU44+AV44+AW44+AX44)*B44</x:f>
        <x:v>83.36683727361839</x:v>
      </x:c>
      <x:c r="AZ44" s="53" t="n">
        <x:f>P44+(AS44*ret_rail+AT44*ret_tel+AU44*ret_elec+AV44*ret_auto+AW44*ret_chem+AX44*ret_steel)*B44*IF(OR($A44=1931,$A44=1932),abroad_slump,1)+AB44+AG44</x:f>
        <x:v>6.515451738060575</x:v>
      </x:c>
      <x:c r="BA44" s="53" t="n">
        <x:f>AP44*champ_profit+AZ44</x:f>
        <x:v>13.293894270157594</x:v>
      </x:c>
      <x:c r="BB44" s="53" t="n">
        <x:f>(K44+AI44+AK44)*champ_profit+P44+(AS44*ret_rail+AT44*ret_tel+AU44*ret_elec)*B44*IF(OR($A44=1931,$A44=1932),abroad_slump,1)</x:f>
        <x:v>10.442891545532245</x:v>
      </x:c>
      <x:c r="BC44" s="53" t="n">
        <x:f>(T44+W44+Z44+AF44+AN44+AO44)*champ_profit+(AV44*ret_auto+AW44*ret_chem+AX44*ret_steel)*B44*IF(OR($A44=1931,$A44=1932),abroad_slump,1)+AB44+AG44</x:f>
        <x:v>2.7576700295808685</x:v>
      </x:c>
      <x:c r="BD44" s="53" t="n">
        <x:f>IF($A44&gt;=crown_start,(BB44*crown_charter+BC44*crown_comp)*crown_payout,0)</x:f>
        <x:v>1.4156682443747652</x:v>
      </x:c>
      <x:c r="BE44" s="63" t="n">
        <x:f>IF(BB44+BC44&gt;0,(BB44*crown_charter+BC44*crown_comp)/(BA44),0)</x:f>
        <x:v>0.2129802171742386</x:v>
      </x:c>
    </x:row>
    <x:row r="45">
      <x:c r="A45" s="58" t="n">
        <x:v>1885</x:v>
      </x:c>
      <x:c r="B45" s="65" t="n">
        <x:f>champ_scale*(1+Labour!AP45)*(1+Partners!BX45)*(1-IF(union_resp=2,tariff_cut*Labour!S45,0))</x:f>
        <x:v>1.0415657820996118</x:v>
      </x:c>
      <x:c r="C45" s="45" t="n">
        <x:v>600</x:v>
      </x:c>
      <x:c r="D45" s="45" t="n">
        <x:v>200</x:v>
      </x:c>
      <x:c r="E45" s="45" t="n">
        <x:v>1750</x:v>
      </x:c>
      <x:c r="F45" s="47" t="n">
        <x:f>E45*B45</x:f>
        <x:v>1822.7401186743207</x:v>
      </x:c>
      <x:c r="G45" s="47" t="n">
        <x:f>F45/Economy!B45*1000000</x:f>
        <x:v>448.754633842184</x:v>
      </x:c>
      <x:c r="H45" s="45" t="n">
        <x:v>330</x:v>
      </x:c>
      <x:c r="I45" s="67" t="n">
        <x:f>IF(H45&gt;0,G45/H45,0)</x:f>
        <x:v>1.3598625267944968</x:v>
      </x:c>
      <x:c r="J45" s="68" t="n">
        <x:v>0</x:v>
      </x:c>
      <x:c r="K45" s="53" t="n">
        <x:f>Resources!K45*J45*B45</x:f>
        <x:v>0</x:v>
      </x:c>
      <x:c r="L45" s="45" t="n">
        <x:v>0</x:v>
      </x:c>
      <x:c r="M45" s="59" t="n">
        <x:v>0</x:v>
      </x:c>
      <x:c r="N45" s="45" t="n">
        <x:v>3</x:v>
      </x:c>
      <x:c r="O45" s="68" t="n">
        <x:v>0.588</x:v>
      </x:c>
      <x:c r="P45" s="53" t="n">
        <x:f>(IF(Gulf!E45=1,0,L45*M45)+N45)*O45*B45</x:f>
        <x:v>1.837322039623715</x:v>
      </x:c>
      <x:c r="Q45" s="53" t="n">
        <x:f>P45*oil_book</x:f>
        <x:v>12.861254277366006</x:v>
      </x:c>
      <x:c r="R45" s="68" t="n">
        <x:v>0.285</x:v>
      </x:c>
      <x:c r="S45" s="45" t="n">
        <x:v>23</x:v>
      </x:c>
      <x:c r="T45" s="53" t="n">
        <x:f>R45*S45*B45</x:f>
        <x:v>6.827463701662955</x:v>
      </x:c>
      <x:c r="U45" s="45" t="n">
        <x:v>0</x:v>
      </x:c>
      <x:c r="V45" s="45" t="n">
        <x:v>0</x:v>
      </x:c>
      <x:c r="W45" s="53" t="n">
        <x:f>U45/1000*V45*B45</x:f>
        <x:v>0</x:v>
      </x:c>
      <x:c r="X45" s="45" t="n">
        <x:v>750</x:v>
      </x:c>
      <x:c r="Y45" s="59" t="n">
        <x:v>0.018</x:v>
      </x:c>
      <x:c r="Z45" s="53" t="n">
        <x:f>X45*Y45*chem_va*B45</x:f>
        <x:v>6.327512126255141</x:v>
      </x:c>
      <x:c r="AA45" s="59" t="n">
        <x:v>0.008</x:v>
      </x:c>
      <x:c r="AB45" s="53" t="n">
        <x:f>X45*AA45*roy_rate*B45*(1-IF(union_resp=2,lic_cut*Labour!S45,0))</x:f>
        <x:v>0.18748184077793012</x:v>
      </x:c>
      <x:c r="AC45" s="45" t="n">
        <x:v>30</x:v>
      </x:c>
      <x:c r="AD45" s="59" t="n">
        <x:v>0.15</x:v>
      </x:c>
      <x:c r="AE45" s="59" t="n">
        <x:v>0.15</x:v>
      </x:c>
      <x:c r="AF45" s="53" t="n">
        <x:f>AC45*AD45*elec_va*B45</x:f>
        <x:v>2.109170708751714</x:v>
      </x:c>
      <x:c r="AG45" s="53" t="n">
        <x:f>MAX(0,AE45-AD45)*AC45*roy_rate*B45*(1-IF(union_resp=2,lic_cut*Labour!S45,0))</x:f>
        <x:v>0</x:v>
      </x:c>
      <x:c r="AH45" s="52" t="n">
        <x:v>11</x:v>
      </x:c>
      <x:c r="AI45" s="53" t="n">
        <x:f>AH45*B45</x:f>
        <x:v>11.45722360309573</x:v>
      </x:c>
      <x:c r="AJ45" s="52" t="n">
        <x:v>12</x:v>
      </x:c>
      <x:c r="AK45" s="53" t="n">
        <x:f>AJ45*B45</x:f>
        <x:v>12.49878938519534</x:v>
      </x:c>
      <x:c r="AL45" s="45" t="n">
        <x:v>20</x:v>
      </x:c>
      <x:c r="AM45" s="53" t="n">
        <x:f>AL45*uw_fee*B45</x:f>
        <x:v>0.5207828910498059</x:v>
      </x:c>
      <x:c r="AN45" s="52" t="n">
        <x:v>0</x:v>
      </x:c>
      <x:c r="AO45" s="52" t="n">
        <x:v>0</x:v>
      </x:c>
      <x:c r="AP45" s="53" t="n">
        <x:f>K45+T45+W45+Z45+AF45+AI45+AK45+AM45+AN45+AO45</x:f>
        <x:v>39.74094241601068</x:v>
      </x:c>
      <x:c r="AQ45" s="53" t="n">
        <x:f>AP45*(1-1/champ_prem+champ_spill)</x:f>
        <x:v>27.597876677785194</x:v>
      </x:c>
      <x:c r="AR45" s="63" t="n">
        <x:f>AP45/Economy!O45</x:f>
        <x:v>0.031249828116506555</x:v>
      </x:c>
      <x:c r="AS45" s="52" t="n">
        <x:v>55</x:v>
      </x:c>
      <x:c r="AT45" s="52" t="n">
        <x:v>18</x:v>
      </x:c>
      <x:c r="AU45" s="52" t="n">
        <x:v>0</x:v>
      </x:c>
      <x:c r="AV45" s="52" t="n">
        <x:v>0</x:v>
      </x:c>
      <x:c r="AW45" s="52" t="n">
        <x:v>2</x:v>
      </x:c>
      <x:c r="AX45" s="52" t="n">
        <x:v>0</x:v>
      </x:c>
      <x:c r="AY45" s="53" t="n">
        <x:f>Q45+(AS45+AT45+AU45+AV45+AW45+AX45)*B45</x:f>
        <x:v>90.97868793483688</x:v>
      </x:c>
      <x:c r="AZ45" s="53" t="n">
        <x:f>P45+(AS45*ret_rail+AT45*ret_tel+AU45*ret_elec+AV45*ret_auto+AW45*ret_chem+AX45*ret_steel)*B45*IF(OR($A45=1931,$A45=1932),abroad_slump,1)+AB45+AG45</x:f>
        <x:v>7.013903976658786</x:v>
      </x:c>
      <x:c r="BA45" s="53" t="n">
        <x:f>AP45*champ_profit+AZ45</x:f>
        <x:v>14.962092459860923</x:v>
      </x:c>
      <x:c r="BB45" s="53" t="n">
        <x:f>(K45+AI45+AK45)*champ_profit+P45+(AS45*ret_rail+AT45*ret_tel+AU45*ret_elec)*B45*IF(OR($A45=1931,$A45=1932),abroad_slump,1)</x:f>
        <x:v>11.367648945835164</x:v>
      </x:c>
      <x:c r="BC45" s="53" t="n">
        <x:f>(T45+W45+Z45+AF45+AN45+AO45)*champ_profit+(AV45*ret_auto+AW45*ret_chem+AX45*ret_steel)*B45*IF(OR($A45=1931,$A45=1932),abroad_slump,1)+AB45+AG45</x:f>
        <x:v>3.4902869358157993</x:v>
      </x:c>
      <x:c r="BD45" s="53" t="n">
        <x:f>IF($A45&gt;=crown_start,(BB45*crown_charter+BC45*crown_comp)*crown_payout,0)</x:f>
        <x:v>1.5605675956620275</x:v>
      </x:c>
      <x:c r="BE45" s="63" t="n">
        <x:f>IF(BB45+BC45&gt;0,(BB45*crown_charter+BC45*crown_comp)/(BA45),0)</x:f>
        <x:v>0.20860285415941526</x:v>
      </x:c>
    </x:row>
    <x:row r="46">
      <x:c r="A46" s="58" t="n">
        <x:v>1886</x:v>
      </x:c>
      <x:c r="B46" s="65" t="n">
        <x:f>champ_scale*(1+Labour!AP46)*(1+Partners!BX46)*(1-IF(union_resp=2,tariff_cut*Labour!S46,0))</x:f>
        <x:v>1.045024953341015</x:v>
      </x:c>
      <x:c r="C46" s="45" t="n">
        <x:v>660</x:v>
      </x:c>
      <x:c r="D46" s="45" t="n">
        <x:v>220</x:v>
      </x:c>
      <x:c r="E46" s="45" t="n">
        <x:v>1900</x:v>
      </x:c>
      <x:c r="F46" s="47" t="n">
        <x:f>E46*B46</x:f>
        <x:v>1985.5474113479283</x:v>
      </x:c>
      <x:c r="G46" s="47" t="n">
        <x:f>F46/Economy!B46*1000000</x:f>
        <x:v>466.4813229908106</x:v>
      </x:c>
      <x:c r="H46" s="45" t="n">
        <x:v>344</x:v>
      </x:c>
      <x:c r="I46" s="67" t="n">
        <x:f>IF(H46&gt;0,G46/H46,0)</x:f>
        <x:v>1.3560503575314262</x:v>
      </x:c>
      <x:c r="J46" s="68" t="n">
        <x:v>0</x:v>
      </x:c>
      <x:c r="K46" s="53" t="n">
        <x:f>Resources!K46*J46*B46</x:f>
        <x:v>0</x:v>
      </x:c>
      <x:c r="L46" s="45" t="n">
        <x:v>0</x:v>
      </x:c>
      <x:c r="M46" s="59" t="n">
        <x:v>0</x:v>
      </x:c>
      <x:c r="N46" s="45" t="n">
        <x:v>4</x:v>
      </x:c>
      <x:c r="O46" s="68" t="n">
        <x:v>0.585</x:v>
      </x:c>
      <x:c r="P46" s="53" t="n">
        <x:f>(IF(Gulf!E46=1,0,L46*M46)+N46)*O46*B46</x:f>
        <x:v>2.445358390817975</x:v>
      </x:c>
      <x:c r="Q46" s="53" t="n">
        <x:f>P46*oil_book</x:f>
        <x:v>17.117508735725824</x:v>
      </x:c>
      <x:c r="R46" s="68" t="n">
        <x:v>0.318</x:v>
      </x:c>
      <x:c r="S46" s="45" t="n">
        <x:v>22</x:v>
      </x:c>
      <x:c r="T46" s="53" t="n">
        <x:f>R46*S46*B46</x:f>
        <x:v>7.310994573573741</x:v>
      </x:c>
      <x:c r="U46" s="45" t="n">
        <x:v>0</x:v>
      </x:c>
      <x:c r="V46" s="45" t="n">
        <x:v>0</x:v>
      </x:c>
      <x:c r="W46" s="53" t="n">
        <x:f>U46/1000*V46*B46</x:f>
        <x:v>0</x:v>
      </x:c>
      <x:c r="X46" s="45" t="n">
        <x:v>780</x:v>
      </x:c>
      <x:c r="Y46" s="59" t="n">
        <x:v>0.019</x:v>
      </x:c>
      <x:c r="Z46" s="53" t="n">
        <x:f>X46*Y46*chem_va*B46</x:f>
        <x:v>6.96927141383123</x:v>
      </x:c>
      <x:c r="AA46" s="59" t="n">
        <x:v>0.008999999999999999</x:v>
      </x:c>
      <x:c r="AB46" s="53" t="n">
        <x:f>X46*AA46*roy_rate*B46*(1-IF(union_resp=2,lic_cut*Labour!S46,0))</x:f>
        <x:v>0.22008225517361774</x:v>
      </x:c>
      <x:c r="AC46" s="45" t="n">
        <x:v>44</x:v>
      </x:c>
      <x:c r="AD46" s="59" t="n">
        <x:v>0.16</x:v>
      </x:c>
      <x:c r="AE46" s="59" t="n">
        <x:v>0.17</x:v>
      </x:c>
      <x:c r="AF46" s="53" t="n">
        <x:f>AC46*AD46*elec_va*B46</x:f>
        <x:v>3.3106390521843356</x:v>
      </x:c>
      <x:c r="AG46" s="53" t="n">
        <x:f>MAX(0,AE46-AD46)*AC46*roy_rate*B46*(1-IF(union_resp=2,lic_cut*Labour!S46,0))</x:f>
        <x:v>0.01379432938410141</x:v>
      </x:c>
      <x:c r="AH46" s="52" t="n">
        <x:v>12</x:v>
      </x:c>
      <x:c r="AI46" s="53" t="n">
        <x:f>AH46*B46</x:f>
        <x:v>12.54029944009218</x:v>
      </x:c>
      <x:c r="AJ46" s="52" t="n">
        <x:v>13</x:v>
      </x:c>
      <x:c r="AK46" s="53" t="n">
        <x:f>AJ46*B46</x:f>
        <x:v>13.585324393433195</x:v>
      </x:c>
      <x:c r="AL46" s="45" t="n">
        <x:v>22</x:v>
      </x:c>
      <x:c r="AM46" s="53" t="n">
        <x:f>AL46*uw_fee*B46</x:f>
        <x:v>0.5747637243375583</x:v>
      </x:c>
      <x:c r="AN46" s="52" t="n">
        <x:v>0</x:v>
      </x:c>
      <x:c r="AO46" s="52" t="n">
        <x:v>0</x:v>
      </x:c>
      <x:c r="AP46" s="53" t="n">
        <x:f>K46+T46+W46+Z46+AF46+AI46+AK46+AM46+AN46+AO46</x:f>
        <x:v>44.29129259745224</x:v>
      </x:c>
      <x:c r="AQ46" s="53" t="n">
        <x:f>AP46*(1-1/champ_prem+champ_spill)</x:f>
        <x:v>30.757842081564053</x:v>
      </x:c>
      <x:c r="AR46" s="63" t="n">
        <x:f>AP46/Economy!O46</x:f>
        <x:v>0.031943732595193945</x:v>
      </x:c>
      <x:c r="AS46" s="52" t="n">
        <x:v>60</x:v>
      </x:c>
      <x:c r="AT46" s="52" t="n">
        <x:v>19</x:v>
      </x:c>
      <x:c r="AU46" s="52" t="n">
        <x:v>0</x:v>
      </x:c>
      <x:c r="AV46" s="52" t="n">
        <x:v>0</x:v>
      </x:c>
      <x:c r="AW46" s="52" t="n">
        <x:v>2</x:v>
      </x:c>
      <x:c r="AX46" s="52" t="n">
        <x:v>0</x:v>
      </x:c>
      <x:c r="AY46" s="53" t="n">
        <x:f>Q46+(AS46+AT46+AU46+AV46+AW46+AX46)*B46</x:f>
        <x:v>101.76452995634803</x:v>
      </x:c>
      <x:c r="AZ46" s="53" t="n">
        <x:f>P46+(AS46*ret_rail+AT46*ret_tel+AU46*ret_elec+AV46*ret_auto+AW46*ret_chem+AX46*ret_steel)*B46*IF(OR($A46=1931,$A46=1932),abroad_slump,1)+AB46+AG46</x:f>
        <x:v>8.05066323554851</x:v>
      </x:c>
      <x:c r="BA46" s="53" t="n">
        <x:f>AP46*champ_profit+AZ46</x:f>
        <x:v>16.90892175503896</x:v>
      </x:c>
      <x:c r="BB46" s="53" t="n">
        <x:f>(K46+AI46+AK46)*champ_profit+P46+(AS46*ret_rail+AT46*ret_tel+AU46*ret_elec)*B46*IF(OR($A46=1931,$A46=1932),abroad_slump,1)</x:f>
        <x:v>12.791105428894024</x:v>
      </x:c>
      <x:c r="BC46" s="53" t="n">
        <x:f>(T46+W46+Z46+AF46+AN46+AO46)*champ_profit+(AV46*ret_auto+AW46*ret_chem+AX46*ret_steel)*B46*IF(OR($A46=1931,$A46=1932),abroad_slump,1)+AB46+AG46</x:f>
        <x:v>4.002863581277424</x:v>
      </x:c>
      <x:c r="BD46" s="53" t="n">
        <x:f>IF($A46&gt;=crown_start,(BB46*crown_charter+BC46*crown_comp)*crown_payout,0)</x:f>
        <x:v>1.7590027218628501</x:v>
      </x:c>
      <x:c r="BE46" s="63" t="n">
        <x:f>IF(BB46+BC46&gt;0,(BB46*crown_charter+BC46*crown_comp)/(BA46),0)</x:f>
        <x:v>0.20805616672022942</x:v>
      </x:c>
    </x:row>
    <x:row r="47">
      <x:c r="A47" s="58" t="n">
        <x:v>1887</x:v>
      </x:c>
      <x:c r="B47" s="65" t="n">
        <x:f>champ_scale*(1+Labour!AP47)*(1+Partners!BX47)*(1-IF(union_resp=2,tariff_cut*Labour!S47,0))</x:f>
        <x:v>1.0496151322200078</x:v>
      </x:c>
      <x:c r="C47" s="45" t="n">
        <x:v>720</x:v>
      </x:c>
      <x:c r="D47" s="45" t="n">
        <x:v>240</x:v>
      </x:c>
      <x:c r="E47" s="45" t="n">
        <x:v>2050</x:v>
      </x:c>
      <x:c r="F47" s="47" t="n">
        <x:f>E47*B47</x:f>
        <x:v>2151.711021051016</x:v>
      </x:c>
      <x:c r="G47" s="47" t="n">
        <x:f>F47/Economy!B47*1000000</x:f>
        <x:v>481.97999814704866</x:v>
      </x:c>
      <x:c r="H47" s="45" t="n">
        <x:v>359</x:v>
      </x:c>
      <x:c r="I47" s="67" t="n">
        <x:f>IF(H47&gt;0,G47/H47,0)</x:f>
        <x:v>1.3425626689332832</x:v>
      </x:c>
      <x:c r="J47" s="68" t="n">
        <x:v>0</x:v>
      </x:c>
      <x:c r="K47" s="53" t="n">
        <x:f>Resources!K47*J47*B47</x:f>
        <x:v>0</x:v>
      </x:c>
      <x:c r="L47" s="45" t="n">
        <x:v>0</x:v>
      </x:c>
      <x:c r="M47" s="59" t="n">
        <x:v>0</x:v>
      </x:c>
      <x:c r="N47" s="45" t="n">
        <x:v>4</x:v>
      </x:c>
      <x:c r="O47" s="68" t="n">
        <x:v>0.583</x:v>
      </x:c>
      <x:c r="P47" s="53" t="n">
        <x:f>(IF(Gulf!E47=1,0,L47*M47)+N47)*O47*B47</x:f>
        <x:v>2.447702488337058</x:v>
      </x:c>
      <x:c r="Q47" s="53" t="n">
        <x:f>P47*oil_book</x:f>
        <x:v>17.133917418359406</x:v>
      </x:c>
      <x:c r="R47" s="68" t="n">
        <x:v>0.351</x:v>
      </x:c>
      <x:c r="S47" s="45" t="n">
        <x:v>21</x:v>
      </x:c>
      <x:c r="T47" s="53" t="n">
        <x:f>R47*S47*B47</x:f>
        <x:v>7.736713139593677</x:v>
      </x:c>
      <x:c r="U47" s="45" t="n">
        <x:v>0</x:v>
      </x:c>
      <x:c r="V47" s="45" t="n">
        <x:v>0</x:v>
      </x:c>
      <x:c r="W47" s="53" t="n">
        <x:f>U47/1000*V47*B47</x:f>
        <x:v>0</x:v>
      </x:c>
      <x:c r="X47" s="45" t="n">
        <x:v>810</x:v>
      </x:c>
      <x:c r="Y47" s="59" t="n">
        <x:v>0.021</x:v>
      </x:c>
      <x:c r="Z47" s="53" t="n">
        <x:f>X47*Y47*chem_va*B47</x:f>
        <x:v>8.03427902957805</x:v>
      </x:c>
      <x:c r="AA47" s="59" t="n">
        <x:v>0.008999999999999999</x:v>
      </x:c>
      <x:c r="AB47" s="53" t="n">
        <x:f>X47*AA47*roy_rate*B47*(1-IF(union_resp=2,lic_cut*Labour!S47,0))</x:f>
        <x:v>0.2295508294165157</x:v>
      </x:c>
      <x:c r="AC47" s="45" t="n">
        <x:v>58</x:v>
      </x:c>
      <x:c r="AD47" s="59" t="n">
        <x:v>0.17</x:v>
      </x:c>
      <x:c r="AE47" s="59" t="n">
        <x:v>0.19</x:v>
      </x:c>
      <x:c r="AF47" s="53" t="n">
        <x:f>AC47*AD47*elec_va*B47</x:f>
        <x:v>4.657142341660175</x:v>
      </x:c>
      <x:c r="AG47" s="53" t="n">
        <x:f>MAX(0,AE47-AD47)*AC47*roy_rate*B47*(1-IF(union_resp=2,lic_cut*Labour!S47,0))</x:f>
        <x:v>0.036526606601256256</x:v>
      </x:c>
      <x:c r="AH47" s="52" t="n">
        <x:v>13</x:v>
      </x:c>
      <x:c r="AI47" s="53" t="n">
        <x:f>AH47*B47</x:f>
        <x:v>13.644996718860101</x:v>
      </x:c>
      <x:c r="AJ47" s="52" t="n">
        <x:v>13</x:v>
      </x:c>
      <x:c r="AK47" s="53" t="n">
        <x:f>AJ47*B47</x:f>
        <x:v>13.644996718860101</x:v>
      </x:c>
      <x:c r="AL47" s="45" t="n">
        <x:v>24</x:v>
      </x:c>
      <x:c r="AM47" s="53" t="n">
        <x:f>AL47*uw_fee*B47</x:f>
        <x:v>0.6297690793320048</x:v>
      </x:c>
      <x:c r="AN47" s="52" t="n">
        <x:v>0</x:v>
      </x:c>
      <x:c r="AO47" s="52" t="n">
        <x:v>0</x:v>
      </x:c>
      <x:c r="AP47" s="53" t="n">
        <x:f>K47+T47+W47+Z47+AF47+AI47+AK47+AM47+AN47+AO47</x:f>
        <x:v>48.34789702788411</x:v>
      </x:c>
      <x:c r="AQ47" s="53" t="n">
        <x:f>AP47*(1-1/champ_prem+champ_spill)</x:f>
        <x:v>33.574928491586185</x:v>
      </x:c>
      <x:c r="AR47" s="63" t="n">
        <x:f>AP47/Economy!O47</x:f>
        <x:v>0.03256853224344501</x:v>
      </x:c>
      <x:c r="AS47" s="52" t="n">
        <x:v>65</x:v>
      </x:c>
      <x:c r="AT47" s="52" t="n">
        <x:v>20</x:v>
      </x:c>
      <x:c r="AU47" s="52" t="n">
        <x:v>0</x:v>
      </x:c>
      <x:c r="AV47" s="52" t="n">
        <x:v>0</x:v>
      </x:c>
      <x:c r="AW47" s="52" t="n">
        <x:v>2</x:v>
      </x:c>
      <x:c r="AX47" s="52" t="n">
        <x:v>0</x:v>
      </x:c>
      <x:c r="AY47" s="53" t="n">
        <x:f>Q47+(AS47+AT47+AU47+AV47+AW47+AX47)*B47</x:f>
        <x:v>108.45043392150008</x:v>
      </x:c>
      <x:c r="AZ47" s="53" t="n">
        <x:f>P47+(AS47*ret_rail+AT47*ret_tel+AU47*ret_elec+AV47*ret_auto+AW47*ret_chem+AX47*ret_steel)*B47*IF(OR($A47=1931,$A47=1932),abroad_slump,1)+AB47+AG47</x:f>
        <x:v>8.476167000242674</x:v>
      </x:c>
      <x:c r="BA47" s="53" t="n">
        <x:f>AP47*champ_profit+AZ47</x:f>
        <x:v>18.145746405819494</x:v>
      </x:c>
      <x:c r="BB47" s="53" t="n">
        <x:f>(K47+AI47+AK47)*champ_profit+P47+(AS47*ret_rail+AT47*ret_tel+AU47*ret_elec)*B47*IF(OR($A47=1931,$A47=1932),abroad_slump,1)</x:f>
        <x:v>13.41618062003614</x:v>
      </x:c>
      <x:c r="BC47" s="53" t="n">
        <x:f>(T47+W47+Z47+AF47+AN47+AO47)*champ_profit+(AV47*ret_auto+AW47*ret_chem+AX47*ret_steel)*B47*IF(OR($A47=1931,$A47=1932),abroad_slump,1)+AB47+AG47</x:f>
        <x:v>4.6036119699169555</x:v>
      </x:c>
      <x:c r="BD47" s="53" t="n">
        <x:f>IF($A47&gt;=crown_start,(BB47*crown_charter+BC47*crown_comp)*crown_payout,0)</x:f>
        <x:v>1.8611670563011957</x:v>
      </x:c>
      <x:c r="BE47" s="63" t="n">
        <x:f>IF(BB47+BC47&gt;0,(BB47*crown_charter+BC47*crown_comp)/(BA47),0)</x:f>
        <x:v>0.20513535400277652</x:v>
      </x:c>
    </x:row>
    <x:row r="48">
      <x:c r="A48" s="58" t="n">
        <x:v>1888</x:v>
      </x:c>
      <x:c r="B48" s="65" t="n">
        <x:f>champ_scale*(1+Labour!AP48)*(1+Partners!BX48)*(1-IF(union_resp=2,tariff_cut*Labour!S48,0))</x:f>
        <x:v>1.0569644284618072</x:v>
      </x:c>
      <x:c r="C48" s="45" t="n">
        <x:v>780</x:v>
      </x:c>
      <x:c r="D48" s="45" t="n">
        <x:v>260</x:v>
      </x:c>
      <x:c r="E48" s="45" t="n">
        <x:v>2200</x:v>
      </x:c>
      <x:c r="F48" s="47" t="n">
        <x:f>E48*B48</x:f>
        <x:v>2325.321742615976</x:v>
      </x:c>
      <x:c r="G48" s="47" t="n">
        <x:f>F48/Economy!B48*1000000</x:f>
        <x:v>498.2095254211457</x:v>
      </x:c>
      <x:c r="H48" s="45" t="n">
        <x:v>373</x:v>
      </x:c>
      <x:c r="I48" s="67" t="n">
        <x:f>IF(H48&gt;0,G48/H48,0)</x:f>
        <x:v>1.3356823737832324</x:v>
      </x:c>
      <x:c r="J48" s="68" t="n">
        <x:v>0</x:v>
      </x:c>
      <x:c r="K48" s="53" t="n">
        <x:f>Resources!K48*J48*B48</x:f>
        <x:v>0</x:v>
      </x:c>
      <x:c r="L48" s="45" t="n">
        <x:v>0</x:v>
      </x:c>
      <x:c r="M48" s="59" t="n">
        <x:v>0</x:v>
      </x:c>
      <x:c r="N48" s="45" t="n">
        <x:v>5</x:v>
      </x:c>
      <x:c r="O48" s="68" t="n">
        <x:v>0.58</x:v>
      </x:c>
      <x:c r="P48" s="53" t="n">
        <x:f>(IF(Gulf!E48=1,0,L48*M48)+N48)*O48*B48</x:f>
        <x:v>3.065196842539241</x:v>
      </x:c>
      <x:c r="Q48" s="53" t="n">
        <x:f>P48*oil_book</x:f>
        <x:v>21.456377897774686</x:v>
      </x:c>
      <x:c r="R48" s="68" t="n">
        <x:v>0.384</x:v>
      </x:c>
      <x:c r="S48" s="45" t="n">
        <x:v>20</x:v>
      </x:c>
      <x:c r="T48" s="53" t="n">
        <x:f>R48*S48*B48</x:f>
        <x:v>8.117486810586678</x:v>
      </x:c>
      <x:c r="U48" s="45" t="n">
        <x:v>0</x:v>
      </x:c>
      <x:c r="V48" s="45" t="n">
        <x:v>0</x:v>
      </x:c>
      <x:c r="W48" s="53" t="n">
        <x:f>U48/1000*V48*B48</x:f>
        <x:v>0</x:v>
      </x:c>
      <x:c r="X48" s="45" t="n">
        <x:v>840</x:v>
      </x:c>
      <x:c r="Y48" s="59" t="n">
        <x:v>0.022</x:v>
      </x:c>
      <x:c r="Z48" s="53" t="n">
        <x:f>X48*Y48*chem_va*B48</x:f>
        <x:v>8.78971618708839</x:v>
      </x:c>
      <x:c r="AA48" s="59" t="n">
        <x:v>0.008999999999999999</x:v>
      </x:c>
      <x:c r="AB48" s="53" t="n">
        <x:f>X48*AA48*roy_rate*B48*(1-IF(union_resp=2,lic_cut*Labour!S48,0))</x:f>
        <x:v>0.23971953237513782</x:v>
      </x:c>
      <x:c r="AC48" s="45" t="n">
        <x:v>72</x:v>
      </x:c>
      <x:c r="AD48" s="59" t="n">
        <x:v>0.18</x:v>
      </x:c>
      <x:c r="AE48" s="59" t="n">
        <x:v>0.21</x:v>
      </x:c>
      <x:c r="AF48" s="53" t="n">
        <x:f>AC48*AD48*elec_va*B48</x:f>
        <x:v>6.164216546789259</x:v>
      </x:c>
      <x:c r="AG48" s="53" t="n">
        <x:f>MAX(0,AE48-AD48)*AC48*roy_rate*B48*(1-IF(union_resp=2,lic_cut*Labour!S48,0))</x:f>
        <x:v>0.0684912949643251</x:v>
      </x:c>
      <x:c r="AH48" s="52" t="n">
        <x:v>13</x:v>
      </x:c>
      <x:c r="AI48" s="53" t="n">
        <x:f>AH48*B48</x:f>
        <x:v>13.740537570003493</x:v>
      </x:c>
      <x:c r="AJ48" s="52" t="n">
        <x:v>14</x:v>
      </x:c>
      <x:c r="AK48" s="53" t="n">
        <x:f>AJ48*B48</x:f>
        <x:v>14.7975019984653</x:v>
      </x:c>
      <x:c r="AL48" s="45" t="n">
        <x:v>26</x:v>
      </x:c>
      <x:c r="AM48" s="53" t="n">
        <x:f>AL48*uw_fee*B48</x:f>
        <x:v>0.6870268785001746</x:v>
      </x:c>
      <x:c r="AN48" s="52" t="n">
        <x:v>0</x:v>
      </x:c>
      <x:c r="AO48" s="52" t="n">
        <x:v>0</x:v>
      </x:c>
      <x:c r="AP48" s="53" t="n">
        <x:f>K48+T48+W48+Z48+AF48+AI48+AK48+AM48+AN48+AO48</x:f>
        <x:v>52.29648599143329</x:v>
      </x:c>
      <x:c r="AQ48" s="53" t="n">
        <x:f>AP48*(1-1/champ_prem+champ_spill)</x:f>
        <x:v>36.317004160717566</x:v>
      </x:c>
      <x:c r="AR48" s="63" t="n">
        <x:f>AP48/Economy!O48</x:f>
        <x:v>0.03283420937391421</x:v>
      </x:c>
      <x:c r="AS48" s="52" t="n">
        <x:v>70</x:v>
      </x:c>
      <x:c r="AT48" s="52" t="n">
        <x:v>22</x:v>
      </x:c>
      <x:c r="AU48" s="52" t="n">
        <x:v>0</x:v>
      </x:c>
      <x:c r="AV48" s="52" t="n">
        <x:v>0</x:v>
      </x:c>
      <x:c r="AW48" s="52" t="n">
        <x:v>3</x:v>
      </x:c>
      <x:c r="AX48" s="52" t="n">
        <x:v>0</x:v>
      </x:c>
      <x:c r="AY48" s="53" t="n">
        <x:f>Q48+(AS48+AT48+AU48+AV48+AW48+AX48)*B48</x:f>
        <x:v>121.86799860164636</x:v>
      </x:c>
      <x:c r="AZ48" s="53" t="n">
        <x:f>P48+(AS48*ret_rail+AT48*ret_tel+AU48*ret_elec+AV48*ret_auto+AW48*ret_chem+AX48*ret_steel)*B48*IF(OR($A48=1931,$A48=1932),abroad_slump,1)+AB48+AG48</x:f>
        <x:v>9.778612106357256</x:v>
      </x:c>
      <x:c r="BA48" s="53" t="n">
        <x:f>AP48*champ_profit+AZ48</x:f>
        <x:v>20.237909304643914</x:v>
      </x:c>
      <x:c r="BB48" s="53" t="n">
        <x:f>(K48+AI48+AK48)*champ_profit+P48+(AS48*ret_rail+AT48*ret_tel+AU48*ret_elec)*B48*IF(OR($A48=1931,$A48=1932),abroad_slump,1)</x:f>
        <x:v>14.7975019984653</x:v>
      </x:c>
      <x:c r="BC48" s="53" t="n">
        <x:f>(T48+W48+Z48+AF48+AN48+AO48)*champ_profit+(AV48*ret_auto+AW48*ret_chem+AX48*ret_steel)*B48*IF(OR($A48=1931,$A48=1932),abroad_slump,1)+AB48+AG48</x:f>
        <x:v>5.303001930478579</x:v>
      </x:c>
      <x:c r="BD48" s="53" t="n">
        <x:f>IF($A48&gt;=crown_start,(BB48*crown_charter+BC48*crown_comp)*crown_payout,0)</x:f>
        <x:v>2.0618078270273057</x:v>
      </x:c>
      <x:c r="BE48" s="63" t="n">
        <x:f>IF(BB48+BC48&gt;0,(BB48*crown_charter+BC48*crown_comp)/(BA48),0)</x:f>
        <x:v>0.2037569984123005</x:v>
      </x:c>
    </x:row>
    <x:row r="49">
      <x:c r="A49" s="58" t="n">
        <x:v>1889</x:v>
      </x:c>
      <x:c r="B49" s="65" t="n">
        <x:f>champ_scale*(1+Labour!AP49)*(1+Partners!BX49)*(1-IF(union_resp=2,tariff_cut*Labour!S49,0))</x:f>
        <x:v>1.065768589987091</x:v>
      </x:c>
      <x:c r="C49" s="45" t="n">
        <x:v>840</x:v>
      </x:c>
      <x:c r="D49" s="45" t="n">
        <x:v>280</x:v>
      </x:c>
      <x:c r="E49" s="45" t="n">
        <x:v>2350</x:v>
      </x:c>
      <x:c r="F49" s="47" t="n">
        <x:f>E49*B49</x:f>
        <x:v>2504.5561864696638</x:v>
      </x:c>
      <x:c r="G49" s="47" t="n">
        <x:f>F49/Economy!B49*1000000</x:f>
        <x:v>514.888844350518</x:v>
      </x:c>
      <x:c r="H49" s="45" t="n">
        <x:v>388</x:v>
      </x:c>
      <x:c r="I49" s="67" t="n">
        <x:f>IF(H49&gt;0,G49/H49,0)</x:f>
        <x:v>1.3270331039961802</x:v>
      </x:c>
      <x:c r="J49" s="68" t="n">
        <x:v>0</x:v>
      </x:c>
      <x:c r="K49" s="53" t="n">
        <x:f>Resources!K49*J49*B49</x:f>
        <x:v>0</x:v>
      </x:c>
      <x:c r="L49" s="45" t="n">
        <x:v>0</x:v>
      </x:c>
      <x:c r="M49" s="59" t="n">
        <x:v>0</x:v>
      </x:c>
      <x:c r="N49" s="45" t="n">
        <x:v>5</x:v>
      </x:c>
      <x:c r="O49" s="68" t="n">
        <x:v>0.578</x:v>
      </x:c>
      <x:c r="P49" s="53" t="n">
        <x:f>(IF(Gulf!E49=1,0,L49*M49)+N49)*O49*B49</x:f>
        <x:v>3.0800712250626927</x:v>
      </x:c>
      <x:c r="Q49" s="53" t="n">
        <x:f>P49*oil_book</x:f>
        <x:v>21.56049857543885</x:v>
      </x:c>
      <x:c r="R49" s="68" t="n">
        <x:v>0.417</x:v>
      </x:c>
      <x:c r="S49" s="45" t="n">
        <x:v>19</x:v>
      </x:c>
      <x:c r="T49" s="53" t="n">
        <x:f>R49*S49*B49</x:f>
        <x:v>8.444084538467722</x:v>
      </x:c>
      <x:c r="U49" s="45" t="n">
        <x:v>0</x:v>
      </x:c>
      <x:c r="V49" s="45" t="n">
        <x:v>0</x:v>
      </x:c>
      <x:c r="W49" s="53" t="n">
        <x:f>U49/1000*V49*B49</x:f>
        <x:v>0</x:v>
      </x:c>
      <x:c r="X49" s="45" t="n">
        <x:v>870</x:v>
      </x:c>
      <x:c r="Y49" s="59" t="n">
        <x:v>0.024</x:v>
      </x:c>
      <x:c r="Z49" s="53" t="n">
        <x:f>X49*Y49*chem_va*B49</x:f>
        <x:v>10.013961671518706</x:v>
      </x:c>
      <x:c r="AA49" s="59" t="n">
        <x:v>0.01</x:v>
      </x:c>
      <x:c r="AB49" s="53" t="n">
        <x:f>X49*AA49*roy_rate*B49*(1-IF(union_resp=2,lic_cut*Labour!S49,0))</x:f>
        <x:v>0.27816560198663076</x:v>
      </x:c>
      <x:c r="AC49" s="45" t="n">
        <x:v>86</x:v>
      </x:c>
      <x:c r="AD49" s="59" t="n">
        <x:v>0.19</x:v>
      </x:c>
      <x:c r="AE49" s="59" t="n">
        <x:v>0.23</x:v>
      </x:c>
      <x:c r="AF49" s="53" t="n">
        <x:f>AC49*AD49*elec_va*B49</x:f>
        <x:v>7.83659644217508</x:v>
      </x:c>
      <x:c r="AG49" s="53" t="n">
        <x:f>MAX(0,AE49-AD49)*AC49*roy_rate*B49*(1-IF(union_resp=2,lic_cut*Labour!S49,0))</x:f>
        <x:v>0.10998731848666782</x:v>
      </x:c>
      <x:c r="AH49" s="52" t="n">
        <x:v>14</x:v>
      </x:c>
      <x:c r="AI49" s="53" t="n">
        <x:f>AH49*B49</x:f>
        <x:v>14.920760259819275</x:v>
      </x:c>
      <x:c r="AJ49" s="52" t="n">
        <x:v>14</x:v>
      </x:c>
      <x:c r="AK49" s="53" t="n">
        <x:f>AJ49*B49</x:f>
        <x:v>14.920760259819275</x:v>
      </x:c>
      <x:c r="AL49" s="45" t="n">
        <x:v>28</x:v>
      </x:c>
      <x:c r="AM49" s="53" t="n">
        <x:f>AL49*uw_fee*B49</x:f>
        <x:v>0.7460380129909637</x:v>
      </x:c>
      <x:c r="AN49" s="52" t="n">
        <x:v>0</x:v>
      </x:c>
      <x:c r="AO49" s="52" t="n">
        <x:v>0</x:v>
      </x:c>
      <x:c r="AP49" s="53" t="n">
        <x:f>K49+T49+W49+Z49+AF49+AI49+AK49+AM49+AN49+AO49</x:f>
        <x:v>56.88220118479102</x:v>
      </x:c>
      <x:c r="AQ49" s="53" t="n">
        <x:f>AP49*(1-1/champ_prem+champ_spill)</x:f>
        <x:v>39.50152860054932</x:v>
      </x:c>
      <x:c r="AR49" s="63" t="n">
        <x:f>AP49/Economy!O49</x:f>
        <x:v>0.03344784775254508</x:v>
      </x:c>
      <x:c r="AS49" s="52" t="n">
        <x:v>75</x:v>
      </x:c>
      <x:c r="AT49" s="52" t="n">
        <x:v>24</x:v>
      </x:c>
      <x:c r="AU49" s="52" t="n">
        <x:v>0</x:v>
      </x:c>
      <x:c r="AV49" s="52" t="n">
        <x:v>0</x:v>
      </x:c>
      <x:c r="AW49" s="52" t="n">
        <x:v>3</x:v>
      </x:c>
      <x:c r="AX49" s="52" t="n">
        <x:v>0</x:v>
      </x:c>
      <x:c r="AY49" s="53" t="n">
        <x:f>Q49+(AS49+AT49+AU49+AV49+AW49+AX49)*B49</x:f>
        <x:v>130.26889475412213</x:v>
      </x:c>
      <x:c r="AZ49" s="53" t="n">
        <x:f>P49+(AS49*ret_rail+AT49*ret_tel+AU49*ret_elec+AV49*ret_auto+AW49*ret_chem+AX49*ret_steel)*B49*IF(OR($A49=1931,$A49=1932),abroad_slump,1)+AB49+AG49</x:f>
        <x:v>10.406377666351956</x:v>
      </x:c>
      <x:c r="BA49" s="53" t="n">
        <x:f>AP49*champ_profit+AZ49</x:f>
        <x:v>21.78281790331016</x:v>
      </x:c>
      <x:c r="BB49" s="53" t="n">
        <x:f>(K49+AI49+AK49)*champ_profit+P49+(AS49*ret_rail+AT49*ret_tel+AU49*ret_elec)*B49*IF(OR($A49=1931,$A49=1932),abroad_slump,1)</x:f>
        <x:v>15.602852157411014</x:v>
      </x:c>
      <x:c r="BC49" s="53" t="n">
        <x:f>(T49+W49+Z49+AF49+AN49+AO49)*champ_profit+(AV49*ret_auto+AW49*ret_chem+AX49*ret_steel)*B49*IF(OR($A49=1931,$A49=1932),abroad_slump,1)+AB49+AG49</x:f>
        <x:v>6.030758143300953</x:v>
      </x:c>
      <x:c r="BD49" s="53" t="n">
        <x:f>IF($A49&gt;=crown_start,(BB49*crown_charter+BC49*crown_comp)*crown_payout,0)</x:f>
        <x:v>2.191586845408415</x:v>
      </x:c>
      <x:c r="BE49" s="63" t="n">
        <x:f>IF(BB49+BC49&gt;0,(BB49*crown_charter+BC49*crown_comp)/(BA49),0)</x:f>
        <x:v>0.2012216100907107</x:v>
      </x:c>
    </x:row>
    <x:row r="50">
      <x:c r="A50" s="58" t="n">
        <x:v>1890</x:v>
      </x:c>
      <x:c r="B50" s="65" t="n">
        <x:f>champ_scale*(1+Labour!AP50)*(1+Partners!BX50)*(1-IF(union_resp=2,tariff_cut*Labour!S50,0))</x:f>
        <x:v>1.0760347521311084</x:v>
      </x:c>
      <x:c r="C50" s="45" t="n">
        <x:v>900</x:v>
      </x:c>
      <x:c r="D50" s="45" t="n">
        <x:v>300</x:v>
      </x:c>
      <x:c r="E50" s="45" t="n">
        <x:v>2500</x:v>
      </x:c>
      <x:c r="F50" s="47" t="n">
        <x:f>E50*B50</x:f>
        <x:v>2690.0868803277713</x:v>
      </x:c>
      <x:c r="G50" s="47" t="n">
        <x:f>F50/Economy!B50*1000000</x:f>
        <x:v>530.063153039917</x:v>
      </x:c>
      <x:c r="H50" s="45" t="n">
        <x:v>402</x:v>
      </x:c>
      <x:c r="I50" s="67" t="n">
        <x:f>IF(H50&gt;0,G50/H50,0)</x:f>
        <x:v>1.3185650573132264</x:v>
      </x:c>
      <x:c r="J50" s="68" t="n">
        <x:v>0.3</x:v>
      </x:c>
      <x:c r="K50" s="53" t="n">
        <x:f>Resources!K50*J50*B50</x:f>
        <x:v>1.2912417025573302</x:v>
      </x:c>
      <x:c r="L50" s="45" t="n">
        <x:v>0</x:v>
      </x:c>
      <x:c r="M50" s="59" t="n">
        <x:v>0</x:v>
      </x:c>
      <x:c r="N50" s="45" t="n">
        <x:v>6</x:v>
      </x:c>
      <x:c r="O50" s="68" t="n">
        <x:v>0.575</x:v>
      </x:c>
      <x:c r="P50" s="53" t="n">
        <x:f>(IF(Gulf!E50=1,0,L50*M50)+N50)*O50*B50</x:f>
        <x:v>3.7123198948523237</x:v>
      </x:c>
      <x:c r="Q50" s="53" t="n">
        <x:f>P50*oil_book</x:f>
        <x:v>25.986239263966265</x:v>
      </x:c>
      <x:c r="R50" s="68" t="n">
        <x:v>0.45</x:v>
      </x:c>
      <x:c r="S50" s="45" t="n">
        <x:v>18</x:v>
      </x:c>
      <x:c r="T50" s="53" t="n">
        <x:f>R50*S50*B50</x:f>
        <x:v>8.715881492261978</x:v>
      </x:c>
      <x:c r="U50" s="45" t="n">
        <x:v>0</x:v>
      </x:c>
      <x:c r="V50" s="45" t="n">
        <x:v>0</x:v>
      </x:c>
      <x:c r="W50" s="53" t="n">
        <x:f>U50/1000*V50*B50</x:f>
        <x:v>0</x:v>
      </x:c>
      <x:c r="X50" s="45" t="n">
        <x:v>900</x:v>
      </x:c>
      <x:c r="Y50" s="59" t="n">
        <x:v>0.025</x:v>
      </x:c>
      <x:c r="Z50" s="53" t="n">
        <x:f>X50*Y50*chem_va*B50</x:f>
        <x:v>10.894851865327473</x:v>
      </x:c>
      <x:c r="AA50" s="59" t="n">
        <x:v>0.01</x:v>
      </x:c>
      <x:c r="AB50" s="53" t="n">
        <x:f>X50*AA50*roy_rate*B50*(1-IF(union_resp=2,lic_cut*Labour!S50,0))</x:f>
        <x:v>0.2905293830753993</x:v>
      </x:c>
      <x:c r="AC50" s="45" t="n">
        <x:v>100</x:v>
      </x:c>
      <x:c r="AD50" s="59" t="n">
        <x:v>0.2</x:v>
      </x:c>
      <x:c r="AE50" s="59" t="n">
        <x:v>0.25</x:v>
      </x:c>
      <x:c r="AF50" s="53" t="n">
        <x:f>AC50*AD50*elec_va*B50</x:f>
        <x:v>9.684312769179975</x:v>
      </x:c>
      <x:c r="AG50" s="53" t="n">
        <x:f>MAX(0,AE50-AD50)*AC50*roy_rate*B50*(1-IF(union_resp=2,lic_cut*Labour!S50,0))</x:f>
        <x:v>0.16140521281966624</x:v>
      </x:c>
      <x:c r="AH50" s="52" t="n">
        <x:v>15</x:v>
      </x:c>
      <x:c r="AI50" s="53" t="n">
        <x:f>AH50*B50</x:f>
        <x:v>16.140521281966627</x:v>
      </x:c>
      <x:c r="AJ50" s="52" t="n">
        <x:v>15</x:v>
      </x:c>
      <x:c r="AK50" s="53" t="n">
        <x:f>AJ50*B50</x:f>
        <x:v>16.140521281966627</x:v>
      </x:c>
      <x:c r="AL50" s="45" t="n">
        <x:v>30</x:v>
      </x:c>
      <x:c r="AM50" s="53" t="n">
        <x:f>AL50*uw_fee*B50</x:f>
        <x:v>0.8070260640983313</x:v>
      </x:c>
      <x:c r="AN50" s="52" t="n">
        <x:v>0</x:v>
      </x:c>
      <x:c r="AO50" s="52" t="n">
        <x:v>0</x:v>
      </x:c>
      <x:c r="AP50" s="53" t="n">
        <x:f>K50+T50+W50+Z50+AF50+AI50+AK50+AM50+AN50+AO50</x:f>
        <x:v>63.67435645735834</x:v>
      </x:c>
      <x:c r="AQ50" s="53" t="n">
        <x:f>AP50*(1-1/champ_prem+champ_spill)</x:f>
        <x:v>44.21830309538774</x:v>
      </x:c>
      <x:c r="AR50" s="63" t="n">
        <x:f>AP50/Economy!O50</x:f>
        <x:v>0.03440776203856309</x:v>
      </x:c>
      <x:c r="AS50" s="52" t="n">
        <x:v>80</x:v>
      </x:c>
      <x:c r="AT50" s="52" t="n">
        <x:v>25</x:v>
      </x:c>
      <x:c r="AU50" s="52" t="n">
        <x:v>5</x:v>
      </x:c>
      <x:c r="AV50" s="52" t="n">
        <x:v>0</x:v>
      </x:c>
      <x:c r="AW50" s="52" t="n">
        <x:v>3</x:v>
      </x:c>
      <x:c r="AX50" s="52" t="n">
        <x:v>0</x:v>
      </x:c>
      <x:c r="AY50" s="53" t="n">
        <x:f>Q50+(AS50+AT50+AU50+AV50+AW50+AX50)*B50</x:f>
        <x:v>147.5781662547815</x:v>
      </x:c>
      <x:c r="AZ50" s="53" t="n">
        <x:f>P50+(AS50*ret_rail+AT50*ret_tel+AU50*ret_elec+AV50*ret_auto+AW50*ret_chem+AX50*ret_steel)*B50*IF(OR($A50=1931,$A50=1932),abroad_slump,1)+AB50+AG50</x:f>
        <x:v>11.922465053612681</x:v>
      </x:c>
      <x:c r="BA50" s="53" t="n">
        <x:f>AP50*champ_profit+AZ50</x:f>
        <x:v>24.657336345084353</x:v>
      </x:c>
      <x:c r="BB50" s="53" t="n">
        <x:f>(K50+AI50+AK50)*champ_profit+P50+(AS50*ret_rail+AT50*ret_tel+AU50*ret_elec)*B50*IF(OR($A50=1931,$A50=1932),abroad_slump,1)</x:f>
        <x:v>17.79761480024853</x:v>
      </x:c>
      <x:c r="BC50" s="53" t="n">
        <x:f>(T50+W50+Z50+AF50+AN50+AO50)*champ_profit+(AV50*ret_auto+AW50*ret_chem+AX50*ret_steel)*B50*IF(OR($A50=1931,$A50=1932),abroad_slump,1)+AB50+AG50</x:f>
        <x:v>6.698316332016151</x:v>
      </x:c>
      <x:c r="BD50" s="53" t="n">
        <x:f>IF($A50&gt;=crown_start,(BB50*crown_charter+BC50*crown_comp)*crown_payout,0)</x:f>
        <x:v>2.4926345033117125</x:v>
      </x:c>
      <x:c r="BE50" s="63" t="n">
        <x:f>IF(BB50+BC50&gt;0,(BB50*crown_charter+BC50*crown_comp)/(BA50),0)</x:f>
        <x:v>0.20218197687104514</x:v>
      </x:c>
    </x:row>
    <x:row r="51">
      <x:c r="A51" s="58" t="n">
        <x:v>1891</x:v>
      </x:c>
      <x:c r="B51" s="65" t="n">
        <x:f>champ_scale*(1+Labour!AP51)*(1+Partners!BX51)*(1-IF(union_resp=2,tariff_cut*Labour!S51,0))</x:f>
        <x:v>1.0878761819831002</x:v>
      </x:c>
      <x:c r="C51" s="45" t="n">
        <x:v>1010</x:v>
      </x:c>
      <x:c r="D51" s="45" t="n">
        <x:v>320</x:v>
      </x:c>
      <x:c r="E51" s="45" t="n">
        <x:v>2700</x:v>
      </x:c>
      <x:c r="F51" s="47" t="n">
        <x:f>E51*B51</x:f>
        <x:v>2937.2656913543706</x:v>
      </x:c>
      <x:c r="G51" s="47" t="n">
        <x:f>F51/Economy!B51*1000000</x:f>
        <x:v>553.8342009191368</x:v>
      </x:c>
      <x:c r="H51" s="45" t="n">
        <x:v>394</x:v>
      </x:c>
      <x:c r="I51" s="67" t="n">
        <x:f>IF(H51&gt;0,G51/H51,0)</x:f>
        <x:v>1.4056705607084692</x:v>
      </x:c>
      <x:c r="J51" s="68" t="n">
        <x:v>0.307</x:v>
      </x:c>
      <x:c r="K51" s="53" t="n">
        <x:f>Resources!K51*J51*B51</x:f>
        <x:v>1.6698899393440587</x:v>
      </x:c>
      <x:c r="L51" s="45" t="n">
        <x:v>0</x:v>
      </x:c>
      <x:c r="M51" s="59" t="n">
        <x:v>0</x:v>
      </x:c>
      <x:c r="N51" s="45" t="n">
        <x:v>7</x:v>
      </x:c>
      <x:c r="O51" s="68" t="n">
        <x:v>0.573</x:v>
      </x:c>
      <x:c r="P51" s="53" t="n">
        <x:f>(IF(Gulf!E51=1,0,L51*M51)+N51)*O51*B51</x:f>
        <x:v>4.363471365934214</x:v>
      </x:c>
      <x:c r="Q51" s="53" t="n">
        <x:f>P51*oil_book</x:f>
        <x:v>30.5442995615395</x:v>
      </x:c>
      <x:c r="R51" s="68" t="n">
        <x:v>0.545</x:v>
      </x:c>
      <x:c r="S51" s="45" t="n">
        <x:v>18</x:v>
      </x:c>
      <x:c r="T51" s="53" t="n">
        <x:f>R51*S51*B51</x:f>
        <x:v>10.672065345254214</x:v>
      </x:c>
      <x:c r="U51" s="45" t="n">
        <x:v>0</x:v>
      </x:c>
      <x:c r="V51" s="45" t="n">
        <x:v>0</x:v>
      </x:c>
      <x:c r="W51" s="53" t="n">
        <x:f>U51/1000*V51*B51</x:f>
        <x:v>0</x:v>
      </x:c>
      <x:c r="X51" s="45" t="n">
        <x:v>960</x:v>
      </x:c>
      <x:c r="Y51" s="59" t="n">
        <x:v>0.027</x:v>
      </x:c>
      <x:c r="Z51" s="53" t="n">
        <x:f>X51*Y51*chem_va*B51</x:f>
        <x:v>12.68898778665088</x:v>
      </x:c>
      <x:c r="AA51" s="59" t="n">
        <x:v>0.011</x:v>
      </x:c>
      <x:c r="AB51" s="53" t="n">
        <x:f>X51*AA51*roy_rate*B51*(1-IF(union_resp=2,lic_cut*Labour!S51,0))</x:f>
        <x:v>0.3446391744522461</x:v>
      </x:c>
      <x:c r="AC51" s="45" t="n">
        <x:v>130</x:v>
      </x:c>
      <x:c r="AD51" s="59" t="n">
        <x:v>0.202</x:v>
      </x:c>
      <x:c r="AE51" s="59" t="n">
        <x:v>0.257</x:v>
      </x:c>
      <x:c r="AF51" s="53" t="n">
        <x:f>AC51*AD51*elec_va*B51</x:f>
        <x:v>12.855432842494295</x:v>
      </x:c>
      <x:c r="AG51" s="53" t="n">
        <x:f>MAX(0,AE51-AD51)*AC51*roy_rate*B51*(1-IF(union_resp=2,lic_cut*Labour!S51,0))</x:f>
        <x:v>0.23334944103537497</x:v>
      </x:c>
      <x:c r="AH51" s="52" t="n">
        <x:v>17</x:v>
      </x:c>
      <x:c r="AI51" s="53" t="n">
        <x:f>AH51*B51</x:f>
        <x:v>18.493895093712702</x:v>
      </x:c>
      <x:c r="AJ51" s="52" t="n">
        <x:v>16</x:v>
      </x:c>
      <x:c r="AK51" s="53" t="n">
        <x:f>AJ51*B51</x:f>
        <x:v>17.406018911729603</x:v>
      </x:c>
      <x:c r="AL51" s="45" t="n">
        <x:v>36</x:v>
      </x:c>
      <x:c r="AM51" s="53" t="n">
        <x:f>AL51*uw_fee*B51</x:f>
        <x:v>0.9790885637847903</x:v>
      </x:c>
      <x:c r="AN51" s="52" t="n">
        <x:v>0</x:v>
      </x:c>
      <x:c r="AO51" s="52" t="n">
        <x:v>0</x:v>
      </x:c>
      <x:c r="AP51" s="53" t="n">
        <x:f>K51+T51+W51+Z51+AF51+AI51+AK51+AM51+AN51+AO51</x:f>
        <x:v>74.76537848297053</x:v>
      </x:c>
      <x:c r="AQ51" s="53" t="n">
        <x:f>AP51*(1-1/champ_prem+champ_spill)</x:f>
        <x:v>51.92040172428509</x:v>
      </x:c>
      <x:c r="AR51" s="63" t="n">
        <x:f>AP51/Economy!O51</x:f>
        <x:v>0.03759341582968468</x:v>
      </x:c>
      <x:c r="AS51" s="52" t="n">
        <x:v>97</x:v>
      </x:c>
      <x:c r="AT51" s="52" t="n">
        <x:v>30</x:v>
      </x:c>
      <x:c r="AU51" s="52" t="n">
        <x:v>8</x:v>
      </x:c>
      <x:c r="AV51" s="52" t="n">
        <x:v>0</x:v>
      </x:c>
      <x:c r="AW51" s="52" t="n">
        <x:v>3</x:v>
      </x:c>
      <x:c r="AX51" s="52" t="n">
        <x:v>0</x:v>
      </x:c>
      <x:c r="AY51" s="53" t="n">
        <x:f>Q51+(AS51+AT51+AU51+AV51+AW51+AX51)*B51</x:f>
        <x:v>180.67121267520733</x:v>
      </x:c>
      <x:c r="AZ51" s="53" t="n">
        <x:f>P51+(AS51*ret_rail+AT51*ret_tel+AU51*ret_elec+AV51*ret_auto+AW51*ret_chem+AX51*ret_steel)*B51*IF(OR($A51=1931,$A51=1932),abroad_slump,1)+AB51+AG51</x:f>
        <x:v>14.482134097413622</x:v>
      </x:c>
      <x:c r="BA51" s="53" t="n">
        <x:f>AP51*champ_profit+AZ51</x:f>
        <x:v>29.43520979400773</x:v>
      </x:c>
      <x:c r="BB51" s="53" t="n">
        <x:f>(K51+AI51+AK51)*champ_profit+P51+(AS51*ret_rail+AT51*ret_tel+AU51*ret_elec)*B51*IF(OR($A51=1931,$A51=1932),abroad_slump,1)</x:f>
        <x:v>21.02647084536936</x:v>
      </x:c>
      <x:c r="BC51" s="53" t="n">
        <x:f>(T51+W51+Z51+AF51+AN51+AO51)*champ_profit+(AV51*ret_auto+AW51*ret_chem+AX51*ret_steel)*B51*IF(OR($A51=1931,$A51=1932),abroad_slump,1)+AB51+AG51</x:f>
        <x:v>8.212921235881415</x:v>
      </x:c>
      <x:c r="BD51" s="53" t="n">
        <x:f>IF($A51&gt;=crown_start,(BB51*crown_charter+BC51*crown_comp)*crown_payout,0)</x:f>
        <x:v>2.956825705106427</x:v>
      </x:c>
      <x:c r="BE51" s="63" t="n">
        <x:f>IF(BB51+BC51&gt;0,(BB51*crown_charter+BC51*crown_comp)/(BA51),0)</x:f>
        <x:v>0.20090400073916664</x:v>
      </x:c>
    </x:row>
    <x:row r="52">
      <x:c r="A52" s="58" t="n">
        <x:v>1892</x:v>
      </x:c>
      <x:c r="B52" s="65" t="n">
        <x:f>champ_scale*(1+Labour!AP52)*(1+Partners!BX52)*(1-IF(union_resp=2,tariff_cut*Labour!S52,0))</x:f>
        <x:v>1.1009023721728848</x:v>
      </x:c>
      <x:c r="C52" s="45" t="n">
        <x:v>1120</x:v>
      </x:c>
      <x:c r="D52" s="45" t="n">
        <x:v>340</x:v>
      </x:c>
      <x:c r="E52" s="45" t="n">
        <x:v>2900</x:v>
      </x:c>
      <x:c r="F52" s="47" t="n">
        <x:f>E52*B52</x:f>
        <x:v>3192.6168793013658</x:v>
      </x:c>
      <x:c r="G52" s="47" t="n">
        <x:f>F52/Economy!B52*1000000</x:f>
        <x:v>575.0178111010725</x:v>
      </x:c>
      <x:c r="H52" s="45" t="n">
        <x:v>386</x:v>
      </x:c>
      <x:c r="I52" s="67" t="n">
        <x:f>IF(H52&gt;0,G52/H52,0)</x:f>
        <x:v>1.4896834484483745</x:v>
      </x:c>
      <x:c r="J52" s="68" t="n">
        <x:v>0.313</x:v>
      </x:c>
      <x:c r="K52" s="53" t="n">
        <x:f>Resources!K52*J52*B52</x:f>
        <x:v>2.0674946549406776</x:v>
      </x:c>
      <x:c r="L52" s="45" t="n">
        <x:v>0</x:v>
      </x:c>
      <x:c r="M52" s="59" t="n">
        <x:v>0</x:v>
      </x:c>
      <x:c r="N52" s="45" t="n">
        <x:v>8</x:v>
      </x:c>
      <x:c r="O52" s="68" t="n">
        <x:v>0.57</x:v>
      </x:c>
      <x:c r="P52" s="53" t="n">
        <x:f>(IF(Gulf!E52=1,0,L52*M52)+N52)*O52*B52</x:f>
        <x:v>5.020114817108354</x:v>
      </x:c>
      <x:c r="Q52" s="53" t="n">
        <x:f>P52*oil_book</x:f>
        <x:v>35.14080371975848</x:v>
      </x:c>
      <x:c r="R52" s="68" t="n">
        <x:v>0.64</x:v>
      </x:c>
      <x:c r="S52" s="45" t="n">
        <x:v>18</x:v>
      </x:c>
      <x:c r="T52" s="53" t="n">
        <x:f>R52*S52*B52</x:f>
        <x:v>12.682395327431632</x:v>
      </x:c>
      <x:c r="U52" s="45" t="n">
        <x:v>0</x:v>
      </x:c>
      <x:c r="V52" s="45" t="n">
        <x:v>0</x:v>
      </x:c>
      <x:c r="W52" s="53" t="n">
        <x:f>U52/1000*V52*B52</x:f>
        <x:v>0</x:v>
      </x:c>
      <x:c r="X52" s="45" t="n">
        <x:v>1020</x:v>
      </x:c>
      <x:c r="Y52" s="59" t="n">
        <x:v>0.029</x:v>
      </x:c>
      <x:c r="Z52" s="53" t="n">
        <x:f>X52*Y52*chem_va*B52</x:f>
        <x:v>14.654111475993272</x:v>
      </x:c>
      <x:c r="AA52" s="59" t="n">
        <x:v>0.012</x:v>
      </x:c>
      <x:c r="AB52" s="53" t="n">
        <x:f>X52*AA52*roy_rate*B52*(1-IF(union_resp=2,lic_cut*Labour!S52,0))</x:f>
        <x:v>0.40425135106188326</x:v>
      </x:c>
      <x:c r="AC52" s="45" t="n">
        <x:v>160</x:v>
      </x:c>
      <x:c r="AD52" s="59" t="n">
        <x:v>0.204</x:v>
      </x:c>
      <x:c r="AE52" s="59" t="n">
        <x:v>0.264</x:v>
      </x:c>
      <x:c r="AF52" s="53" t="n">
        <x:f>AC52*AD52*elec_va*B52</x:f>
        <x:v>16.170054042475332</x:v>
      </x:c>
      <x:c r="AG52" s="53" t="n">
        <x:f>MAX(0,AE52-AD52)*AC52*roy_rate*B52*(1-IF(union_resp=2,lic_cut*Labour!S52,0))</x:f>
        <x:v>0.317059883185791</x:v>
      </x:c>
      <x:c r="AH52" s="52" t="n">
        <x:v>18</x:v>
      </x:c>
      <x:c r="AI52" s="53" t="n">
        <x:f>AH52*B52</x:f>
        <x:v>19.816242699111925</x:v>
      </x:c>
      <x:c r="AJ52" s="52" t="n">
        <x:v>18</x:v>
      </x:c>
      <x:c r="AK52" s="53" t="n">
        <x:f>AJ52*B52</x:f>
        <x:v>19.816242699111925</x:v>
      </x:c>
      <x:c r="AL52" s="45" t="n">
        <x:v>42</x:v>
      </x:c>
      <x:c r="AM52" s="53" t="n">
        <x:f>AL52*uw_fee*B52</x:f>
        <x:v>1.155947490781529</x:v>
      </x:c>
      <x:c r="AN52" s="52" t="n">
        <x:v>0</x:v>
      </x:c>
      <x:c r="AO52" s="52" t="n">
        <x:v>0</x:v>
      </x:c>
      <x:c r="AP52" s="53" t="n">
        <x:f>K52+T52+W52+Z52+AF52+AI52+AK52+AM52+AN52+AO52</x:f>
        <x:v>86.36248838984629</x:v>
      </x:c>
      <x:c r="AQ52" s="53" t="n">
        <x:f>AP52*(1-1/champ_prem+champ_spill)</x:f>
        <x:v>59.97395027072659</x:v>
      </x:c>
      <x:c r="AR52" s="63" t="n">
        <x:f>AP52/Economy!O52</x:f>
        <x:v>0.04050926192392886</x:v>
      </x:c>
      <x:c r="AS52" s="52" t="n">
        <x:v>114</x:v>
      </x:c>
      <x:c r="AT52" s="52" t="n">
        <x:v>34</x:v>
      </x:c>
      <x:c r="AU52" s="52" t="n">
        <x:v>12</x:v>
      </x:c>
      <x:c r="AV52" s="52" t="n">
        <x:v>0</x:v>
      </x:c>
      <x:c r="AW52" s="52" t="n">
        <x:v>3</x:v>
      </x:c>
      <x:c r="AX52" s="52" t="n">
        <x:v>0</x:v>
      </x:c>
      <x:c r="AY52" s="53" t="n">
        <x:f>Q52+(AS52+AT52+AU52+AV52+AW52+AX52)*B52</x:f>
        <x:v>214.5878903839387</x:v>
      </x:c>
      <x:c r="AZ52" s="53" t="n">
        <x:f>P52+(AS52*ret_rail+AT52*ret_tel+AU52*ret_elec+AV52*ret_auto+AW52*ret_chem+AX52*ret_steel)*B52*IF(OR($A52=1931,$A52=1932),abroad_slump,1)+AB52+AG52</x:f>
        <x:v>17.08072048473674</x:v>
      </x:c>
      <x:c r="BA52" s="53" t="n">
        <x:f>AP52*champ_profit+AZ52</x:f>
        <x:v>34.353218162706</x:v>
      </x:c>
      <x:c r="BB52" s="53" t="n">
        <x:f>(K52+AI52+AK52)*champ_profit+P52+(AS52*ret_rail+AT52*ret_tel+AU52*ret_elec)*B52*IF(OR($A52=1931,$A52=1932),abroad_slump,1)</x:f>
        <x:v>24.303080407139735</x:v>
      </x:c>
      <x:c r="BC52" s="53" t="n">
        <x:f>(T52+W52+Z52+AF52+AN52+AO52)*champ_profit+(AV52*ret_auto+AW52*ret_chem+AX52*ret_steel)*B52*IF(OR($A52=1931,$A52=1932),abroad_slump,1)+AB52+AG52</x:f>
        <x:v>9.81894825740996</x:v>
      </x:c>
      <x:c r="BD52" s="53" t="n">
        <x:f>IF($A52&gt;=crown_start,(BB52*crown_charter+BC52*crown_comp)*crown_payout,0)</x:f>
        <x:v>3.4306429811888655</x:v>
      </x:c>
      <x:c r="BE52" s="63" t="n">
        <x:f>IF(BB52+BC52&gt;0,(BB52*crown_charter+BC52*crown_comp)/(BA52),0)</x:f>
        <x:v>0.199727604263474</x:v>
      </x:c>
    </x:row>
    <x:row r="53">
      <x:c r="A53" s="58" t="n">
        <x:v>1893</x:v>
      </x:c>
      <x:c r="B53" s="65" t="n">
        <x:f>champ_scale*(1+Labour!AP53)*(1+Partners!BX53)*(1-IF(union_resp=2,tariff_cut*Labour!S53,0))</x:f>
        <x:v>1.115637592747193</x:v>
      </x:c>
      <x:c r="C53" s="45" t="n">
        <x:v>1230</x:v>
      </x:c>
      <x:c r="D53" s="45" t="n">
        <x:v>360</x:v>
      </x:c>
      <x:c r="E53" s="45" t="n">
        <x:v>3100</x:v>
      </x:c>
      <x:c r="F53" s="47" t="n">
        <x:f>E53*B53</x:f>
        <x:v>3458.476537516299</x:v>
      </x:c>
      <x:c r="G53" s="47" t="n">
        <x:f>F53/Economy!B53*1000000</x:f>
        <x:v>594.2763567114372</x:v>
      </x:c>
      <x:c r="H53" s="45" t="n">
        <x:v>379</x:v>
      </x:c>
      <x:c r="I53" s="67" t="n">
        <x:f>IF(H53&gt;0,G53/H53,0)</x:f>
        <x:v>1.5680114952808368</x:v>
      </x:c>
      <x:c r="J53" s="68" t="n">
        <x:v>0.32</x:v>
      </x:c>
      <x:c r="K53" s="53" t="n">
        <x:f>Resources!K53*J53*B53</x:f>
        <x:v>2.616839537547816</x:v>
      </x:c>
      <x:c r="L53" s="45" t="n">
        <x:v>0</x:v>
      </x:c>
      <x:c r="M53" s="59" t="n">
        <x:v>0</x:v>
      </x:c>
      <x:c r="N53" s="45" t="n">
        <x:v>9</x:v>
      </x:c>
      <x:c r="O53" s="68" t="n">
        <x:v>0.5679999999999999</x:v>
      </x:c>
      <x:c r="P53" s="53" t="n">
        <x:f>(IF(Gulf!E53=1,0,L53*M53)+N53)*O53*B53</x:f>
        <x:v>5.7031393741236505</x:v>
      </x:c>
      <x:c r="Q53" s="53" t="n">
        <x:f>P53*oil_book</x:f>
        <x:v>39.92197561886555</x:v>
      </x:c>
      <x:c r="R53" s="68" t="n">
        <x:v>0.735</x:v>
      </x:c>
      <x:c r="S53" s="45" t="n">
        <x:v>17</x:v>
      </x:c>
      <x:c r="T53" s="53" t="n">
        <x:f>R53*S53*B53</x:f>
        <x:v>13.939891721376178</x:v>
      </x:c>
      <x:c r="U53" s="45" t="n">
        <x:v>0</x:v>
      </x:c>
      <x:c r="V53" s="45" t="n">
        <x:v>0</x:v>
      </x:c>
      <x:c r="W53" s="53" t="n">
        <x:f>U53/1000*V53*B53</x:f>
        <x:v>0</x:v>
      </x:c>
      <x:c r="X53" s="45" t="n">
        <x:v>1080</x:v>
      </x:c>
      <x:c r="Y53" s="59" t="n">
        <x:v>0.031</x:v>
      </x:c>
      <x:c r="Z53" s="53" t="n">
        <x:f>X53*Y53*chem_va*B53</x:f>
        <x:v>16.80819597232921</x:v>
      </x:c>
      <x:c r="AA53" s="59" t="n">
        <x:v>0.013</x:v>
      </x:c>
      <x:c r="AB53" s="53" t="n">
        <x:f>X53*AA53*roy_rate*B53*(1-IF(union_resp=2,lic_cut*Labour!S53,0))</x:f>
        <x:v>0.46990655406511767</x:v>
      </x:c>
      <x:c r="AC53" s="45" t="n">
        <x:v>190</x:v>
      </x:c>
      <x:c r="AD53" s="59" t="n">
        <x:v>0.206</x:v>
      </x:c>
      <x:c r="AE53" s="59" t="n">
        <x:v>0.271</x:v>
      </x:c>
      <x:c r="AF53" s="53" t="n">
        <x:f>AC53*AD53*elec_va*B53</x:f>
        <x:v>19.64972492105631</x:v>
      </x:c>
      <x:c r="AG53" s="53" t="n">
        <x:f>MAX(0,AE53-AD53)*AC53*roy_rate*B53*(1-IF(union_resp=2,lic_cut*Labour!S53,0))</x:f>
        <x:v>0.4133437281128352</x:v>
      </x:c>
      <x:c r="AH53" s="52" t="n">
        <x:v>20</x:v>
      </x:c>
      <x:c r="AI53" s="53" t="n">
        <x:f>AH53*B53</x:f>
        <x:v>22.312751854943862</x:v>
      </x:c>
      <x:c r="AJ53" s="52" t="n">
        <x:v>20</x:v>
      </x:c>
      <x:c r="AK53" s="53" t="n">
        <x:f>AJ53*B53</x:f>
        <x:v>22.312751854943862</x:v>
      </x:c>
      <x:c r="AL53" s="45" t="n">
        <x:v>48</x:v>
      </x:c>
      <x:c r="AM53" s="53" t="n">
        <x:f>AL53*uw_fee*B53</x:f>
        <x:v>1.338765111296632</x:v>
      </x:c>
      <x:c r="AN53" s="52" t="n">
        <x:v>0</x:v>
      </x:c>
      <x:c r="AO53" s="52" t="n">
        <x:v>0</x:v>
      </x:c>
      <x:c r="AP53" s="53" t="n">
        <x:f>K53+T53+W53+Z53+AF53+AI53+AK53+AM53+AN53+AO53</x:f>
        <x:v>98.97892097349389</x:v>
      </x:c>
      <x:c r="AQ53" s="53" t="n">
        <x:f>AP53*(1-1/champ_prem+champ_spill)</x:f>
        <x:v>68.73536178714853</x:v>
      </x:c>
      <x:c r="AR53" s="63" t="n">
        <x:f>AP53/Economy!O53</x:f>
        <x:v>0.045624535357889115</x:v>
      </x:c>
      <x:c r="AS53" s="52" t="n">
        <x:v>131</x:v>
      </x:c>
      <x:c r="AT53" s="52" t="n">
        <x:v>38</x:v>
      </x:c>
      <x:c r="AU53" s="52" t="n">
        <x:v>16</x:v>
      </x:c>
      <x:c r="AV53" s="52" t="n">
        <x:v>0</x:v>
      </x:c>
      <x:c r="AW53" s="52" t="n">
        <x:v>4</x:v>
      </x:c>
      <x:c r="AX53" s="52" t="n">
        <x:v>0</x:v>
      </x:c>
      <x:c r="AY53" s="53" t="n">
        <x:f>Q53+(AS53+AT53+AU53+AV53+AW53+AX53)*B53</x:f>
        <x:v>250.77748064808506</x:v>
      </x:c>
      <x:c r="AZ53" s="53" t="n">
        <x:f>P53+(AS53*ret_rail+AT53*ret_tel+AU53*ret_elec+AV53*ret_auto+AW53*ret_chem+AX53*ret_steel)*B53*IF(OR($A53=1931,$A53=1932),abroad_slump,1)+AB53+AG53</x:f>
        <x:v>19.918258889630565</x:v>
      </x:c>
      <x:c r="BA53" s="53" t="n">
        <x:f>AP53*champ_profit+AZ53</x:f>
        <x:v>39.71404308432935</x:v>
      </x:c>
      <x:c r="BB53" s="53" t="n">
        <x:f>(K53+AI53+AK53)*champ_profit+P53+(AS53*ret_rail+AT53*ret_tel+AU53*ret_elec)*B53*IF(OR($A53=1931,$A53=1932),abroad_slump,1)</x:f>
        <x:v>27.947971212421066</x:v>
      </x:c>
      <x:c r="BC53" s="53" t="n">
        <x:f>(T53+W53+Z53+AF53+AN53+AO53)*champ_profit+(AV53*ret_auto+AW53*ret_chem+AX53*ret_steel)*B53*IF(OR($A53=1931,$A53=1932),abroad_slump,1)+AB53+AG53</x:f>
        <x:v>11.498318849648946</x:v>
      </x:c>
      <x:c r="BD53" s="53" t="n">
        <x:f>IF($A53&gt;=crown_start,(BB53*crown_charter+BC53*crown_comp)*crown_payout,0)</x:f>
        <x:v>3.953429155538591</x:v>
      </x:c>
      <x:c r="BE53" s="63" t="n">
        <x:f>IF(BB53+BC53&gt;0,(BB53*crown_charter+BC53*crown_comp)/(BA53),0)</x:f>
        <x:v>0.19909477094255174</x:v>
      </x:c>
    </x:row>
    <x:row r="54">
      <x:c r="A54" s="58" t="n">
        <x:v>1894</x:v>
      </x:c>
      <x:c r="B54" s="65" t="n">
        <x:f>champ_scale*(1+Labour!AP54)*(1+Partners!BX54)*(1-IF(union_resp=2,tariff_cut*Labour!S54,0))</x:f>
        <x:v>1.1314040660452567</x:v>
      </x:c>
      <x:c r="C54" s="45" t="n">
        <x:v>1340</x:v>
      </x:c>
      <x:c r="D54" s="45" t="n">
        <x:v>380</x:v>
      </x:c>
      <x:c r="E54" s="45" t="n">
        <x:v>3300</x:v>
      </x:c>
      <x:c r="F54" s="47" t="n">
        <x:f>E54*B54</x:f>
        <x:v>3733.633417949347</x:v>
      </x:c>
      <x:c r="G54" s="47" t="n">
        <x:f>F54/Economy!B54*1000000</x:f>
        <x:v>612.5645708781088</x:v>
      </x:c>
      <x:c r="H54" s="45" t="n">
        <x:v>371</x:v>
      </x:c>
      <x:c r="I54" s="67" t="n">
        <x:f>IF(H54&gt;0,G54/H54,0)</x:f>
        <x:v>1.6511174417199699</x:v>
      </x:c>
      <x:c r="J54" s="68" t="n">
        <x:v>0.326</x:v>
      </x:c>
      <x:c r="K54" s="53" t="n">
        <x:f>Resources!K54*J54*B54</x:f>
        <x:v>3.1978230803516348</x:v>
      </x:c>
      <x:c r="L54" s="45" t="n">
        <x:v>0</x:v>
      </x:c>
      <x:c r="M54" s="59" t="n">
        <x:v>0</x:v>
      </x:c>
      <x:c r="N54" s="45" t="n">
        <x:v>10</x:v>
      </x:c>
      <x:c r="O54" s="68" t="n">
        <x:v>0.5649999999999999</x:v>
      </x:c>
      <x:c r="P54" s="53" t="n">
        <x:f>(IF(Gulf!E54=1,0,L54*M54)+N54)*O54*B54</x:f>
        <x:v>6.3924329731556995</x:v>
      </x:c>
      <x:c r="Q54" s="53" t="n">
        <x:f>P54*oil_book</x:f>
        <x:v>44.747030812089896</x:v>
      </x:c>
      <x:c r="R54" s="68" t="n">
        <x:v>0.83</x:v>
      </x:c>
      <x:c r="S54" s="45" t="n">
        <x:v>17</x:v>
      </x:c>
      <x:c r="T54" s="53" t="n">
        <x:f>R54*S54*B54</x:f>
        <x:v>15.964111371898571</x:v>
      </x:c>
      <x:c r="U54" s="45" t="n">
        <x:v>0</x:v>
      </x:c>
      <x:c r="V54" s="45" t="n">
        <x:v>0</x:v>
      </x:c>
      <x:c r="W54" s="53" t="n">
        <x:f>U54/1000*V54*B54</x:f>
        <x:v>0</x:v>
      </x:c>
      <x:c r="X54" s="45" t="n">
        <x:v>1140</x:v>
      </x:c>
      <x:c r="Y54" s="59" t="n">
        <x:v>0.033</x:v>
      </x:c>
      <x:c r="Z54" s="53" t="n">
        <x:f>X54*Y54*chem_va*B54</x:f>
        <x:v>19.15353943408015</x:v>
      </x:c>
      <x:c r="AA54" s="59" t="n">
        <x:v>0.014</x:v>
      </x:c>
      <x:c r="AB54" s="53" t="n">
        <x:f>X54*AA54*roy_rate*B54*(1-IF(union_resp=2,lic_cut*Labour!S54,0))</x:f>
        <x:v>0.5417162668224689</x:v>
      </x:c>
      <x:c r="AC54" s="45" t="n">
        <x:v>220</x:v>
      </x:c>
      <x:c r="AD54" s="59" t="n">
        <x:v>0.208</x:v>
      </x:c>
      <x:c r="AE54" s="59" t="n">
        <x:v>0.278</x:v>
      </x:c>
      <x:c r="AF54" s="53" t="n">
        <x:f>AC54*AD54*elec_va*B54</x:f>
        <x:v>23.297872528003925</x:v>
      </x:c>
      <x:c r="AG54" s="53" t="n">
        <x:f>MAX(0,AE54-AD54)*AC54*roy_rate*B54*(1-IF(union_resp=2,lic_cut*Labour!S54,0))</x:f>
        <x:v>0.5227086785129088</x:v>
      </x:c>
      <x:c r="AH54" s="52" t="n">
        <x:v>22</x:v>
      </x:c>
      <x:c r="AI54" s="53" t="n">
        <x:f>AH54*B54</x:f>
        <x:v>24.890889452995648</x:v>
      </x:c>
      <x:c r="AJ54" s="52" t="n">
        <x:v>21</x:v>
      </x:c>
      <x:c r="AK54" s="53" t="n">
        <x:f>AJ54*B54</x:f>
        <x:v>23.75948538695039</x:v>
      </x:c>
      <x:c r="AL54" s="45" t="n">
        <x:v>54</x:v>
      </x:c>
      <x:c r="AM54" s="53" t="n">
        <x:f>AL54*uw_fee*B54</x:f>
        <x:v>1.5273954891610966</x:v>
      </x:c>
      <x:c r="AN54" s="52" t="n">
        <x:v>0</x:v>
      </x:c>
      <x:c r="AO54" s="52" t="n">
        <x:v>0</x:v>
      </x:c>
      <x:c r="AP54" s="53" t="n">
        <x:f>K54+T54+W54+Z54+AF54+AI54+AK54+AM54+AN54+AO54</x:f>
        <x:v>111.79111674344142</x:v>
      </x:c>
      <x:c r="AQ54" s="53" t="n">
        <x:f>AP54*(1-1/champ_prem+champ_spill)</x:f>
        <x:v>77.63271996072321</x:v>
      </x:c>
      <x:c r="AR54" s="63" t="n">
        <x:f>AP54/Economy!O54</x:f>
        <x:v>0.04880716700727317</x:v>
      </x:c>
      <x:c r="AS54" s="52" t="n">
        <x:v>148</x:v>
      </x:c>
      <x:c r="AT54" s="52" t="n">
        <x:v>43</x:v>
      </x:c>
      <x:c r="AU54" s="52" t="n">
        <x:v>19</x:v>
      </x:c>
      <x:c r="AV54" s="52" t="n">
        <x:v>0</x:v>
      </x:c>
      <x:c r="AW54" s="52" t="n">
        <x:v>4</x:v>
      </x:c>
      <x:c r="AX54" s="52" t="n">
        <x:v>0</x:v>
      </x:c>
      <x:c r="AY54" s="53" t="n">
        <x:f>Q54+(AS54+AT54+AU54+AV54+AW54+AX54)*B54</x:f>
        <x:v>286.86750094577485</x:v>
      </x:c>
      <x:c r="AZ54" s="53" t="n">
        <x:f>P54+(AS54*ret_rail+AT54*ret_tel+AU54*ret_elec+AV54*ret_auto+AW54*ret_chem+AX54*ret_steel)*B54*IF(OR($A54=1931,$A54=1932),abroad_slump,1)+AB54+AG54</x:f>
        <x:v>22.742126850762496</x:v>
      </x:c>
      <x:c r="BA54" s="53" t="n">
        <x:f>AP54*champ_profit+AZ54</x:f>
        <x:v>45.10035019945078</x:v>
      </x:c>
      <x:c r="BB54" s="53" t="n">
        <x:f>(K54+AI54+AK54)*champ_profit+P54+(AS54*ret_rail+AT54*ret_tel+AU54*ret_elec)*B54*IF(OR($A54=1931,$A54=1932),abroad_slump,1)</x:f>
        <x:v>31.504267537784926</x:v>
      </x:c>
      <x:c r="BC54" s="53" t="n">
        <x:f>(T54+W54+Z54+AF54+AN54+AO54)*champ_profit+(AV54*ret_auto+AW54*ret_chem+AX54*ret_steel)*B54*IF(OR($A54=1931,$A54=1932),abroad_slump,1)+AB54+AG54</x:f>
        <x:v>13.290603563833633</x:v>
      </x:c>
      <x:c r="BD54" s="53" t="n">
        <x:f>IF($A54&gt;=crown_start,(BB54*crown_charter+BC54*crown_comp)*crown_payout,0)</x:f>
        <x:v>4.469657584776461</x:v>
      </x:c>
      <x:c r="BE54" s="63" t="n">
        <x:f>IF(BB54+BC54&gt;0,(BB54*crown_charter+BC54*crown_comp)/(BA54),0)</x:f>
        <x:v>0.19820944028194667</x:v>
      </x:c>
    </x:row>
    <x:row r="55">
      <x:c r="A55" s="58" t="n">
        <x:v>1895</x:v>
      </x:c>
      <x:c r="B55" s="65" t="n">
        <x:f>champ_scale*(1+Labour!AP55)*(1+Partners!BX55)*(1-IF(union_resp=2,tariff_cut*Labour!S55,0))</x:f>
        <x:v>1.1446139348498214</x:v>
      </x:c>
      <x:c r="C55" s="45" t="n">
        <x:v>1450</x:v>
      </x:c>
      <x:c r="D55" s="45" t="n">
        <x:v>400</x:v>
      </x:c>
      <x:c r="E55" s="45" t="n">
        <x:v>3500</x:v>
      </x:c>
      <x:c r="F55" s="47" t="n">
        <x:f>E55*B55</x:f>
        <x:v>4006.148771974375</x:v>
      </x:c>
      <x:c r="G55" s="47" t="n">
        <x:f>F55/Economy!B55*1000000</x:f>
        <x:v>628.5022598266753</x:v>
      </x:c>
      <x:c r="H55" s="45" t="n">
        <x:v>363</x:v>
      </x:c>
      <x:c r="I55" s="67" t="n">
        <x:f>IF(H55&gt;0,G55/H55,0)</x:f>
        <x:v>1.7314111840955242</x:v>
      </x:c>
      <x:c r="J55" s="68" t="n">
        <x:v>0.333</x:v>
      </x:c>
      <x:c r="K55" s="53" t="n">
        <x:f>Resources!K55*J55*B55</x:f>
        <x:v>3.8115644030499056</x:v>
      </x:c>
      <x:c r="L55" s="45" t="n">
        <x:v>0</x:v>
      </x:c>
      <x:c r="M55" s="59" t="n">
        <x:v>0</x:v>
      </x:c>
      <x:c r="N55" s="45" t="n">
        <x:v>10</x:v>
      </x:c>
      <x:c r="O55" s="68" t="n">
        <x:v>0.5620000000000001</x:v>
      </x:c>
      <x:c r="P55" s="53" t="n">
        <x:f>(IF(Gulf!E55=1,0,L55*M55)+N55)*O55*B55</x:f>
        <x:v>6.4327303138559975</x:v>
      </x:c>
      <x:c r="Q55" s="53" t="n">
        <x:f>P55*oil_book</x:f>
        <x:v>45.02911219699198</x:v>
      </x:c>
      <x:c r="R55" s="68" t="n">
        <x:v>0.925</x:v>
      </x:c>
      <x:c r="S55" s="45" t="n">
        <x:v>17</x:v>
      </x:c>
      <x:c r="T55" s="53" t="n">
        <x:f>R55*S55*B55</x:f>
        <x:v>17.999054125513442</x:v>
      </x:c>
      <x:c r="U55" s="45" t="n">
        <x:v>0</x:v>
      </x:c>
      <x:c r="V55" s="45" t="n">
        <x:v>0</x:v>
      </x:c>
      <x:c r="W55" s="53" t="n">
        <x:f>U55/1000*V55*B55</x:f>
        <x:v>0</x:v>
      </x:c>
      <x:c r="X55" s="45" t="n">
        <x:v>1200</x:v>
      </x:c>
      <x:c r="Y55" s="59" t="n">
        <x:v>0.035</x:v>
      </x:c>
      <x:c r="Z55" s="53" t="n">
        <x:f>X55*Y55*chem_va*B55</x:f>
        <x:v>21.63320336866163</x:v>
      </x:c>
      <x:c r="AA55" s="59" t="n">
        <x:v>0.015</x:v>
      </x:c>
      <x:c r="AB55" s="53" t="n">
        <x:f>X55*AA55*roy_rate*B55*(1-IF(union_resp=2,lic_cut*Labour!S55,0))</x:f>
        <x:v>0.6180915248189036</x:v>
      </x:c>
      <x:c r="AC55" s="45" t="n">
        <x:v>250</x:v>
      </x:c>
      <x:c r="AD55" s="59" t="n">
        <x:v>0.21</x:v>
      </x:c>
      <x:c r="AE55" s="59" t="n">
        <x:v>0.285</x:v>
      </x:c>
      <x:c r="AF55" s="53" t="n">
        <x:f>AC55*AD55*elec_va*B55</x:f>
        <x:v>27.041504210827032</x:v>
      </x:c>
      <x:c r="AG55" s="53" t="n">
        <x:f>MAX(0,AE55-AD55)*AC55*roy_rate*B55*(1-IF(union_resp=2,lic_cut*Labour!S55,0))</x:f>
        <x:v>0.6438453383530244</x:v>
      </x:c>
      <x:c r="AH55" s="52" t="n">
        <x:v>24</x:v>
      </x:c>
      <x:c r="AI55" s="53" t="n">
        <x:f>AH55*B55</x:f>
        <x:v>27.470734436395716</x:v>
      </x:c>
      <x:c r="AJ55" s="52" t="n">
        <x:v>22</x:v>
      </x:c>
      <x:c r="AK55" s="53" t="n">
        <x:f>AJ55*B55</x:f>
        <x:v>25.181506566696072</x:v>
      </x:c>
      <x:c r="AL55" s="45" t="n">
        <x:v>60</x:v>
      </x:c>
      <x:c r="AM55" s="53" t="n">
        <x:f>AL55*uw_fee*B55</x:f>
        <x:v>1.7169209022747323</x:v>
      </x:c>
      <x:c r="AN55" s="52" t="n">
        <x:v>0</x:v>
      </x:c>
      <x:c r="AO55" s="52" t="n">
        <x:v>0</x:v>
      </x:c>
      <x:c r="AP55" s="53" t="n">
        <x:f>K55+T55+W55+Z55+AF55+AI55+AK55+AM55+AN55+AO55</x:f>
        <x:v>124.85448801341853</x:v>
      </x:c>
      <x:c r="AQ55" s="53" t="n">
        <x:f>AP55*(1-1/champ_prem+champ_spill)</x:f>
        <x:v>86.70450556487398</x:v>
      </x:c>
      <x:c r="AR55" s="63" t="n">
        <x:f>AP55/Economy!O55</x:f>
        <x:v>0.04969486212388406</x:v>
      </x:c>
      <x:c r="AS55" s="52" t="n">
        <x:v>165</x:v>
      </x:c>
      <x:c r="AT55" s="52" t="n">
        <x:v>48</x:v>
      </x:c>
      <x:c r="AU55" s="52" t="n">
        <x:v>22</x:v>
      </x:c>
      <x:c r="AV55" s="52" t="n">
        <x:v>0</x:v>
      </x:c>
      <x:c r="AW55" s="52" t="n">
        <x:v>4</x:v>
      </x:c>
      <x:c r="AX55" s="52" t="n">
        <x:v>5</x:v>
      </x:c>
      <x:c r="AY55" s="53" t="n">
        <x:f>Q55+(AS55+AT55+AU55+AV55+AW55+AX55)*B55</x:f>
        <x:v>324.31491230034845</x:v>
      </x:c>
      <x:c r="AZ55" s="53" t="n">
        <x:f>P55+(AS55*ret_rail+AT55*ret_tel+AU55*ret_elec+AV55*ret_auto+AW55*ret_chem+AX55*ret_steel)*B55*IF(OR($A55=1931,$A55=1932),abroad_slump,1)+AB55+AG55</x:f>
        <x:v>25.287383355669682</x:v>
      </x:c>
      <x:c r="BA55" s="53" t="n">
        <x:f>AP55*champ_profit+AZ55</x:f>
        <x:v>50.25828095835339</x:v>
      </x:c>
      <x:c r="BB55" s="53" t="n">
        <x:f>(K55+AI55+AK55)*champ_profit+P55+(AS55*ret_rail+AT55*ret_tel+AU55*ret_elec)*B55*IF(OR($A55=1931,$A55=1932),abroad_slump,1)</x:f>
        <x:v>34.42540870454323</x:v>
      </x:c>
      <x:c r="BC55" s="53" t="n">
        <x:f>(T55+W55+Z55+AF55+AN55+AO55)*champ_profit+(AV55*ret_auto+AW55*ret_chem+AX55*ret_steel)*B55*IF(OR($A55=1931,$A55=1932),abroad_slump,1)+AB55+AG55</x:f>
        <x:v>15.489488073355211</x:v>
      </x:c>
      <x:c r="BD55" s="53" t="n">
        <x:f>IF($A55&gt;=crown_start,(BB55*crown_charter+BC55*crown_comp)*crown_payout,0)</x:f>
        <x:v>4.9227556110021125</x:v>
      </x:c>
      <x:c r="BE55" s="63" t="n">
        <x:f>IF(BB55+BC55&gt;0,(BB55*crown_charter+BC55*crown_comp)/(BA55),0)</x:f>
        <x:v>0.195898288486284</x:v>
      </x:c>
    </x:row>
    <x:row r="56">
      <x:c r="A56" s="58" t="n">
        <x:v>1896</x:v>
      </x:c>
      <x:c r="B56" s="65" t="n">
        <x:f>champ_scale*(1+Labour!AP56)*(1+Partners!BX56)*(1-IF(union_resp=2,tariff_cut*Labour!S56,0))</x:f>
        <x:v>1.158333856999739</x:v>
      </x:c>
      <x:c r="C56" s="45" t="n">
        <x:v>1560</x:v>
      </x:c>
      <x:c r="D56" s="45" t="n">
        <x:v>420</x:v>
      </x:c>
      <x:c r="E56" s="45" t="n">
        <x:v>3700</x:v>
      </x:c>
      <x:c r="F56" s="47" t="n">
        <x:f>E56*B56</x:f>
        <x:v>4285.835270899034</x:v>
      </x:c>
      <x:c r="G56" s="47" t="n">
        <x:f>F56/Economy!B56*1000000</x:f>
        <x:v>643.0323481221003</x:v>
      </x:c>
      <x:c r="H56" s="45" t="n">
        <x:v>355</x:v>
      </x:c>
      <x:c r="I56" s="67" t="n">
        <x:f>IF(H56&gt;0,G56/H56,0)</x:f>
        <x:v>1.811358727104508</x:v>
      </x:c>
      <x:c r="J56" s="68" t="n">
        <x:v>0.339</x:v>
      </x:c>
      <x:c r="K56" s="53" t="n">
        <x:f>Resources!K56*J56*B56</x:f>
        <x:v>4.97519449921529</x:v>
      </x:c>
      <x:c r="L56" s="45" t="n">
        <x:v>0</x:v>
      </x:c>
      <x:c r="M56" s="59" t="n">
        <x:v>0</x:v>
      </x:c>
      <x:c r="N56" s="45" t="n">
        <x:v>11</x:v>
      </x:c>
      <x:c r="O56" s="68" t="n">
        <x:v>0.5600000000000001</x:v>
      </x:c>
      <x:c r="P56" s="53" t="n">
        <x:f>(IF(Gulf!E56=1,0,L56*M56)+N56)*O56*B56</x:f>
        <x:v>7.135336559118392</x:v>
      </x:c>
      <x:c r="Q56" s="53" t="n">
        <x:f>P56*oil_book</x:f>
        <x:v>49.947355913828744</x:v>
      </x:c>
      <x:c r="R56" s="68" t="n">
        <x:v>1.02</x:v>
      </x:c>
      <x:c r="S56" s="45" t="n">
        <x:v>17</x:v>
      </x:c>
      <x:c r="T56" s="53" t="n">
        <x:f>R56*S56*B56</x:f>
        <x:v>20.085509080375473</x:v>
      </x:c>
      <x:c r="U56" s="45" t="n">
        <x:v>0</x:v>
      </x:c>
      <x:c r="V56" s="45" t="n">
        <x:v>0</x:v>
      </x:c>
      <x:c r="W56" s="53" t="n">
        <x:f>U56/1000*V56*B56</x:f>
        <x:v>0</x:v>
      </x:c>
      <x:c r="X56" s="45" t="n">
        <x:v>1260</x:v>
      </x:c>
      <x:c r="Y56" s="59" t="n">
        <x:v>0.037</x:v>
      </x:c>
      <x:c r="Z56" s="53" t="n">
        <x:f>X56*Y56*chem_va*B56</x:f>
        <x:v>24.300685985997525</x:v>
      </x:c>
      <x:c r="AA56" s="59" t="n">
        <x:v>0.016</x:v>
      </x:c>
      <x:c r="AB56" s="53" t="n">
        <x:f>X56*AA56*roy_rate*B56*(1-IF(union_resp=2,lic_cut*Labour!S56,0))</x:f>
        <x:v>0.7005603167134422</x:v>
      </x:c>
      <x:c r="AC56" s="45" t="n">
        <x:v>280</x:v>
      </x:c>
      <x:c r="AD56" s="59" t="n">
        <x:v>0.212</x:v>
      </x:c>
      <x:c r="AE56" s="59" t="n">
        <x:v>0.292</x:v>
      </x:c>
      <x:c r="AF56" s="53" t="n">
        <x:f>AC56*AD56*elec_va*B56</x:f>
        <x:v>30.94141398817703</x:v>
      </x:c>
      <x:c r="AG56" s="53" t="n">
        <x:f>MAX(0,AE56-AD56)*AC56*roy_rate*B56*(1-IF(union_resp=2,lic_cut*Labour!S56,0))</x:f>
        <x:v>0.7784003519038244</x:v>
      </x:c>
      <x:c r="AH56" s="52" t="n">
        <x:v>25</x:v>
      </x:c>
      <x:c r="AI56" s="53" t="n">
        <x:f>AH56*B56</x:f>
        <x:v>28.958346424993476</x:v>
      </x:c>
      <x:c r="AJ56" s="52" t="n">
        <x:v>24</x:v>
      </x:c>
      <x:c r="AK56" s="53" t="n">
        <x:f>AJ56*B56</x:f>
        <x:v>27.800012567993736</x:v>
      </x:c>
      <x:c r="AL56" s="45" t="n">
        <x:v>64</x:v>
      </x:c>
      <x:c r="AM56" s="53" t="n">
        <x:f>AL56*uw_fee*B56</x:f>
        <x:v>1.8533341711995825</x:v>
      </x:c>
      <x:c r="AN56" s="52" t="n">
        <x:v>0</x:v>
      </x:c>
      <x:c r="AO56" s="52" t="n">
        <x:v>0</x:v>
      </x:c>
      <x:c r="AP56" s="53" t="n">
        <x:f>K56+T56+W56+Z56+AF56+AI56+AK56+AM56+AN56+AO56</x:f>
        <x:v>138.91449671795212</x:v>
      </x:c>
      <x:c r="AQ56" s="53" t="n">
        <x:f>AP56*(1-1/champ_prem+champ_spill)</x:f>
        <x:v>96.46840049857785</x:v>
      </x:c>
      <x:c r="AR56" s="63" t="n">
        <x:f>AP56/Economy!O56</x:f>
        <x:v>0.051681325754943074</x:v>
      </x:c>
      <x:c r="AS56" s="52" t="n">
        <x:v>182</x:v>
      </x:c>
      <x:c r="AT56" s="52" t="n">
        <x:v>52</x:v>
      </x:c>
      <x:c r="AU56" s="52" t="n">
        <x:v>26</x:v>
      </x:c>
      <x:c r="AV56" s="52" t="n">
        <x:v>0</x:v>
      </x:c>
      <x:c r="AW56" s="52" t="n">
        <x:v>4</x:v>
      </x:c>
      <x:c r="AX56" s="52" t="n">
        <x:v>6</x:v>
      </x:c>
      <x:c r="AY56" s="53" t="n">
        <x:f>Q56+(AS56+AT56+AU56+AV56+AW56+AX56)*B56</x:f>
        <x:v>362.69749730375827</x:v>
      </x:c>
      <x:c r="AZ56" s="53" t="n">
        <x:f>P56+(AS56*ret_rail+AT56*ret_tel+AU56*ret_elec+AV56*ret_auto+AW56*ret_chem+AX56*ret_steel)*B56*IF(OR($A56=1931,$A56=1932),abroad_slump,1)+AB56+AG56</x:f>
        <x:v>28.259639442451235</x:v>
      </x:c>
      <x:c r="BA56" s="53" t="n">
        <x:f>AP56*champ_profit+AZ56</x:f>
        <x:v>56.04253878604166</x:v>
      </x:c>
      <x:c r="BB56" s="53" t="n">
        <x:f>(K56+AI56+AK56)*champ_profit+P56+(AS56*ret_rail+AT56*ret_tel+AU56*ret_elec)*B56*IF(OR($A56=1931,$A56=1932),abroad_slump,1)</x:f>
        <x:v>38.15438903239469</x:v>
      </x:c>
      <x:c r="BC56" s="53" t="n">
        <x:f>(T56+W56+Z56+AF56+AN56+AO56)*champ_profit+(AV56*ret_auto+AW56*ret_chem+AX56*ret_steel)*B56*IF(OR($A56=1931,$A56=1932),abroad_slump,1)+AB56+AG56</x:f>
        <x:v>17.51748291940705</x:v>
      </x:c>
      <x:c r="BD56" s="53" t="n">
        <x:f>IF($A56&gt;=crown_start,(BB56*crown_charter+BC56*crown_comp)*crown_payout,0)</x:f>
        <x:v>5.469997945825618</x:v>
      </x:c>
      <x:c r="BE56" s="63" t="n">
        <x:f>IF(BB56+BC56&gt;0,(BB56*crown_charter+BC56*crown_comp)/(BA56),0)</x:f>
        <x:v>0.19520878476647505</x:v>
      </x:c>
    </x:row>
    <x:row r="57">
      <x:c r="A57" s="58" t="n">
        <x:v>1897</x:v>
      </x:c>
      <x:c r="B57" s="65" t="n">
        <x:f>champ_scale*(1+Labour!AP57)*(1+Partners!BX57)*(1-IF(union_resp=2,tariff_cut*Labour!S57,0))</x:f>
        <x:v>1.1730822951578694</x:v>
      </x:c>
      <x:c r="C57" s="45" t="n">
        <x:v>1670</x:v>
      </x:c>
      <x:c r="D57" s="45" t="n">
        <x:v>440</x:v>
      </x:c>
      <x:c r="E57" s="45" t="n">
        <x:v>3900</x:v>
      </x:c>
      <x:c r="F57" s="47" t="n">
        <x:f>E57*B57</x:f>
        <x:v>4575.020951115691</x:v>
      </x:c>
      <x:c r="G57" s="47" t="n">
        <x:f>F57/Economy!B57*1000000</x:f>
        <x:v>656.5917626014199</x:v>
      </x:c>
      <x:c r="H57" s="45" t="n">
        <x:v>347</x:v>
      </x:c>
      <x:c r="I57" s="67" t="n">
        <x:f>IF(H57&gt;0,G57/H57,0)</x:f>
        <x:v>1.8921952812721035</x:v>
      </x:c>
      <x:c r="J57" s="68" t="n">
        <x:v>0.346</x:v>
      </x:c>
      <x:c r="K57" s="53" t="n">
        <x:f>Resources!K57*J57*B57</x:f>
        <x:v>6.222239648330468</x:v>
      </x:c>
      <x:c r="L57" s="45" t="n">
        <x:v>0</x:v>
      </x:c>
      <x:c r="M57" s="59" t="n">
        <x:v>0</x:v>
      </x:c>
      <x:c r="N57" s="45" t="n">
        <x:v>12</x:v>
      </x:c>
      <x:c r="O57" s="68" t="n">
        <x:v>0.5570000000000001</x:v>
      </x:c>
      <x:c r="P57" s="53" t="n">
        <x:f>(IF(Gulf!E57=1,0,L57*M57)+N57)*O57*B57</x:f>
        <x:v>7.840882060835201</x:v>
      </x:c>
      <x:c r="Q57" s="53" t="n">
        <x:f>P57*oil_book</x:f>
        <x:v>54.886174425846406</x:v>
      </x:c>
      <x:c r="R57" s="68" t="n">
        <x:v>1.115</x:v>
      </x:c>
      <x:c r="S57" s="45" t="n">
        <x:v>17</x:v>
      </x:c>
      <x:c r="T57" s="53" t="n">
        <x:f>R57*S57*B57</x:f>
        <x:v>22.235774904717413</x:v>
      </x:c>
      <x:c r="U57" s="45" t="n">
        <x:v>0</x:v>
      </x:c>
      <x:c r="V57" s="45" t="n">
        <x:v>0</x:v>
      </x:c>
      <x:c r="W57" s="53" t="n">
        <x:f>U57/1000*V57*B57</x:f>
        <x:v>0</x:v>
      </x:c>
      <x:c r="X57" s="45" t="n">
        <x:v>1320</x:v>
      </x:c>
      <x:c r="Y57" s="59" t="n">
        <x:v>0.039</x:v>
      </x:c>
      <x:c r="Z57" s="53" t="n">
        <x:f>X57*Y57*chem_va*B57</x:f>
        <x:v>27.175624449627204</x:v>
      </x:c>
      <x:c r="AA57" s="59" t="n">
        <x:v>0.017</x:v>
      </x:c>
      <x:c r="AB57" s="53" t="n">
        <x:f>X57*AA57*roy_rate*B57*(1-IF(union_resp=2,lic_cut*Labour!S57,0))</x:f>
        <x:v>0.7897190011002777</x:v>
      </x:c>
      <x:c r="AC57" s="45" t="n">
        <x:v>310</x:v>
      </x:c>
      <x:c r="AD57" s="59" t="n">
        <x:v>0.214</x:v>
      </x:c>
      <x:c r="AE57" s="59" t="n">
        <x:v>0.299</x:v>
      </x:c>
      <x:c r="AF57" s="53" t="n">
        <x:f>AC57*AD57*elec_va*B57</x:f>
        <x:v>35.02002575734788</x:v>
      </x:c>
      <x:c r="AG57" s="53" t="n">
        <x:f>MAX(0,AE57-AD57)*AC57*roy_rate*B57*(1-IF(union_resp=2,lic_cut*Labour!S57,0))</x:f>
        <x:v>0.9273215543222957</x:v>
      </x:c>
      <x:c r="AH57" s="52" t="n">
        <x:v>27</x:v>
      </x:c>
      <x:c r="AI57" s="53" t="n">
        <x:f>AH57*B57</x:f>
        <x:v>31.673221969262475</x:v>
      </x:c>
      <x:c r="AJ57" s="52" t="n">
        <x:v>26</x:v>
      </x:c>
      <x:c r="AK57" s="53" t="n">
        <x:f>AJ57*B57</x:f>
        <x:v>30.500139674104606</x:v>
      </x:c>
      <x:c r="AL57" s="45" t="n">
        <x:v>68</x:v>
      </x:c>
      <x:c r="AM57" s="53" t="n">
        <x:f>AL57*uw_fee*B57</x:f>
        <x:v>1.9942399017683783</x:v>
      </x:c>
      <x:c r="AN57" s="52" t="n">
        <x:v>0</x:v>
      </x:c>
      <x:c r="AO57" s="52" t="n">
        <x:v>0</x:v>
      </x:c>
      <x:c r="AP57" s="53" t="n">
        <x:f>K57+T57+W57+Z57+AF57+AI57+AK57+AM57+AN57+AO57</x:f>
        <x:v>154.82126630515842</x:v>
      </x:c>
      <x:c r="AQ57" s="53" t="n">
        <x:f>AP57*(1-1/champ_prem+champ_spill)</x:f>
        <x:v>107.51476826747113</x:v>
      </x:c>
      <x:c r="AR57" s="63" t="n">
        <x:f>AP57/Economy!O57</x:f>
        <x:v>0.051052013332221945</x:v>
      </x:c>
      <x:c r="AS57" s="52" t="n">
        <x:v>199</x:v>
      </x:c>
      <x:c r="AT57" s="52" t="n">
        <x:v>56</x:v>
      </x:c>
      <x:c r="AU57" s="52" t="n">
        <x:v>30</x:v>
      </x:c>
      <x:c r="AV57" s="52" t="n">
        <x:v>0</x:v>
      </x:c>
      <x:c r="AW57" s="52" t="n">
        <x:v>4</x:v>
      </x:c>
      <x:c r="AX57" s="52" t="n">
        <x:v>7</x:v>
      </x:c>
      <x:c r="AY57" s="53" t="n">
        <x:f>Q57+(AS57+AT57+AU57+AV57+AW57+AX57)*B57</x:f>
        <x:v>402.1185337925757</x:v>
      </x:c>
      <x:c r="AZ57" s="53" t="n">
        <x:f>P57+(AS57*ret_rail+AT57*ret_tel+AU57*ret_elec+AV57*ret_auto+AW57*ret_chem+AX57*ret_steel)*B57*IF(OR($A57=1931,$A57=1932),abroad_slump,1)+AB57+AG57</x:f>
        <x:v>31.318599191436256</x:v>
      </x:c>
      <x:c r="BA57" s="53" t="n">
        <x:f>AP57*champ_profit+AZ57</x:f>
        <x:v>62.28285245246794</x:v>
      </x:c>
      <x:c r="BB57" s="53" t="n">
        <x:f>(K57+AI57+AK57)*champ_profit+P57+(AS57*ret_rail+AT57*ret_tel+AU57*ret_elec)*B57*IF(OR($A57=1931,$A57=1932),abroad_slump,1)</x:f>
        <x:v>42.224904828711104</x:v>
      </x:c>
      <x:c r="BC57" s="53" t="n">
        <x:f>(T57+W57+Z57+AF57+AN57+AO57)*champ_profit+(AV57*ret_auto+AW57*ret_chem+AX57*ret_steel)*B57*IF(OR($A57=1931,$A57=1932),abroad_slump,1)+AB57+AG57</x:f>
        <x:v>19.65909964340316</x:v>
      </x:c>
      <x:c r="BD57" s="53" t="n">
        <x:f>IF($A57&gt;=crown_start,(BB57*crown_charter+BC57*crown_comp)*crown_payout,0)</x:f>
        <x:v>6.064477089325014</x:v>
      </x:c>
      <x:c r="BE57" s="63" t="n">
        <x:f>IF(BB57+BC57&gt;0,(BB57*crown_charter+BC57*crown_comp)/(BA57),0)</x:f>
        <x:v>0.19473986339829916</x:v>
      </x:c>
    </x:row>
    <x:row r="58">
      <x:c r="A58" s="58" t="n">
        <x:v>1898</x:v>
      </x:c>
      <x:c r="B58" s="65" t="n">
        <x:f>champ_scale*(1+Labour!AP58)*(1+Partners!BX58)*(1-IF(union_resp=2,tariff_cut*Labour!S58,0))</x:f>
        <x:v>1.1873617913687344</x:v>
      </x:c>
      <x:c r="C58" s="45" t="n">
        <x:v>1780</x:v>
      </x:c>
      <x:c r="D58" s="45" t="n">
        <x:v>460</x:v>
      </x:c>
      <x:c r="E58" s="45" t="n">
        <x:v>4100</x:v>
      </x:c>
      <x:c r="F58" s="47" t="n">
        <x:f>E58*B58</x:f>
        <x:v>4868.183344611811</x:v>
      </x:c>
      <x:c r="G58" s="47" t="n">
        <x:f>F58/Economy!B58*1000000</x:f>
        <x:v>668.7929401874859</x:v>
      </x:c>
      <x:c r="H58" s="45" t="n">
        <x:v>340</x:v>
      </x:c>
      <x:c r="I58" s="67" t="n">
        <x:f>IF(H58&gt;0,G58/H58,0)</x:f>
        <x:v>1.9670380593749586</x:v>
      </x:c>
      <x:c r="J58" s="68" t="n">
        <x:v>0.352</x:v>
      </x:c>
      <x:c r="K58" s="53" t="n">
        <x:f>Resources!K58*J58*B58</x:f>
        <x:v>7.5231243101123</x:v>
      </x:c>
      <x:c r="L58" s="45" t="n">
        <x:v>0</x:v>
      </x:c>
      <x:c r="M58" s="59" t="n">
        <x:v>0</x:v>
      </x:c>
      <x:c r="N58" s="45" t="n">
        <x:v>13</x:v>
      </x:c>
      <x:c r="O58" s="68" t="n">
        <x:v>0.555</x:v>
      </x:c>
      <x:c r="P58" s="53" t="n">
        <x:f>(IF(Gulf!E58=1,0,L58*M58)+N58)*O58*B58</x:f>
        <x:v>8.56681532472542</x:v>
      </x:c>
      <x:c r="Q58" s="53" t="n">
        <x:f>P58*oil_book</x:f>
        <x:v>59.96770727307794</x:v>
      </x:c>
      <x:c r="R58" s="68" t="n">
        <x:v>1.21</x:v>
      </x:c>
      <x:c r="S58" s="45" t="n">
        <x:v>16</x:v>
      </x:c>
      <x:c r="T58" s="53" t="n">
        <x:f>R58*S58*B58</x:f>
        <x:v>22.987324280898697</x:v>
      </x:c>
      <x:c r="U58" s="45" t="n">
        <x:v>0</x:v>
      </x:c>
      <x:c r="V58" s="45" t="n">
        <x:v>0</x:v>
      </x:c>
      <x:c r="W58" s="53" t="n">
        <x:f>U58/1000*V58*B58</x:f>
        <x:v>0</x:v>
      </x:c>
      <x:c r="X58" s="45" t="n">
        <x:v>1380</x:v>
      </x:c>
      <x:c r="Y58" s="59" t="n">
        <x:v>0.041</x:v>
      </x:c>
      <x:c r="Z58" s="53" t="n">
        <x:f>X58*Y58*chem_va*B58</x:f>
        <x:v>30.23141857003935</x:v>
      </x:c>
      <x:c r="AA58" s="59" t="n">
        <x:v>0.018</x:v>
      </x:c>
      <x:c r="AB58" s="53" t="n">
        <x:f>X58*AA58*roy_rate*B58*(1-IF(union_resp=2,lic_cut*Labour!S58,0))</x:f>
        <x:v>0.8848220069279809</x:v>
      </x:c>
      <x:c r="AC58" s="45" t="n">
        <x:v>340</x:v>
      </x:c>
      <x:c r="AD58" s="59" t="n">
        <x:v>0.216</x:v>
      </x:c>
      <x:c r="AE58" s="59" t="n">
        <x:v>0.306</x:v>
      </x:c>
      <x:c r="AF58" s="53" t="n">
        <x:f>AC58*AD58*elec_va*B58</x:f>
        <x:v>39.239932481153936</x:v>
      </x:c>
      <x:c r="AG58" s="53" t="n">
        <x:f>MAX(0,AE58-AD58)*AC58*roy_rate*B58*(1-IF(union_resp=2,lic_cut*Labour!S58,0))</x:f>
        <x:v>1.089998124476498</x:v>
      </x:c>
      <x:c r="AH58" s="52" t="n">
        <x:v>29</x:v>
      </x:c>
      <x:c r="AI58" s="53" t="n">
        <x:f>AH58*B58</x:f>
        <x:v>34.4334919496933</x:v>
      </x:c>
      <x:c r="AJ58" s="52" t="n">
        <x:v>27</x:v>
      </x:c>
      <x:c r="AK58" s="53" t="n">
        <x:f>AJ58*B58</x:f>
        <x:v>32.05876836695583</x:v>
      </x:c>
      <x:c r="AL58" s="45" t="n">
        <x:v>72</x:v>
      </x:c>
      <x:c r="AM58" s="53" t="n">
        <x:f>AL58*uw_fee*B58</x:f>
        <x:v>2.137251224463722</x:v>
      </x:c>
      <x:c r="AN58" s="52" t="n">
        <x:v>0</x:v>
      </x:c>
      <x:c r="AO58" s="52" t="n">
        <x:v>0</x:v>
      </x:c>
      <x:c r="AP58" s="53" t="n">
        <x:f>K58+T58+W58+Z58+AF58+AI58+AK58+AM58+AN58+AO58</x:f>
        <x:v>168.61131118331713</x:v>
      </x:c>
      <x:c r="AQ58" s="53" t="n">
        <x:f>AP58*(1-1/champ_prem+champ_spill)</x:f>
        <x:v>117.091188321748</x:v>
      </x:c>
      <x:c r="AR58" s="63" t="n">
        <x:f>AP58/Economy!O58</x:f>
        <x:v>0.050503204251929404</x:v>
      </x:c>
      <x:c r="AS58" s="52" t="n">
        <x:v>216</x:v>
      </x:c>
      <x:c r="AT58" s="52" t="n">
        <x:v>61</x:v>
      </x:c>
      <x:c r="AU58" s="52" t="n">
        <x:v>33</x:v>
      </x:c>
      <x:c r="AV58" s="52" t="n">
        <x:v>0</x:v>
      </x:c>
      <x:c r="AW58" s="52" t="n">
        <x:v>5</x:v>
      </x:c>
      <x:c r="AX58" s="52" t="n">
        <x:v>8</x:v>
      </x:c>
      <x:c r="AY58" s="53" t="n">
        <x:f>Q58+(AS58+AT58+AU58+AV58+AW58+AX58)*B58</x:f>
        <x:v>443.4855658851792</x:v>
      </x:c>
      <x:c r="AZ58" s="53" t="n">
        <x:f>P58+(AS58*ret_rail+AT58*ret_tel+AU58*ret_elec+AV58*ret_auto+AW58*ret_chem+AX58*ret_steel)*B58*IF(OR($A58=1931,$A58=1932),abroad_slump,1)+AB58+AG58</x:f>
        <x:v>34.63320620300152</x:v>
      </x:c>
      <x:c r="BA58" s="53" t="n">
        <x:f>AP58*champ_profit+AZ58</x:f>
        <x:v>68.35546843966495</x:v>
      </x:c>
      <x:c r="BB58" s="53" t="n">
        <x:f>(K58+AI58+AK58)*champ_profit+P58+(AS58*ret_rail+AT58*ret_tel+AU58*ret_elec)*B58*IF(OR($A58=1931,$A58=1932),abroad_slump,1)</x:f>
        <x:v>46.17911226227109</x:v>
      </x:c>
      <x:c r="BC58" s="53" t="n">
        <x:f>(T58+W58+Z58+AF58+AN58+AO58)*champ_profit+(AV58*ret_auto+AW58*ret_chem+AX58*ret_steel)*B58*IF(OR($A58=1931,$A58=1932),abroad_slump,1)+AB58+AG58</x:f>
        <x:v>21.748905932501106</x:v>
      </x:c>
      <x:c r="BD58" s="53" t="n">
        <x:f>IF($A58&gt;=crown_start,(BB58*crown_charter+BC58*crown_comp)*crown_payout,0)</x:f>
        <x:v>6.642345270083931</x:v>
      </x:c>
      <x:c r="BE58" s="63" t="n">
        <x:f>IF(BB58+BC58&gt;0,(BB58*crown_charter+BC58*crown_comp)/(BA58),0)</x:f>
        <x:v>0.19434715090708227</x:v>
      </x:c>
    </x:row>
    <x:row r="59">
      <x:c r="A59" s="58" t="n">
        <x:v>1899</x:v>
      </x:c>
      <x:c r="B59" s="65" t="n">
        <x:f>champ_scale*(1+Labour!AP59)*(1+Partners!BX59)*(1-IF(union_resp=2,tariff_cut*Labour!S59,0))</x:f>
        <x:v>1.2013614066765717</x:v>
      </x:c>
      <x:c r="C59" s="45" t="n">
        <x:v>1890</x:v>
      </x:c>
      <x:c r="D59" s="45" t="n">
        <x:v>480</x:v>
      </x:c>
      <x:c r="E59" s="45" t="n">
        <x:v>4300</x:v>
      </x:c>
      <x:c r="F59" s="47" t="n">
        <x:f>E59*B59</x:f>
        <x:v>5165.854048709258</x:v>
      </x:c>
      <x:c r="G59" s="47" t="n">
        <x:f>F59/Economy!B59*1000000</x:f>
        <x:v>679.7130391317135</x:v>
      </x:c>
      <x:c r="H59" s="45" t="n">
        <x:v>332</x:v>
      </x:c>
      <x:c r="I59" s="67" t="n">
        <x:f>IF(H59&gt;0,G59/H59,0)</x:f>
        <x:v>2.047328431119619</x:v>
      </x:c>
      <x:c r="J59" s="68" t="n">
        <x:v>0.359</x:v>
      </x:c>
      <x:c r="K59" s="53" t="n">
        <x:f>Resources!K59*J59*B59</x:f>
        <x:v>9.272708017433118</x:v>
      </x:c>
      <x:c r="L59" s="45" t="n">
        <x:v>0</x:v>
      </x:c>
      <x:c r="M59" s="59" t="n">
        <x:v>0</x:v>
      </x:c>
      <x:c r="N59" s="45" t="n">
        <x:v>14</x:v>
      </x:c>
      <x:c r="O59" s="68" t="n">
        <x:v>0.552</x:v>
      </x:c>
      <x:c r="P59" s="53" t="n">
        <x:f>(IF(Gulf!E59=1,0,L59*M59)+N59)*O59*B59</x:f>
        <x:v>9.284120950796547</x:v>
      </x:c>
      <x:c r="Q59" s="53" t="n">
        <x:f>P59*oil_book</x:f>
        <x:v>64.98884665557583</x:v>
      </x:c>
      <x:c r="R59" s="68" t="n">
        <x:v>1.305</x:v>
      </x:c>
      <x:c r="S59" s="45" t="n">
        <x:v>16</x:v>
      </x:c>
      <x:c r="T59" s="53" t="n">
        <x:f>R59*S59*B59</x:f>
        <x:v>25.084426171406815</x:v>
      </x:c>
      <x:c r="U59" s="45" t="n">
        <x:v>0</x:v>
      </x:c>
      <x:c r="V59" s="45" t="n">
        <x:v>0</x:v>
      </x:c>
      <x:c r="W59" s="53" t="n">
        <x:f>U59/1000*V59*B59</x:f>
        <x:v>0</x:v>
      </x:c>
      <x:c r="X59" s="45" t="n">
        <x:v>1440</x:v>
      </x:c>
      <x:c r="Y59" s="59" t="n">
        <x:v>0.043</x:v>
      </x:c>
      <x:c r="Z59" s="53" t="n">
        <x:f>X59*Y59*chem_va*B59</x:f>
        <x:v>33.47473423563599</x:v>
      </x:c>
      <x:c r="AA59" s="59" t="n">
        <x:v>0.019</x:v>
      </x:c>
      <x:c r="AB59" s="53" t="n">
        <x:f>X59*AA59*roy_rate*B59*(1-IF(union_resp=2,lic_cut*Labour!S59,0))</x:f>
        <x:v>0.98607744260013</x:v>
      </x:c>
      <x:c r="AC59" s="45" t="n">
        <x:v>370</x:v>
      </x:c>
      <x:c r="AD59" s="59" t="n">
        <x:v>0.218</x:v>
      </x:c>
      <x:c r="AE59" s="59" t="n">
        <x:v>0.313</x:v>
      </x:c>
      <x:c r="AF59" s="53" t="n">
        <x:f>AC59*AD59*elec_va*B59</x:f>
        <x:v>43.60581497813952</x:v>
      </x:c>
      <x:c r="AG59" s="53" t="n">
        <x:f>MAX(0,AE59-AD59)*AC59*roy_rate*B59*(1-IF(union_resp=2,lic_cut*Labour!S59,0))</x:f>
        <x:v>1.2668356033404449</x:v>
      </x:c>
      <x:c r="AH59" s="52" t="n">
        <x:v>30</x:v>
      </x:c>
      <x:c r="AI59" s="53" t="n">
        <x:f>AH59*B59</x:f>
        <x:v>36.04084220029715</x:v>
      </x:c>
      <x:c r="AJ59" s="52" t="n">
        <x:v>28</x:v>
      </x:c>
      <x:c r="AK59" s="53" t="n">
        <x:f>AJ59*B59</x:f>
        <x:v>33.638119386944005</x:v>
      </x:c>
      <x:c r="AL59" s="45" t="n">
        <x:v>76</x:v>
      </x:c>
      <x:c r="AM59" s="53" t="n">
        <x:f>AL59*uw_fee*B59</x:f>
        <x:v>2.282586672685486</x:v>
      </x:c>
      <x:c r="AN59" s="52" t="n">
        <x:v>0</x:v>
      </x:c>
      <x:c r="AO59" s="52" t="n">
        <x:v>0</x:v>
      </x:c>
      <x:c r="AP59" s="53" t="n">
        <x:f>K59+T59+W59+Z59+AF59+AI59+AK59+AM59+AN59+AO59</x:f>
        <x:v>183.3992316625421</x:v>
      </x:c>
      <x:c r="AQ59" s="53" t="n">
        <x:f>AP59*(1-1/champ_prem+champ_spill)</x:f>
        <x:v>127.360577543432</x:v>
      </x:c>
      <x:c r="AR59" s="63" t="n">
        <x:f>AP59/Economy!O59</x:f>
        <x:v>0.05002924826243265</x:v>
      </x:c>
      <x:c r="AS59" s="52" t="n">
        <x:v>233</x:v>
      </x:c>
      <x:c r="AT59" s="52" t="n">
        <x:v>66</x:v>
      </x:c>
      <x:c r="AU59" s="52" t="n">
        <x:v>36</x:v>
      </x:c>
      <x:c r="AV59" s="52" t="n">
        <x:v>0</x:v>
      </x:c>
      <x:c r="AW59" s="52" t="n">
        <x:v>5</x:v>
      </x:c>
      <x:c r="AX59" s="52" t="n">
        <x:v>9</x:v>
      </x:c>
      <x:c r="AY59" s="53" t="n">
        <x:f>Q59+(AS59+AT59+AU59+AV59+AW59+AX59)*B59</x:f>
        <x:v>484.2639775856993</x:v>
      </x:c>
      <x:c r="AZ59" s="53" t="n">
        <x:f>P59+(AS59*ret_rail+AT59*ret_tel+AU59*ret_elec+AV59*ret_auto+AW59*ret_chem+AX59*ret_steel)*B59*IF(OR($A59=1931,$A59=1932),abroad_slump,1)+AB59+AG59</x:f>
        <x:v>37.8588624170208</x:v>
      </x:c>
      <x:c r="BA59" s="53" t="n">
        <x:f>AP59*champ_profit+AZ59</x:f>
        <x:v>74.53870874952922</x:v>
      </x:c>
      <x:c r="BB59" s="53" t="n">
        <x:f>(K59+AI59+AK59)*champ_profit+P59+(AS59*ret_rail+AT59*ret_tel+AU59*ret_elec)*B59*IF(OR($A59=1931,$A59=1932),abroad_slump,1)</x:f>
        <x:v>50.026731288403795</x:v>
      </x:c>
      <x:c r="BC59" s="53" t="n">
        <x:f>(T59+W59+Z59+AF59+AN59+AO59)*champ_profit+(AV59*ret_auto+AW59*ret_chem+AX59*ret_steel)*B59*IF(OR($A59=1931,$A59=1932),abroad_slump,1)+AB59+AG59</x:f>
        <x:v>24.055460126588336</x:v>
      </x:c>
      <x:c r="BD59" s="53" t="n">
        <x:f>IF($A59&gt;=crown_start,(BB59*crown_charter+BC59*crown_comp)*crown_payout,0)</x:f>
        <x:v>7.215559816114008</x:v>
      </x:c>
      <x:c r="BE59" s="63" t="n">
        <x:f>IF(BB59+BC59&gt;0,(BB59*crown_charter+BC59*crown_comp)/(BA59),0)</x:f>
        <x:v>0.1936057100307518</x:v>
      </x:c>
    </x:row>
    <x:row r="60">
      <x:c r="A60" s="58" t="n">
        <x:v>1900</x:v>
      </x:c>
      <x:c r="B60" s="65" t="n">
        <x:f>champ_scale*(1+Labour!AP60)*(1+Partners!BX60)*(1-IF(union_resp=2,tariff_cut*Labour!S60,0))</x:f>
        <x:v>1.2151105822246984</x:v>
      </x:c>
      <x:c r="C60" s="45" t="n">
        <x:v>2000</x:v>
      </x:c>
      <x:c r="D60" s="45" t="n">
        <x:v>500</x:v>
      </x:c>
      <x:c r="E60" s="45" t="n">
        <x:v>4500</x:v>
      </x:c>
      <x:c r="F60" s="47" t="n">
        <x:f>E60*B60</x:f>
        <x:v>5467.997620011142</x:v>
      </x:c>
      <x:c r="G60" s="47" t="n">
        <x:f>F60/Economy!B60*1000000</x:f>
        <x:v>687.3147514423305</x:v>
      </x:c>
      <x:c r="H60" s="45" t="n">
        <x:v>324</x:v>
      </x:c>
      <x:c r="I60" s="67" t="n">
        <x:f>IF(H60&gt;0,G60/H60,0)</x:f>
        <x:v>2.1213418254392917</x:v>
      </x:c>
      <x:c r="J60" s="68" t="n">
        <x:v>0.365</x:v>
      </x:c>
      <x:c r="K60" s="53" t="n">
        <x:f>Resources!K60*J60*B60</x:f>
        <x:v>11.087884062800372</x:v>
      </x:c>
      <x:c r="L60" s="45" t="n">
        <x:v>0</x:v>
      </x:c>
      <x:c r="M60" s="59" t="n">
        <x:v>0</x:v>
      </x:c>
      <x:c r="N60" s="45" t="n">
        <x:v>15</x:v>
      </x:c>
      <x:c r="O60" s="68" t="n">
        <x:v>0.55</x:v>
      </x:c>
      <x:c r="P60" s="53" t="n">
        <x:f>(IF(Gulf!E60=1,0,L60*M60)+N60)*O60*B60</x:f>
        <x:v>10.024662303353761</x:v>
      </x:c>
      <x:c r="Q60" s="53" t="n">
        <x:f>P60*oil_book</x:f>
        <x:v>70.17263612347632</x:v>
      </x:c>
      <x:c r="R60" s="68" t="n">
        <x:v>1.4</x:v>
      </x:c>
      <x:c r="S60" s="45" t="n">
        <x:v>16</x:v>
      </x:c>
      <x:c r="T60" s="53" t="n">
        <x:f>R60*S60*B60</x:f>
        <x:v>27.218477041833243</x:v>
      </x:c>
      <x:c r="U60" s="45" t="n">
        <x:v>0.5</x:v>
      </x:c>
      <x:c r="V60" s="45" t="n">
        <x:v>500</x:v>
      </x:c>
      <x:c r="W60" s="53" t="n">
        <x:f>U60/1000*V60*B60</x:f>
        <x:v>0.3037776455561746</x:v>
      </x:c>
      <x:c r="X60" s="45" t="n">
        <x:v>1500</x:v>
      </x:c>
      <x:c r="Y60" s="59" t="n">
        <x:v>0.045</x:v>
      </x:c>
      <x:c r="Z60" s="53" t="n">
        <x:f>X60*Y60*chem_va*B60</x:f>
        <x:v>36.90898393507521</x:v>
      </x:c>
      <x:c r="AA60" s="59" t="n">
        <x:v>0.02</x:v>
      </x:c>
      <x:c r="AB60" s="53" t="n">
        <x:f>X60*AA60*roy_rate*B60*(1-IF(union_resp=2,lic_cut*Labour!S60,0))</x:f>
        <x:v>1.0935995240022285</x:v>
      </x:c>
      <x:c r="AC60" s="45" t="n">
        <x:v>400</x:v>
      </x:c>
      <x:c r="AD60" s="59" t="n">
        <x:v>0.22</x:v>
      </x:c>
      <x:c r="AE60" s="59" t="n">
        <x:v>0.32</x:v>
      </x:c>
      <x:c r="AF60" s="53" t="n">
        <x:f>AC60*AD60*elec_va*B60</x:f>
        <x:v>48.11837905609806</x:v>
      </x:c>
      <x:c r="AG60" s="53" t="n">
        <x:f>MAX(0,AE60-AD60)*AC60*roy_rate*B60*(1-IF(union_resp=2,lic_cut*Labour!S60,0))</x:f>
        <x:v>1.458132698669638</x:v>
      </x:c>
      <x:c r="AH60" s="52" t="n">
        <x:v>32</x:v>
      </x:c>
      <x:c r="AI60" s="53" t="n">
        <x:f>AH60*B60</x:f>
        <x:v>38.88353863119035</x:v>
      </x:c>
      <x:c r="AJ60" s="52" t="n">
        <x:v>30</x:v>
      </x:c>
      <x:c r="AK60" s="53" t="n">
        <x:f>AJ60*B60</x:f>
        <x:v>36.45331746674095</x:v>
      </x:c>
      <x:c r="AL60" s="45" t="n">
        <x:v>80</x:v>
      </x:c>
      <x:c r="AM60" s="53" t="n">
        <x:f>AL60*uw_fee*B60</x:f>
        <x:v>2.4302211644493967</x:v>
      </x:c>
      <x:c r="AN60" s="52" t="n">
        <x:v>0</x:v>
      </x:c>
      <x:c r="AO60" s="52" t="n">
        <x:v>1</x:v>
      </x:c>
      <x:c r="AP60" s="53" t="n">
        <x:f>K60+T60+W60+Z60+AF60+AI60+AK60+AM60+AN60+AO60</x:f>
        <x:v>202.40457900374372</x:v>
      </x:c>
      <x:c r="AQ60" s="53" t="n">
        <x:f>AP60*(1-1/champ_prem+champ_spill)</x:f>
        <x:v>140.55873541926647</x:v>
      </x:c>
      <x:c r="AR60" s="63" t="n">
        <x:f>AP60/Economy!O60</x:f>
        <x:v>0.05021208840953001</x:v>
      </x:c>
      <x:c r="AS60" s="52" t="n">
        <x:v>250</x:v>
      </x:c>
      <x:c r="AT60" s="52" t="n">
        <x:v>70</x:v>
      </x:c>
      <x:c r="AU60" s="52" t="n">
        <x:v>40</x:v>
      </x:c>
      <x:c r="AV60" s="52" t="n">
        <x:v>0</x:v>
      </x:c>
      <x:c r="AW60" s="52" t="n">
        <x:v>5</x:v>
      </x:c>
      <x:c r="AX60" s="52" t="n">
        <x:v>10</x:v>
      </x:c>
      <x:c r="AY60" s="53" t="n">
        <x:f>Q60+(AS60+AT60+AU60+AV60+AW60+AX60)*B60</x:f>
        <x:v>525.8391044577382</x:v>
      </x:c>
      <x:c r="AZ60" s="53" t="n">
        <x:f>P60+(AS60*ret_rail+AT60*ret_tel+AU60*ret_elec+AV60*ret_auto+AW60*ret_chem+AX60*ret_steel)*B60*IF(OR($A60=1931,$A60=1932),abroad_slump,1)+AB60+AG60</x:f>
        <x:v>41.13149320830605</x:v>
      </x:c>
      <x:c r="BA60" s="53" t="n">
        <x:f>AP60*champ_profit+AZ60</x:f>
        <x:v>81.6124090090548</x:v>
      </x:c>
      <x:c r="BB60" s="53" t="n">
        <x:f>(K60+AI60+AK60)*champ_profit+P60+(AS60*ret_rail+AT60*ret_tel+AU60*ret_elec)*B60*IF(OR($A60=1931,$A60=1932),abroad_slump,1)</x:f>
        <x:v>54.40657631911087</x:v>
      </x:c>
      <x:c r="BC60" s="53" t="n">
        <x:f>(T60+W60+Z60+AF60+AN60+AO60)*champ_profit+(AV60*ret_auto+AW60*ret_chem+AX60*ret_steel)*B60*IF(OR($A60=1931,$A60=1932),abroad_slump,1)+AB60+AG60</x:f>
        <x:v>26.719788457054044</x:v>
      </x:c>
      <x:c r="BD60" s="53" t="n">
        <x:f>IF($A60&gt;=crown_start,(BB60*crown_charter+BC60*crown_comp)*crown_payout,0)</x:f>
        <x:v>7.869613578171021</x:v>
      </x:c>
      <x:c r="BE60" s="63" t="n">
        <x:f>IF(BB60+BC60&gt;0,(BB60*crown_charter+BC60*crown_comp)/(BA60),0)</x:f>
        <x:v>0.1928533582999099</x:v>
      </x:c>
    </x:row>
    <x:row r="61">
      <x:c r="A61" s="58" t="n">
        <x:v>1901</x:v>
      </x:c>
      <x:c r="B61" s="65" t="n">
        <x:f>champ_scale*(1+Labour!AP61)*(1+Partners!BX61)*(1-IF(union_resp=2,tariff_cut*Labour!S61,0))</x:f>
        <x:v>1.228626768410575</x:v>
      </x:c>
      <x:c r="C61" s="45" t="n">
        <x:v>2190</x:v>
      </x:c>
      <x:c r="D61" s="45" t="n">
        <x:v>520</x:v>
      </x:c>
      <x:c r="E61" s="45" t="n">
        <x:v>4770</x:v>
      </x:c>
      <x:c r="F61" s="47" t="n">
        <x:f>E61*B61</x:f>
        <x:v>5860.549685318442</x:v>
      </x:c>
      <x:c r="G61" s="47" t="n">
        <x:f>F61/Economy!B61*1000000</x:f>
        <x:v>701.2763167644033</x:v>
      </x:c>
      <x:c r="H61" s="45" t="n">
        <x:v>326</x:v>
      </x:c>
      <x:c r="I61" s="67" t="n">
        <x:f>IF(H61&gt;0,G61/H61,0)</x:f>
        <x:v>2.1511543459030777</x:v>
      </x:c>
      <x:c r="J61" s="68" t="n">
        <x:v>0.372</x:v>
      </x:c>
      <x:c r="K61" s="53" t="n">
        <x:f>Resources!K61*J61*B61</x:f>
        <x:v>13.711474735462016</x:v>
      </x:c>
      <x:c r="L61" s="45" t="n">
        <x:v>4</x:v>
      </x:c>
      <x:c r="M61" s="59" t="n">
        <x:v>0.4</x:v>
      </x:c>
      <x:c r="N61" s="45" t="n">
        <x:v>17</x:v>
      </x:c>
      <x:c r="O61" s="68" t="n">
        <x:v>0.554</x:v>
      </x:c>
      <x:c r="P61" s="53" t="n">
        <x:f>(IF(Gulf!E61=1,0,L61*M61)+N61)*O61*B61</x:f>
        <x:v>12.66026167240993</x:v>
      </x:c>
      <x:c r="Q61" s="53" t="n">
        <x:f>P61*oil_book</x:f>
        <x:v>88.62183170686951</x:v>
      </x:c>
      <x:c r="R61" s="68" t="n">
        <x:v>1.58</x:v>
      </x:c>
      <x:c r="S61" s="45" t="n">
        <x:v>16</x:v>
      </x:c>
      <x:c r="T61" s="53" t="n">
        <x:f>R61*S61*B61</x:f>
        <x:v>31.059684705419336</x:v>
      </x:c>
      <x:c r="U61" s="45" t="n">
        <x:v>1.2</x:v>
      </x:c>
      <x:c r="V61" s="45" t="n">
        <x:v>494</x:v>
      </x:c>
      <x:c r="W61" s="53" t="n">
        <x:f>U61/1000*V61*B61</x:f>
        <x:v>0.7283299483137888</x:v>
      </x:c>
      <x:c r="X61" s="45" t="n">
        <x:v>1577</x:v>
      </x:c>
      <x:c r="Y61" s="59" t="n">
        <x:v>0.048</x:v>
      </x:c>
      <x:c r="Z61" s="53" t="n">
        <x:f>X61*Y61*chem_va*B61</x:f>
        <x:v>41.8509593377231</x:v>
      </x:c>
      <x:c r="AA61" s="59" t="n">
        <x:v>0.022</x:v>
      </x:c>
      <x:c r="AB61" s="53" t="n">
        <x:f>X61*AA61*roy_rate*B61*(1-IF(union_resp=2,lic_cut*Labour!S61,0))</x:f>
        <x:v>1.2787793130970944</x:v>
      </x:c>
      <x:c r="AC61" s="45" t="n">
        <x:v>446</x:v>
      </x:c>
      <x:c r="AD61" s="59" t="n">
        <x:v>0.22</x:v>
      </x:c>
      <x:c r="AE61" s="59" t="n">
        <x:v>0.325</x:v>
      </x:c>
      <x:c r="AF61" s="53" t="n">
        <x:f>AC61*AD61*elec_va*B61</x:f>
        <x:v>54.24878633240053</x:v>
      </x:c>
      <x:c r="AG61" s="53" t="n">
        <x:f>MAX(0,AE61-AD61)*AC61*roy_rate*B61*(1-IF(union_resp=2,lic_cut*Labour!S61,0))</x:f>
        <x:v>1.7260977469400167</x:v>
      </x:c>
      <x:c r="AH61" s="52" t="n">
        <x:v>36</x:v>
      </x:c>
      <x:c r="AI61" s="53" t="n">
        <x:f>AH61*B61</x:f>
        <x:v>44.230563662780696</x:v>
      </x:c>
      <x:c r="AJ61" s="52" t="n">
        <x:v>33</x:v>
      </x:c>
      <x:c r="AK61" s="53" t="n">
        <x:f>AJ61*B61</x:f>
        <x:v>40.544683357548976</x:v>
      </x:c>
      <x:c r="AL61" s="45" t="n">
        <x:v>122</x:v>
      </x:c>
      <x:c r="AM61" s="53" t="n">
        <x:f>AL61*uw_fee*B61</x:f>
        <x:v>3.747311643652254</x:v>
      </x:c>
      <x:c r="AN61" s="52" t="n">
        <x:v>0</x:v>
      </x:c>
      <x:c r="AO61" s="52" t="n">
        <x:v>2</x:v>
      </x:c>
      <x:c r="AP61" s="53" t="n">
        <x:f>K61+T61+W61+Z61+AF61+AI61+AK61+AM61+AN61+AO61</x:f>
        <x:v>232.1217937233007</x:v>
      </x:c>
      <x:c r="AQ61" s="53" t="n">
        <x:f>AP61*(1-1/champ_prem+champ_spill)</x:f>
        <x:v>161.19569008562547</x:v>
      </x:c>
      <x:c r="AR61" s="63" t="n">
        <x:f>AP61/Economy!O61</x:f>
        <x:v>0.052652445495001414</x:v>
      </x:c>
      <x:c r="AS61" s="52" t="n">
        <x:v>290</x:v>
      </x:c>
      <x:c r="AT61" s="52" t="n">
        <x:v>78</x:v>
      </x:c>
      <x:c r="AU61" s="52" t="n">
        <x:v>56</x:v>
      </x:c>
      <x:c r="AV61" s="52" t="n">
        <x:v>0</x:v>
      </x:c>
      <x:c r="AW61" s="52" t="n">
        <x:v>8</x:v>
      </x:c>
      <x:c r="AX61" s="52" t="n">
        <x:v>490</x:v>
      </x:c>
      <x:c r="AY61" s="53" t="n">
        <x:f>Q61+(AS61+AT61+AU61+AV61+AW61+AX61)*B61</x:f>
        <x:v>1221.4157121814196</x:v>
      </x:c>
      <x:c r="AZ61" s="53" t="n">
        <x:f>P61+(AS61*ret_rail+AT61*ret_tel+AU61*ret_elec+AV61*ret_auto+AW61*ret_chem+AX61*ret_steel)*B61*IF(OR($A61=1931,$A61=1932),abroad_slump,1)+AB61+AG61</x:f>
        <x:v>85.18084128911737</x:v>
      </x:c>
      <x:c r="BA61" s="53" t="n">
        <x:f>AP61*champ_profit+AZ61</x:f>
        <x:v>131.60520003377752</x:v>
      </x:c>
      <x:c r="BB61" s="53" t="n">
        <x:f>(K61+AI61+AK61)*champ_profit+P61+(AS61*ret_rail+AT61*ret_tel+AU61*ret_elec)*B61*IF(OR($A61=1931,$A61=1932),abroad_slump,1)</x:f>
        <x:v>64.57219989129354</x:v>
      </x:c>
      <x:c r="BC61" s="53" t="n">
        <x:f>(T61+W61+Z61+AF61+AN61+AO61)*champ_profit+(AV61*ret_auto+AW61*ret_chem+AX61*ret_steel)*B61*IF(OR($A61=1931,$A61=1932),abroad_slump,1)+AB61+AG61</x:f>
        <x:v>66.28353781375351</x:v>
      </x:c>
      <x:c r="BD61" s="53" t="n">
        <x:f>IF($A61&gt;=crown_start,(BB61*crown_charter+BC61*crown_comp)*crown_payout,0)</x:f>
        <x:v>10.722866498961832</x:v>
      </x:c>
      <x:c r="BE61" s="63" t="n">
        <x:f>IF(BB61+BC61&gt;0,(BB61*crown_charter+BC61*crown_comp)/(BA61),0)</x:f>
        <x:v>0.16295505794922577</x:v>
      </x:c>
    </x:row>
    <x:row r="62">
      <x:c r="A62" s="58" t="n">
        <x:v>1902</x:v>
      </x:c>
      <x:c r="B62" s="65" t="n">
        <x:f>champ_scale*(1+Labour!AP62)*(1+Partners!BX62)*(1-IF(union_resp=2,tariff_cut*Labour!S62,0))</x:f>
        <x:v>1.241446459460846</x:v>
      </x:c>
      <x:c r="C62" s="45" t="n">
        <x:v>2380</x:v>
      </x:c>
      <x:c r="D62" s="45" t="n">
        <x:v>550</x:v>
      </x:c>
      <x:c r="E62" s="45" t="n">
        <x:v>5040</x:v>
      </x:c>
      <x:c r="F62" s="47" t="n">
        <x:f>E62*B62</x:f>
        <x:v>6256.890155682664</x:v>
      </x:c>
      <x:c r="G62" s="47" t="n">
        <x:f>F62/Economy!B62*1000000</x:f>
        <x:v>711.5959201914173</x:v>
      </x:c>
      <x:c r="H62" s="45" t="n">
        <x:v>328</x:v>
      </x:c>
      <x:c r="I62" s="67" t="n">
        <x:f>IF(H62&gt;0,G62/H62,0)</x:f>
        <x:v>2.1694997566811502</x:v>
      </x:c>
      <x:c r="J62" s="68" t="n">
        <x:v>0.378</x:v>
      </x:c>
      <x:c r="K62" s="53" t="n">
        <x:f>Resources!K62*J62*B62</x:f>
        <x:v>16.424336658666995</x:v>
      </x:c>
      <x:c r="L62" s="45" t="n">
        <x:v>12</x:v>
      </x:c>
      <x:c r="M62" s="59" t="n">
        <x:v>0.411</x:v>
      </x:c>
      <x:c r="N62" s="45" t="n">
        <x:v>18</x:v>
      </x:c>
      <x:c r="O62" s="68" t="n">
        <x:v>0.5580000000000001</x:v>
      </x:c>
      <x:c r="P62" s="53" t="n">
        <x:f>(IF(Gulf!E62=1,0,L62*M62)+N62)*O62*B62</x:f>
        <x:v>15.885618416262716</x:v>
      </x:c>
      <x:c r="Q62" s="53" t="n">
        <x:f>P62*oil_book</x:f>
        <x:v>111.19932891383901</x:v>
      </x:c>
      <x:c r="R62" s="68" t="n">
        <x:v>1.76</x:v>
      </x:c>
      <x:c r="S62" s="45" t="n">
        <x:v>16</x:v>
      </x:c>
      <x:c r="T62" s="53" t="n">
        <x:f>R62*S62*B62</x:f>
        <x:v>34.95913229841742</x:v>
      </x:c>
      <x:c r="U62" s="45" t="n">
        <x:v>1.9</x:v>
      </x:c>
      <x:c r="V62" s="45" t="n">
        <x:v>489</x:v>
      </x:c>
      <x:c r="W62" s="53" t="n">
        <x:f>U62/1000*V62*B62</x:f>
        <x:v>1.1534279054850722</x:v>
      </x:c>
      <x:c r="X62" s="45" t="n">
        <x:v>1654</x:v>
      </x:c>
      <x:c r="Y62" s="59" t="n">
        <x:v>0.05</x:v>
      </x:c>
      <x:c r="Z62" s="53" t="n">
        <x:f>X62*Y62*chem_va*B62</x:f>
        <x:v>46.20042998883539</x:v>
      </x:c>
      <x:c r="AA62" s="59" t="n">
        <x:v>0.025</x:v>
      </x:c>
      <x:c r="AB62" s="53" t="n">
        <x:f>X62*AA62*roy_rate*B62*(1-IF(union_resp=2,lic_cut*Labour!S62,0))</x:f>
        <x:v>1.5400143329611795</x:v>
      </x:c>
      <x:c r="AC62" s="45" t="n">
        <x:v>492</x:v>
      </x:c>
      <x:c r="AD62" s="59" t="n">
        <x:v>0.22</x:v>
      </x:c>
      <x:c r="AE62" s="59" t="n">
        <x:v>0.329</x:v>
      </x:c>
      <x:c r="AF62" s="53" t="n">
        <x:f>AC62*AD62*elec_va*B62</x:f>
        <x:v>60.46837414741889</x:v>
      </x:c>
      <x:c r="AG62" s="53" t="n">
        <x:f>MAX(0,AE62-AD62)*AC62*roy_rate*B62*(1-IF(union_resp=2,lic_cut*Labour!S62,0))</x:f>
        <x:v>1.9972887218389876</x:v>
      </x:c>
      <x:c r="AH62" s="52" t="n">
        <x:v>41</x:v>
      </x:c>
      <x:c r="AI62" s="53" t="n">
        <x:f>AH62*B62</x:f>
        <x:v>50.89930483789469</x:v>
      </x:c>
      <x:c r="AJ62" s="52" t="n">
        <x:v>36</x:v>
      </x:c>
      <x:c r="AK62" s="53" t="n">
        <x:f>AJ62*B62</x:f>
        <x:v>44.69207254059046</x:v>
      </x:c>
      <x:c r="AL62" s="45" t="n">
        <x:v>165</x:v>
      </x:c>
      <x:c r="AM62" s="53" t="n">
        <x:f>AL62*uw_fee*B62</x:f>
        <x:v>5.12096664527599</x:v>
      </x:c>
      <x:c r="AN62" s="52" t="n">
        <x:v>0</x:v>
      </x:c>
      <x:c r="AO62" s="52" t="n">
        <x:v>3</x:v>
      </x:c>
      <x:c r="AP62" s="53" t="n">
        <x:f>K62+T62+W62+Z62+AF62+AI62+AK62+AM62+AN62+AO62</x:f>
        <x:v>262.9180450225849</x:v>
      </x:c>
      <x:c r="AQ62" s="53" t="n">
        <x:f>AP62*(1-1/champ_prem+champ_spill)</x:f>
        <x:v>182.5819757101284</x:v>
      </x:c>
      <x:c r="AR62" s="63" t="n">
        <x:f>AP62/Economy!O62</x:f>
        <x:v>0.05445600958755409</x:v>
      </x:c>
      <x:c r="AS62" s="52" t="n">
        <x:v>330</x:v>
      </x:c>
      <x:c r="AT62" s="52" t="n">
        <x:v>87</x:v>
      </x:c>
      <x:c r="AU62" s="52" t="n">
        <x:v>72</x:v>
      </x:c>
      <x:c r="AV62" s="52" t="n">
        <x:v>0</x:v>
      </x:c>
      <x:c r="AW62" s="52" t="n">
        <x:v>10</x:v>
      </x:c>
      <x:c r="AX62" s="52" t="n">
        <x:v>499</x:v>
      </x:c>
      <x:c r="AY62" s="53" t="n">
        <x:f>Q62+(AS62+AT62+AU62+AV62+AW62+AX62)*B62</x:f>
        <x:v>1350.1628954557634</x:v>
      </x:c>
      <x:c r="AZ62" s="53" t="n">
        <x:f>P62+(AS62*ret_rail+AT62*ret_tel+AU62*ret_elec+AV62*ret_auto+AW62*ret_chem+AX62*ret_steel)*B62*IF(OR($A62=1931,$A62=1932),abroad_slump,1)+AB62+AG62</x:f>
        <x:v>95.6229051527696</x:v>
      </x:c>
      <x:c r="BA62" s="53" t="n">
        <x:f>AP62*champ_profit+AZ62</x:f>
        <x:v>148.2065141572866</x:v>
      </x:c>
      <x:c r="BB62" s="53" t="n">
        <x:f>(K62+AI62+AK62)*champ_profit+P62+(AS62*ret_rail+AT62*ret_tel+AU62*ret_elec)*B62*IF(OR($A62=1931,$A62=1932),abroad_slump,1)</x:f>
        <x:v>75.83010215778913</x:v>
      </x:c>
      <x:c r="BC62" s="53" t="n">
        <x:f>(T62+W62+Z62+AF62+AN62+AO62)*champ_profit+(AV62*ret_auto+AW62*ret_chem+AX62*ret_steel)*B62*IF(OR($A62=1931,$A62=1932),abroad_slump,1)+AB62+AG62</x:f>
        <x:v>71.35221867044226</x:v>
      </x:c>
      <x:c r="BD62" s="53" t="n">
        <x:f>IF($A62&gt;=crown_start,(BB62*crown_charter+BC62*crown_comp)*crown_payout,0)</x:f>
        <x:v>12.332851516541332</x:v>
      </x:c>
      <x:c r="BE62" s="63" t="n">
        <x:f>IF(BB62+BC62&gt;0,(BB62*crown_charter+BC62*crown_comp)/(BA62),0)</x:f>
        <x:v>0.1664279277691248</x:v>
      </x:c>
    </x:row>
    <x:row r="63">
      <x:c r="A63" s="58" t="n">
        <x:v>1903</x:v>
      </x:c>
      <x:c r="B63" s="65" t="n">
        <x:f>champ_scale*(1+Labour!AP63)*(1+Partners!BX63)*(1-IF(union_resp=2,tariff_cut*Labour!S63,0))</x:f>
        <x:v>1.2538254047879207</x:v>
      </x:c>
      <x:c r="C63" s="45" t="n">
        <x:v>2580</x:v>
      </x:c>
      <x:c r="D63" s="45" t="n">
        <x:v>570</x:v>
      </x:c>
      <x:c r="E63" s="45" t="n">
        <x:v>5310</x:v>
      </x:c>
      <x:c r="F63" s="47" t="n">
        <x:f>E63*B63</x:f>
        <x:v>6657.812899423859</x:v>
      </x:c>
      <x:c r="G63" s="47" t="n">
        <x:f>F63/Economy!B63*1000000</x:f>
        <x:v>718.7599392421548</x:v>
      </x:c>
      <x:c r="H63" s="45" t="n">
        <x:v>330</x:v>
      </x:c>
      <x:c r="I63" s="67" t="n">
        <x:f>IF(H63&gt;0,G63/H63,0)</x:f>
        <x:v>2.178060421945924</x:v>
      </x:c>
      <x:c r="J63" s="68" t="n">
        <x:v>0.385</x:v>
      </x:c>
      <x:c r="K63" s="53" t="n">
        <x:f>Resources!K63*J63*B63</x:f>
        <x:v>19.30891123373398</x:v>
      </x:c>
      <x:c r="L63" s="45" t="n">
        <x:v>20</x:v>
      </x:c>
      <x:c r="M63" s="59" t="n">
        <x:v>0.422</x:v>
      </x:c>
      <x:c r="N63" s="45" t="n">
        <x:v>20</x:v>
      </x:c>
      <x:c r="O63" s="68" t="n">
        <x:v>0.5620000000000001</x:v>
      </x:c>
      <x:c r="P63" s="53" t="n">
        <x:f>(IF(Gulf!E63=1,0,L63*M63)+N63)*O63*B63</x:f>
        <x:v>20.040242515838678</x:v>
      </x:c>
      <x:c r="Q63" s="53" t="n">
        <x:f>P63*oil_book</x:f>
        <x:v>140.28169761087074</x:v>
      </x:c>
      <x:c r="R63" s="68" t="n">
        <x:v>1.94</x:v>
      </x:c>
      <x:c r="S63" s="45" t="n">
        <x:v>16</x:v>
      </x:c>
      <x:c r="T63" s="53" t="n">
        <x:f>R63*S63*B63</x:f>
        <x:v>38.91874056461706</x:v>
      </x:c>
      <x:c r="U63" s="45" t="n">
        <x:v>2.6</x:v>
      </x:c>
      <x:c r="V63" s="45" t="n">
        <x:v>483</x:v>
      </x:c>
      <x:c r="W63" s="53" t="n">
        <x:f>U63/1000*V63*B63</x:f>
        <x:v>1.574553943332671</x:v>
      </x:c>
      <x:c r="X63" s="45" t="n">
        <x:v>1731</x:v>
      </x:c>
      <x:c r="Y63" s="59" t="n">
        <x:v>0.053</x:v>
      </x:c>
      <x:c r="Z63" s="53" t="n">
        <x:f>X63*Y63*chem_va*B63</x:f>
        <x:v>51.76336685015619</x:v>
      </x:c>
      <x:c r="AA63" s="59" t="n">
        <x:v>0.027</x:v>
      </x:c>
      <x:c r="AB63" s="53" t="n">
        <x:f>X63*AA63*roy_rate*B63*(1-IF(union_resp=2,lic_cut*Labour!S63,0))</x:f>
        <x:v>1.7580011383071914</x:v>
      </x:c>
      <x:c r="AC63" s="45" t="n">
        <x:v>538</x:v>
      </x:c>
      <x:c r="AD63" s="59" t="n">
        <x:v>0.22</x:v>
      </x:c>
      <x:c r="AE63" s="59" t="n">
        <x:v>0.334</x:v>
      </x:c>
      <x:c r="AF63" s="53" t="n">
        <x:f>AC63*AD63*elec_va*B63</x:f>
        <x:v>66.78124870981424</x:v>
      </x:c>
      <x:c r="AG63" s="53" t="n">
        <x:f>MAX(0,AE63-AD63)*AC63*roy_rate*B63*(1-IF(union_resp=2,lic_cut*Labour!S63,0))</x:f>
        <x:v>2.306988591793583</x:v>
      </x:c>
      <x:c r="AH63" s="52" t="n">
        <x:v>45</x:v>
      </x:c>
      <x:c r="AI63" s="53" t="n">
        <x:f>AH63*B63</x:f>
        <x:v>56.42214321545643</x:v>
      </x:c>
      <x:c r="AJ63" s="52" t="n">
        <x:v>39</x:v>
      </x:c>
      <x:c r="AK63" s="53" t="n">
        <x:f>AJ63*B63</x:f>
        <x:v>48.89919078672891</x:v>
      </x:c>
      <x:c r="AL63" s="45" t="n">
        <x:v>208</x:v>
      </x:c>
      <x:c r="AM63" s="53" t="n">
        <x:f>AL63*uw_fee*B63</x:f>
        <x:v>6.519892104897188</x:v>
      </x:c>
      <x:c r="AN63" s="52" t="n">
        <x:v>0</x:v>
      </x:c>
      <x:c r="AO63" s="52" t="n">
        <x:v>4</x:v>
      </x:c>
      <x:c r="AP63" s="53" t="n">
        <x:f>K63+T63+W63+Z63+AF63+AI63+AK63+AM63+AN63+AO63</x:f>
        <x:v>294.1880474087366</x:v>
      </x:c>
      <x:c r="AQ63" s="53" t="n">
        <x:f>AP63*(1-1/champ_prem+champ_spill)</x:f>
        <x:v>204.29725514495598</x:v>
      </x:c>
      <x:c r="AR63" s="63" t="n">
        <x:f>AP63/Economy!O63</x:f>
        <x:v>0.05558158866303352</x:v>
      </x:c>
      <x:c r="AS63" s="52" t="n">
        <x:v>370</x:v>
      </x:c>
      <x:c r="AT63" s="52" t="n">
        <x:v>95</x:v>
      </x:c>
      <x:c r="AU63" s="52" t="n">
        <x:v>88</x:v>
      </x:c>
      <x:c r="AV63" s="52" t="n">
        <x:v>0</x:v>
      </x:c>
      <x:c r="AW63" s="52" t="n">
        <x:v>13</x:v>
      </x:c>
      <x:c r="AX63" s="52" t="n">
        <x:v>508</x:v>
      </x:c>
      <x:c r="AY63" s="53" t="n">
        <x:f>Q63+(AS63+AT63+AU63+AV63+AW63+AX63)*B63</x:f>
        <x:v>1486.8901823530975</x:v>
      </x:c>
      <x:c r="AZ63" s="53" t="n">
        <x:f>P63+(AS63*ret_rail+AT63*ret_tel+AU63*ret_elec+AV63*ret_auto+AW63*ret_chem+AX63*ret_steel)*B63*IF(OR($A63=1931,$A63=1932),abroad_slump,1)+AB63+AG63</x:f>
        <x:v>107.1084740428998</x:v>
      </x:c>
      <x:c r="BA63" s="53" t="n">
        <x:f>AP63*champ_profit+AZ63</x:f>
        <x:v>165.94608352464712</x:v>
      </x:c>
      <x:c r="BB63" s="53" t="n">
        <x:f>(K63+AI63+AK63)*champ_profit+P63+(AS63*ret_rail+AT63*ret_tel+AU63*ret_elec)*B63*IF(OR($A63=1931,$A63=1932),abroad_slump,1)</x:f>
        <x:v>87.79696739057792</x:v>
      </x:c>
      <x:c r="BC63" s="53" t="n">
        <x:f>(T63+W63+Z63+AF63+AN63+AO63)*champ_profit+(AV63*ret_auto+AW63*ret_chem+AX63*ret_steel)*B63*IF(OR($A63=1931,$A63=1932),abroad_slump,1)+AB63+AG63</x:f>
        <x:v>76.84513771308978</x:v>
      </x:c>
      <x:c r="BD63" s="53" t="n">
        <x:f>IF($A63&gt;=crown_start,(BB63*crown_charter+BC63*crown_comp)*crown_payout,0)</x:f>
        <x:v>14.048426432345831</x:v>
      </x:c>
      <x:c r="BE63" s="63" t="n">
        <x:f>IF(BB63+BC63&gt;0,(BB63*crown_charter+BC63*crown_comp)/(BA63),0)</x:f>
        <x:v>0.1693131423648126</x:v>
      </x:c>
    </x:row>
    <x:row r="64">
      <x:c r="A64" s="58" t="n">
        <x:v>1904</x:v>
      </x:c>
      <x:c r="B64" s="65" t="n">
        <x:f>champ_scale*(1+Labour!AP64)*(1+Partners!BX64)*(1-IF(union_resp=2,tariff_cut*Labour!S64,0))</x:f>
        <x:v>1.2586063213086307</x:v>
      </x:c>
      <x:c r="C64" s="45" t="n">
        <x:v>2770</x:v>
      </x:c>
      <x:c r="D64" s="45" t="n">
        <x:v>590</x:v>
      </x:c>
      <x:c r="E64" s="45" t="n">
        <x:v>5580</x:v>
      </x:c>
      <x:c r="F64" s="47" t="n">
        <x:f>E64*B64</x:f>
        <x:v>7023.023272902159</x:v>
      </x:c>
      <x:c r="G64" s="47" t="n">
        <x:f>F64/Economy!B64*1000000</x:f>
        <x:v>719.3754967051868</x:v>
      </x:c>
      <x:c r="H64" s="45" t="n">
        <x:v>332</x:v>
      </x:c>
      <x:c r="I64" s="67" t="n">
        <x:f>IF(H64&gt;0,G64/H64,0)</x:f>
        <x:v>2.166793664774659</x:v>
      </x:c>
      <x:c r="J64" s="68" t="n">
        <x:v>0.391</x:v>
      </x:c>
      <x:c r="K64" s="53" t="n">
        <x:f>Resources!K64*J64*B64</x:f>
        <x:v>22.145178223425354</x:v>
      </x:c>
      <x:c r="L64" s="45" t="n">
        <x:v>35</x:v>
      </x:c>
      <x:c r="M64" s="59" t="n">
        <x:v>0.433</x:v>
      </x:c>
      <x:c r="N64" s="45" t="n">
        <x:v>21</x:v>
      </x:c>
      <x:c r="O64" s="68" t="n">
        <x:v>0.5649999999999999</x:v>
      </x:c>
      <x:c r="P64" s="53" t="n">
        <x:f>(IF(Gulf!E64=1,0,L64*M64)+N64)*O64*B64</x:f>
        <x:v>25.710275024006148</x:v>
      </x:c>
      <x:c r="Q64" s="53" t="n">
        <x:f>P64*oil_book</x:f>
        <x:v>179.97192516804304</x:v>
      </x:c>
      <x:c r="R64" s="68" t="n">
        <x:v>2.12</x:v>
      </x:c>
      <x:c r="S64" s="45" t="n">
        <x:v>17</x:v>
      </x:c>
      <x:c r="T64" s="53" t="n">
        <x:f>R64*S64*B64</x:f>
        <x:v>45.36017181996305</x:v>
      </x:c>
      <x:c r="U64" s="45" t="n">
        <x:v>3.3</x:v>
      </x:c>
      <x:c r="V64" s="45" t="n">
        <x:v>478</x:v>
      </x:c>
      <x:c r="W64" s="53" t="n">
        <x:f>U64/1000*V64*B64</x:f>
        <x:v>1.985325611232234</x:v>
      </x:c>
      <x:c r="X64" s="45" t="n">
        <x:v>1808</x:v>
      </x:c>
      <x:c r="Y64" s="59" t="n">
        <x:v>0.056</x:v>
      </x:c>
      <x:c r="Z64" s="53" t="n">
        <x:f>X64*Y64*chem_va*B64</x:f>
        <x:v>57.34411776893531</x:v>
      </x:c>
      <x:c r="AA64" s="59" t="n">
        <x:v>0.029</x:v>
      </x:c>
      <x:c r="AB64" s="53" t="n">
        <x:f>X64*AA64*roy_rate*B64*(1-IF(union_resp=2,lic_cut*Labour!S64,0))</x:f>
        <x:v>1.8948915106299542</x:v>
      </x:c>
      <x:c r="AC64" s="45" t="n">
        <x:v>585</x:v>
      </x:c>
      <x:c r="AD64" s="59" t="n">
        <x:v>0.22</x:v>
      </x:c>
      <x:c r="AE64" s="59" t="n">
        <x:v>0.338</x:v>
      </x:c>
      <x:c r="AF64" s="53" t="n">
        <x:f>AC64*AD64*elec_va*B64</x:f>
        <x:v>72.89218509858935</x:v>
      </x:c>
      <x:c r="AG64" s="53" t="n">
        <x:f>MAX(0,AE64-AD64)*AC64*roy_rate*B64*(1-IF(union_resp=2,lic_cut*Labour!S64,0))</x:f>
        <x:v>2.494742923763842</x:v>
      </x:c>
      <x:c r="AH64" s="52" t="n">
        <x:v>50</x:v>
      </x:c>
      <x:c r="AI64" s="53" t="n">
        <x:f>AH64*B64</x:f>
        <x:v>62.93031606543153</x:v>
      </x:c>
      <x:c r="AJ64" s="52" t="n">
        <x:v>42</x:v>
      </x:c>
      <x:c r="AK64" s="53" t="n">
        <x:f>AJ64*B64</x:f>
        <x:v>52.86146549496249</x:v>
      </x:c>
      <x:c r="AL64" s="45" t="n">
        <x:v>250</x:v>
      </x:c>
      <x:c r="AM64" s="53" t="n">
        <x:f>AL64*uw_fee*B64</x:f>
        <x:v>7.866289508178942</x:v>
      </x:c>
      <x:c r="AN64" s="52" t="n">
        <x:v>0</x:v>
      </x:c>
      <x:c r="AO64" s="52" t="n">
        <x:v>5</x:v>
      </x:c>
      <x:c r="AP64" s="53" t="n">
        <x:f>K64+T64+W64+Z64+AF64+AI64+AK64+AM64+AN64+AO64</x:f>
        <x:v>328.38504959071827</x:v>
      </x:c>
      <x:c r="AQ64" s="53" t="n">
        <x:f>AP64*(1-1/champ_prem+champ_spill)</x:f>
        <x:v>228.04517332688766</x:v>
      </x:c>
      <x:c r="AR64" s="63" t="n">
        <x:f>AP64/Economy!O64</x:f>
        <x:v>0.05661360790494803</x:v>
      </x:c>
      <x:c r="AS64" s="52" t="n">
        <x:v>410</x:v>
      </x:c>
      <x:c r="AT64" s="52" t="n">
        <x:v>104</x:v>
      </x:c>
      <x:c r="AU64" s="52" t="n">
        <x:v>105</x:v>
      </x:c>
      <x:c r="AV64" s="52" t="n">
        <x:v>0</x:v>
      </x:c>
      <x:c r="AW64" s="52" t="n">
        <x:v>16</x:v>
      </x:c>
      <x:c r="AX64" s="52" t="n">
        <x:v>518</x:v>
      </x:c>
      <x:c r="AY64" s="53" t="n">
        <x:f>Q64+(AS64+AT64+AU64+AV64+AW64+AX64)*B64</x:f>
        <x:v>1631.1450136368942</x:v>
      </x:c>
      <x:c r="AZ64" s="53" t="n">
        <x:f>P64+(AS64*ret_rail+AT64*ret_tel+AU64*ret_elec+AV64*ret_auto+AW64*ret_chem+AX64*ret_steel)*B64*IF(OR($A64=1931,$A64=1932),abroad_slump,1)+AB64+AG64</x:f>
        <x:v>119.77560985163989</x:v>
      </x:c>
      <x:c r="BA64" s="53" t="n">
        <x:f>AP64*champ_profit+AZ64</x:f>
        <x:v>185.45261976978355</x:v>
      </x:c>
      <x:c r="BB64" s="53" t="n">
        <x:f>(K64+AI64+AK64)*champ_profit+P64+(AS64*ret_rail+AT64*ret_tel+AU64*ret_elec)*B64*IF(OR($A64=1931,$A64=1932),abroad_slump,1)</x:f>
        <x:v>101.43935877082515</x:v>
      </x:c>
      <x:c r="BC64" s="53" t="n">
        <x:f>(T64+W64+Z64+AF64+AN64+AO64)*champ_profit+(AV64*ret_auto+AW64*ret_chem+AX64*ret_steel)*B64*IF(OR($A64=1931,$A64=1932),abroad_slump,1)+AB64+AG64</x:f>
        <x:v>82.4400030973226</x:v>
      </x:c>
      <x:c r="BD64" s="53" t="n">
        <x:f>IF($A64&gt;=crown_start,(BB64*crown_charter+BC64*crown_comp)*crown_payout,0)</x:f>
        <x:v>15.977519970246048</x:v>
      </x:c>
      <x:c r="BE64" s="63" t="n">
        <x:f>IF(BB64+BC64&gt;0,(BB64*crown_charter+BC64*crown_comp)/(BA64),0)</x:f>
        <x:v>0.17230837709470115</x:v>
      </x:c>
    </x:row>
    <x:row r="65">
      <x:c r="A65" s="58" t="n">
        <x:v>1905</x:v>
      </x:c>
      <x:c r="B65" s="65" t="n">
        <x:f>champ_scale*(1+Labour!AP65)*(1+Partners!BX65)*(1-IF(union_resp=2,tariff_cut*Labour!S65,0))</x:f>
        <x:v>1.263069198522496</x:v>
      </x:c>
      <x:c r="C65" s="45" t="n">
        <x:v>2960</x:v>
      </x:c>
      <x:c r="D65" s="45" t="n">
        <x:v>620</x:v>
      </x:c>
      <x:c r="E65" s="45" t="n">
        <x:v>5850</x:v>
      </x:c>
      <x:c r="F65" s="47" t="n">
        <x:f>E65*B65</x:f>
        <x:v>7388.954811356602</x:v>
      </x:c>
      <x:c r="G65" s="47" t="n">
        <x:f>F65/Economy!B65*1000000</x:f>
        <x:v>718.1395336572971</x:v>
      </x:c>
      <x:c r="H65" s="45" t="n">
        <x:v>334</x:v>
      </x:c>
      <x:c r="I65" s="67" t="n">
        <x:f>IF(H65&gt;0,G65/H65,0)</x:f>
        <x:v>2.1501183642434043</x:v>
      </x:c>
      <x:c r="J65" s="68" t="n">
        <x:v>0.398</x:v>
      </x:c>
      <x:c r="K65" s="53" t="n">
        <x:f>Resources!K65*J65*B65</x:f>
        <x:v>25.135077050597673</x:v>
      </x:c>
      <x:c r="L65" s="45" t="n">
        <x:v>50</x:v>
      </x:c>
      <x:c r="M65" s="59" t="n">
        <x:v>0.444</x:v>
      </x:c>
      <x:c r="N65" s="45" t="n">
        <x:v>23</x:v>
      </x:c>
      <x:c r="O65" s="68" t="n">
        <x:v>0.569</x:v>
      </x:c>
      <x:c r="P65" s="53" t="n">
        <x:f>(IF(Gulf!E65=1,0,L65*M65)+N65)*O65*B65</x:f>
        <x:v>32.48462410296037</x:v>
      </x:c>
      <x:c r="Q65" s="53" t="n">
        <x:f>P65*oil_book</x:f>
        <x:v>227.39236872072257</x:v>
      </x:c>
      <x:c r="R65" s="68" t="n">
        <x:v>2.3</x:v>
      </x:c>
      <x:c r="S65" s="45" t="n">
        <x:v>17</x:v>
      </x:c>
      <x:c r="T65" s="53" t="n">
        <x:f>R65*S65*B65</x:f>
        <x:v>49.386005662229586</x:v>
      </x:c>
      <x:c r="U65" s="45" t="n">
        <x:v>4</x:v>
      </x:c>
      <x:c r="V65" s="45" t="n">
        <x:v>472</x:v>
      </x:c>
      <x:c r="W65" s="53" t="n">
        <x:f>U65/1000*V65*B65</x:f>
        <x:v>2.3846746468104727</x:v>
      </x:c>
      <x:c r="X65" s="45" t="n">
        <x:v>1885</x:v>
      </x:c>
      <x:c r="Y65" s="59" t="n">
        <x:v>0.058</x:v>
      </x:c>
      <x:c r="Z65" s="53" t="n">
        <x:f>X65*Y65*chem_va*B65</x:f>
        <x:v>62.14110996350903</x:v>
      </x:c>
      <x:c r="AA65" s="59" t="n">
        <x:v>0.032</x:v>
      </x:c>
      <x:c r="AB65" s="53" t="n">
        <x:f>X65*AA65*roy_rate*B65*(1-IF(union_resp=2,lic_cut*Labour!S65,0))</x:f>
        <x:v>2.0897371626480536</x:v>
      </x:c>
      <x:c r="AC65" s="45" t="n">
        <x:v>631</x:v>
      </x:c>
      <x:c r="AD65" s="59" t="n">
        <x:v>0.22</x:v>
      </x:c>
      <x:c r="AE65" s="59" t="n">
        <x:v>0.343</x:v>
      </x:c>
      <x:c r="AF65" s="53" t="n">
        <x:f>AC65*AD65*elec_va*B65</x:f>
        <x:v>78.9026697625018</x:v>
      </x:c>
      <x:c r="AG65" s="53" t="n">
        <x:f>MAX(0,AE65-AD65)*AC65*roy_rate*B65*(1-IF(union_resp=2,lic_cut*Labour!S65,0))</x:f>
        <x:v>2.688839031906555</x:v>
      </x:c>
      <x:c r="AH65" s="52" t="n">
        <x:v>54</x:v>
      </x:c>
      <x:c r="AI65" s="53" t="n">
        <x:f>AH65*B65</x:f>
        <x:v>68.20573672021479</x:v>
      </x:c>
      <x:c r="AJ65" s="52" t="n">
        <x:v>45</x:v>
      </x:c>
      <x:c r="AK65" s="53" t="n">
        <x:f>AJ65*B65</x:f>
        <x:v>56.83811393351232</x:v>
      </x:c>
      <x:c r="AL65" s="45" t="n">
        <x:v>300</x:v>
      </x:c>
      <x:c r="AM65" s="53" t="n">
        <x:f>AL65*uw_fee*B65</x:f>
        <x:v>9.47301898891872</x:v>
      </x:c>
      <x:c r="AN65" s="52" t="n">
        <x:v>0</x:v>
      </x:c>
      <x:c r="AO65" s="52" t="n">
        <x:v>6</x:v>
      </x:c>
      <x:c r="AP65" s="53" t="n">
        <x:f>K65+T65+W65+Z65+AF65+AI65+AK65+AM65+AN65+AO65</x:f>
        <x:v>358.4664067282944</x:v>
      </x:c>
      <x:c r="AQ65" s="53" t="n">
        <x:f>AP65*(1-1/champ_prem+champ_spill)</x:f>
        <x:v>248.93500467242663</x:v>
      </x:c>
      <x:c r="AR65" s="63" t="n">
        <x:f>AP65/Economy!O65</x:f>
        <x:v>0.05655675504551653</x:v>
      </x:c>
      <x:c r="AS65" s="52" t="n">
        <x:v>450</x:v>
      </x:c>
      <x:c r="AT65" s="52" t="n">
        <x:v>112</x:v>
      </x:c>
      <x:c r="AU65" s="52" t="n">
        <x:v>121</x:v>
      </x:c>
      <x:c r="AV65" s="52" t="n">
        <x:v>0</x:v>
      </x:c>
      <x:c r="AW65" s="52" t="n">
        <x:v>18</x:v>
      </x:c>
      <x:c r="AX65" s="52" t="n">
        <x:v>527</x:v>
      </x:c>
      <x:c r="AY65" s="53" t="n">
        <x:f>Q65+(AS65+AT65+AU65+AV65+AW65+AX65)*B65</x:f>
        <x:v>1778.4413445063476</x:v>
      </x:c>
      <x:c r="AZ65" s="53" t="n">
        <x:f>P65+(AS65*ret_rail+AT65*ret_tel+AU65*ret_elec+AV65*ret_auto+AW65*ret_chem+AX65*ret_steel)*B65*IF(OR($A65=1931,$A65=1932),abroad_slump,1)+AB65+AG65</x:f>
        <x:v>133.19330592529855</x:v>
      </x:c>
      <x:c r="BA65" s="53" t="n">
        <x:f>AP65*champ_profit+AZ65</x:f>
        <x:v>204.88658727095742</x:v>
      </x:c>
      <x:c r="BB65" s="53" t="n">
        <x:f>(K65+AI65+AK65)*champ_profit+P65+(AS65*ret_rail+AT65*ret_tel+AU65*ret_elec)*B65*IF(OR($A65=1931,$A65=1932),abroad_slump,1)</x:f>
        <x:v>115.78403774551899</x:v>
      </x:c>
      <x:c r="BC65" s="53" t="n">
        <x:f>(T65+W65+Z65+AF65+AN65+AO65)*champ_profit+(AV65*ret_auto+AW65*ret_chem+AX65*ret_steel)*B65*IF(OR($A65=1931,$A65=1932),abroad_slump,1)+AB65+AG65</x:f>
        <x:v>87.2079457276547</x:v>
      </x:c>
      <x:c r="BD65" s="53" t="n">
        <x:f>IF($A65&gt;=crown_start,(BB65*crown_charter+BC65*crown_comp)*crown_payout,0)</x:f>
        <x:v>17.96132254729606</x:v>
      </x:c>
      <x:c r="BE65" s="63" t="n">
        <x:f>IF(BB65+BC65&gt;0,(BB65*crown_charter+BC65*crown_comp)/(BA65),0)</x:f>
        <x:v>0.17532941308200578</x:v>
      </x:c>
    </x:row>
    <x:row r="66">
      <x:c r="A66" s="58" t="n">
        <x:v>1906</x:v>
      </x:c>
      <x:c r="B66" s="65" t="n">
        <x:f>champ_scale*(1+Labour!AP66)*(1+Partners!BX66)*(1-IF(union_resp=2,tariff_cut*Labour!S66,0))</x:f>
        <x:v>1.2672582627513753</x:v>
      </x:c>
      <x:c r="C66" s="45" t="n">
        <x:v>3150</x:v>
      </x:c>
      <x:c r="D66" s="45" t="n">
        <x:v>640</x:v>
      </x:c>
      <x:c r="E66" s="45" t="n">
        <x:v>6120</x:v>
      </x:c>
      <x:c r="F66" s="47" t="n">
        <x:f>E66*B66</x:f>
        <x:v>7755.620568038417</x:v>
      </x:c>
      <x:c r="G66" s="47" t="n">
        <x:f>F66/Economy!B66*1000000</x:f>
        <x:v>715.4723358230424</x:v>
      </x:c>
      <x:c r="H66" s="45" t="n">
        <x:v>336</x:v>
      </x:c>
      <x:c r="I66" s="67" t="n">
        <x:f>IF(H66&gt;0,G66/H66,0)</x:f>
        <x:v>2.1293819518542927</x:v>
      </x:c>
      <x:c r="J66" s="68" t="n">
        <x:v>0.404</x:v>
      </x:c>
      <x:c r="K66" s="53" t="n">
        <x:f>Resources!K66*J66*B66</x:f>
        <x:v>28.158478598335563</x:v>
      </x:c>
      <x:c r="L66" s="45" t="n">
        <x:v>58</x:v>
      </x:c>
      <x:c r="M66" s="59" t="n">
        <x:v>0.456</x:v>
      </x:c>
      <x:c r="N66" s="45" t="n">
        <x:v>24</x:v>
      </x:c>
      <x:c r="O66" s="68" t="n">
        <x:v>0.573</x:v>
      </x:c>
      <x:c r="P66" s="53" t="n">
        <x:f>(IF(Gulf!E66=1,0,L66*M66)+N66)*O66*B66</x:f>
        <x:v>36.632259492908226</x:v>
      </x:c>
      <x:c r="Q66" s="53" t="n">
        <x:f>P66*oil_book</x:f>
        <x:v>256.42581645035756</x:v>
      </x:c>
      <x:c r="R66" s="68" t="n">
        <x:v>2.512</x:v>
      </x:c>
      <x:c r="S66" s="45" t="n">
        <x:v>17</x:v>
      </x:c>
      <x:c r="T66" s="53" t="n">
        <x:f>R66*S66*B66</x:f>
        <x:v>54.11699685253473</x:v>
      </x:c>
      <x:c r="U66" s="45" t="n">
        <x:v>10.5</x:v>
      </x:c>
      <x:c r="V66" s="45" t="n">
        <x:v>467</x:v>
      </x:c>
      <x:c r="W66" s="53" t="n">
        <x:f>U66/1000*V66*B66</x:f>
        <x:v>6.214000891401369</x:v>
      </x:c>
      <x:c r="X66" s="45" t="n">
        <x:v>1962</x:v>
      </x:c>
      <x:c r="Y66" s="59" t="n">
        <x:v>0.061</x:v>
      </x:c>
      <x:c r="Z66" s="53" t="n">
        <x:f>X66*Y66*chem_va*B66</x:f>
        <x:v>68.25060153117455</x:v>
      </x:c>
      <x:c r="AA66" s="59" t="n">
        <x:v>0.034</x:v>
      </x:c>
      <x:c r="AB66" s="53" t="n">
        <x:f>X66*AA66*roy_rate*B66*(1-IF(union_resp=2,lic_cut*Labour!S66,0))</x:f>
        <x:v>2.210019478152318</x:v>
      </x:c>
      <x:c r="AC66" s="45" t="n">
        <x:v>677</x:v>
      </x:c>
      <x:c r="AD66" s="59" t="n">
        <x:v>0.22</x:v>
      </x:c>
      <x:c r="AE66" s="59" t="n">
        <x:v>0.348</x:v>
      </x:c>
      <x:c r="AF66" s="53" t="n">
        <x:f>AC66*AD66*elec_va*B66</x:f>
        <x:v>84.93545054438542</x:v>
      </x:c>
      <x:c r="AG66" s="53" t="n">
        <x:f>MAX(0,AE66-AD66)*AC66*roy_rate*B66*(1-IF(union_resp=2,lic_cut*Labour!S66,0))</x:f>
        <x:v>2.8708917655868453</x:v>
      </x:c>
      <x:c r="AH66" s="52" t="n">
        <x:v>59</x:v>
      </x:c>
      <x:c r="AI66" s="53" t="n">
        <x:f>AH66*B66</x:f>
        <x:v>74.76823750233115</x:v>
      </x:c>
      <x:c r="AJ66" s="52" t="n">
        <x:v>48</x:v>
      </x:c>
      <x:c r="AK66" s="53" t="n">
        <x:f>AJ66*B66</x:f>
        <x:v>60.828396612066015</x:v>
      </x:c>
      <x:c r="AL66" s="45" t="n">
        <x:v>120</x:v>
      </x:c>
      <x:c r="AM66" s="53" t="n">
        <x:f>AL66*uw_fee*B66</x:f>
        <x:v>3.801774788254126</x:v>
      </x:c>
      <x:c r="AN66" s="52" t="n">
        <x:v>0</x:v>
      </x:c>
      <x:c r="AO66" s="52" t="n">
        <x:v>6</x:v>
      </x:c>
      <x:c r="AP66" s="53" t="n">
        <x:f>K66+T66+W66+Z66+AF66+AI66+AK66+AM66+AN66+AO66</x:f>
        <x:v>387.0739373204829</x:v>
      </x:c>
      <x:c r="AQ66" s="53" t="n">
        <x:f>AP66*(1-1/champ_prem+champ_spill)</x:f>
        <x:v>268.80134536144647</x:v>
      </x:c>
      <x:c r="AR66" s="63" t="n">
        <x:f>AP66/Economy!O66</x:f>
        <x:v>0.055161110142133686</x:v>
      </x:c>
      <x:c r="AS66" s="52" t="n">
        <x:v>506</x:v>
      </x:c>
      <x:c r="AT66" s="52" t="n">
        <x:v>121</x:v>
      </x:c>
      <x:c r="AU66" s="52" t="n">
        <x:v>137</x:v>
      </x:c>
      <x:c r="AV66" s="52" t="n">
        <x:v>0</x:v>
      </x:c>
      <x:c r="AW66" s="52" t="n">
        <x:v>21</x:v>
      </x:c>
      <x:c r="AX66" s="52" t="n">
        <x:v>536</x:v>
      </x:c>
      <x:c r="AY66" s="53" t="n">
        <x:f>Q66+(AS66+AT66+AU66+AV66+AW66+AX66)*B66</x:f>
        <x:v>1930.4739815449243</x:v>
      </x:c>
      <x:c r="AZ66" s="53" t="n">
        <x:f>P66+(AS66*ret_rail+AT66*ret_tel+AU66*ret_elec+AV66*ret_auto+AW66*ret_chem+AX66*ret_steel)*B66*IF(OR($A66=1931,$A66=1932),abroad_slump,1)+AB66+AG66</x:f>
        <x:v>145.2101530555522</x:v>
      </x:c>
      <x:c r="BA66" s="53" t="n">
        <x:f>AP66*champ_profit+AZ66</x:f>
        <x:v>222.62494051964882</x:v>
      </x:c>
      <x:c r="BB66" s="53" t="n">
        <x:f>(K66+AI66+AK66)*champ_profit+P66+(AS66*ret_rail+AT66*ret_tel+AU66*ret_elec)*B66*IF(OR($A66=1931,$A66=1932),abroad_slump,1)</x:f>
        <x:v>128.93174780214193</x:v>
      </x:c>
      <x:c r="BC66" s="53" t="n">
        <x:f>(T66+W66+Z66+AF66+AN66+AO66)*champ_profit+(AV66*ret_auto+AW66*ret_chem+AX66*ret_steel)*B66*IF(OR($A66=1931,$A66=1932),abroad_slump,1)+AB66+AG66</x:f>
        <x:v>92.93283775985608</x:v>
      </x:c>
      <x:c r="BD66" s="53" t="n">
        <x:f>IF($A66&gt;=crown_start,(BB66*crown_charter+BC66*crown_comp)*crown_payout,0)</x:f>
        <x:v>19.833781985661986</x:v>
      </x:c>
      <x:c r="BE66" s="63" t="n">
        <x:f>IF(BB66+BC66&gt;0,(BB66*crown_charter+BC66*crown_comp)/(BA66),0)</x:f>
        <x:v>0.1781811322609783</x:v>
      </x:c>
    </x:row>
    <x:row r="67">
      <x:c r="A67" s="58" t="n">
        <x:v>1907</x:v>
      </x:c>
      <x:c r="B67" s="65" t="n">
        <x:f>champ_scale*(1+Labour!AP67)*(1+Partners!BX67)*(1-IF(union_resp=2,tariff_cut*Labour!S67,0))</x:f>
        <x:v>1.2712709458768219</x:v>
      </x:c>
      <x:c r="C67" s="45" t="n">
        <x:v>3350</x:v>
      </x:c>
      <x:c r="D67" s="45" t="n">
        <x:v>660</x:v>
      </x:c>
      <x:c r="E67" s="45" t="n">
        <x:v>6380</x:v>
      </x:c>
      <x:c r="F67" s="47" t="n">
        <x:f>E67*B67</x:f>
        <x:v>8110.708634694123</x:v>
      </x:c>
      <x:c r="G67" s="47" t="n">
        <x:f>F67/Economy!B67*1000000</x:f>
        <x:v>710.6738219928212</x:v>
      </x:c>
      <x:c r="H67" s="45" t="n">
        <x:v>337</x:v>
      </x:c>
      <x:c r="I67" s="67" t="n">
        <x:f>IF(H67&gt;0,G67/H67,0)</x:f>
        <x:v>2.1088243976048107</x:v>
      </x:c>
      <x:c r="J67" s="68" t="n">
        <x:v>0.411</x:v>
      </x:c>
      <x:c r="K67" s="53" t="n">
        <x:f>Resources!K67*J67*B67</x:f>
        <x:v>31.34954152532243</x:v>
      </x:c>
      <x:c r="L67" s="45" t="n">
        <x:v>67</x:v>
      </x:c>
      <x:c r="M67" s="59" t="n">
        <x:v>0.467</x:v>
      </x:c>
      <x:c r="N67" s="45" t="n">
        <x:v>26</x:v>
      </x:c>
      <x:c r="O67" s="68" t="n">
        <x:v>0.577</x:v>
      </x:c>
      <x:c r="P67" s="53" t="n">
        <x:f>(IF(Gulf!E67=1,0,L67*M67)+N67)*O67*B67</x:f>
        <x:v>42.02281838298059</x:v>
      </x:c>
      <x:c r="Q67" s="53" t="n">
        <x:f>P67*oil_book</x:f>
        <x:v>294.15972868086413</x:v>
      </x:c>
      <x:c r="R67" s="68" t="n">
        <x:v>2.725</x:v>
      </x:c>
      <x:c r="S67" s="45" t="n">
        <x:v>17</x:v>
      </x:c>
      <x:c r="T67" s="53" t="n">
        <x:f>R67*S67*B67</x:f>
        <x:v>58.89162656774378</x:v>
      </x:c>
      <x:c r="U67" s="45" t="n">
        <x:v>17</x:v>
      </x:c>
      <x:c r="V67" s="45" t="n">
        <x:v>461</x:v>
      </x:c>
      <x:c r="W67" s="53" t="n">
        <x:f>U67/1000*V67*B67</x:f>
        <x:v>9.962950402836654</x:v>
      </x:c>
      <x:c r="X67" s="45" t="n">
        <x:v>2038</x:v>
      </x:c>
      <x:c r="Y67" s="59" t="n">
        <x:v>0.064</x:v>
      </x:c>
      <x:c r="Z67" s="53" t="n">
        <x:f>X67*Y67*chem_va*B67</x:f>
        <x:v>74.61648540567255</x:v>
      </x:c>
      <x:c r="AA67" s="59" t="n">
        <x:v>0.036</x:v>
      </x:c>
      <x:c r="AB67" s="53" t="n">
        <x:f>X67*AA67*roy_rate*B67*(1-IF(union_resp=2,lic_cut*Labour!S67,0))</x:f>
        <x:v>2.318440796533397</x:v>
      </x:c>
      <x:c r="AC67" s="45" t="n">
        <x:v>723</x:v>
      </x:c>
      <x:c r="AD67" s="59" t="n">
        <x:v>0.22</x:v>
      </x:c>
      <x:c r="AE67" s="59" t="n">
        <x:v>0.352</x:v>
      </x:c>
      <x:c r="AF67" s="53" t="n">
        <x:f>AC67*AD67*elec_va*B67</x:f>
        <x:v>90.99376049302528</x:v>
      </x:c>
      <x:c r="AG67" s="53" t="n">
        <x:f>MAX(0,AE67-AD67)*AC67*roy_rate*B67*(1-IF(union_resp=2,lic_cut*Labour!S67,0))</x:f>
        <x:v>3.0157932049116942</x:v>
      </x:c>
      <x:c r="AH67" s="52" t="n">
        <x:v>63</x:v>
      </x:c>
      <x:c r="AI67" s="53" t="n">
        <x:f>AH67*B67</x:f>
        <x:v>80.09006959023978</x:v>
      </x:c>
      <x:c r="AJ67" s="52" t="n">
        <x:v>52</x:v>
      </x:c>
      <x:c r="AK67" s="53" t="n">
        <x:f>AJ67*B67</x:f>
        <x:v>66.10608918559474</x:v>
      </x:c>
      <x:c r="AL67" s="45" t="n">
        <x:v>131</x:v>
      </x:c>
      <x:c r="AM67" s="53" t="n">
        <x:f>AL67*uw_fee*B67</x:f>
        <x:v>4.1634123477465925</x:v>
      </x:c>
      <x:c r="AN67" s="52" t="n">
        <x:v>0</x:v>
      </x:c>
      <x:c r="AO67" s="52" t="n">
        <x:v>7</x:v>
      </x:c>
      <x:c r="AP67" s="53" t="n">
        <x:f>K67+T67+W67+Z67+AF67+AI67+AK67+AM67+AN67+AO67</x:f>
        <x:v>423.1739355181818</x:v>
      </x:c>
      <x:c r="AQ67" s="53" t="n">
        <x:f>AP67*(1-1/champ_prem+champ_spill)</x:f>
        <x:v>293.8707885542929</x:v>
      </x:c>
      <x:c r="AR67" s="63" t="n">
        <x:f>AP67/Economy!O67</x:f>
        <x:v>0.055361153588885034</x:v>
      </x:c>
      <x:c r="AS67" s="52" t="n">
        <x:v>562</x:v>
      </x:c>
      <x:c r="AT67" s="52" t="n">
        <x:v>129</x:v>
      </x:c>
      <x:c r="AU67" s="52" t="n">
        <x:v>153</x:v>
      </x:c>
      <x:c r="AV67" s="52" t="n">
        <x:v>0</x:v>
      </x:c>
      <x:c r="AW67" s="52" t="n">
        <x:v>24</x:v>
      </x:c>
      <x:c r="AX67" s="52" t="n">
        <x:v>545</x:v>
      </x:c>
      <x:c r="AY67" s="53" t="n">
        <x:f>Q67+(AS67+AT67+AU67+AV67+AW67+AX67)*B67</x:f>
        <x:v>2090.4655752048134</x:v>
      </x:c>
      <x:c r="AZ67" s="53" t="n">
        <x:f>P67+(AS67*ret_rail+AT67*ret_tel+AU67*ret_elec+AV67*ret_auto+AW67*ret_chem+AX67*ret_steel)*B67*IF(OR($A67=1931,$A67=1932),abroad_slump,1)+AB67+AG67</x:f>
        <x:v>158.32629325001344</x:v>
      </x:c>
      <x:c r="BA67" s="53" t="n">
        <x:f>AP67*champ_profit+AZ67</x:f>
        <x:v>242.9610803536498</x:v>
      </x:c>
      <x:c r="BB67" s="53" t="n">
        <x:f>(K67+AI67+AK67)*champ_profit+P67+(AS67*ret_rail+AT67*ret_tel+AU67*ret_elec)*B67*IF(OR($A67=1931,$A67=1932),abroad_slump,1)</x:f>
        <x:v>143.26937905450245</x:v>
      </x:c>
      <x:c r="BC67" s="53" t="n">
        <x:f>(T67+W67+Z67+AF67+AN67+AO67)*champ_profit+(AV67*ret_auto+AW67*ret_chem+AX67*ret_steel)*B67*IF(OR($A67=1931,$A67=1932),abroad_slump,1)+AB67+AG67</x:f>
        <x:v>98.85901882959806</x:v>
      </x:c>
      <x:c r="BD67" s="53" t="n">
        <x:f>IF($A67&gt;=crown_start,(BB67*crown_charter+BC67*crown_comp)*crown_payout,0)</x:f>
        <x:v>21.86303313499673</x:v>
      </x:c>
      <x:c r="BE67" s="63" t="n">
        <x:f>IF(BB67+BC67&gt;0,(BB67*crown_charter+BC67*crown_comp)/(BA67),0)</x:f>
        <x:v>0.1799714843478082</x:v>
      </x:c>
    </x:row>
    <x:row r="68">
      <x:c r="A68" s="58" t="n">
        <x:v>1908</x:v>
      </x:c>
      <x:c r="B68" s="65" t="n">
        <x:f>champ_scale*(1+Labour!AP68)*(1+Partners!BX68)*(1-IF(union_resp=2,tariff_cut*Labour!S68,0))</x:f>
        <x:v>1.2741895331070028</x:v>
      </x:c>
      <x:c r="C68" s="45" t="n">
        <x:v>3540</x:v>
      </x:c>
      <x:c r="D68" s="45" t="n">
        <x:v>680</x:v>
      </x:c>
      <x:c r="E68" s="45" t="n">
        <x:v>6650</x:v>
      </x:c>
      <x:c r="F68" s="47" t="n">
        <x:f>E68*B68</x:f>
        <x:v>8473.360395161568</x:v>
      </x:c>
      <x:c r="G68" s="47" t="n">
        <x:f>F68/Economy!B68*1000000</x:f>
        <x:v>707.8977836965457</x:v>
      </x:c>
      <x:c r="H68" s="45" t="n">
        <x:v>339</x:v>
      </x:c>
      <x:c r="I68" s="67" t="n">
        <x:f>IF(H68&gt;0,G68/H68,0)</x:f>
        <x:v>2.0881940522022</x:v>
      </x:c>
      <x:c r="J68" s="68" t="n">
        <x:v>0.417</x:v>
      </x:c>
      <x:c r="K68" s="53" t="n">
        <x:f>Resources!K68*J68*B68</x:f>
        <x:v>34.53690729486531</x:v>
      </x:c>
      <x:c r="L68" s="45" t="n">
        <x:v>75</x:v>
      </x:c>
      <x:c r="M68" s="59" t="n">
        <x:v>0.478</x:v>
      </x:c>
      <x:c r="N68" s="45" t="n">
        <x:v>27</x:v>
      </x:c>
      <x:c r="O68" s="68" t="n">
        <x:v>0.581</x:v>
      </x:c>
      <x:c r="P68" s="53" t="n">
        <x:f>(IF(Gulf!E68=1,0,L68*M68)+N68)*O68*B68</x:f>
        <x:v>46.52811386250535</x:v>
      </x:c>
      <x:c r="Q68" s="53" t="n">
        <x:f>P68*oil_book</x:f>
        <x:v>325.69679703753746</x:v>
      </x:c>
      <x:c r="R68" s="68" t="n">
        <x:v>2.938</x:v>
      </x:c>
      <x:c r="S68" s="45" t="n">
        <x:v>17</x:v>
      </x:c>
      <x:c r="T68" s="53" t="n">
        <x:f>R68*S68*B68</x:f>
        <x:v>63.640670420562365</x:v>
      </x:c>
      <x:c r="U68" s="45" t="n">
        <x:v>23.5</x:v>
      </x:c>
      <x:c r="V68" s="45" t="n">
        <x:v>456</x:v>
      </x:c>
      <x:c r="W68" s="53" t="n">
        <x:f>U68/1000*V68*B68</x:f>
        <x:v>13.65421503677464</x:v>
      </x:c>
      <x:c r="X68" s="45" t="n">
        <x:v>2115</x:v>
      </x:c>
      <x:c r="Y68" s="59" t="n">
        <x:v>0.067</x:v>
      </x:c>
      <x:c r="Z68" s="53" t="n">
        <x:f>X68*Y68*chem_va*B68</x:f>
        <x:v>81.25156250501753</x:v>
      </x:c>
      <x:c r="AA68" s="59" t="n">
        <x:v>0.038</x:v>
      </x:c>
      <x:c r="AB68" s="53" t="n">
        <x:f>X68*AA68*roy_rate*B68*(1-IF(union_resp=2,lic_cut*Labour!S68,0))</x:f>
        <x:v>2.413870158286946</x:v>
      </x:c>
      <x:c r="AC68" s="45" t="n">
        <x:v>769</x:v>
      </x:c>
      <x:c r="AD68" s="59" t="n">
        <x:v>0.22</x:v>
      </x:c>
      <x:c r="AE68" s="59" t="n">
        <x:v>0.357</x:v>
      </x:c>
      <x:c r="AF68" s="53" t="n">
        <x:f>AC68*AD68*elec_va*B68</x:f>
        <x:v>97.00532334496923</x:v>
      </x:c>
      <x:c r="AG68" s="53" t="n">
        <x:f>MAX(0,AE68-AD68)*AC68*roy_rate*B68*(1-IF(union_resp=2,lic_cut*Labour!S68,0))</x:f>
        <x:v>3.164221261490662</x:v>
      </x:c>
      <x:c r="AH68" s="52" t="n">
        <x:v>68</x:v>
      </x:c>
      <x:c r="AI68" s="53" t="n">
        <x:f>AH68*B68</x:f>
        <x:v>86.64488825127619</x:v>
      </x:c>
      <x:c r="AJ68" s="52" t="n">
        <x:v>55</x:v>
      </x:c>
      <x:c r="AK68" s="53" t="n">
        <x:f>AJ68*B68</x:f>
        <x:v>70.08042432088516</x:v>
      </x:c>
      <x:c r="AL68" s="45" t="n">
        <x:v>143</x:v>
      </x:c>
      <x:c r="AM68" s="53" t="n">
        <x:f>AL68*uw_fee*B68</x:f>
        <x:v>4.555227580857535</x:v>
      </x:c>
      <x:c r="AN68" s="52" t="n">
        <x:v>0</x:v>
      </x:c>
      <x:c r="AO68" s="52" t="n">
        <x:v>8</x:v>
      </x:c>
      <x:c r="AP68" s="53" t="n">
        <x:f>K68+T68+W68+Z68+AF68+AI68+AK68+AM68+AN68+AO68</x:f>
        <x:v>459.369218755208</x:v>
      </x:c>
      <x:c r="AQ68" s="53" t="n">
        <x:f>AP68*(1-1/champ_prem+champ_spill)</x:f>
        <x:v>319.0064019133389</x:v>
      </x:c>
      <x:c r="AR68" s="63" t="n">
        <x:f>AP68/Economy!O68</x:f>
        <x:v>0.05669271664075805</x:v>
      </x:c>
      <x:c r="AS68" s="52" t="n">
        <x:v>619</x:v>
      </x:c>
      <x:c r="AT68" s="52" t="n">
        <x:v>138</x:v>
      </x:c>
      <x:c r="AU68" s="52" t="n">
        <x:v>169</x:v>
      </x:c>
      <x:c r="AV68" s="52" t="n">
        <x:v>0</x:v>
      </x:c>
      <x:c r="AW68" s="52" t="n">
        <x:v>27</x:v>
      </x:c>
      <x:c r="AX68" s="52" t="n">
        <x:v>554</x:v>
      </x:c>
      <x:c r="AY68" s="53" t="n">
        <x:f>Q68+(AS68+AT68+AU68+AV68+AW68+AX68)*B68</x:f>
        <x:v>2245.900423429791</x:v>
      </x:c>
      <x:c r="AZ68" s="53" t="n">
        <x:f>P68+(AS68*ret_rail+AT68*ret_tel+AU68*ret_elec+AV68*ret_auto+AW68*ret_chem+AX68*ret_steel)*B68*IF(OR($A68=1931,$A68=1932),abroad_slump,1)+AB68+AG68</x:f>
        <x:v>170.68228323322066</x:v>
      </x:c>
      <x:c r="BA68" s="53" t="n">
        <x:f>AP68*champ_profit+AZ68</x:f>
        <x:v>262.5561269842623</x:v>
      </x:c>
      <x:c r="BB68" s="53" t="n">
        <x:f>(K68+AI68+AK68)*champ_profit+P68+(AS68*ret_rail+AT68*ret_tel+AU68*ret_elec)*B68*IF(OR($A68=1931,$A68=1932),abroad_slump,1)</x:f>
        <x:v>156.8742016191049</x:v>
      </x:c>
      <x:c r="BC68" s="53" t="n">
        <x:f>(T68+W68+Z68+AF68+AN68+AO68)*champ_profit+(AV68*ret_auto+AW68*ret_chem+AX68*ret_steel)*B68*IF(OR($A68=1931,$A68=1932),abroad_slump,1)+AB68+AG68</x:f>
        <x:v>104.77087984898581</x:v>
      </x:c>
      <x:c r="BD68" s="53" t="n">
        <x:f>IF($A68&gt;=crown_start,(BB68*crown_charter+BC68*crown_comp)*crown_payout,0)</x:f>
        <x:v>23.800110396347545</x:v>
      </x:c>
      <x:c r="BE68" s="63" t="n">
        <x:f>IF(BB68+BC68&gt;0,(BB68*crown_charter+BC68*crown_comp)/(BA68),0)</x:f>
        <x:v>0.18129541039256825</x:v>
      </x:c>
    </x:row>
    <x:row r="69">
      <x:c r="A69" s="58" t="n">
        <x:v>1909</x:v>
      </x:c>
      <x:c r="B69" s="65" t="n">
        <x:f>champ_scale*(1+Labour!AP69)*(1+Partners!BX69)*(1-IF(union_resp=2,tariff_cut*Labour!S69,0))</x:f>
        <x:v>1.2756115972352484</x:v>
      </x:c>
      <x:c r="C69" s="45" t="n">
        <x:v>3730</x:v>
      </x:c>
      <x:c r="D69" s="45" t="n">
        <x:v>710</x:v>
      </x:c>
      <x:c r="E69" s="45" t="n">
        <x:v>6920</x:v>
      </x:c>
      <x:c r="F69" s="47" t="n">
        <x:f>E69*B69</x:f>
        <x:v>8827.23225286792</x:v>
      </x:c>
      <x:c r="G69" s="47" t="n">
        <x:f>F69/Economy!B69*1000000</x:f>
        <x:v>706.1718827545952</x:v>
      </x:c>
      <x:c r="H69" s="45" t="n">
        <x:v>341</x:v>
      </x:c>
      <x:c r="I69" s="67" t="n">
        <x:f>IF(H69&gt;0,G69/H69,0)</x:f>
        <x:v>2.070885286670367</x:v>
      </x:c>
      <x:c r="J69" s="68" t="n">
        <x:v>0.424</x:v>
      </x:c>
      <x:c r="K69" s="53" t="n">
        <x:f>Resources!K69*J69*B69</x:f>
        <x:v>39.21230049901153</x:v>
      </x:c>
      <x:c r="L69" s="45" t="n">
        <x:v>82</x:v>
      </x:c>
      <x:c r="M69" s="59" t="n">
        <x:v>0.489</x:v>
      </x:c>
      <x:c r="N69" s="45" t="n">
        <x:v>29</x:v>
      </x:c>
      <x:c r="O69" s="68" t="n">
        <x:v>0.585</x:v>
      </x:c>
      <x:c r="P69" s="53" t="n">
        <x:f>(IF(Gulf!E69=1,0,L69*M69)+N69)*O69*B69</x:f>
        <x:v>51.563192935270294</x:v>
      </x:c>
      <x:c r="Q69" s="53" t="n">
        <x:f>P69*oil_book</x:f>
        <x:v>360.94235054689204</x:v>
      </x:c>
      <x:c r="R69" s="68" t="n">
        <x:v>3.15</x:v>
      </x:c>
      <x:c r="S69" s="45" t="n">
        <x:v>17</x:v>
      </x:c>
      <x:c r="T69" s="53" t="n">
        <x:f>R69*S69*B69</x:f>
        <x:v>68.30900103194755</x:v>
      </x:c>
      <x:c r="U69" s="45" t="n">
        <x:v>30</x:v>
      </x:c>
      <x:c r="V69" s="45" t="n">
        <x:v>450</x:v>
      </x:c>
      <x:c r="W69" s="53" t="n">
        <x:f>U69/1000*V69*B69</x:f>
        <x:v>17.220756562675852</x:v>
      </x:c>
      <x:c r="X69" s="45" t="n">
        <x:v>2192</x:v>
      </x:c>
      <x:c r="Y69" s="59" t="n">
        <x:v>0.06900000000000001</x:v>
      </x:c>
      <x:c r="Z69" s="53" t="n">
        <x:f>X69*Y69*chem_va*B69</x:f>
        <x:v>86.8201662863866</x:v>
      </x:c>
      <x:c r="AA69" s="59" t="n">
        <x:v>0.041</x:v>
      </x:c>
      <x:c r="AB69" s="53" t="n">
        <x:f>X69*AA69*roy_rate*B69*(1-IF(union_resp=2,lic_cut*Labour!S69,0))</x:f>
        <x:v>2.5548736304013278</x:v>
      </x:c>
      <x:c r="AC69" s="45" t="n">
        <x:v>815</x:v>
      </x:c>
      <x:c r="AD69" s="59" t="n">
        <x:v>0.22</x:v>
      </x:c>
      <x:c r="AE69" s="59" t="n">
        <x:v>0.362</x:v>
      </x:c>
      <x:c r="AF69" s="53" t="n">
        <x:f>AC69*AD69*elec_va*B69</x:f>
        <x:v>102.92272172292603</x:v>
      </x:c>
      <x:c r="AG69" s="53" t="n">
        <x:f>MAX(0,AE69-AD69)*AC69*roy_rate*B69*(1-IF(union_resp=2,lic_cut*Labour!S69,0))</x:f>
        <x:v>3.289962671870501</x:v>
      </x:c>
      <x:c r="AH69" s="52" t="n">
        <x:v>72</x:v>
      </x:c>
      <x:c r="AI69" s="53" t="n">
        <x:f>AH69*B69</x:f>
        <x:v>91.84403500093788</x:v>
      </x:c>
      <x:c r="AJ69" s="52" t="n">
        <x:v>58</x:v>
      </x:c>
      <x:c r="AK69" s="53" t="n">
        <x:f>AJ69*B69</x:f>
        <x:v>73.98547263964441</x:v>
      </x:c>
      <x:c r="AL69" s="45" t="n">
        <x:v>154</x:v>
      </x:c>
      <x:c r="AM69" s="53" t="n">
        <x:f>AL69*uw_fee*B69</x:f>
        <x:v>4.911104649355707</x:v>
      </x:c>
      <x:c r="AN69" s="52" t="n">
        <x:v>0</x:v>
      </x:c>
      <x:c r="AO69" s="52" t="n">
        <x:v>9</x:v>
      </x:c>
      <x:c r="AP69" s="53" t="n">
        <x:f>K69+T69+W69+Z69+AF69+AI69+AK69+AM69+AN69+AO69</x:f>
        <x:v>494.22555839288555</x:v>
      </x:c>
      <x:c r="AQ69" s="53" t="n">
        <x:f>AP69*(1-1/champ_prem+champ_spill)</x:f>
        <x:v>343.21219332839274</x:v>
      </x:c>
      <x:c r="AR69" s="63" t="n">
        <x:f>AP69/Economy!O69</x:f>
        <x:v>0.052917525551096245</x:v>
      </x:c>
      <x:c r="AS69" s="52" t="n">
        <x:v>675</x:v>
      </x:c>
      <x:c r="AT69" s="52" t="n">
        <x:v>146</x:v>
      </x:c>
      <x:c r="AU69" s="52" t="n">
        <x:v>185</x:v>
      </x:c>
      <x:c r="AV69" s="52" t="n">
        <x:v>0</x:v>
      </x:c>
      <x:c r="AW69" s="52" t="n">
        <x:v>29</x:v>
      </x:c>
      <x:c r="AX69" s="52" t="n">
        <x:v>563</x:v>
      </x:c>
      <x:c r="AY69" s="53" t="n">
        <x:f>Q69+(AS69+AT69+AU69+AV69+AW69+AX69)*B69</x:f>
        <x:v>2399.369682928819</x:v>
      </x:c>
      <x:c r="AZ69" s="53" t="n">
        <x:f>P69+(AS69*ret_rail+AT69*ret_tel+AU69*ret_elec+AV69*ret_auto+AW69*ret_chem+AX69*ret_steel)*B69*IF(OR($A69=1931,$A69=1932),abroad_slump,1)+AB69+AG69</x:f>
        <x:v>183.13230826104822</x:v>
      </x:c>
      <x:c r="BA69" s="53" t="n">
        <x:f>AP69*champ_profit+AZ69</x:f>
        <x:v>281.97741993962535</x:v>
      </x:c>
      <x:c r="BB69" s="53" t="n">
        <x:f>(K69+AI69+AK69)*champ_profit+P69+(AS69*ret_rail+AT69*ret_tel+AU69*ret_elec)*B69*IF(OR($A69=1931,$A69=1932),abroad_slump,1)</x:f>
        <x:v>170.76654547370978</x:v>
      </x:c>
      <x:c r="BC69" s="53" t="n">
        <x:f>(T69+W69+Z69+AF69+AN69+AO69)*champ_profit+(AV69*ret_auto+AW69*ret_chem+AX69*ret_steel)*B69*IF(OR($A69=1931,$A69=1932),abroad_slump,1)+AB69+AG69</x:f>
        <x:v>110.22865353604439</x:v>
      </x:c>
      <x:c r="BD69" s="53" t="n">
        <x:f>IF($A69&gt;=crown_start,(BB69*crown_charter+BC69*crown_comp)*crown_payout,0)</x:f>
        <x:v>25.7549643256555</x:v>
      </x:c>
      <x:c r="BE69" s="63" t="n">
        <x:f>IF(BB69+BC69&gt;0,(BB69*crown_charter+BC69*crown_comp)/(BA69),0)</x:f>
        <x:v>0.18267394836912784</x:v>
      </x:c>
    </x:row>
    <x:row r="70">
      <x:c r="A70" s="58" t="n">
        <x:v>1910</x:v>
      </x:c>
      <x:c r="B70" s="65" t="n">
        <x:f>champ_scale*(1+Labour!AP70)*(1+Partners!BX70)*(1-IF(union_resp=2,tariff_cut*Labour!S70,0))</x:f>
        <x:v>1.27515958315484</x:v>
      </x:c>
      <x:c r="C70" s="45" t="n">
        <x:v>3920</x:v>
      </x:c>
      <x:c r="D70" s="45" t="n">
        <x:v>730</x:v>
      </x:c>
      <x:c r="E70" s="45" t="n">
        <x:v>7190</x:v>
      </x:c>
      <x:c r="F70" s="47" t="n">
        <x:f>E70*B70</x:f>
        <x:v>9168.397402883298</x:v>
      </x:c>
      <x:c r="G70" s="47" t="n">
        <x:f>F70/Economy!B70*1000000</x:f>
        <x:v>702.7291472204605</x:v>
      </x:c>
      <x:c r="H70" s="45" t="n">
        <x:v>343</x:v>
      </x:c>
      <x:c r="I70" s="67" t="n">
        <x:f>IF(H70&gt;0,G70/H70,0)</x:f>
        <x:v>2.048773023966357</x:v>
      </x:c>
      <x:c r="J70" s="68" t="n">
        <x:v>0.43</x:v>
      </x:c>
      <x:c r="K70" s="53" t="n">
        <x:f>Resources!K70*J70*B70</x:f>
        <x:v>43.86548966052649</x:v>
      </x:c>
      <x:c r="L70" s="45" t="n">
        <x:v>89</x:v>
      </x:c>
      <x:c r="M70" s="59" t="n">
        <x:v>0.5</x:v>
      </x:c>
      <x:c r="N70" s="45" t="n">
        <x:v>30</x:v>
      </x:c>
      <x:c r="O70" s="68" t="n">
        <x:v>0.588</x:v>
      </x:c>
      <x:c r="P70" s="53" t="n">
        <x:f>(IF(Gulf!E70=1,0,L70*M70)+N70)*O70*B70</x:f>
        <x:v>55.85964069968092</x:v>
      </x:c>
      <x:c r="Q70" s="53" t="n">
        <x:f>P70*oil_book</x:f>
        <x:v>391.0174848977664</x:v>
      </x:c>
      <x:c r="R70" s="68" t="n">
        <x:v>3.362</x:v>
      </x:c>
      <x:c r="S70" s="45" t="n">
        <x:v>18</x:v>
      </x:c>
      <x:c r="T70" s="53" t="n">
        <x:f>R70*S70*B70</x:f>
        <x:v>77.16755733419829</x:v>
      </x:c>
      <x:c r="U70" s="45" t="n">
        <x:v>50</x:v>
      </x:c>
      <x:c r="V70" s="45" t="n">
        <x:v>412</x:v>
      </x:c>
      <x:c r="W70" s="53" t="n">
        <x:f>U70/1000*V70*B70</x:f>
        <x:v>26.268287412989704</x:v>
      </x:c>
      <x:c r="X70" s="45" t="n">
        <x:v>2269</x:v>
      </x:c>
      <x:c r="Y70" s="59" t="n">
        <x:v>0.07199999999999999</x:v>
      </x:c>
      <x:c r="Z70" s="53" t="n">
        <x:f>X70*Y70*chem_va*B70</x:f>
        <x:v>93.74412185137795</x:v>
      </x:c>
      <x:c r="AA70" s="59" t="n">
        <x:v>0.043</x:v>
      </x:c>
      <x:c r="AB70" s="53" t="n">
        <x:f>X70*AA70*roy_rate*B70*(1-IF(union_resp=2,lic_cut*Labour!S70,0))</x:f>
        <x:v>2.612683396043033</x:v>
      </x:c>
      <x:c r="AC70" s="45" t="n">
        <x:v>862</x:v>
      </x:c>
      <x:c r="AD70" s="59" t="n">
        <x:v>0.22</x:v>
      </x:c>
      <x:c r="AE70" s="59" t="n">
        <x:v>0.366</x:v>
      </x:c>
      <x:c r="AF70" s="53" t="n">
        <x:f>AC70*AD70*elec_va*B70</x:f>
        <x:v>108.81956850726773</x:v>
      </x:c>
      <x:c r="AG70" s="53" t="n">
        <x:f>MAX(0,AE70-AD70)*AC70*roy_rate*B70*(1-IF(union_resp=2,lic_cut*Labour!S70,0))</x:f>
        <x:v>3.370109061043261</x:v>
      </x:c>
      <x:c r="AH70" s="52" t="n">
        <x:v>77</x:v>
      </x:c>
      <x:c r="AI70" s="53" t="n">
        <x:f>AH70*B70</x:f>
        <x:v>98.18728790292268</x:v>
      </x:c>
      <x:c r="AJ70" s="52" t="n">
        <x:v>61</x:v>
      </x:c>
      <x:c r="AK70" s="53" t="n">
        <x:f>AJ70*B70</x:f>
        <x:v>77.78473457244523</x:v>
      </x:c>
      <x:c r="AL70" s="45" t="n">
        <x:v>166</x:v>
      </x:c>
      <x:c r="AM70" s="53" t="n">
        <x:f>AL70*uw_fee*B70</x:f>
        <x:v>5.2919122700925865</x:v>
      </x:c>
      <x:c r="AN70" s="52" t="n">
        <x:v>0</x:v>
      </x:c>
      <x:c r="AO70" s="52" t="n">
        <x:v>10</x:v>
      </x:c>
      <x:c r="AP70" s="53" t="n">
        <x:f>K70+T70+W70+Z70+AF70+AI70+AK70+AM70+AN70+AO70</x:f>
        <x:v>541.1289595118205</x:v>
      </x:c>
      <x:c r="AQ70" s="53" t="n">
        <x:f>AP70*(1-1/champ_prem+champ_spill)</x:f>
        <x:v>375.78399966098647</x:v>
      </x:c>
      <x:c r="AR70" s="63" t="n">
        <x:f>AP70/Economy!O70</x:f>
        <x:v>0.05290334071019886</x:v>
      </x:c>
      <x:c r="AS70" s="52" t="n">
        <x:v>731</x:v>
      </x:c>
      <x:c r="AT70" s="52" t="n">
        <x:v>155</x:v>
      </x:c>
      <x:c r="AU70" s="52" t="n">
        <x:v>202</x:v>
      </x:c>
      <x:c r="AV70" s="52" t="n">
        <x:v>2</x:v>
      </x:c>
      <x:c r="AW70" s="52" t="n">
        <x:v>32</x:v>
      </x:c>
      <x:c r="AX70" s="52" t="n">
        <x:v>572</x:v>
      </x:c>
      <x:c r="AY70" s="53" t="n">
        <x:f>Q70+(AS70+AT70+AU70+AV70+AW70+AX70)*B70</x:f>
        <x:v>2551.137818762065</x:v>
      </x:c>
      <x:c r="AZ70" s="53" t="n">
        <x:f>P70+(AS70*ret_rail+AT70*ret_tel+AU70*ret_elec+AV70*ret_auto+AW70*ret_chem+AX70*ret_steel)*B70*IF(OR($A70=1931,$A70=1932),abroad_slump,1)+AB70+AG70</x:f>
        <x:v>195.2113739589319</x:v>
      </x:c>
      <x:c r="BA70" s="53" t="n">
        <x:f>AP70*champ_profit+AZ70</x:f>
        <x:v>303.43716586129597</x:v>
      </x:c>
      <x:c r="BB70" s="53" t="n">
        <x:f>(K70+AI70+AK70)*champ_profit+P70+(AS70*ret_rail+AT70*ret_tel+AU70*ret_elec)*B70*IF(OR($A70=1931,$A70=1932),abroad_slump,1)</x:f>
        <x:v>184.22995593587865</x:v>
      </x:c>
      <x:c r="BC70" s="53" t="n">
        <x:f>(T70+W70+Z70+AF70+AN70+AO70)*champ_profit+(AV70*ret_auto+AW70*ret_chem+AX70*ret_steel)*B70*IF(OR($A70=1931,$A70=1932),abroad_slump,1)+AB70+AG70</x:f>
        <x:v>118.1488274713989</x:v>
      </x:c>
      <x:c r="BD70" s="53" t="n">
        <x:f>IF($A70&gt;=crown_start,(BB70*crown_charter+BC70*crown_comp)*crown_payout,0)</x:f>
        <x:v>27.754697590840788</x:v>
      </x:c>
      <x:c r="BE70" s="63" t="n">
        <x:f>IF(BB70+BC70&gt;0,(BB70*crown_charter+BC70*crown_comp)/(BA70),0)</x:f>
        <x:v>0.18293538638920537</x:v>
      </x:c>
    </x:row>
    <x:row r="71">
      <x:c r="A71" s="58" t="n">
        <x:v>1911</x:v>
      </x:c>
      <x:c r="B71" s="65" t="n">
        <x:f>champ_scale*(1+Labour!AP71)*(1+Partners!BX71)*(1-IF(union_resp=2,tariff_cut*Labour!S71,0))</x:f>
        <x:v>1.2836912044134816</x:v>
      </x:c>
      <x:c r="C71" s="45" t="n">
        <x:v>4120</x:v>
      </x:c>
      <x:c r="D71" s="45" t="n">
        <x:v>750</x:v>
      </x:c>
      <x:c r="E71" s="45" t="n">
        <x:v>7460</x:v>
      </x:c>
      <x:c r="F71" s="47" t="n">
        <x:f>E71*B71</x:f>
        <x:v>9576.336384924572</x:v>
      </x:c>
      <x:c r="G71" s="47" t="n">
        <x:f>F71/Economy!B71*1000000</x:f>
        <x:v>702.7181517980256</x:v>
      </x:c>
      <x:c r="H71" s="45" t="n">
        <x:v>345</x:v>
      </x:c>
      <x:c r="I71" s="67" t="n">
        <x:f>IF(H71&gt;0,G71/H71,0)</x:f>
        <x:v>2.0368642081102193</x:v>
      </x:c>
      <x:c r="J71" s="68" t="n">
        <x:v>0.437</x:v>
      </x:c>
      <x:c r="K71" s="53" t="n">
        <x:f>Resources!K71*J71*B71</x:f>
        <x:v>48.619534792007684</x:v>
      </x:c>
      <x:c r="L71" s="45" t="n">
        <x:v>96</x:v>
      </x:c>
      <x:c r="M71" s="59" t="n">
        <x:v>0.503</x:v>
      </x:c>
      <x:c r="N71" s="45" t="n">
        <x:v>32</x:v>
      </x:c>
      <x:c r="O71" s="68" t="n">
        <x:v>0.592</x:v>
      </x:c>
      <x:c r="P71" s="53" t="n">
        <x:f>(IF(Gulf!E71=1,0,L71*M71)+N71)*O71*B71</x:f>
        <x:v>61.01447965661016</x:v>
      </x:c>
      <x:c r="Q71" s="53" t="n">
        <x:f>P71*oil_book</x:f>
        <x:v>427.10135759627116</x:v>
      </x:c>
      <x:c r="R71" s="68" t="n">
        <x:v>3.575</x:v>
      </x:c>
      <x:c r="S71" s="45" t="n">
        <x:v>18</x:v>
      </x:c>
      <x:c r="T71" s="53" t="n">
        <x:f>R71*S71*B71</x:f>
        <x:v>82.60552900400755</x:v>
      </x:c>
      <x:c r="U71" s="45" t="n">
        <x:v>70</x:v>
      </x:c>
      <x:c r="V71" s="45" t="n">
        <x:v>375</x:v>
      </x:c>
      <x:c r="W71" s="53" t="n">
        <x:f>U71/1000*V71*B71</x:f>
        <x:v>33.696894115853894</x:v>
      </x:c>
      <x:c r="X71" s="45" t="n">
        <x:v>2346</x:v>
      </x:c>
      <x:c r="Y71" s="59" t="n">
        <x:v>0.075</x:v>
      </x:c>
      <x:c r="Z71" s="53" t="n">
        <x:f>X71*Y71*chem_va*B71</x:f>
        <x:v>101.63946033744844</x:v>
      </x:c>
      <x:c r="AA71" s="59" t="n">
        <x:v>0.045</x:v>
      </x:c>
      <x:c r="AB71" s="53" t="n">
        <x:f>X71*AA71*roy_rate*B71*(1-IF(union_resp=2,lic_cut*Labour!S71,0))</x:f>
        <x:v>2.8459048894485557</x:v>
      </x:c>
      <x:c r="AC71" s="45" t="n">
        <x:v>908</x:v>
      </x:c>
      <x:c r="AD71" s="59" t="n">
        <x:v>0.22</x:v>
      </x:c>
      <x:c r="AE71" s="59" t="n">
        <x:v>0.371</x:v>
      </x:c>
      <x:c r="AF71" s="53" t="n">
        <x:f>AC71*AD71*elec_va*B71</x:f>
        <x:v>115.39356974713668</x:v>
      </x:c>
      <x:c r="AG71" s="53" t="n">
        <x:f>MAX(0,AE71-AD71)*AC71*roy_rate*B71*(1-IF(union_resp=2,lic_cut*Labour!S71,0))</x:f>
        <x:v>3.6960910067491963</x:v>
      </x:c>
      <x:c r="AH71" s="52" t="n">
        <x:v>81</x:v>
      </x:c>
      <x:c r="AI71" s="53" t="n">
        <x:f>AH71*B71</x:f>
        <x:v>103.978987557492</x:v>
      </x:c>
      <x:c r="AJ71" s="52" t="n">
        <x:v>64</x:v>
      </x:c>
      <x:c r="AK71" s="53" t="n">
        <x:f>AJ71*B71</x:f>
        <x:v>82.15623708246282</x:v>
      </x:c>
      <x:c r="AL71" s="45" t="n">
        <x:v>177</x:v>
      </x:c>
      <x:c r="AM71" s="53" t="n">
        <x:f>AL71*uw_fee*B71</x:f>
        <x:v>5.680333579529656</x:v>
      </x:c>
      <x:c r="AN71" s="52" t="n">
        <x:v>0</x:v>
      </x:c>
      <x:c r="AO71" s="52" t="n">
        <x:v>16</x:v>
      </x:c>
      <x:c r="AP71" s="53" t="n">
        <x:f>K71+T71+W71+Z71+AF71+AI71+AK71+AM71+AN71+AO71</x:f>
        <x:v>589.7705462159388</x:v>
      </x:c>
      <x:c r="AQ71" s="53" t="n">
        <x:f>AP71*(1-1/champ_prem+champ_spill)</x:f>
        <x:v>409.56287931662416</x:v>
      </x:c>
      <x:c r="AR71" s="63" t="n">
        <x:f>AP71/Economy!O71</x:f>
        <x:v>0.052902702456297294</x:v>
      </x:c>
      <x:c r="AS71" s="52" t="n">
        <x:v>788</x:v>
      </x:c>
      <x:c r="AT71" s="52" t="n">
        <x:v>163</x:v>
      </x:c>
      <x:c r="AU71" s="52" t="n">
        <x:v>218</x:v>
      </x:c>
      <x:c r="AV71" s="52" t="n">
        <x:v>6</x:v>
      </x:c>
      <x:c r="AW71" s="52" t="n">
        <x:v>35</x:v>
      </x:c>
      <x:c r="AX71" s="52" t="n">
        <x:v>582</x:v>
      </x:c>
      <x:c r="AY71" s="53" t="n">
        <x:f>Q71+(AS71+AT71+AU71+AV71+AW71+AX71)*B71</x:f>
        <x:v>2727.4759959052303</x:v>
      </x:c>
      <x:c r="AZ71" s="53" t="n">
        <x:f>P71+(AS71*ret_rail+AT71*ret_tel+AU71*ret_elec+AV71*ret_auto+AW71*ret_chem+AX71*ret_steel)*B71*IF(OR($A71=1931,$A71=1932),abroad_slump,1)+AB71+AG71</x:f>
        <x:v>209.78946100182165</x:v>
      </x:c>
      <x:c r="BA71" s="53" t="n">
        <x:f>AP71*champ_profit+AZ71</x:f>
        <x:v>327.74357024500944</x:v>
      </x:c>
      <x:c r="BB71" s="53" t="n">
        <x:f>(K71+AI71+AK71)*champ_profit+P71+(AS71*ret_rail+AT71*ret_tel+AU71*ret_elec)*B71*IF(OR($A71=1931,$A71=1932),abroad_slump,1)</x:f>
        <x:v>199.05615940818333</x:v>
      </x:c>
      <x:c r="BC71" s="53" t="n">
        <x:f>(T71+W71+Z71+AF71+AN71+AO71)*champ_profit+(AV71*ret_auto+AW71*ret_chem+AX71*ret_steel)*B71*IF(OR($A71=1931,$A71=1932),abroad_slump,1)+AB71+AG71</x:f>
        <x:v>127.55134412092019</x:v>
      </x:c>
      <x:c r="BD71" s="53" t="n">
        <x:f>IF($A71&gt;=crown_start,(BB71*crown_charter+BC71*crown_comp)*crown_payout,0)</x:f>
        <x:v>29.984073690859724</x:v>
      </x:c>
      <x:c r="BE71" s="63" t="n">
        <x:f>IF(BB71+BC71&gt;0,(BB71*crown_charter+BC71*crown_comp)/(BA71),0)</x:f>
        <x:v>0.18297276537534937</x:v>
      </x:c>
    </x:row>
    <x:row r="72">
      <x:c r="A72" s="58" t="n">
        <x:v>1912</x:v>
      </x:c>
      <x:c r="B72" s="65" t="n">
        <x:f>champ_scale*(1+Labour!AP72)*(1+Partners!BX72)*(1-IF(union_resp=2,tariff_cut*Labour!S72,0))</x:f>
        <x:v>1.292329341404046</x:v>
      </x:c>
      <x:c r="C72" s="45" t="n">
        <x:v>4310</x:v>
      </x:c>
      <x:c r="D72" s="45" t="n">
        <x:v>780</x:v>
      </x:c>
      <x:c r="E72" s="45" t="n">
        <x:v>7730</x:v>
      </x:c>
      <x:c r="F72" s="47" t="n">
        <x:f>E72*B72</x:f>
        <x:v>9989.705809053276</x:v>
      </x:c>
      <x:c r="G72" s="47" t="n">
        <x:f>F72/Economy!B72*1000000</x:f>
        <x:v>701.5927118775567</x:v>
      </x:c>
      <x:c r="H72" s="45" t="n">
        <x:v>347</x:v>
      </x:c>
      <x:c r="I72" s="67" t="n">
        <x:f>IF(H72&gt;0,G72/H72,0)</x:f>
        <x:v>2.0218810140563592</x:v>
      </x:c>
      <x:c r="J72" s="68" t="n">
        <x:v>0.443</x:v>
      </x:c>
      <x:c r="K72" s="53" t="n">
        <x:f>Resources!K72*J72*B72</x:f>
        <x:v>53.43160216292515</x:v>
      </x:c>
      <x:c r="L72" s="45" t="n">
        <x:v>103</x:v>
      </x:c>
      <x:c r="M72" s="59" t="n">
        <x:v>0.505</x:v>
      </x:c>
      <x:c r="N72" s="45" t="n">
        <x:v>33</x:v>
      </x:c>
      <x:c r="O72" s="68" t="n">
        <x:v>0.596</x:v>
      </x:c>
      <x:c r="P72" s="53" t="n">
        <x:f>(IF(Gulf!E72=1,0,L72*M72)+N72)*O72*B72</x:f>
        <x:v>65.48095785984113</x:v>
      </x:c>
      <x:c r="Q72" s="53" t="n">
        <x:f>P72*oil_book</x:f>
        <x:v>458.3667050188879</x:v>
      </x:c>
      <x:c r="R72" s="68" t="n">
        <x:v>3.788</x:v>
      </x:c>
      <x:c r="S72" s="45" t="n">
        <x:v>18</x:v>
      </x:c>
      <x:c r="T72" s="53" t="n">
        <x:f>R72*S72*B72</x:f>
        <x:v>88.11618381429346</x:v>
      </x:c>
      <x:c r="U72" s="45" t="n">
        <x:v>120</x:v>
      </x:c>
      <x:c r="V72" s="45" t="n">
        <x:v>338</x:v>
      </x:c>
      <x:c r="W72" s="53" t="n">
        <x:f>U72/1000*V72*B72</x:f>
        <x:v>52.416878087348096</x:v>
      </x:c>
      <x:c r="X72" s="45" t="n">
        <x:v>2423</x:v>
      </x:c>
      <x:c r="Y72" s="59" t="n">
        <x:v>0.077</x:v>
      </x:c>
      <x:c r="Z72" s="53" t="n">
        <x:f>X72*Y72*chem_va*B72</x:f>
        <x:v>108.50002989979242</x:v>
      </x:c>
      <x:c r="AA72" s="59" t="n">
        <x:v>0.048</x:v>
      </x:c>
      <x:c r="AB72" s="53" t="n">
        <x:f>X72*AA72*roy_rate*B72*(1-IF(union_resp=2,lic_cut*Labour!S72,0))</x:f>
        <x:v>3.156364506175779</x:v>
      </x:c>
      <x:c r="AC72" s="45" t="n">
        <x:v>954</x:v>
      </x:c>
      <x:c r="AD72" s="59" t="n">
        <x:v>0.22</x:v>
      </x:c>
      <x:c r="AE72" s="59" t="n">
        <x:v>0.375</x:v>
      </x:c>
      <x:c r="AF72" s="53" t="n">
        <x:f>AC72*AD72*elec_va*B72</x:f>
        <x:v>122.05533697824653</x:v>
      </x:c>
      <x:c r="AG72" s="53" t="n">
        <x:f>MAX(0,AE72-AD72)*AC72*roy_rate*B72*(1-IF(union_resp=2,lic_cut*Labour!S72,0))</x:f>
        <x:v>4.013031533981741</x:v>
      </x:c>
      <x:c r="AH72" s="52" t="n">
        <x:v>86</x:v>
      </x:c>
      <x:c r="AI72" s="53" t="n">
        <x:f>AH72*B72</x:f>
        <x:v>111.14032336074796</x:v>
      </x:c>
      <x:c r="AJ72" s="52" t="n">
        <x:v>67</x:v>
      </x:c>
      <x:c r="AK72" s="53" t="n">
        <x:f>AJ72*B72</x:f>
        <x:v>86.58606587407108</x:v>
      </x:c>
      <x:c r="AL72" s="45" t="n">
        <x:v>189</x:v>
      </x:c>
      <x:c r="AM72" s="53" t="n">
        <x:f>AL72*uw_fee*B72</x:f>
        <x:v>6.106256138134118</x:v>
      </x:c>
      <x:c r="AN72" s="52" t="n">
        <x:v>15</x:v>
      </x:c>
      <x:c r="AO72" s="52" t="n">
        <x:v>22</x:v>
      </x:c>
      <x:c r="AP72" s="53" t="n">
        <x:f>K72+T72+W72+Z72+AF72+AI72+AK72+AM72+AN72+AO72</x:f>
        <x:v>665.3526763155588</x:v>
      </x:c>
      <x:c r="AQ72" s="53" t="n">
        <x:f>AP72*(1-1/champ_prem+champ_spill)</x:f>
        <x:v>462.0504696635825</x:v>
      </x:c>
      <x:c r="AR72" s="63" t="n">
        <x:f>AP72/Economy!O72</x:f>
        <x:v>0.05471987188202844</x:v>
      </x:c>
      <x:c r="AS72" s="52" t="n">
        <x:v>844</x:v>
      </x:c>
      <x:c r="AT72" s="52" t="n">
        <x:v>172</x:v>
      </x:c>
      <x:c r="AU72" s="52" t="n">
        <x:v>234</x:v>
      </x:c>
      <x:c r="AV72" s="52" t="n">
        <x:v>11</x:v>
      </x:c>
      <x:c r="AW72" s="52" t="n">
        <x:v>37</x:v>
      </x:c>
      <x:c r="AX72" s="52" t="n">
        <x:v>591</x:v>
      </x:c>
      <x:c r="AY72" s="53" t="n">
        <x:f>Q72+(AS72+AT72+AU72+AV72+AW72+AX72)*B72</x:f>
        <x:v>2899.5768309311306</x:v>
      </x:c>
      <x:c r="AZ72" s="53" t="n">
        <x:f>P72+(AS72*ret_rail+AT72*ret_tel+AU72*ret_elec+AV72*ret_auto+AW72*ret_chem+AX72*ret_steel)*B72*IF(OR($A72=1931,$A72=1932),abroad_slump,1)+AB72+AG72</x:f>
        <x:v>223.85288684427204</x:v>
      </x:c>
      <x:c r="BA72" s="53" t="n">
        <x:f>AP72*champ_profit+AZ72</x:f>
        <x:v>356.9234221073838</x:v>
      </x:c>
      <x:c r="BB72" s="53" t="n">
        <x:f>(K72+AI72+AK72)*champ_profit+P72+(AS72*ret_rail+AT72*ret_tel+AU72*ret_elec)*B72*IF(OR($A72=1931,$A72=1932),abroad_slump,1)</x:f>
        <x:v>213.64527363098858</x:v>
      </x:c>
      <x:c r="BC72" s="53" t="n">
        <x:f>(T72+W72+Z72+AF72+AN72+AO72)*champ_profit+(AV72*ret_auto+AW72*ret_chem+AX72*ret_steel)*B72*IF(OR($A72=1931,$A72=1932),abroad_slump,1)+AB72+AG72</x:f>
        <x:v>142.05689724876842</x:v>
      </x:c>
      <x:c r="BD72" s="53" t="n">
        <x:f>IF($A72&gt;=crown_start,(BB72*crown_charter+BC72*crown_comp)*crown_payout,0)</x:f>
        <x:v>32.38793509382431</x:v>
      </x:c>
      <x:c r="BE72" s="63" t="n">
        <x:f>IF(BB72+BC72&gt;0,(BB72*crown_charter+BC72*crown_comp)/(BA72),0)</x:f>
        <x:v>0.1814839435450672</x:v>
      </x:c>
    </x:row>
    <x:row r="73">
      <x:c r="A73" s="58" t="n">
        <x:v>1913</x:v>
      </x:c>
      <x:c r="B73" s="65" t="n">
        <x:f>champ_scale*(1+Labour!AP73)*(1+Partners!BX73)*(1-IF(union_resp=2,tariff_cut*Labour!S73,0))</x:f>
        <x:v>1.3011673361840712</x:v>
      </x:c>
      <x:c r="C73" s="45" t="n">
        <x:v>4500</x:v>
      </x:c>
      <x:c r="D73" s="45" t="n">
        <x:v>800</x:v>
      </x:c>
      <x:c r="E73" s="45" t="n">
        <x:v>8000</x:v>
      </x:c>
      <x:c r="F73" s="47" t="n">
        <x:f>E73*B73</x:f>
        <x:v>10409.33868947257</x:v>
      </x:c>
      <x:c r="G73" s="47" t="n">
        <x:f>F73/Economy!B73*1000000</x:f>
        <x:v>700.2827424440875</x:v>
      </x:c>
      <x:c r="H73" s="45" t="n">
        <x:v>349</x:v>
      </x:c>
      <x:c r="I73" s="67" t="n">
        <x:f>IF(H73&gt;0,G73/H73,0)</x:f>
        <x:v>2.00654080929538</x:v>
      </x:c>
      <x:c r="J73" s="68" t="n">
        <x:v>0.45</x:v>
      </x:c>
      <x:c r="K73" s="53" t="n">
        <x:f>Resources!K73*J73*B73</x:f>
        <x:v>58.5525301282832</x:v>
      </x:c>
      <x:c r="L73" s="45" t="n">
        <x:v>110</x:v>
      </x:c>
      <x:c r="M73" s="59" t="n">
        <x:v>0.508</x:v>
      </x:c>
      <x:c r="N73" s="45" t="n">
        <x:v>35</x:v>
      </x:c>
      <x:c r="O73" s="68" t="n">
        <x:v>0.6</x:v>
      </x:c>
      <x:c r="P73" s="53" t="n">
        <x:f>(IF(Gulf!E73=1,0,L73*M73)+N73)*O73*B73</x:f>
        <x:v>70.95005250744504</x:v>
      </x:c>
      <x:c r="Q73" s="53" t="n">
        <x:f>P73*oil_book</x:f>
        <x:v>496.65036755211526</x:v>
      </x:c>
      <x:c r="R73" s="68" t="n">
        <x:v>4</x:v>
      </x:c>
      <x:c r="S73" s="45" t="n">
        <x:v>18</x:v>
      </x:c>
      <x:c r="T73" s="53" t="n">
        <x:f>R73*S73*B73</x:f>
        <x:v>93.68404820525313</x:v>
      </x:c>
      <x:c r="U73" s="45" t="n">
        <x:v>170</x:v>
      </x:c>
      <x:c r="V73" s="45" t="n">
        <x:v>300</x:v>
      </x:c>
      <x:c r="W73" s="53" t="n">
        <x:f>U73/1000*V73*B73</x:f>
        <x:v>66.35953414538764</x:v>
      </x:c>
      <x:c r="X73" s="45" t="n">
        <x:v>2500</x:v>
      </x:c>
      <x:c r="Y73" s="59" t="n">
        <x:v>0.08</x:v>
      </x:c>
      <x:c r="Z73" s="53" t="n">
        <x:f>X73*Y73*chem_va*B73</x:f>
        <x:v>117.1050602565664</x:v>
      </x:c>
      <x:c r="AA73" s="59" t="n">
        <x:v>0.05</x:v>
      </x:c>
      <x:c r="AB73" s="53" t="n">
        <x:f>X73*AA73*roy_rate*B73*(1-IF(union_resp=2,lic_cut*Labour!S73,0))</x:f>
        <x:v>3.4155642574831866</x:v>
      </x:c>
      <x:c r="AC73" s="45" t="n">
        <x:v>1000</x:v>
      </x:c>
      <x:c r="AD73" s="59" t="n">
        <x:v>0.22</x:v>
      </x:c>
      <x:c r="AE73" s="59" t="n">
        <x:v>0.38</x:v>
      </x:c>
      <x:c r="AF73" s="53" t="n">
        <x:f>AC73*AD73*elec_va*B73</x:f>
        <x:v>128.81556628222305</x:v>
      </x:c>
      <x:c r="AG73" s="53" t="n">
        <x:f>MAX(0,AE73-AD73)*AC73*roy_rate*B73*(1-IF(union_resp=2,lic_cut*Labour!S73,0))</x:f>
        <x:v>4.371922249578479</x:v>
      </x:c>
      <x:c r="AH73" s="52" t="n">
        <x:v>90</x:v>
      </x:c>
      <x:c r="AI73" s="53" t="n">
        <x:f>AH73*B73</x:f>
        <x:v>117.1050602565664</x:v>
      </x:c>
      <x:c r="AJ73" s="52" t="n">
        <x:v>70</x:v>
      </x:c>
      <x:c r="AK73" s="53" t="n">
        <x:f>AJ73*B73</x:f>
        <x:v>91.08171353288499</x:v>
      </x:c>
      <x:c r="AL73" s="45" t="n">
        <x:v>200</x:v>
      </x:c>
      <x:c r="AM73" s="53" t="n">
        <x:f>AL73*uw_fee*B73</x:f>
        <x:v>6.505836680920356</x:v>
      </x:c>
      <x:c r="AN73" s="52" t="n">
        <x:v>27</x:v>
      </x:c>
      <x:c r="AO73" s="52" t="n">
        <x:v>28</x:v>
      </x:c>
      <x:c r="AP73" s="53" t="n">
        <x:f>K73+T73+W73+Z73+AF73+AI73+AK73+AM73+AN73+AO73</x:f>
        <x:v>734.2093494880852</x:v>
      </x:c>
      <x:c r="AQ73" s="53" t="n">
        <x:f>AP73*(1-1/champ_prem+champ_spill)</x:f>
        <x:v>509.8676038111703</x:v>
      </x:c>
      <x:c r="AR73" s="63" t="n">
        <x:f>AP73/Economy!O73</x:f>
        <x:v>0.0554690973683167</x:v>
      </x:c>
      <x:c r="AS73" s="52" t="n">
        <x:v>900</x:v>
      </x:c>
      <x:c r="AT73" s="52" t="n">
        <x:v>180</x:v>
      </x:c>
      <x:c r="AU73" s="52" t="n">
        <x:v>250</x:v>
      </x:c>
      <x:c r="AV73" s="52" t="n">
        <x:v>15</x:v>
      </x:c>
      <x:c r="AW73" s="52" t="n">
        <x:v>40</x:v>
      </x:c>
      <x:c r="AX73" s="52" t="n">
        <x:v>600</x:v>
      </x:c>
      <x:c r="AY73" s="53" t="n">
        <x:f>Q73+(AS73+AT73+AU73+AV73+AW73+AX73)*B73</x:f>
        <x:v>3079.467529877497</x:v>
      </x:c>
      <x:c r="AZ73" s="53" t="n">
        <x:f>P73+(AS73*ret_rail+AT73*ret_tel+AU73*ret_elec+AV73*ret_auto+AW73*ret_chem+AX73*ret_steel)*B73*IF(OR($A73=1931,$A73=1932),abroad_slump,1)+AB73+AG73</x:f>
        <x:v>238.9112380987659</x:v>
      </x:c>
      <x:c r="BA73" s="53" t="n">
        <x:f>AP73*champ_profit+AZ73</x:f>
        <x:v>385.75310799638294</x:v>
      </x:c>
      <x:c r="BB73" s="53" t="n">
        <x:f>(K73+AI73+AK73)*champ_profit+P73+(AS73*ret_rail+AT73*ret_tel+AU73*ret_elec)*B73*IF(OR($A73=1931,$A73=1932),abroad_slump,1)</x:f>
        <x:v>229.0418838538097</x:v>
      </x:c>
      <x:c r="BC73" s="53" t="n">
        <x:f>(T73+W73+Z73+AF73+AN73+AO73)*champ_profit+(AV73*ret_auto+AW73*ret_chem+AX73*ret_steel)*B73*IF(OR($A73=1931,$A73=1932),abroad_slump,1)+AB73+AG73</x:f>
        <x:v>155.41005680638918</x:v>
      </x:c>
      <x:c r="BD73" s="53" t="n">
        <x:f>IF($A73&gt;=crown_start,(BB73*crown_charter+BC73*crown_comp)*crown_payout,0)</x:f>
        <x:v>34.84663775398178</x:v>
      </x:c>
      <x:c r="BE73" s="63" t="n">
        <x:f>IF(BB73+BC73&gt;0,(BB73*crown_charter+BC73*crown_comp)/(BA73),0)</x:f>
        <x:v>0.18066808552743288</x:v>
      </x:c>
    </x:row>
    <x:row r="74">
      <x:c r="A74" s="61" t="n">
        <x:v>1914</x:v>
      </x:c>
      <x:c r="B74" s="65" t="n">
        <x:f>champ_scale*(1+Labour!AP74)*(1+Partners!BX74)*(1-IF(union_resp=2,tariff_cut*Labour!S74,0))</x:f>
        <x:v>1.3103696349523961</x:v>
      </x:c>
      <x:c r="C74" s="45" t="n">
        <x:v>4790</x:v>
      </x:c>
      <x:c r="D74" s="45" t="n">
        <x:v>920</x:v>
      </x:c>
      <x:c r="E74" s="45" t="n">
        <x:v>8290</x:v>
      </x:c>
      <x:c r="F74" s="47" t="n">
        <x:f>E74*B74</x:f>
        <x:v>10862.964273755364</x:v>
      </x:c>
      <x:c r="G74" s="47" t="n">
        <x:f>F74/Economy!B74*1000000</x:f>
        <x:v>702.7019507244371</x:v>
      </x:c>
      <x:c r="H74" s="45" t="n">
        <x:v>349</x:v>
      </x:c>
      <x:c r="I74" s="67" t="n">
        <x:f>IF(H74&gt;0,G74/H74,0)</x:f>
        <x:v>2.0134726381789028</x:v>
      </x:c>
      <x:c r="J74" s="68" t="n">
        <x:v>0.5</x:v>
      </x:c>
      <x:c r="K74" s="53" t="n">
        <x:f>Resources!K74*J74*B74</x:f>
        <x:v>67.1564437913103</x:v>
      </x:c>
      <x:c r="L74" s="45" t="n">
        <x:v>125</x:v>
      </x:c>
      <x:c r="M74" s="59" t="n">
        <x:v>0.511</x:v>
      </x:c>
      <x:c r="N74" s="45" t="n">
        <x:v>38</x:v>
      </x:c>
      <x:c r="O74" s="68" t="n">
        <x:v>0.657</x:v>
      </x:c>
      <x:c r="P74" s="53" t="n">
        <x:f>(IF(Gulf!E74=1,0,L74*M74)+N74)*O74*B74</x:f>
        <x:v>87.70549661042942</x:v>
      </x:c>
      <x:c r="Q74" s="53" t="n">
        <x:f>P74*oil_book</x:f>
        <x:v>613.9384762730059</x:v>
      </x:c>
      <x:c r="R74" s="68" t="n">
        <x:v>4.5</x:v>
      </x:c>
      <x:c r="S74" s="45" t="n">
        <x:v>20</x:v>
      </x:c>
      <x:c r="T74" s="53" t="n">
        <x:f>R74*S74*B74</x:f>
        <x:v>117.93326714571565</x:v>
      </x:c>
      <x:c r="U74" s="45" t="n">
        <x:v>223.3</x:v>
      </x:c>
      <x:c r="V74" s="45" t="n">
        <x:v>317</x:v>
      </x:c>
      <x:c r="W74" s="53" t="n">
        <x:f>U74/1000*V74*B74</x:f>
        <x:v>92.7559560167038</x:v>
      </x:c>
      <x:c r="X74" s="45" t="n">
        <x:v>2900</x:v>
      </x:c>
      <x:c r="Y74" s="59" t="n">
        <x:v>0.093</x:v>
      </x:c>
      <x:c r="Z74" s="53" t="n">
        <x:f>X74*Y74*chem_va*B74</x:f>
        <x:v>159.03301074599756</x:v>
      </x:c>
      <x:c r="AA74" s="59" t="n">
        <x:v>0.058</x:v>
      </x:c>
      <x:c r="AB74" s="53" t="n">
        <x:f>X74*AA74*roy_rate*B74*(1-IF(union_resp=2,lic_cut*Labour!S74,0))</x:f>
        <x:v>4.628487624578853</x:v>
      </x:c>
      <x:c r="AC74" s="45" t="n">
        <x:v>1160</x:v>
      </x:c>
      <x:c r="AD74" s="59" t="n">
        <x:v>0.221</x:v>
      </x:c>
      <x:c r="AE74" s="59" t="n">
        <x:v>0.386</x:v>
      </x:c>
      <x:c r="AF74" s="53" t="n">
        <x:f>AC74*AD74*elec_va*B74</x:f>
        <x:v>151.16686182737834</x:v>
      </x:c>
      <x:c r="AG74" s="53" t="n">
        <x:f>MAX(0,AE74-AD74)*AC74*roy_rate*B74*(1-IF(union_resp=2,lic_cut*Labour!S74,0))</x:f>
        <x:v>5.26689971072766</x:v>
      </x:c>
      <x:c r="AH74" s="52" t="n">
        <x:v>100</x:v>
      </x:c>
      <x:c r="AI74" s="53" t="n">
        <x:f>AH74*B74</x:f>
        <x:v>131.0369634952396</x:v>
      </x:c>
      <x:c r="AJ74" s="52" t="n">
        <x:v>90</x:v>
      </x:c>
      <x:c r="AK74" s="53" t="n">
        <x:f>AJ74*B74</x:f>
        <x:v>117.93326714571565</x:v>
      </x:c>
      <x:c r="AL74" s="45" t="n">
        <x:v>300</x:v>
      </x:c>
      <x:c r="AM74" s="53" t="n">
        <x:f>AL74*uw_fee*B74</x:f>
        <x:v>9.827772262142972</x:v>
      </x:c>
      <x:c r="AN74" s="52" t="n">
        <x:v>38</x:v>
      </x:c>
      <x:c r="AO74" s="52" t="n">
        <x:v>34</x:v>
      </x:c>
      <x:c r="AP74" s="53" t="n">
        <x:f>K74+T74+W74+Z74+AF74+AI74+AK74+AM74+AN74+AO74</x:f>
        <x:v>918.8435424302038</x:v>
      </x:c>
      <x:c r="AQ74" s="53" t="n">
        <x:f>AP74*(1-1/champ_prem+champ_spill)</x:f>
        <x:v>638.0857933543082</x:v>
      </x:c>
      <x:c r="AR74" s="63" t="n">
        <x:f>AP74/Economy!O74</x:f>
        <x:v>0.06660650010642812</x:v>
      </x:c>
      <x:c r="AS74" s="52" t="n">
        <x:v>920</x:v>
      </x:c>
      <x:c r="AT74" s="52" t="n">
        <x:v>191</x:v>
      </x:c>
      <x:c r="AU74" s="52" t="n">
        <x:v>279</x:v>
      </x:c>
      <x:c r="AV74" s="52" t="n">
        <x:v>21</x:v>
      </x:c>
      <x:c r="AW74" s="52" t="n">
        <x:v>51</x:v>
      </x:c>
      <x:c r="AX74" s="52" t="n">
        <x:v>611</x:v>
      </x:c>
      <x:c r="AY74" s="53" t="n">
        <x:f>Q74+(AS74+AT74+AU74+AV74+AW74+AX74)*B74</x:f>
        <x:v>3330.3347295293233</x:v>
      </x:c>
      <x:c r="AZ74" s="53" t="n">
        <x:f>P74+(AS74*ret_rail+AT74*ret_tel+AU74*ret_elec+AV74*ret_auto+AW74*ret_chem+AX74*ret_steel)*B74*IF(OR($A74=1931,$A74=1932),abroad_slump,1)+AB74+AG74</x:f>
        <x:v>267.85721061510077</x:v>
      </x:c>
      <x:c r="BA74" s="53" t="n">
        <x:f>AP74*champ_profit+AZ74</x:f>
        <x:v>451.62591910114156</x:v>
      </x:c>
      <x:c r="BB74" s="53" t="n">
        <x:f>(K74+AI74+AK74)*champ_profit+P74+(AS74*ret_rail+AT74*ret_tel+AU74*ret_elec)*B74*IF(OR($A74=1931,$A74=1932),abroad_slump,1)</x:f>
        <x:v>261.8274137029038</x:v>
      </x:c>
      <x:c r="BC74" s="53" t="n">
        <x:f>(T74+W74+Z74+AF74+AN74+AO74)*champ_profit+(AV74*ret_auto+AW74*ret_chem+AX74*ret_steel)*B74*IF(OR($A74=1931,$A74=1932),abroad_slump,1)+AB74+AG74</x:f>
        <x:v>187.83295094580913</x:v>
      </x:c>
      <x:c r="BD74" s="53" t="n">
        <x:f>IF($A74&gt;=crown_start,(BB74*crown_charter+BC74*crown_comp)*crown_payout,0)</x:f>
        <x:v>40.24174475069534</x:v>
      </x:c>
      <x:c r="BE74" s="63" t="n">
        <x:f>IF(BB74+BC74&gt;0,(BB74*crown_charter+BC74*crown_comp)/(BA74),0)</x:f>
        <x:v>0.17820830492097248</x:v>
      </x:c>
    </x:row>
    <x:row r="75">
      <x:c r="A75" s="61" t="n">
        <x:v>1915</x:v>
      </x:c>
      <x:c r="B75" s="65" t="n">
        <x:f>champ_scale*(1+Labour!AP75)*(1+Partners!BX75)*(1-IF(union_resp=2,tariff_cut*Labour!S75,0))</x:f>
        <x:v>1.3162374892116386</x:v>
      </x:c>
      <x:c r="C75" s="45" t="n">
        <x:v>5070</x:v>
      </x:c>
      <x:c r="D75" s="45" t="n">
        <x:v>1030</x:v>
      </x:c>
      <x:c r="E75" s="45" t="n">
        <x:v>8570</x:v>
      </x:c>
      <x:c r="F75" s="47" t="n">
        <x:f>E75*B75</x:f>
        <x:v>11280.155282543743</x:v>
      </x:c>
      <x:c r="G75" s="47" t="n">
        <x:f>F75/Economy!B75*1000000</x:f>
        <x:v>704.695333851751</x:v>
      </x:c>
      <x:c r="H75" s="45" t="n">
        <x:v>349</x:v>
      </x:c>
      <x:c r="I75" s="67" t="n">
        <x:f>IF(H75&gt;0,G75/H75,0)</x:f>
        <x:v>2.0191843376841003</x:v>
      </x:c>
      <x:c r="J75" s="68" t="n">
        <x:v>0.55</x:v>
      </x:c>
      <x:c r="K75" s="53" t="n">
        <x:f>Resources!K75*J75*B75</x:f>
        <x:v>76.01271500197214</x:v>
      </x:c>
      <x:c r="L75" s="45" t="n">
        <x:v>140</x:v>
      </x:c>
      <x:c r="M75" s="59" t="n">
        <x:v>0.513</x:v>
      </x:c>
      <x:c r="N75" s="45" t="n">
        <x:v>41</x:v>
      </x:c>
      <x:c r="O75" s="68" t="n">
        <x:v>0.714</x:v>
      </x:c>
      <x:c r="P75" s="53" t="n">
        <x:f>(IF(Gulf!E75=1,0,L75*M75)+N75)*O75*B75</x:f>
        <x:v>106.02751026245996</x:v>
      </x:c>
      <x:c r="Q75" s="53" t="n">
        <x:f>P75*oil_book</x:f>
        <x:v>742.1925718372197</x:v>
      </x:c>
      <x:c r="R75" s="68" t="n">
        <x:v>5</x:v>
      </x:c>
      <x:c r="S75" s="45" t="n">
        <x:v>23</x:v>
      </x:c>
      <x:c r="T75" s="53" t="n">
        <x:f>R75*S75*B75</x:f>
        <x:v>151.36731125933844</x:v>
      </x:c>
      <x:c r="U75" s="45" t="n">
        <x:v>276.7</x:v>
      </x:c>
      <x:c r="V75" s="45" t="n">
        <x:v>334</x:v>
      </x:c>
      <x:c r="W75" s="53" t="n">
        <x:f>U75/1000*V75*B75</x:f>
        <x:v>121.64377303046338</x:v>
      </x:c>
      <x:c r="X75" s="45" t="n">
        <x:v>3300</x:v>
      </x:c>
      <x:c r="Y75" s="59" t="n">
        <x:v>0.107</x:v>
      </x:c>
      <x:c r="Z75" s="53" t="n">
        <x:f>X75*Y75*chem_va*B75</x:f>
        <x:v>209.14355584828328</x:v>
      </x:c>
      <x:c r="AA75" s="59" t="n">
        <x:v>0.067</x:v>
      </x:c>
      <x:c r="AB75" s="53" t="n">
        <x:f>X75*AA75*roy_rate*B75*(1-IF(union_resp=2,lic_cut*Labour!S75,0))</x:f>
        <x:v>6.111422286158558</x:v>
      </x:c>
      <x:c r="AC75" s="45" t="n">
        <x:v>1320</x:v>
      </x:c>
      <x:c r="AD75" s="59" t="n">
        <x:v>0.223</x:v>
      </x:c>
      <x:c r="AE75" s="59" t="n">
        <x:v>0.391</x:v>
      </x:c>
      <x:c r="AF75" s="53" t="n">
        <x:f>AC75*AD75*elec_va*B75</x:f>
        <x:v>174.3514502959521</x:v>
      </x:c>
      <x:c r="AG75" s="53" t="n">
        <x:f>MAX(0,AE75-AD75)*AC75*roy_rate*B75*(1-IF(union_resp=2,lic_cut*Labour!S75,0))</x:f>
        <x:v>6.129665337759032</x:v>
      </x:c>
      <x:c r="AH75" s="52" t="n">
        <x:v>110</x:v>
      </x:c>
      <x:c r="AI75" s="53" t="n">
        <x:f>AH75*B75</x:f>
        <x:v>144.78612381328026</x:v>
      </x:c>
      <x:c r="AJ75" s="52" t="n">
        <x:v>110</x:v>
      </x:c>
      <x:c r="AK75" s="53" t="n">
        <x:f>AJ75*B75</x:f>
        <x:v>144.78612381328026</x:v>
      </x:c>
      <x:c r="AL75" s="45" t="n">
        <x:v>375</x:v>
      </x:c>
      <x:c r="AM75" s="53" t="n">
        <x:f>AL75*uw_fee*B75</x:f>
        <x:v>12.339726461359112</x:v>
      </x:c>
      <x:c r="AN75" s="52" t="n">
        <x:v>50</x:v>
      </x:c>
      <x:c r="AO75" s="52" t="n">
        <x:v>40</x:v>
      </x:c>
      <x:c r="AP75" s="53" t="n">
        <x:f>K75+T75+W75+Z75+AF75+AI75+AK75+AM75+AN75+AO75</x:f>
        <x:v>1124.430779523929</x:v>
      </x:c>
      <x:c r="AQ75" s="53" t="n">
        <x:f>AP75*(1-1/champ_prem+champ_spill)</x:f>
        <x:v>780.8547080027284</x:v>
      </x:c>
      <x:c r="AR75" s="63" t="n">
        <x:f>AP75/Economy!O75</x:f>
        <x:v>0.07282569094619072</x:v>
      </x:c>
      <x:c r="AS75" s="52" t="n">
        <x:v>940</x:v>
      </x:c>
      <x:c r="AT75" s="52" t="n">
        <x:v>203</x:v>
      </x:c>
      <x:c r="AU75" s="52" t="n">
        <x:v>307</x:v>
      </x:c>
      <x:c r="AV75" s="52" t="n">
        <x:v>28</x:v>
      </x:c>
      <x:c r="AW75" s="52" t="n">
        <x:v>63</x:v>
      </x:c>
      <x:c r="AX75" s="52" t="n">
        <x:v>623</x:v>
      </x:c>
      <x:c r="AY75" s="53" t="n">
        <x:f>Q75+(AS75+AT75+AU75+AV75+AW75+AX75)*B75</x:f>
        <x:v>3590.5304984912054</x:v>
      </x:c>
      <x:c r="AZ75" s="53" t="n">
        <x:f>P75+(AS75*ret_rail+AT75*ret_tel+AU75*ret_elec+AV75*ret_auto+AW75*ret_chem+AX75*ret_steel)*B75*IF(OR($A75=1931,$A75=1932),abroad_slump,1)+AB75+AG75</x:f>
        <x:v>298.7115952824011</x:v>
      </x:c>
      <x:c r="BA75" s="53" t="n">
        <x:f>AP75*champ_profit+AZ75</x:f>
        <x:v>523.597751187187</x:v>
      </x:c>
      <x:c r="BB75" s="53" t="n">
        <x:f>(K75+AI75+AK75)*champ_profit+P75+(AS75*ret_rail+AT75*ret_tel+AU75*ret_elec)*B75*IF(OR($A75=1931,$A75=1932),abroad_slump,1)</x:f>
        <x:v>296.0132294552679</x:v>
      </x:c>
      <x:c r="BC75" s="53" t="n">
        <x:f>(T75+W75+Z75+AF75+AN75+AO75)*champ_profit+(AV75*ret_auto+AW75*ret_chem+AX75*ret_steel)*B75*IF(OR($A75=1931,$A75=1932),abroad_slump,1)+AB75+AG75</x:f>
        <x:v>225.11657643964716</x:v>
      </x:c>
      <x:c r="BD75" s="53" t="n">
        <x:f>IF($A75&gt;=crown_start,(BB75*crown_charter+BC75*crown_comp)*crown_payout,0)</x:f>
        <x:v>46.00631673949437</x:v>
      </x:c>
      <x:c r="BE75" s="63" t="n">
        <x:f>IF(BB75+BC75&gt;0,(BB75*crown_charter+BC75*crown_comp)/(BA75),0)</x:f>
        <x:v>0.17573152915642315</x:v>
      </x:c>
    </x:row>
    <x:row r="76">
      <x:c r="A76" s="61" t="n">
        <x:v>1916</x:v>
      </x:c>
      <x:c r="B76" s="65" t="n">
        <x:f>champ_scale*(1+Labour!AP76)*(1+Partners!BX76)*(1-IF(union_resp=2,tariff_cut*Labour!S76,0))</x:f>
        <x:v>1.3247619983336447</x:v>
      </x:c>
      <x:c r="C76" s="45" t="n">
        <x:v>5360</x:v>
      </x:c>
      <x:c r="D76" s="45" t="n">
        <x:v>1150</x:v>
      </x:c>
      <x:c r="E76" s="45" t="n">
        <x:v>8860</x:v>
      </x:c>
      <x:c r="F76" s="47" t="n">
        <x:f>E76*B76</x:f>
        <x:v>11737.391305236093</x:v>
      </x:c>
      <x:c r="G76" s="47" t="n">
        <x:f>F76/Economy!B76*1000000</x:f>
        <x:v>710.064995039178</x:v>
      </x:c>
      <x:c r="H76" s="45" t="n">
        <x:v>349</x:v>
      </x:c>
      <x:c r="I76" s="67" t="n">
        <x:f>IF(H76&gt;0,G76/H76,0)</x:f>
        <x:v>2.0345701863586765</x:v>
      </x:c>
      <x:c r="J76" s="68" t="n">
        <x:v>0.6</x:v>
      </x:c>
      <x:c r="K76" s="53" t="n">
        <x:f>Resources!K76*J76*B76</x:f>
        <x:v>83.46000589501962</x:v>
      </x:c>
      <x:c r="L76" s="45" t="n">
        <x:v>155</x:v>
      </x:c>
      <x:c r="M76" s="59" t="n">
        <x:v>0.516</x:v>
      </x:c>
      <x:c r="N76" s="45" t="n">
        <x:v>44</x:v>
      </x:c>
      <x:c r="O76" s="68" t="n">
        <x:v>0.771</x:v>
      </x:c>
      <x:c r="P76" s="53" t="n">
        <x:f>(IF(Gulf!E76=1,0,L76*M76)+N76)*O76*B76</x:f>
        <x:v>126.63211825867548</x:v>
      </x:c>
      <x:c r="Q76" s="53" t="n">
        <x:f>P76*oil_book</x:f>
        <x:v>886.4248278107283</x:v>
      </x:c>
      <x:c r="R76" s="68" t="n">
        <x:v>5.5</x:v>
      </x:c>
      <x:c r="S76" s="45" t="n">
        <x:v>25</x:v>
      </x:c>
      <x:c r="T76" s="53" t="n">
        <x:f>R76*S76*B76</x:f>
        <x:v>182.15477477087614</x:v>
      </x:c>
      <x:c r="U76" s="45" t="n">
        <x:v>330</x:v>
      </x:c>
      <x:c r="V76" s="45" t="n">
        <x:v>351</x:v>
      </x:c>
      <x:c r="W76" s="53" t="n">
        <x:f>U76/1000*V76*B76</x:f>
        <x:v>153.4471822669861</x:v>
      </x:c>
      <x:c r="X76" s="45" t="n">
        <x:v>3700</x:v>
      </x:c>
      <x:c r="Y76" s="59" t="n">
        <x:v>0.12</x:v>
      </x:c>
      <x:c r="Z76" s="53" t="n">
        <x:f>X76*Y76*chem_va*B76</x:f>
        <x:v>264.6874472670622</x:v>
      </x:c>
      <x:c r="AA76" s="59" t="n">
        <x:v>0.075</x:v>
      </x:c>
      <x:c r="AB76" s="53" t="n">
        <x:f>X76*AA76*roy_rate*B76*(1-IF(union_resp=2,lic_cut*Labour!S76,0))</x:f>
        <x:v>7.720050545289314</x:v>
      </x:c>
      <x:c r="AC76" s="45" t="n">
        <x:v>1480</x:v>
      </x:c>
      <x:c r="AD76" s="59" t="n">
        <x:v>0.224</x:v>
      </x:c>
      <x:c r="AE76" s="59" t="n">
        <x:v>0.397</x:v>
      </x:c>
      <x:c r="AF76" s="53" t="n">
        <x:f>AC76*AD76*elec_va*B76</x:f>
        <x:v>197.63329395940644</x:v>
      </x:c>
      <x:c r="AG76" s="53" t="n">
        <x:f>MAX(0,AE76-AD76)*AC76*roy_rate*B76*(1-IF(union_resp=2,lic_cut*Labour!S76,0))</x:f>
        <x:v>7.123033303120274</x:v>
      </x:c>
      <x:c r="AH76" s="52" t="n">
        <x:v>120</x:v>
      </x:c>
      <x:c r="AI76" s="53" t="n">
        <x:f>AH76*B76</x:f>
        <x:v>158.97143980003736</x:v>
      </x:c>
      <x:c r="AJ76" s="52" t="n">
        <x:v>137</x:v>
      </x:c>
      <x:c r="AK76" s="53" t="n">
        <x:f>AJ76*B76</x:f>
        <x:v>181.49239377170932</x:v>
      </x:c>
      <x:c r="AL76" s="45" t="n">
        <x:v>450</x:v>
      </x:c>
      <x:c r="AM76" s="53" t="n">
        <x:f>AL76*uw_fee*B76</x:f>
        <x:v>14.903572481253503</x:v>
      </x:c>
      <x:c r="AN76" s="52" t="n">
        <x:v>76</x:v>
      </x:c>
      <x:c r="AO76" s="52" t="n">
        <x:v>57</x:v>
      </x:c>
      <x:c r="AP76" s="53" t="n">
        <x:f>K76+T76+W76+Z76+AF76+AI76+AK76+AM76+AN76+AO76</x:f>
        <x:v>1369.7501102123508</x:v>
      </x:c>
      <x:c r="AQ76" s="53" t="n">
        <x:f>AP76*(1-1/champ_prem+champ_spill)</x:f>
        <x:v>951.2153543141325</x:v>
      </x:c>
      <x:c r="AR76" s="63" t="n">
        <x:f>AP76/Economy!O76</x:f>
        <x:v>0.07479050058914989</x:v>
      </x:c>
      <x:c r="AS76" s="52" t="n">
        <x:v>960</x:v>
      </x:c>
      <x:c r="AT76" s="52" t="n">
        <x:v>214</x:v>
      </x:c>
      <x:c r="AU76" s="52" t="n">
        <x:v>336</x:v>
      </x:c>
      <x:c r="AV76" s="52" t="n">
        <x:v>34</x:v>
      </x:c>
      <x:c r="AW76" s="52" t="n">
        <x:v>74</x:v>
      </x:c>
      <x:c r="AX76" s="52" t="n">
        <x:v>634</x:v>
      </x:c>
      <x:c r="AY76" s="53" t="n">
        <x:f>Q76+(AS76+AT76+AU76+AV76+AW76+AX76)*B76</x:f>
        <x:v>3869.7888480580964</x:v>
      </x:c>
      <x:c r="AZ76" s="53" t="n">
        <x:f>P76+(AS76*ret_rail+AT76*ret_tel+AU76*ret_elec+AV76*ret_auto+AW76*ret_chem+AX76*ret_steel)*B76*IF(OR($A76=1931,$A76=1932),abroad_slump,1)+AB76+AG76</x:f>
        <x:v>332.13494890726327</x:v>
      </x:c>
      <x:c r="BA76" s="53" t="n">
        <x:f>AP76*champ_profit+AZ76</x:f>
        <x:v>606.0849709497334</x:v>
      </x:c>
      <x:c r="BB76" s="53" t="n">
        <x:f>(K76+AI76+AK76)*champ_profit+P76+(AS76*ret_rail+AT76*ret_tel+AU76*ret_elec)*B76*IF(OR($A76=1931,$A76=1932),abroad_slump,1)</x:f>
        <x:v>334.513771037191</x:v>
      </x:c>
      <x:c r="BC76" s="53" t="n">
        <x:f>(T76+W76+Z76+AF76+AN76+AO76)*champ_profit+(AV76*ret_auto+AW76*ret_chem+AX76*ret_steel)*B76*IF(OR($A76=1931,$A76=1932),abroad_slump,1)+AB76+AG76</x:f>
        <x:v>268.5904854162917</x:v>
      </x:c>
      <x:c r="BD76" s="53" t="n">
        <x:f>IF($A76&gt;=crown_start,(BB76*crown_charter+BC76*crown_comp)*crown_payout,0)</x:f>
        <x:v>52.557840796300546</x:v>
      </x:c>
      <x:c r="BE76" s="63" t="n">
        <x:f>IF(BB76+BC76&gt;0,(BB76*crown_charter+BC76*crown_comp)/(BA76),0)</x:f>
        <x:v>0.17343390222642402</x:v>
      </x:c>
    </x:row>
    <x:row r="77">
      <x:c r="A77" s="61" t="n">
        <x:v>1917</x:v>
      </x:c>
      <x:c r="B77" s="65" t="n">
        <x:f>champ_scale*(1+Labour!AP77)*(1+Partners!BX77)*(1-IF(union_resp=2,tariff_cut*Labour!S77,0))</x:f>
        <x:v>1.3321334108126346</x:v>
      </x:c>
      <x:c r="C77" s="45" t="n">
        <x:v>5640</x:v>
      </x:c>
      <x:c r="D77" s="45" t="n">
        <x:v>1270</x:v>
      </x:c>
      <x:c r="E77" s="45" t="n">
        <x:v>9140</x:v>
      </x:c>
      <x:c r="F77" s="47" t="n">
        <x:f>E77*B77</x:f>
        <x:v>12175.69937482748</x:v>
      </x:c>
      <x:c r="G77" s="47" t="n">
        <x:f>F77/Economy!B77*1000000</x:f>
        <x:v>715.3857542273402</x:v>
      </x:c>
      <x:c r="H77" s="45" t="n">
        <x:v>350</x:v>
      </x:c>
      <x:c r="I77" s="67" t="n">
        <x:f>IF(H77&gt;0,G77/H77,0)</x:f>
        <x:v>2.0439592977924006</x:v>
      </x:c>
      <x:c r="J77" s="68" t="n">
        <x:v>0.65</x:v>
      </x:c>
      <x:c r="K77" s="53" t="n">
        <x:f>Resources!K77*J77*B77</x:f>
        <x:v>90.9181052879623</x:v>
      </x:c>
      <x:c r="L77" s="45" t="n">
        <x:v>170</x:v>
      </x:c>
      <x:c r="M77" s="59" t="n">
        <x:v>0.518</x:v>
      </x:c>
      <x:c r="N77" s="45" t="n">
        <x:v>46</x:v>
      </x:c>
      <x:c r="O77" s="68" t="n">
        <x:v>0.829</x:v>
      </x:c>
      <x:c r="P77" s="53" t="n">
        <x:f>(IF(Gulf!E77=1,0,L77*M77)+N77)*O77*B77</x:f>
        <x:v>148.04763238938614</x:v>
      </x:c>
      <x:c r="Q77" s="53" t="n">
        <x:f>P77*oil_book</x:f>
        <x:v>1036.333426725703</x:v>
      </x:c>
      <x:c r="R77" s="68" t="n">
        <x:v>6</x:v>
      </x:c>
      <x:c r="S77" s="45" t="n">
        <x:v>28</x:v>
      </x:c>
      <x:c r="T77" s="53" t="n">
        <x:f>R77*S77*B77</x:f>
        <x:v>223.7984130165226</x:v>
      </x:c>
      <x:c r="U77" s="45" t="n">
        <x:v>305</x:v>
      </x:c>
      <x:c r="V77" s="45" t="n">
        <x:v>369</x:v>
      </x:c>
      <x:c r="W77" s="53" t="n">
        <x:f>U77/1000*V77*B77</x:f>
        <x:v>149.92495471990796</x:v>
      </x:c>
      <x:c r="X77" s="45" t="n">
        <x:v>4100</x:v>
      </x:c>
      <x:c r="Y77" s="59" t="n">
        <x:v>0.127</x:v>
      </x:c>
      <x:c r="Z77" s="53" t="n">
        <x:f>X77*Y77*chem_va*B77</x:f>
        <x:v>312.1388401545625</x:v>
      </x:c>
      <x:c r="AA77" s="59" t="n">
        <x:v>0.083</x:v>
      </x:c>
      <x:c r="AB77" s="53" t="n">
        <x:f>X77*AA77*roy_rate*B77*(1-IF(union_resp=2,lic_cut*Labour!S77,0))</x:f>
        <x:v>9.51982499369033</x:v>
      </x:c>
      <x:c r="AC77" s="45" t="n">
        <x:v>1640</x:v>
      </x:c>
      <x:c r="AD77" s="59" t="n">
        <x:v>0.225</x:v>
      </x:c>
      <x:c r="AE77" s="59" t="n">
        <x:v>0.403</x:v>
      </x:c>
      <x:c r="AF77" s="53" t="n">
        <x:f>AC77*AD77*elec_va*B77</x:f>
        <x:v>221.20075286543798</x:v>
      </x:c>
      <x:c r="AG77" s="53" t="n">
        <x:f>MAX(0,AE77-AD77)*AC77*roy_rate*B77*(1-IF(union_resp=2,lic_cut*Labour!S77,0))</x:f>
        <x:v>8.16640409097291</x:v>
      </x:c>
      <x:c r="AH77" s="52" t="n">
        <x:v>130</x:v>
      </x:c>
      <x:c r="AI77" s="53" t="n">
        <x:f>AH77*B77</x:f>
        <x:v>173.1773434056425</x:v>
      </x:c>
      <x:c r="AJ77" s="52" t="n">
        <x:v>163</x:v>
      </x:c>
      <x:c r="AK77" s="53" t="n">
        <x:f>AJ77*B77</x:f>
        <x:v>217.13774596245943</x:v>
      </x:c>
      <x:c r="AL77" s="45" t="n">
        <x:v>525</x:v>
      </x:c>
      <x:c r="AM77" s="53" t="n">
        <x:f>AL77*uw_fee*B77</x:f>
        <x:v>17.484251016915827</x:v>
      </x:c>
      <x:c r="AN77" s="52" t="n">
        <x:v>102</x:v>
      </x:c>
      <x:c r="AO77" s="52" t="n">
        <x:v>73</x:v>
      </x:c>
      <x:c r="AP77" s="53" t="n">
        <x:f>K77+T77+W77+Z77+AF77+AI77+AK77+AM77+AN77+AO77</x:f>
        <x:v>1580.780406429411</x:v>
      </x:c>
      <x:c r="AQ77" s="53" t="n">
        <x:f>AP77*(1-1/champ_prem+champ_spill)</x:f>
        <x:v>1097.7641711315352</x:v>
      </x:c>
      <x:c r="AR77" s="63" t="n">
        <x:f>AP77/Economy!O77</x:f>
        <x:v>0.06862892675349803</x:v>
      </x:c>
      <x:c r="AS77" s="52" t="n">
        <x:v>980</x:v>
      </x:c>
      <x:c r="AT77" s="52" t="n">
        <x:v>226</x:v>
      </x:c>
      <x:c r="AU77" s="52" t="n">
        <x:v>364</x:v>
      </x:c>
      <x:c r="AV77" s="52" t="n">
        <x:v>41</x:v>
      </x:c>
      <x:c r="AW77" s="52" t="n">
        <x:v>86</x:v>
      </x:c>
      <x:c r="AX77" s="52" t="n">
        <x:v>646</x:v>
      </x:c>
      <x:c r="AY77" s="53" t="n">
        <x:f>Q77+(AS77+AT77+AU77+AV77+AW77+AX77)*B77</x:f>
        <x:v>4157.522008259706</x:v>
      </x:c>
      <x:c r="AZ77" s="53" t="n">
        <x:f>P77+(AS77*ret_rail+AT77*ret_tel+AU77*ret_elec+AV77*ret_auto+AW77*ret_chem+AX77*ret_steel)*B77*IF(OR($A77=1931,$A77=1932),abroad_slump,1)+AB77+AG77</x:f>
        <x:v>366.9925771796222</x:v>
      </x:c>
      <x:c r="BA77" s="53" t="n">
        <x:f>AP77*champ_profit+AZ77</x:f>
        <x:v>683.1486584655045</x:v>
      </x:c>
      <x:c r="BB77" s="53" t="n">
        <x:f>(K77+AI77+AK77)*champ_profit+P77+(AS77*ret_rail+AT77*ret_tel+AU77*ret_elec)*B77*IF(OR($A77=1931,$A77=1932),abroad_slump,1)</x:f>
        <x:v>373.61778284228956</x:v>
      </x:c>
      <x:c r="BC77" s="53" t="n">
        <x:f>(T77+W77+Z77+AF77+AN77+AO77)*champ_profit+(AV77*ret_auto+AW77*ret_chem+AX77*ret_steel)*B77*IF(OR($A77=1931,$A77=1932),abroad_slump,1)+AB77+AG77</x:f>
        <x:v>306.0340254198317</x:v>
      </x:c>
      <x:c r="BD77" s="53" t="n">
        <x:f>IF($A77&gt;=crown_start,(BB77*crown_charter+BC77*crown_comp)*crown_payout,0)</x:f>
        <x:v>58.943583872079465</x:v>
      </x:c>
      <x:c r="BE77" s="63" t="n">
        <x:f>IF(BB77+BC77&gt;0,(BB77*crown_charter+BC77*crown_comp)/(BA77),0)</x:f>
        <x:v>0.17256444301443596</x:v>
      </x:c>
    </x:row>
    <x:row r="78">
      <x:c r="A78" s="61" t="n">
        <x:v>1918</x:v>
      </x:c>
      <x:c r="B78" s="65" t="n">
        <x:f>champ_scale*(1+Labour!AP78)*(1+Partners!BX78)*(1-IF(union_resp=2,tariff_cut*Labour!S78,0))</x:f>
        <x:v>1.3408213005832088</x:v>
      </x:c>
      <x:c r="C78" s="45" t="n">
        <x:v>5930</x:v>
      </x:c>
      <x:c r="D78" s="45" t="n">
        <x:v>1380</x:v>
      </x:c>
      <x:c r="E78" s="45" t="n">
        <x:v>9430</x:v>
      </x:c>
      <x:c r="F78" s="47" t="n">
        <x:f>E78*B78</x:f>
        <x:v>12643.94486449966</x:v>
      </x:c>
      <x:c r="G78" s="47" t="n">
        <x:f>F78/Economy!B78*1000000</x:f>
        <x:v>727.2194170920362</x:v>
      </x:c>
      <x:c r="H78" s="45" t="n">
        <x:v>350</x:v>
      </x:c>
      <x:c r="I78" s="67" t="n">
        <x:f>IF(H78&gt;0,G78/H78,0)</x:f>
        <x:v>2.0777697631201035</x:v>
      </x:c>
      <x:c r="J78" s="68" t="n">
        <x:v>0.7</x:v>
      </x:c>
      <x:c r="K78" s="53" t="n">
        <x:f>Resources!K78*J78*B78</x:f>
        <x:v>98.55036559286584</x:v>
      </x:c>
      <x:c r="L78" s="45" t="n">
        <x:v>197</x:v>
      </x:c>
      <x:c r="M78" s="59" t="n">
        <x:v>0.521</x:v>
      </x:c>
      <x:c r="N78" s="45" t="n">
        <x:v>49</x:v>
      </x:c>
      <x:c r="O78" s="68" t="n">
        <x:v>0.886</x:v>
      </x:c>
      <x:c r="P78" s="53" t="n">
        <x:f>(IF(Gulf!E78=1,0,L78*M78)+N78)*O78*B78</x:f>
        <x:v>180.1398539270909</x:v>
      </x:c>
      <x:c r="Q78" s="53" t="n">
        <x:f>P78*oil_book</x:f>
        <x:v>1260.9789774896365</x:v>
      </x:c>
      <x:c r="R78" s="68" t="n">
        <x:v>6.5</x:v>
      </x:c>
      <x:c r="S78" s="45" t="n">
        <x:v>30</x:v>
      </x:c>
      <x:c r="T78" s="53" t="n">
        <x:f>R78*S78*B78</x:f>
        <x:v>261.4601536137257</x:v>
      </x:c>
      <x:c r="U78" s="45" t="n">
        <x:v>280</x:v>
      </x:c>
      <x:c r="V78" s="45" t="n">
        <x:v>386</x:v>
      </x:c>
      <x:c r="W78" s="53" t="n">
        <x:f>U78/1000*V78*B78</x:f>
        <x:v>144.91596616703322</x:v>
      </x:c>
      <x:c r="X78" s="45" t="n">
        <x:v>4500</x:v>
      </x:c>
      <x:c r="Y78" s="59" t="n">
        <x:v>0.133</x:v>
      </x:c>
      <x:c r="Z78" s="53" t="n">
        <x:f>X78*Y78*chem_va*B78</x:f>
        <x:v>361.1166967795727</x:v>
      </x:c>
      <x:c r="AA78" s="59" t="n">
        <x:v>0.092</x:v>
      </x:c>
      <x:c r="AB78" s="53" t="n">
        <x:f>X78*AA78*roy_rate*B78*(1-IF(union_resp=2,lic_cut*Labour!S78,0))</x:f>
        <x:v>11.657100387270418</x:v>
      </x:c>
      <x:c r="AC78" s="45" t="n">
        <x:v>1800</x:v>
      </x:c>
      <x:c r="AD78" s="59" t="n">
        <x:v>0.226</x:v>
      </x:c>
      <x:c r="AE78" s="59" t="n">
        <x:v>0.409</x:v>
      </x:c>
      <x:c r="AF78" s="53" t="n">
        <x:f>AC78*AD78*elec_va*B78</x:f>
        <x:v>245.4507472847622</x:v>
      </x:c>
      <x:c r="AG78" s="53" t="n">
        <x:f>MAX(0,AE78-AD78)*AC78*roy_rate*B78*(1-IF(union_resp=2,lic_cut*Labour!S78,0))</x:f>
        <x:v>9.274997264654287</x:v>
      </x:c>
      <x:c r="AH78" s="52" t="n">
        <x:v>140</x:v>
      </x:c>
      <x:c r="AI78" s="53" t="n">
        <x:f>AH78*B78</x:f>
        <x:v>187.71498208164923</x:v>
      </x:c>
      <x:c r="AJ78" s="52" t="n">
        <x:v>190</x:v>
      </x:c>
      <x:c r="AK78" s="53" t="n">
        <x:f>AJ78*B78</x:f>
        <x:v>254.75604711080967</x:v>
      </x:c>
      <x:c r="AL78" s="45" t="n">
        <x:v>600</x:v>
      </x:c>
      <x:c r="AM78" s="53" t="n">
        <x:f>AL78*uw_fee*B78</x:f>
        <x:v>20.112319508748133</x:v>
      </x:c>
      <x:c r="AN78" s="52" t="n">
        <x:v>128</x:v>
      </x:c>
      <x:c r="AO78" s="52" t="n">
        <x:v>90</x:v>
      </x:c>
      <x:c r="AP78" s="53" t="n">
        <x:f>K78+T78+W78+Z78+AF78+AI78+AK78+AM78+AN78+AO78</x:f>
        <x:v>1792.0772781391668</x:v>
      </x:c>
      <x:c r="AQ78" s="53" t="n">
        <x:f>AP78*(1-1/champ_prem+champ_spill)</x:f>
        <x:v>1244.4981098188657</x:v>
      </x:c>
      <x:c r="AR78" s="63" t="n">
        <x:f>AP78/Economy!O78</x:f>
        <x:v>0.06467840738075838</x:v>
      </x:c>
      <x:c r="AS78" s="52" t="n">
        <x:v>1000</x:v>
      </x:c>
      <x:c r="AT78" s="52" t="n">
        <x:v>237</x:v>
      </x:c>
      <x:c r="AU78" s="52" t="n">
        <x:v>393</x:v>
      </x:c>
      <x:c r="AV78" s="52" t="n">
        <x:v>47</x:v>
      </x:c>
      <x:c r="AW78" s="52" t="n">
        <x:v>97</x:v>
      </x:c>
      <x:c r="AX78" s="52" t="n">
        <x:v>657</x:v>
      </x:c>
      <x:c r="AY78" s="53" t="n">
        <x:f>Q78+(AS78+AT78+AU78+AV78+AW78+AX78)*B78</x:f>
        <x:v>4520.515559207417</x:v>
      </x:c>
      <x:c r="AZ78" s="53" t="n">
        <x:f>P78+(AS78*ret_rail+AT78*ret_tel+AU78*ret_elec+AV78*ret_auto+AW78*ret_chem+AX78*ret_steel)*B78*IF(OR($A78=1931,$A78=1932),abroad_slump,1)+AB78+AG78</x:f>
        <x:v>412.8010431541102</x:v>
      </x:c>
      <x:c r="BA78" s="53" t="n">
        <x:f>AP78*champ_profit+AZ78</x:f>
        <x:v>771.2164987819435</x:v>
      </x:c>
      <x:c r="BB78" s="53" t="n">
        <x:f>(K78+AI78+AK78)*champ_profit+P78+(AS78*ret_rail+AT78*ret_tel+AU78*ret_elec)*B78*IF(OR($A78=1931,$A78=1932),abroad_slump,1)</x:f>
        <x:v>424.04865671618245</x:v>
      </x:c>
      <x:c r="BC78" s="53" t="n">
        <x:f>(T78+W78+Z78+AF78+AN78+AO78)*champ_profit+(AV78*ret_auto+AW78*ret_chem+AX78*ret_steel)*B78*IF(OR($A78=1931,$A78=1932),abroad_slump,1)+AB78+AG78</x:f>
        <x:v>343.14537816401145</x:v>
      </x:c>
      <x:c r="BD78" s="53" t="n">
        <x:f>IF($A78&gt;=crown_start,(BB78*crown_charter+BC78*crown_comp)*crown_payout,0)</x:f>
        <x:v>66.73189721608327</x:v>
      </x:c>
      <x:c r="BE78" s="63" t="n">
        <x:f>IF(BB78+BC78&gt;0,(BB78*crown_charter+BC78*crown_comp)/(BA78),0)</x:f>
        <x:v>0.1730561971158018</x:v>
      </x:c>
    </x:row>
    <x:row r="79">
      <x:c r="A79" s="61" t="n">
        <x:v>1919</x:v>
      </x:c>
      <x:c r="B79" s="65" t="n">
        <x:f>champ_scale*(1+Labour!AP79)*(1+Partners!BX79)*(1-IF(union_resp=2,tariff_cut*Labour!S79,0))</x:f>
        <x:v>1.3507800103307064</x:v>
      </x:c>
      <x:c r="C79" s="45" t="n">
        <x:v>6210</x:v>
      </x:c>
      <x:c r="D79" s="45" t="n">
        <x:v>1500</x:v>
      </x:c>
      <x:c r="E79" s="45" t="n">
        <x:v>9710</x:v>
      </x:c>
      <x:c r="F79" s="47" t="n">
        <x:f>E79*B79</x:f>
        <x:v>13116.07390031116</x:v>
      </x:c>
      <x:c r="G79" s="47" t="n">
        <x:f>F79/Economy!B79*1000000</x:f>
        <x:v>736.4933850713259</x:v>
      </x:c>
      <x:c r="H79" s="45" t="n">
        <x:v>350</x:v>
      </x:c>
      <x:c r="I79" s="67" t="n">
        <x:f>IF(H79&gt;0,G79/H79,0)</x:f>
        <x:v>2.1042668144895025</x:v>
      </x:c>
      <x:c r="J79" s="68" t="n">
        <x:v>0.75</x:v>
      </x:c>
      <x:c r="K79" s="53" t="n">
        <x:f>Resources!K79*J79*B79</x:f>
        <x:v>111.43935085228328</x:v>
      </x:c>
      <x:c r="L79" s="45" t="n">
        <x:v>223</x:v>
      </x:c>
      <x:c r="M79" s="59" t="n">
        <x:v>0.524</x:v>
      </x:c>
      <x:c r="N79" s="45" t="n">
        <x:v>52</x:v>
      </x:c>
      <x:c r="O79" s="68" t="n">
        <x:v>0.9429999999999999</x:v>
      </x:c>
      <x:c r="P79" s="53" t="n">
        <x:f>(IF(Gulf!E79=1,0,L79*M79)+N79)*O79*B79</x:f>
        <x:v>215.08123764501187</x:v>
      </x:c>
      <x:c r="Q79" s="53" t="n">
        <x:f>P79*oil_book</x:f>
        <x:v>1505.568663515083</x:v>
      </x:c>
      <x:c r="R79" s="68" t="n">
        <x:v>5.667</x:v>
      </x:c>
      <x:c r="S79" s="45" t="n">
        <x:v>28</x:v>
      </x:c>
      <x:c r="T79" s="53" t="n">
        <x:f>R79*S79*B79</x:f>
        <x:v>214.33636891923516</x:v>
      </x:c>
      <x:c r="U79" s="45" t="n">
        <x:v>370</x:v>
      </x:c>
      <x:c r="V79" s="45" t="n">
        <x:v>403</x:v>
      </x:c>
      <x:c r="W79" s="53" t="n">
        <x:f>U79/1000*V79*B79</x:f>
        <x:v>201.4148073404116</x:v>
      </x:c>
      <x:c r="X79" s="45" t="n">
        <x:v>4750</x:v>
      </x:c>
      <x:c r="Y79" s="59" t="n">
        <x:v>0.14</x:v>
      </x:c>
      <x:c r="Z79" s="53" t="n">
        <x:f>X79*Y79*chem_va*B79</x:f>
        <x:v>404.22091809146394</x:v>
      </x:c>
      <x:c r="AA79" s="59" t="n">
        <x:v>0.1</x:v>
      </x:c>
      <x:c r="AB79" s="53" t="n">
        <x:f>X79*AA79*roy_rate*B79*(1-IF(union_resp=2,lic_cut*Labour!S79,0))</x:f>
        <x:v>13.474030603048794</x:v>
      </x:c>
      <x:c r="AC79" s="45" t="n">
        <x:v>2000</x:v>
      </x:c>
      <x:c r="AD79" s="59" t="n">
        <x:v>0.228</x:v>
      </x:c>
      <x:c r="AE79" s="59" t="n">
        <x:v>0.414</x:v>
      </x:c>
      <x:c r="AF79" s="53" t="n">
        <x:f>AC79*AD79*elec_va*B79</x:f>
        <x:v>277.180058119861</x:v>
      </x:c>
      <x:c r="AG79" s="53" t="n">
        <x:f>MAX(0,AE79-AD79)*AC79*roy_rate*B79*(1-IF(union_resp=2,lic_cut*Labour!S79,0))</x:f>
        <x:v>10.552293440703476</x:v>
      </x:c>
      <x:c r="AH79" s="52" t="n">
        <x:v>150</x:v>
      </x:c>
      <x:c r="AI79" s="53" t="n">
        <x:f>AH79*B79</x:f>
        <x:v>202.61700154960596</x:v>
      </x:c>
      <x:c r="AJ79" s="52" t="n">
        <x:v>170</x:v>
      </x:c>
      <x:c r="AK79" s="53" t="n">
        <x:f>AJ79*B79</x:f>
        <x:v>229.63260175622008</x:v>
      </x:c>
      <x:c r="AL79" s="45" t="n">
        <x:v>500</x:v>
      </x:c>
      <x:c r="AM79" s="53" t="n">
        <x:f>AL79*uw_fee*B79</x:f>
        <x:v>16.88475012913383</x:v>
      </x:c>
      <x:c r="AN79" s="52" t="n">
        <x:v>154</x:v>
      </x:c>
      <x:c r="AO79" s="52" t="n">
        <x:v>75</x:v>
      </x:c>
      <x:c r="AP79" s="53" t="n">
        <x:f>K79+T79+W79+Z79+AF79+AI79+AK79+AM79+AN79+AO79</x:f>
        <x:v>1886.7258567582148</x:v>
      </x:c>
      <x:c r="AQ79" s="53" t="n">
        <x:f>AP79*(1-1/champ_prem+champ_spill)</x:f>
        <x:v>1310.226289415427</x:v>
      </x:c>
      <x:c r="AR79" s="63" t="n">
        <x:f>AP79/Economy!O79</x:f>
        <x:v>0.05998417991489577</x:v>
      </x:c>
      <x:c r="AS79" s="52" t="n">
        <x:v>1050</x:v>
      </x:c>
      <x:c r="AT79" s="52" t="n">
        <x:v>249</x:v>
      </x:c>
      <x:c r="AU79" s="52" t="n">
        <x:v>421</x:v>
      </x:c>
      <x:c r="AV79" s="52" t="n">
        <x:v>54</x:v>
      </x:c>
      <x:c r="AW79" s="52" t="n">
        <x:v>109</x:v>
      </x:c>
      <x:c r="AX79" s="52" t="n">
        <x:v>669</x:v>
      </x:c>
      <x:c r="AY79" s="53" t="n">
        <x:f>Q79+(AS79+AT79+AU79+AV79+AW79+AX79)*B79</x:f>
        <x:v>4952.7592498790455</x:v>
      </x:c>
      <x:c r="AZ79" s="53" t="n">
        <x:f>P79+(AS79*ret_rail+AT79*ret_tel+AU79*ret_elec+AV79*ret_auto+AW79*ret_chem+AX79*ret_steel)*B79*IF(OR($A79=1931,$A79=1932),abroad_slump,1)+AB79+AG79</x:f>
        <x:v>464.10698800954987</x:v>
      </x:c>
      <x:c r="BA79" s="53" t="n">
        <x:f>AP79*champ_profit+AZ79</x:f>
        <x:v>841.4521593611928</x:v>
      </x:c>
      <x:c r="BB79" s="53" t="n">
        <x:f>(K79+AI79+AK79)*champ_profit+P79+(AS79*ret_rail+AT79*ret_tel+AU79*ret_elec)*B79*IF(OR($A79=1931,$A79=1932),abroad_slump,1)</x:f>
        <x:v>468.1768881806763</x:v>
      </x:c>
      <x:c r="BC79" s="53" t="n">
        <x:f>(T79+W79+Z79+AF79+AN79+AO79)*champ_profit+(AV79*ret_auto+AW79*ret_chem+AX79*ret_steel)*B79*IF(OR($A79=1931,$A79=1932),abroad_slump,1)+AB79+AG79</x:f>
        <x:v>369.89832115468977</x:v>
      </x:c>
      <x:c r="BD79" s="53" t="n">
        <x:f>IF($A79&gt;=crown_start,(BB79*crown_charter+BC79*crown_comp)*crown_payout,0)</x:f>
        <x:v>73.31804386877214</x:v>
      </x:c>
      <x:c r="BE79" s="63" t="n">
        <x:f>IF(BB79+BC79&gt;0,(BB79*crown_charter+BC79*crown_comp)/(BA79),0)</x:f>
        <x:v>0.17426550767766327</x:v>
      </x:c>
    </x:row>
    <x:row r="80">
      <x:c r="A80" s="61" t="n">
        <x:v>1920</x:v>
      </x:c>
      <x:c r="B80" s="65" t="n">
        <x:f>champ_scale*(1+Labour!AP80)*(1+Partners!BX80)*(1-IF(union_resp=2,tariff_cut*Labour!S80,0))</x:f>
        <x:v>1.3638651773416215</x:v>
      </x:c>
      <x:c r="C80" s="45" t="n">
        <x:v>6500</x:v>
      </x:c>
      <x:c r="D80" s="45" t="n">
        <x:v>1420</x:v>
      </x:c>
      <x:c r="E80" s="45" t="n">
        <x:v>10000</x:v>
      </x:c>
      <x:c r="F80" s="47" t="n">
        <x:f>E80*B80</x:f>
        <x:v>13638.651773416215</x:v>
      </x:c>
      <x:c r="G80" s="47" t="n">
        <x:f>F80/Economy!B80*1000000</x:f>
        <x:v>741.0331655815138</x:v>
      </x:c>
      <x:c r="H80" s="45" t="n">
        <x:v>350</x:v>
      </x:c>
      <x:c r="I80" s="67" t="n">
        <x:f>IF(H80&gt;0,G80/H80,0)</x:f>
        <x:v>2.1172376159471824</x:v>
      </x:c>
      <x:c r="J80" s="68" t="n">
        <x:v>0.8</x:v>
      </x:c>
      <x:c r="K80" s="53" t="n">
        <x:f>Resources!K80*J80*B80</x:f>
        <x:v>125.47559631542917</x:v>
      </x:c>
      <x:c r="L80" s="45" t="n">
        <x:v>250</x:v>
      </x:c>
      <x:c r="M80" s="59" t="n">
        <x:v>0.526</x:v>
      </x:c>
      <x:c r="N80" s="45" t="n">
        <x:v>55</x:v>
      </x:c>
      <x:c r="O80" s="68" t="n">
        <x:v>1</x:v>
      </x:c>
      <x:c r="P80" s="53" t="n">
        <x:f>(IF(Gulf!E80=1,0,L80*M80)+N80)*O80*B80</x:f>
        <x:v>254.36085557421242</x:v>
      </x:c>
      <x:c r="Q80" s="53" t="n">
        <x:f>P80*oil_book</x:f>
        <x:v>1780.525989019487</x:v>
      </x:c>
      <x:c r="R80" s="68" t="n">
        <x:v>4.833</x:v>
      </x:c>
      <x:c r="S80" s="45" t="n">
        <x:v>27</x:v>
      </x:c>
      <x:c r="T80" s="53" t="n">
        <x:f>R80*S80*B80</x:f>
        <x:v>177.97213085648556</x:v>
      </x:c>
      <x:c r="U80" s="45" t="n">
        <x:v>460</x:v>
      </x:c>
      <x:c r="V80" s="45" t="n">
        <x:v>420</x:v>
      </x:c>
      <x:c r="W80" s="53" t="n">
        <x:f>U80/1000*V80*B80</x:f>
        <x:v>263.4987522624013</x:v>
      </x:c>
      <x:c r="X80" s="45" t="n">
        <x:v>5000</x:v>
      </x:c>
      <x:c r="Y80" s="59" t="n">
        <x:v>0.141</x:v>
      </x:c>
      <x:c r="Z80" s="53" t="n">
        <x:f>X80*Y80*chem_va*B80</x:f>
        <x:v>432.68622751162934</x:v>
      </x:c>
      <x:c r="AA80" s="59" t="n">
        <x:v>0.102</x:v>
      </x:c>
      <x:c r="AB80" s="53" t="n">
        <x:f>X80*AA80*roy_rate*B80*(1-IF(union_resp=2,lic_cut*Labour!S80,0))</x:f>
        <x:v>14.606996049328764</x:v>
      </x:c>
      <x:c r="AC80" s="45" t="n">
        <x:v>2200</x:v>
      </x:c>
      <x:c r="AD80" s="59" t="n">
        <x:v>0.229</x:v>
      </x:c>
      <x:c r="AE80" s="59" t="n">
        <x:v>0.42</x:v>
      </x:c>
      <x:c r="AF80" s="53" t="n">
        <x:f>AC80*AD80*elec_va*B80</x:f>
        <x:v>309.201874355119</x:v>
      </x:c>
      <x:c r="AG80" s="53" t="n">
        <x:f>MAX(0,AE80-AD80)*AC80*roy_rate*B80*(1-IF(union_resp=2,lic_cut*Labour!S80,0))</x:f>
        <x:v>12.035019097897935</x:v>
      </x:c>
      <x:c r="AH80" s="52" t="n">
        <x:v>160</x:v>
      </x:c>
      <x:c r="AI80" s="53" t="n">
        <x:f>AH80*B80</x:f>
        <x:v>218.21842837465942</x:v>
      </x:c>
      <x:c r="AJ80" s="52" t="n">
        <x:v>150</x:v>
      </x:c>
      <x:c r="AK80" s="53" t="n">
        <x:f>AJ80*B80</x:f>
        <x:v>204.57977660124322</x:v>
      </x:c>
      <x:c r="AL80" s="45" t="n">
        <x:v>540</x:v>
      </x:c>
      <x:c r="AM80" s="53" t="n">
        <x:f>AL80*uw_fee*B80</x:f>
        <x:v>18.41217989411189</x:v>
      </x:c>
      <x:c r="AN80" s="52" t="n">
        <x:v>180</x:v>
      </x:c>
      <x:c r="AO80" s="52" t="n">
        <x:v>60</x:v>
      </x:c>
      <x:c r="AP80" s="53" t="n">
        <x:f>K80+T80+W80+Z80+AF80+AI80+AK80+AM80+AN80+AO80</x:f>
        <x:v>1990.0449661710786</x:v>
      </x:c>
      <x:c r="AQ80" s="53" t="n">
        <x:f>AP80*(1-1/champ_prem+champ_spill)</x:f>
        <x:v>1381.975670952138</x:v>
      </x:c>
      <x:c r="AR80" s="63" t="n">
        <x:f>AP80/Economy!O80</x:f>
        <x:v>0.05392940212245165</x:v>
      </x:c>
      <x:c r="AS80" s="52" t="n">
        <x:v>1100</x:v>
      </x:c>
      <x:c r="AT80" s="52" t="n">
        <x:v>260</x:v>
      </x:c>
      <x:c r="AU80" s="52" t="n">
        <x:v>450</x:v>
      </x:c>
      <x:c r="AV80" s="52" t="n">
        <x:v>60</x:v>
      </x:c>
      <x:c r="AW80" s="52" t="n">
        <x:v>120</x:v>
      </x:c>
      <x:c r="AX80" s="52" t="n">
        <x:v>680</x:v>
      </x:c>
      <x:c r="AY80" s="53" t="n">
        <x:f>Q80+(AS80+AT80+AU80+AV80+AW80+AX80)*B80</x:f>
        <x:v>5422.046012521616</x:v>
      </x:c>
      <x:c r="AZ80" s="53" t="n">
        <x:f>P80+(AS80*ret_rail+AT80*ret_tel+AU80*ret_elec+AV80*ret_auto+AW80*ret_chem+AX80*ret_steel)*B80*IF(OR($A80=1931,$A80=1932),abroad_slump,1)+AB80+AG80</x:f>
        <x:v>519.5428902384887</x:v>
      </x:c>
      <x:c r="BA80" s="53" t="n">
        <x:f>AP80*champ_profit+AZ80</x:f>
        <x:v>917.5518834727044</x:v>
      </x:c>
      <x:c r="BB80" s="53" t="n">
        <x:f>(K80+AI80+AK80)*champ_profit+P80+(AS80*ret_rail+AT80*ret_tel+AU80*ret_elec)*B80*IF(OR($A80=1931,$A80=1932),abroad_slump,1)</x:f>
        <x:v>517.4504482834112</x:v>
      </x:c>
      <x:c r="BC80" s="53" t="n">
        <x:f>(T80+W80+Z80+AF80+AN80+AO80)*champ_profit+(AV80*ret_auto+AW80*ret_chem+AX80*ret_steel)*B80*IF(OR($A80=1931,$A80=1932),abroad_slump,1)+AB80+AG80</x:f>
        <x:v>396.4189992104709</x:v>
      </x:c>
      <x:c r="BD80" s="53" t="n">
        <x:f>IF($A80&gt;=crown_start,(BB80*crown_charter+BC80*crown_comp)*crown_payout,0)</x:f>
        <x:v>80.53806600384524</x:v>
      </x:c>
      <x:c r="BE80" s="63" t="n">
        <x:f>IF(BB80+BC80&gt;0,(BB80*crown_charter+BC80*crown_comp)/(BA80),0)</x:f>
        <x:v>0.17554988977632263</x:v>
      </x:c>
    </x:row>
    <x:row r="81">
      <x:c r="A81" s="61" t="n">
        <x:v>1921</x:v>
      </x:c>
      <x:c r="B81" s="65" t="n">
        <x:f>champ_scale*(1+Labour!AP81)*(1+Partners!BX81)*(1-IF(union_resp=2,tariff_cut*Labour!S81,0))</x:f>
        <x:v>1.3764150587864559</x:v>
      </x:c>
      <x:c r="C81" s="45" t="n">
        <x:v>6890</x:v>
      </x:c>
      <x:c r="D81" s="45" t="n">
        <x:v>1330</x:v>
      </x:c>
      <x:c r="E81" s="45" t="n">
        <x:v>10440</x:v>
      </x:c>
      <x:c r="F81" s="47" t="n">
        <x:f>E81*B81</x:f>
        <x:v>14369.7732137306</x:v>
      </x:c>
      <x:c r="G81" s="47" t="n">
        <x:f>F81/Economy!B81*1000000</x:f>
        <x:v>754.0368548758439</x:v>
      </x:c>
      <x:c r="H81" s="45" t="n">
        <x:v>352</x:v>
      </x:c>
      <x:c r="I81" s="67" t="n">
        <x:f>IF(H81&gt;0,G81/H81,0)</x:f>
        <x:v>2.142150155897284</x:v>
      </x:c>
      <x:c r="J81" s="68" t="n">
        <x:v>0.789</x:v>
      </x:c>
      <x:c r="K81" s="53" t="n">
        <x:f>Resources!K81*J81*B81</x:f>
        <x:v>143.89387128318307</x:v>
      </x:c>
      <x:c r="L81" s="45" t="n">
        <x:v>277</x:v>
      </x:c>
      <x:c r="M81" s="59" t="n">
        <x:v>0.529</x:v>
      </x:c>
      <x:c r="N81" s="45" t="n">
        <x:v>59</x:v>
      </x:c>
      <x:c r="O81" s="68" t="n">
        <x:v>0.978</x:v>
      </x:c>
      <x:c r="P81" s="53" t="n">
        <x:f>(IF(Gulf!E81=1,0,L81*M81)+N81)*O81*B81</x:f>
        <x:v>276.67494451945043</x:v>
      </x:c>
      <x:c r="Q81" s="53" t="n">
        <x:f>P81*oil_book</x:f>
        <x:v>1936.724611636153</x:v>
      </x:c>
      <x:c r="R81" s="68" t="n">
        <x:v>4</x:v>
      </x:c>
      <x:c r="S81" s="45" t="n">
        <x:v>25</x:v>
      </x:c>
      <x:c r="T81" s="53" t="n">
        <x:f>R81*S81*B81</x:f>
        <x:v>137.64150587864557</x:v>
      </x:c>
      <x:c r="U81" s="45" t="n">
        <x:v>300</x:v>
      </x:c>
      <x:c r="V81" s="45" t="n">
        <x:v>402</x:v>
      </x:c>
      <x:c r="W81" s="53" t="n">
        <x:f>U81/1000*V81*B81</x:f>
        <x:v>165.99565608964656</x:v>
      </x:c>
      <x:c r="X81" s="45" t="n">
        <x:v>4000</x:v>
      </x:c>
      <x:c r="Y81" s="59" t="n">
        <x:v>0.142</x:v>
      </x:c>
      <x:c r="Z81" s="53" t="n">
        <x:f>X81*Y81*chem_va*B81</x:f>
        <x:v>351.8116890258181</x:v>
      </x:c>
      <x:c r="AA81" s="59" t="n">
        <x:v>0.104</x:v>
      </x:c>
      <x:c r="AB81" s="53" t="n">
        <x:f>X81*AA81*roy_rate*B81*(1-IF(union_resp=2,lic_cut*Labour!S81,0))</x:f>
        <x:v>12.024361953558477</x:v>
      </x:c>
      <x:c r="AC81" s="45" t="n">
        <x:v>1700</x:v>
      </x:c>
      <x:c r="AD81" s="59" t="n">
        <x:v>0.23</x:v>
      </x:c>
      <x:c r="AE81" s="59" t="n">
        <x:v>0.423</x:v>
      </x:c>
      <x:c r="AF81" s="53" t="n">
        <x:f>AC81*AD81*elec_va*B81</x:f>
        <x:v>242.18022959347692</x:v>
      </x:c>
      <x:c r="AG81" s="53" t="n">
        <x:f>MAX(0,AE81-AD81)*AC81*roy_rate*B81*(1-IF(union_resp=2,lic_cut*Labour!S81,0))</x:f>
        <x:v>9.483637396544557</x:v>
      </x:c>
      <x:c r="AH81" s="52" t="n">
        <x:v>172</x:v>
      </x:c>
      <x:c r="AI81" s="53" t="n">
        <x:f>AH81*B81</x:f>
        <x:v>236.7433901112704</x:v>
      </x:c>
      <x:c r="AJ81" s="52" t="n">
        <x:v>156</x:v>
      </x:c>
      <x:c r="AK81" s="53" t="n">
        <x:f>AJ81*B81</x:f>
        <x:v>214.72074917068713</x:v>
      </x:c>
      <x:c r="AL81" s="45" t="n">
        <x:v>580</x:v>
      </x:c>
      <x:c r="AM81" s="53" t="n">
        <x:f>AL81*uw_fee*B81</x:f>
        <x:v>19.95801835240361</x:v>
      </x:c>
      <x:c r="AN81" s="52" t="n">
        <x:v>220</x:v>
      </x:c>
      <x:c r="AO81" s="52" t="n">
        <x:v>70</x:v>
      </x:c>
      <x:c r="AP81" s="53" t="n">
        <x:f>K81+T81+W81+Z81+AF81+AI81+AK81+AM81+AN81+AO81</x:f>
        <x:v>1802.9451095051313</x:v>
      </x:c>
      <x:c r="AQ81" s="53" t="n">
        <x:f>AP81*(1-1/champ_prem+champ_spill)</x:f>
        <x:v>1252.045214934119</x:v>
      </x:c>
      <x:c r="AR81" s="63" t="n">
        <x:f>AP81/Economy!O81</x:f>
        <x:v>0.0597223879077781</x:v>
      </x:c>
      <x:c r="AS81" s="52" t="n">
        <x:v>1180</x:v>
      </x:c>
      <x:c r="AT81" s="52" t="n">
        <x:v>278</x:v>
      </x:c>
      <x:c r="AU81" s="52" t="n">
        <x:v>540</x:v>
      </x:c>
      <x:c r="AV81" s="52" t="n">
        <x:v>78</x:v>
      </x:c>
      <x:c r="AW81" s="52" t="n">
        <x:v>146</x:v>
      </x:c>
      <x:c r="AX81" s="52" t="n">
        <x:v>697</x:v>
      </x:c>
      <x:c r="AY81" s="53" t="n">
        <x:f>Q81+(AS81+AT81+AU81+AV81+AW81+AX81)*B81</x:f>
        <x:v>5954.4801682338175</x:v>
      </x:c>
      <x:c r="AZ81" s="53" t="n">
        <x:f>P81+(AS81*ret_rail+AT81*ret_tel+AU81*ret_elec+AV81*ret_auto+AW81*ret_chem+AX81*ret_steel)*B81*IF(OR($A81=1931,$A81=1932),abroad_slump,1)+AB81+AG81</x:f>
        <x:v>564.2439747329753</x:v>
      </x:c>
      <x:c r="BA81" s="53" t="n">
        <x:f>AP81*champ_profit+AZ81</x:f>
        <x:v>924.8329966340016</x:v>
      </x:c>
      <x:c r="BB81" s="53" t="n">
        <x:f>(K81+AI81+AK81)*champ_profit+P81+(AS81*ret_rail+AT81*ret_tel+AU81*ret_elec)*B81*IF(OR($A81=1931,$A81=1932),abroad_slump,1)</x:f>
        <x:v>567.247862957271</x:v>
      </x:c>
      <x:c r="BC81" s="53" t="n">
        <x:f>(T81+W81+Z81+AF81+AN81+AO81)*champ_profit+(AV81*ret_auto+AW81*ret_chem+AX81*ret_steel)*B81*IF(OR($A81=1931,$A81=1932),abroad_slump,1)+AB81+AG81</x:f>
        <x:v>353.59353000625</x:v>
      </x:c>
      <x:c r="BD81" s="53" t="n">
        <x:f>IF($A81&gt;=crown_start,(BB81*crown_charter+BC81*crown_comp)*crown_payout,0)</x:f>
        <x:v>85.04972406990888</x:v>
      </x:c>
      <x:c r="BE81" s="63" t="n">
        <x:f>IF(BB81+BC81&gt;0,(BB81*crown_charter+BC81*crown_comp)/(BA81),0)</x:f>
        <x:v>0.18392450178454633</x:v>
      </x:c>
    </x:row>
    <x:row r="82">
      <x:c r="A82" s="61" t="n">
        <x:v>1922</x:v>
      </x:c>
      <x:c r="B82" s="65" t="n">
        <x:f>champ_scale*(1+Labour!AP82)*(1+Partners!BX82)*(1-IF(union_resp=2,tariff_cut*Labour!S82,0))</x:f>
        <x:v>1.3901244068649303</x:v>
      </x:c>
      <x:c r="C82" s="45" t="n">
        <x:v>7280</x:v>
      </x:c>
      <x:c r="D82" s="45" t="n">
        <x:v>1250</x:v>
      </x:c>
      <x:c r="E82" s="45" t="n">
        <x:v>10890</x:v>
      </x:c>
      <x:c r="F82" s="47" t="n">
        <x:f>E82*B82</x:f>
        <x:v>15138.454790759091</x:v>
      </x:c>
      <x:c r="G82" s="47" t="n">
        <x:f>F82/Economy!B82*1000000</x:f>
        <x:v>766.1413436003621</x:v>
      </x:c>
      <x:c r="H82" s="45" t="n">
        <x:v>355</x:v>
      </x:c>
      <x:c r="I82" s="67" t="n">
        <x:f>IF(H82&gt;0,G82/H82,0)</x:f>
        <x:v>2.158144629860175</x:v>
      </x:c>
      <x:c r="J82" s="68" t="n">
        <x:v>0.778</x:v>
      </x:c>
      <x:c r="K82" s="53" t="n">
        <x:f>Resources!K82*J82*B82</x:f>
        <x:v>162.22751828113738</x:v>
      </x:c>
      <x:c r="L82" s="45" t="n">
        <x:v>303</x:v>
      </x:c>
      <x:c r="M82" s="59" t="n">
        <x:v>0.532</x:v>
      </x:c>
      <x:c r="N82" s="45" t="n">
        <x:v>63</x:v>
      </x:c>
      <x:c r="O82" s="68" t="n">
        <x:v>0.956</x:v>
      </x:c>
      <x:c r="P82" s="53" t="n">
        <x:f>(IF(Gulf!E82=1,0,L82*M82)+N82)*O82*B82</x:f>
        <x:v>297.94727693454433</x:v>
      </x:c>
      <x:c r="Q82" s="53" t="n">
        <x:f>P82*oil_book</x:f>
        <x:v>2085.6309385418103</x:v>
      </x:c>
      <x:c r="R82" s="68" t="n">
        <x:v>4.875</x:v>
      </x:c>
      <x:c r="S82" s="45" t="n">
        <x:v>25</x:v>
      </x:c>
      <x:c r="T82" s="53" t="n">
        <x:f>R82*S82*B82</x:f>
        <x:v>169.4214120866634</x:v>
      </x:c>
      <x:c r="U82" s="45" t="n">
        <x:v>500</x:v>
      </x:c>
      <x:c r="V82" s="45" t="n">
        <x:v>384</x:v>
      </x:c>
      <x:c r="W82" s="53" t="n">
        <x:f>U82/1000*V82*B82</x:f>
        <x:v>266.9038861180666</x:v>
      </x:c>
      <x:c r="X82" s="45" t="n">
        <x:v>4625</x:v>
      </x:c>
      <x:c r="Y82" s="59" t="n">
        <x:v>0.143</x:v>
      </x:c>
      <x:c r="Z82" s="53" t="n">
        <x:f>X82*Y82*chem_va*B82</x:f>
        <x:v>413.72708831563205</x:v>
      </x:c>
      <x:c r="AA82" s="59" t="n">
        <x:v>0.106</x:v>
      </x:c>
      <x:c r="AB82" s="53" t="n">
        <x:f>X82*AA82*roy_rate*B82*(1-IF(union_resp=2,lic_cut*Labour!S82,0))</x:f>
        <x:v>14.311678299776172</x:v>
      </x:c>
      <x:c r="AC82" s="45" t="n">
        <x:v>2025</x:v>
      </x:c>
      <x:c r="AD82" s="59" t="n">
        <x:v>0.231</x:v>
      </x:c>
      <x:c r="AE82" s="59" t="n">
        <x:v>0.427</x:v>
      </x:c>
      <x:c r="AF82" s="53" t="n">
        <x:f>AC82*AD82*elec_va*B82</x:f>
        <x:v>292.6194499895593</x:v>
      </x:c>
      <x:c r="AG82" s="53" t="n">
        <x:f>MAX(0,AE82-AD82)*AC82*roy_rate*B82*(1-IF(union_resp=2,lic_cut*Labour!S82,0))</x:f>
        <x:v>11.586547918778505</x:v>
      </x:c>
      <x:c r="AH82" s="52" t="n">
        <x:v>184</x:v>
      </x:c>
      <x:c r="AI82" s="53" t="n">
        <x:f>AH82*B82</x:f>
        <x:v>255.78289086314717</x:v>
      </x:c>
      <x:c r="AJ82" s="52" t="n">
        <x:v>162</x:v>
      </x:c>
      <x:c r="AK82" s="53" t="n">
        <x:f>AJ82*B82</x:f>
        <x:v>225.2001539121187</x:v>
      </x:c>
      <x:c r="AL82" s="45" t="n">
        <x:v>620</x:v>
      </x:c>
      <x:c r="AM82" s="53" t="n">
        <x:f>AL82*uw_fee*B82</x:f>
        <x:v>21.54692830640642</x:v>
      </x:c>
      <x:c r="AN82" s="52" t="n">
        <x:v>260</x:v>
      </x:c>
      <x:c r="AO82" s="52" t="n">
        <x:v>80</x:v>
      </x:c>
      <x:c r="AP82" s="53" t="n">
        <x:f>K82+T82+W82+Z82+AF82+AI82+AK82+AM82+AN82+AO82</x:f>
        <x:v>2147.429327872731</x:v>
      </x:c>
      <x:c r="AQ82" s="53" t="n">
        <x:f>AP82*(1-1/champ_prem+champ_spill)</x:f>
        <x:v>1491.2703665782853</x:v>
      </x:c>
      <x:c r="AR82" s="63" t="n">
        <x:f>AP82/Economy!O82</x:f>
        <x:v>0.06856533900930142</x:v>
      </x:c>
      <x:c r="AS82" s="52" t="n">
        <x:v>1260</x:v>
      </x:c>
      <x:c r="AT82" s="52" t="n">
        <x:v>296</x:v>
      </x:c>
      <x:c r="AU82" s="52" t="n">
        <x:v>630</x:v>
      </x:c>
      <x:c r="AV82" s="52" t="n">
        <x:v>96</x:v>
      </x:c>
      <x:c r="AW82" s="52" t="n">
        <x:v>171</x:v>
      </x:c>
      <x:c r="AX82" s="52" t="n">
        <x:v>713</x:v>
      </x:c>
      <x:c r="AY82" s="53" t="n">
        <x:f>Q82+(AS82+AT82+AU82+AV82+AW82+AX82)*B82</x:f>
        <x:v>6486.764810676179</x:v>
      </x:c>
      <x:c r="AZ82" s="53" t="n">
        <x:f>P82+(AS82*ret_rail+AT82*ret_tel+AU82*ret_elec+AV82*ret_auto+AW82*ret_chem+AX82*ret_steel)*B82*IF(OR($A82=1931,$A82=1932),abroad_slump,1)+AB82+AG82</x:f>
        <x:v>617.8846176931692</x:v>
      </x:c>
      <x:c r="BA82" s="53" t="n">
        <x:f>AP82*champ_profit+AZ82</x:f>
        <x:v>1047.3704832677154</x:v>
      </x:c>
      <x:c r="BB82" s="53" t="n">
        <x:f>(K82+AI82+AK82)*champ_profit+P82+(AS82*ret_rail+AT82*ret_tel+AU82*ret_elec)*B82*IF(OR($A82=1931,$A82=1932),abroad_slump,1)</x:f>
        <x:v>616.619395964261</x:v>
      </x:c>
      <x:c r="BC82" s="53" t="n">
        <x:f>(T82+W82+Z82+AF82+AN82+AO82)*champ_profit+(AV82*ret_auto+AW82*ret_chem+AX82*ret_steel)*B82*IF(OR($A82=1931,$A82=1932),abroad_slump,1)+AB82+AG82</x:f>
        <x:v>426.44170164217303</x:v>
      </x:c>
      <x:c r="BD82" s="53" t="n">
        <x:f>IF($A82&gt;=crown_start,(BB82*crown_charter+BC82*crown_comp)*crown_payout,0)</x:f>
        <x:v>94.13509256121955</x:v>
      </x:c>
      <x:c r="BE82" s="63" t="n">
        <x:f>IF(BB82+BC82&gt;0,(BB82*crown_charter+BC82*crown_comp)/(BA82),0)</x:f>
        <x:v>0.17975509920334073</x:v>
      </x:c>
    </x:row>
    <x:row r="83">
      <x:c r="A83" s="58" t="n">
        <x:v>1923</x:v>
      </x:c>
      <x:c r="B83" s="65" t="n">
        <x:f>champ_scale*(1+Labour!AP83)*(1+Partners!BX83)*(1-IF(union_resp=2,tariff_cut*Labour!S83,0))</x:f>
        <x:v>1.405472324881445</x:v>
      </x:c>
      <x:c r="C83" s="45" t="n">
        <x:v>7670</x:v>
      </x:c>
      <x:c r="D83" s="45" t="n">
        <x:v>1170</x:v>
      </x:c>
      <x:c r="E83" s="45" t="n">
        <x:v>11330</x:v>
      </x:c>
      <x:c r="F83" s="47" t="n">
        <x:f>E83*B83</x:f>
        <x:v>15924.001440906772</x:v>
      </x:c>
      <x:c r="G83" s="47" t="n">
        <x:f>F83/Economy!B83*1000000</x:f>
        <x:v>777.0730370781225</x:v>
      </x:c>
      <x:c r="H83" s="45" t="n">
        <x:v>357</x:v>
      </x:c>
      <x:c r="I83" s="67" t="n">
        <x:f>IF(H83&gt;0,G83/H83,0)</x:f>
        <x:v>2.1766751738882983</x:v>
      </x:c>
      <x:c r="J83" s="68" t="n">
        <x:v>0.767</x:v>
      </x:c>
      <x:c r="K83" s="53" t="n">
        <x:f>Resources!K83*J83*B83</x:f>
        <x:v>204.81948190497295</x:v>
      </x:c>
      <x:c r="L83" s="45" t="n">
        <x:v>330</x:v>
      </x:c>
      <x:c r="M83" s="59" t="n">
        <x:v>0.534</x:v>
      </x:c>
      <x:c r="N83" s="45" t="n">
        <x:v>67</x:v>
      </x:c>
      <x:c r="O83" s="68" t="n">
        <x:v>0.9330000000000001</x:v>
      </x:c>
      <x:c r="P83" s="53" t="n">
        <x:f>(IF(Gulf!E83=1,0,L83*M83)+N83)*O83*B83</x:f>
        <x:v>318.93576727420145</x:v>
      </x:c>
      <x:c r="Q83" s="53" t="n">
        <x:f>P83*oil_book</x:f>
        <x:v>2232.55037091941</x:v>
      </x:c>
      <x:c r="R83" s="68" t="n">
        <x:v>5.75</x:v>
      </x:c>
      <x:c r="S83" s="45" t="n">
        <x:v>25</x:v>
      </x:c>
      <x:c r="T83" s="53" t="n">
        <x:f>R83*S83*B83</x:f>
        <x:v>202.0366467017077</x:v>
      </x:c>
      <x:c r="U83" s="45" t="n">
        <x:v>700</x:v>
      </x:c>
      <x:c r="V83" s="45" t="n">
        <x:v>366</x:v>
      </x:c>
      <x:c r="W83" s="53" t="n">
        <x:f>U83/1000*V83*B83</x:f>
        <x:v>360.08200963462616</x:v>
      </x:c>
      <x:c r="X83" s="45" t="n">
        <x:v>5250</x:v>
      </x:c>
      <x:c r="Y83" s="59" t="n">
        <x:v>0.144</x:v>
      </x:c>
      <x:c r="Z83" s="53" t="n">
        <x:f>X83*Y83*chem_va*B83</x:f>
        <x:v>478.14168492466746</x:v>
      </x:c>
      <x:c r="AA83" s="59" t="n">
        <x:v>0.108</x:v>
      </x:c>
      <x:c r="AB83" s="53" t="n">
        <x:f>X83*AA83*roy_rate*B83*(1-IF(union_resp=2,lic_cut*Labour!S83,0))</x:f>
        <x:v>16.734958972363362</x:v>
      </x:c>
      <x:c r="AC83" s="45" t="n">
        <x:v>2350</x:v>
      </x:c>
      <x:c r="AD83" s="59" t="n">
        <x:v>0.232</x:v>
      </x:c>
      <x:c r="AE83" s="59" t="n">
        <x:v>0.43</x:v>
      </x:c>
      <x:c r="AF83" s="53" t="n">
        <x:f>AC83*AD83*elec_va*B83</x:f>
        <x:v>344.8185801864137</x:v>
      </x:c>
      <x:c r="AG83" s="53" t="n">
        <x:f>MAX(0,AE83-AD83)*AC83*roy_rate*B83*(1-IF(union_resp=2,lic_cut*Labour!S83,0))</x:f>
        <x:v>13.73329172811406</x:v>
      </x:c>
      <x:c r="AH83" s="52" t="n">
        <x:v>196</x:v>
      </x:c>
      <x:c r="AI83" s="53" t="n">
        <x:f>AH83*B83</x:f>
        <x:v>275.4725756767632</x:v>
      </x:c>
      <x:c r="AJ83" s="52" t="n">
        <x:v>168</x:v>
      </x:c>
      <x:c r="AK83" s="53" t="n">
        <x:f>AJ83*B83</x:f>
        <x:v>236.11935058008274</x:v>
      </x:c>
      <x:c r="AL83" s="45" t="n">
        <x:v>660</x:v>
      </x:c>
      <x:c r="AM83" s="53" t="n">
        <x:f>AL83*uw_fee*B83</x:f>
        <x:v>23.19029336054384</x:v>
      </x:c>
      <x:c r="AN83" s="52" t="n">
        <x:v>300</x:v>
      </x:c>
      <x:c r="AO83" s="52" t="n">
        <x:v>90</x:v>
      </x:c>
      <x:c r="AP83" s="53" t="n">
        <x:f>K83+T83+W83+Z83+AF83+AI83+AK83+AM83+AN83+AO83</x:f>
        <x:v>2514.6806229697777</x:v>
      </x:c>
      <x:c r="AQ83" s="53" t="n">
        <x:f>AP83*(1-1/champ_prem+champ_spill)</x:f>
        <x:v>1746.3059881734566</x:v>
      </x:c>
      <x:c r="AR83" s="63" t="n">
        <x:f>AP83/Economy!O83</x:f>
        <x:v>0.07100949147004708</x:v>
      </x:c>
      <x:c r="AS83" s="52" t="n">
        <x:v>1340</x:v>
      </x:c>
      <x:c r="AT83" s="52" t="n">
        <x:v>314</x:v>
      </x:c>
      <x:c r="AU83" s="52" t="n">
        <x:v>720</x:v>
      </x:c>
      <x:c r="AV83" s="52" t="n">
        <x:v>114</x:v>
      </x:c>
      <x:c r="AW83" s="52" t="n">
        <x:v>197</x:v>
      </x:c>
      <x:c r="AX83" s="52" t="n">
        <x:v>730</x:v>
      </x:c>
      <x:c r="AY83" s="53" t="n">
        <x:f>Q83+(AS83+AT83+AU83+AV83+AW83+AX83)*B83</x:f>
        <x:v>7032.238360389544</x:v>
      </x:c>
      <x:c r="AZ83" s="53" t="n">
        <x:f>P83+(AS83*ret_rail+AT83*ret_tel+AU83*ret_elec+AV83*ret_auto+AW83*ret_chem+AX83*ret_steel)*B83*IF(OR($A83=1931,$A83=1932),abroad_slump,1)+AB83+AG83</x:f>
        <x:v>672.5502149114208</x:v>
      </x:c>
      <x:c r="BA83" s="53" t="n">
        <x:f>AP83*champ_profit+AZ83</x:f>
        <x:v>1175.4863395053762</x:v>
      </x:c>
      <x:c r="BB83" s="53" t="n">
        <x:f>(K83+AI83+AK83)*champ_profit+P83+(AS83*ret_rail+AT83*ret_tel+AU83*ret_elec)*B83*IF(OR($A83=1931,$A83=1932),abroad_slump,1)</x:f>
        <x:v>671.3523308489242</x:v>
      </x:c>
      <x:c r="BC83" s="53" t="n">
        <x:f>(T83+W83+Z83+AF83+AN83+AO83)*champ_profit+(AV83*ret_auto+AW83*ret_chem+AX83*ret_steel)*B83*IF(OR($A83=1931,$A83=1932),abroad_slump,1)+AB83+AG83</x:f>
        <x:v>499.49594998434327</x:v>
      </x:c>
      <x:c r="BD83" s="53" t="n">
        <x:f>IF($A83&gt;=crown_start,(BB83*crown_charter+BC83*crown_comp)*crown_payout,0)</x:f>
        <x:v>103.89887935548926</x:v>
      </x:c>
      <x:c r="BE83" s="63" t="n">
        <x:f>IF(BB83+BC83&gt;0,(BB83*crown_charter+BC83*crown_comp)/(BA83),0)</x:f>
        <x:v>0.17677598771451153</x:v>
      </x:c>
    </x:row>
    <x:row r="84">
      <x:c r="A84" s="58" t="n">
        <x:v>1924</x:v>
      </x:c>
      <x:c r="B84" s="65" t="n">
        <x:f>champ_scale*(1+Labour!AP84)*(1+Partners!BX84)*(1-IF(union_resp=2,tariff_cut*Labour!S84,0))</x:f>
        <x:v>1.4182381651275227</x:v>
      </x:c>
      <x:c r="C84" s="45" t="n">
        <x:v>8060</x:v>
      </x:c>
      <x:c r="D84" s="45" t="n">
        <x:v>1080</x:v>
      </x:c>
      <x:c r="E84" s="45" t="n">
        <x:v>11780</x:v>
      </x:c>
      <x:c r="F84" s="47" t="n">
        <x:f>E84*B84</x:f>
        <x:v>16706.845585202216</x:v>
      </x:c>
      <x:c r="G84" s="47" t="n">
        <x:f>F84/Economy!B84*1000000</x:f>
        <x:v>786.5379846441789</x:v>
      </x:c>
      <x:c r="H84" s="45" t="n">
        <x:v>359</x:v>
      </x:c>
      <x:c r="I84" s="67" t="n">
        <x:f>IF(H84&gt;0,G84/H84,0)</x:f>
        <x:v>2.1909136062511947</x:v>
      </x:c>
      <x:c r="J84" s="68" t="n">
        <x:v>0.756</x:v>
      </x:c>
      <x:c r="K84" s="53" t="n">
        <x:f>Resources!K84*J84*B84</x:f>
        <x:v>246.60325215237364</x:v>
      </x:c>
      <x:c r="L84" s="45" t="n">
        <x:v>353</x:v>
      </x:c>
      <x:c r="M84" s="59" t="n">
        <x:v>0.537</x:v>
      </x:c>
      <x:c r="N84" s="45" t="n">
        <x:v>71</x:v>
      </x:c>
      <x:c r="O84" s="68" t="n">
        <x:v>0.911</x:v>
      </x:c>
      <x:c r="P84" s="53" t="n">
        <x:f>(IF(Gulf!E84=1,0,L84*M84)+N84)*O84*B84</x:f>
        <x:v>336.6487121893949</x:v>
      </x:c>
      <x:c r="Q84" s="53" t="n">
        <x:f>P84*oil_book</x:f>
        <x:v>2356.5409853257643</x:v>
      </x:c>
      <x:c r="R84" s="68" t="n">
        <x:v>6.625</x:v>
      </x:c>
      <x:c r="S84" s="45" t="n">
        <x:v>25</x:v>
      </x:c>
      <x:c r="T84" s="53" t="n">
        <x:f>R84*S84*B84</x:f>
        <x:v>234.89569609924595</x:v>
      </x:c>
      <x:c r="U84" s="45" t="n">
        <x:v>766.7</x:v>
      </x:c>
      <x:c r="V84" s="45" t="n">
        <x:v>348</x:v>
      </x:c>
      <x:c r="W84" s="53" t="n">
        <x:f>U84/1000*V84*B84</x:f>
        <x:v>378.4023940187385</x:v>
      </x:c>
      <x:c r="X84" s="45" t="n">
        <x:v>5875</x:v>
      </x:c>
      <x:c r="Y84" s="59" t="n">
        <x:v>0.145</x:v>
      </x:c>
      <x:c r="Z84" s="53" t="n">
        <x:f>X84*Y84*chem_va*B84</x:f>
        <x:v>543.6727366131037</x:v>
      </x:c>
      <x:c r="AA84" s="59" t="n">
        <x:v>0.11</x:v>
      </x:c>
      <x:c r="AB84" s="53" t="n">
        <x:f>X84*AA84*roy_rate*B84*(1-IF(union_resp=2,lic_cut*Labour!S84,0))</x:f>
        <x:v>19.24726469848689</x:v>
      </x:c>
      <x:c r="AC84" s="45" t="n">
        <x:v>2675</x:v>
      </x:c>
      <x:c r="AD84" s="59" t="n">
        <x:v>0.234</x:v>
      </x:c>
      <x:c r="AE84" s="59" t="n">
        <x:v>0.433</x:v>
      </x:c>
      <x:c r="AF84" s="53" t="n">
        <x:f>AC84*AD84*elec_va*B84</x:f>
        <x:v>399.4857807577078</x:v>
      </x:c>
      <x:c r="AG84" s="53" t="n">
        <x:f>MAX(0,AE84-AD84)*AC84*roy_rate*B84*(1-IF(union_resp=2,lic_cut*Labour!S84,0))</x:f>
        <x:v>15.854236256281675</x:v>
      </x:c>
      <x:c r="AH84" s="52" t="n">
        <x:v>208</x:v>
      </x:c>
      <x:c r="AI84" s="53" t="n">
        <x:f>AH84*B84</x:f>
        <x:v>294.9935383465247</x:v>
      </x:c>
      <x:c r="AJ84" s="52" t="n">
        <x:v>174</x:v>
      </x:c>
      <x:c r="AK84" s="53" t="n">
        <x:f>AJ84*B84</x:f>
        <x:v>246.77344073218893</x:v>
      </x:c>
      <x:c r="AL84" s="45" t="n">
        <x:v>700</x:v>
      </x:c>
      <x:c r="AM84" s="53" t="n">
        <x:f>AL84*uw_fee*B84</x:f>
        <x:v>24.819167889731645</x:v>
      </x:c>
      <x:c r="AN84" s="52" t="n">
        <x:v>340</x:v>
      </x:c>
      <x:c r="AO84" s="52" t="n">
        <x:v>100</x:v>
      </x:c>
      <x:c r="AP84" s="53" t="n">
        <x:f>K84+T84+W84+Z84+AF84+AI84+AK84+AM84+AN84+AO84</x:f>
        <x:v>2809.646006609615</x:v>
      </x:c>
      <x:c r="AQ84" s="53" t="n">
        <x:f>AP84*(1-1/champ_prem+champ_spill)</x:f>
        <x:v>1951.143060145566</x:v>
      </x:c>
      <x:c r="AR84" s="63" t="n">
        <x:f>AP84/Economy!O84</x:f>
        <x:v>0.07418965713942335</x:v>
      </x:c>
      <x:c r="AS84" s="52" t="n">
        <x:v>1420</x:v>
      </x:c>
      <x:c r="AT84" s="52" t="n">
        <x:v>332</x:v>
      </x:c>
      <x:c r="AU84" s="52" t="n">
        <x:v>810</x:v>
      </x:c>
      <x:c r="AV84" s="52" t="n">
        <x:v>132</x:v>
      </x:c>
      <x:c r="AW84" s="52" t="n">
        <x:v>222</x:v>
      </x:c>
      <x:c r="AX84" s="52" t="n">
        <x:v>747</x:v>
      </x:c>
      <x:c r="AY84" s="53" t="n">
        <x:f>Q84+(AS84+AT84+AU84+AV84+AW84+AX84)*B84</x:f>
        <x:v>7551.54738418788</x:v>
      </x:c>
      <x:c r="AZ84" s="53" t="n">
        <x:f>P84+(AS84*ret_rail+AT84*ret_tel+AU84*ret_elec+AV84*ret_auto+AW84*ret_chem+AX84*ret_steel)*B84*IF(OR($A84=1931,$A84=1932),abroad_slump,1)+AB84+AG84</x:f>
        <x:v>723.7569257288145</x:v>
      </x:c>
      <x:c r="BA84" s="53" t="n">
        <x:f>AP84*champ_profit+AZ84</x:f>
        <x:v>1285.6861270507375</x:v>
      </x:c>
      <x:c r="BB84" s="53" t="n">
        <x:f>(K84+AI84+AK84)*champ_profit+P84+(AS84*ret_rail+AT84*ret_tel+AU84*ret_elec)*B84*IF(OR($A84=1931,$A84=1932),abroad_slump,1)</x:f>
        <x:v>722.5172792046308</x:v>
      </x:c>
      <x:c r="BC84" s="53" t="n">
        <x:f>(T84+W84+Z84+AF84+AN84+AO84)*champ_profit+(AV84*ret_auto+AW84*ret_chem+AX84*ret_steel)*B84*IF(OR($A84=1931,$A84=1932),abroad_slump,1)+AB84+AG84</x:f>
        <x:v>558.2050142681604</x:v>
      </x:c>
      <x:c r="BD84" s="53" t="n">
        <x:f>IF($A84&gt;=crown_start,(BB84*crown_charter+BC84*crown_comp)*crown_payout,0)</x:f>
        <x:v>112.64286047130526</x:v>
      </x:c>
      <x:c r="BE84" s="63" t="n">
        <x:f>IF(BB84+BC84&gt;0,(BB84*crown_charter+BC84*crown_comp)/(BA84),0)</x:f>
        <x:v>0.17522606505788327</x:v>
      </x:c>
    </x:row>
    <x:row r="85">
      <x:c r="A85" s="58" t="n">
        <x:v>1925</x:v>
      </x:c>
      <x:c r="B85" s="65" t="n">
        <x:f>champ_scale*(1+Labour!AP85)*(1+Partners!BX85)*(1-IF(union_resp=2,tariff_cut*Labour!S85,0))</x:f>
        <x:v>1.4292243770664486</x:v>
      </x:c>
      <x:c r="C85" s="45" t="n">
        <x:v>8440</x:v>
      </x:c>
      <x:c r="D85" s="45" t="n">
        <x:v>1000</x:v>
      </x:c>
      <x:c r="E85" s="45" t="n">
        <x:v>12220</x:v>
      </x:c>
      <x:c r="F85" s="47" t="n">
        <x:f>E85*B85</x:f>
        <x:v>17465.121887752</x:v>
      </x:c>
      <x:c r="G85" s="47" t="n">
        <x:f>F85/Economy!B85*1000000</x:f>
        <x:v>794.5507303575782</x:v>
      </x:c>
      <x:c r="H85" s="45" t="n">
        <x:v>362</x:v>
      </x:c>
      <x:c r="I85" s="67" t="n">
        <x:f>IF(H85&gt;0,G85/H85,0)</x:f>
        <x:v>2.1948915203248016</x:v>
      </x:c>
      <x:c r="J85" s="68" t="n">
        <x:v>0.744</x:v>
      </x:c>
      <x:c r="K85" s="53" t="n">
        <x:f>Resources!K85*J85*B85</x:f>
        <x:v>244.5688754036107</x:v>
      </x:c>
      <x:c r="L85" s="45" t="n">
        <x:v>377</x:v>
      </x:c>
      <x:c r="M85" s="59" t="n">
        <x:v>0.539</x:v>
      </x:c>
      <x:c r="N85" s="45" t="n">
        <x:v>74</x:v>
      </x:c>
      <x:c r="O85" s="68" t="n">
        <x:v>0.889</x:v>
      </x:c>
      <x:c r="P85" s="53" t="n">
        <x:f>(IF(Gulf!E85=1,0,L85*M85)+N85)*O85*B85</x:f>
        <x:v>352.2087183614002</x:v>
      </x:c>
      <x:c r="Q85" s="53" t="n">
        <x:f>P85*oil_book</x:f>
        <x:v>2465.4610285298013</x:v>
      </x:c>
      <x:c r="R85" s="68" t="n">
        <x:v>7.5</x:v>
      </x:c>
      <x:c r="S85" s="45" t="n">
        <x:v>25</x:v>
      </x:c>
      <x:c r="T85" s="53" t="n">
        <x:f>R85*S85*B85</x:f>
        <x:v>267.9795706999591</x:v>
      </x:c>
      <x:c r="U85" s="45" t="n">
        <x:v>833.3</x:v>
      </x:c>
      <x:c r="V85" s="45" t="n">
        <x:v>330</x:v>
      </x:c>
      <x:c r="W85" s="53" t="n">
        <x:f>U85/1000*V85*B85</x:f>
        <x:v>393.0209822251256</x:v>
      </x:c>
      <x:c r="X85" s="45" t="n">
        <x:v>6500</x:v>
      </x:c>
      <x:c r="Y85" s="59" t="n">
        <x:v>0.146</x:v>
      </x:c>
      <x:c r="Z85" s="53" t="n">
        <x:f>X85*Y85*chem_va*B85</x:f>
        <x:v>610.3502702262268</x:v>
      </x:c>
      <x:c r="AA85" s="59" t="n">
        <x:v>0.112</x:v>
      </x:c>
      <x:c r="AB85" s="53" t="n">
        <x:f>X85*AA85*roy_rate*B85*(1-IF(union_resp=2,lic_cut*Labour!S85,0))</x:f>
        <x:v>21.849982276591867</x:v>
      </x:c>
      <x:c r="AC85" s="45" t="n">
        <x:v>3000</x:v>
      </x:c>
      <x:c r="AD85" s="59" t="n">
        <x:v>0.235</x:v>
      </x:c>
      <x:c r="AE85" s="59" t="n">
        <x:v>0.437</x:v>
      </x:c>
      <x:c r="AF85" s="53" t="n">
        <x:f>AC85*AD85*elec_va*B85</x:f>
        <x:v>453.4214336243308</x:v>
      </x:c>
      <x:c r="AG85" s="53" t="n">
        <x:f>MAX(0,AE85-AD85)*AC85*roy_rate*B85*(1-IF(union_resp=2,lic_cut*Labour!S85,0))</x:f>
        <x:v>18.188309422547622</x:v>
      </x:c>
      <x:c r="AH85" s="52" t="n">
        <x:v>220</x:v>
      </x:c>
      <x:c r="AI85" s="53" t="n">
        <x:f>AH85*B85</x:f>
        <x:v>314.4293629546187</x:v>
      </x:c>
      <x:c r="AJ85" s="52" t="n">
        <x:v>180</x:v>
      </x:c>
      <x:c r="AK85" s="53" t="n">
        <x:f>AJ85*B85</x:f>
        <x:v>257.26038787196075</x:v>
      </x:c>
      <x:c r="AL85" s="45" t="n">
        <x:v>750</x:v>
      </x:c>
      <x:c r="AM85" s="53" t="n">
        <x:f>AL85*uw_fee*B85</x:f>
        <x:v>26.79795706999591</x:v>
      </x:c>
      <x:c r="AN85" s="52" t="n">
        <x:v>380</x:v>
      </x:c>
      <x:c r="AO85" s="52" t="n">
        <x:v>110</x:v>
      </x:c>
      <x:c r="AP85" s="53" t="n">
        <x:f>K85+T85+W85+Z85+AF85+AI85+AK85+AM85+AN85+AO85</x:f>
        <x:v>3057.828840075828</x:v>
      </x:c>
      <x:c r="AQ85" s="53" t="n">
        <x:f>AP85*(1-1/champ_prem+champ_spill)</x:f>
        <x:v>2123.492250052658</x:v>
      </x:c>
      <x:c r="AR85" s="63" t="n">
        <x:f>AP85/Economy!O85</x:f>
        <x:v>0.07463004495255487</x:v>
      </x:c>
      <x:c r="AS85" s="52" t="n">
        <x:v>1500</x:v>
      </x:c>
      <x:c r="AT85" s="52" t="n">
        <x:v>350</x:v>
      </x:c>
      <x:c r="AU85" s="52" t="n">
        <x:v>900</x:v>
      </x:c>
      <x:c r="AV85" s="52" t="n">
        <x:v>150</x:v>
      </x:c>
      <x:c r="AW85" s="52" t="n">
        <x:v>248</x:v>
      </x:c>
      <x:c r="AX85" s="52" t="n">
        <x:v>763</x:v>
      </x:c>
      <x:c r="AY85" s="53" t="n">
        <x:f>Q85+(AS85+AT85+AU85+AV85+AW85+AX85)*B85</x:f>
        <x:v>8055.157567236682</x:v>
      </x:c>
      <x:c r="AZ85" s="53" t="n">
        <x:f>P85+(AS85*ret_rail+AT85*ret_tel+AU85*ret_elec+AV85*ret_auto+AW85*ret_chem+AX85*ret_steel)*B85*IF(OR($A85=1931,$A85=1932),abroad_slump,1)+AB85+AG85</x:f>
        <x:v>773.1924755238308</x:v>
      </x:c>
      <x:c r="BA85" s="53" t="n">
        <x:f>AP85*champ_profit+AZ85</x:f>
        <x:v>1384.7582435389963</x:v>
      </x:c>
      <x:c r="BB85" s="53" t="n">
        <x:f>(K85+AI85+AK85)*champ_profit+P85+(AS85*ret_rail+AT85*ret_tel+AU85*ret_elec)*B85*IF(OR($A85=1931,$A85=1932),abroad_slump,1)</x:f>
        <x:v>762.7162608399339</x:v>
      </x:c>
      <x:c r="BC85" s="53" t="n">
        <x:f>(T85+W85+Z85+AF85+AN85+AO85)*champ_profit+(AV85*ret_auto+AW85*ret_chem+AX85*ret_steel)*B85*IF(OR($A85=1931,$A85=1932),abroad_slump,1)+AB85+AG85</x:f>
        <x:v>616.6823912850635</x:v>
      </x:c>
      <x:c r="BD85" s="53" t="n">
        <x:f>IF($A85&gt;=crown_start,(BB85*crown_charter+BC85*crown_comp)*crown_payout,0)</x:f>
        <x:v>120.00682825639427</x:v>
      </x:c>
      <x:c r="BE85" s="63" t="n">
        <x:f>IF(BB85+BC85&gt;0,(BB85*crown_charter+BC85*crown_comp)/(BA85),0)</x:f>
        <x:v>0.1733253133770057</x:v>
      </x:c>
    </x:row>
    <x:row r="86">
      <x:c r="A86" s="58" t="n">
        <x:v>1926</x:v>
      </x:c>
      <x:c r="B86" s="65" t="n">
        <x:f>champ_scale*(1+Labour!AP86)*(1+Partners!BX86)*(1-IF(union_resp=2,tariff_cut*Labour!S86,0))</x:f>
        <x:v>1.4421002657442512</x:v>
      </x:c>
      <x:c r="C86" s="45" t="n">
        <x:v>8830</x:v>
      </x:c>
      <x:c r="D86" s="45" t="n">
        <x:v>980</x:v>
      </x:c>
      <x:c r="E86" s="45" t="n">
        <x:v>12670</x:v>
      </x:c>
      <x:c r="F86" s="47" t="n">
        <x:f>E86*B86</x:f>
        <x:v>18271.410366979664</x:v>
      </x:c>
      <x:c r="G86" s="47" t="n">
        <x:f>F86/Economy!B86*1000000</x:f>
        <x:v>804.2220569953686</x:v>
      </x:c>
      <x:c r="H86" s="45" t="n">
        <x:v>364</x:v>
      </x:c>
      <x:c r="I86" s="67" t="n">
        <x:f>IF(H86&gt;0,G86/H86,0)</x:f>
        <x:v>2.2094012554817817</x:v>
      </x:c>
      <x:c r="J86" s="68" t="n">
        <x:v>0.733</x:v>
      </x:c>
      <x:c r="K86" s="53" t="n">
        <x:f>Resources!K86*J86*B86</x:f>
        <x:v>243.12368380182332</x:v>
      </x:c>
      <x:c r="L86" s="45" t="n">
        <x:v>400</x:v>
      </x:c>
      <x:c r="M86" s="59" t="n">
        <x:v>0.542</x:v>
      </x:c>
      <x:c r="N86" s="45" t="n">
        <x:v>78</x:v>
      </x:c>
      <x:c r="O86" s="68" t="n">
        <x:v>0.867</x:v>
      </x:c>
      <x:c r="P86" s="53" t="n">
        <x:f>(IF(Gulf!E86=1,0,L86*M86)+N86)*O86*B86</x:f>
        <x:v>368.58871428199836</x:v>
      </x:c>
      <x:c r="Q86" s="53" t="n">
        <x:f>P86*oil_book</x:f>
        <x:v>2580.1209999739885</x:v>
      </x:c>
      <x:c r="R86" s="68" t="n">
        <x:v>7.875</x:v>
      </x:c>
      <x:c r="S86" s="45" t="n">
        <x:v>25</x:v>
      </x:c>
      <x:c r="T86" s="53" t="n">
        <x:f>R86*S86*B86</x:f>
        <x:v>283.91348981839946</x:v>
      </x:c>
      <x:c r="U86" s="45" t="n">
        <x:v>900</x:v>
      </x:c>
      <x:c r="V86" s="45" t="n">
        <x:v>330</x:v>
      </x:c>
      <x:c r="W86" s="53" t="n">
        <x:f>U86/1000*V86*B86</x:f>
        <x:v>428.3037789260426</x:v>
      </x:c>
      <x:c r="X86" s="45" t="n">
        <x:v>6875</x:v>
      </x:c>
      <x:c r="Y86" s="59" t="n">
        <x:v>0.147</x:v>
      </x:c>
      <x:c r="Z86" s="53" t="n">
        <x:f>X86*Y86*chem_va*B86</x:f>
        <x:v>655.8401614805027</x:v>
      </x:c>
      <x:c r="AA86" s="59" t="n">
        <x:v>0.114</x:v>
      </x:c>
      <x:c r="AB86" s="53" t="n">
        <x:f>X86*AA86*roy_rate*B86*(1-IF(union_resp=2,lic_cut*Labour!S86,0))</x:f>
        <x:v>23.735167748818192</x:v>
      </x:c>
      <x:c r="AC86" s="45" t="n">
        <x:v>3250</x:v>
      </x:c>
      <x:c r="AD86" s="59" t="n">
        <x:v>0.236</x:v>
      </x:c>
      <x:c r="AE86" s="59" t="n">
        <x:v>0.44</x:v>
      </x:c>
      <x:c r="AF86" s="53" t="n">
        <x:f>AC86*AD86*elec_va*B86</x:f>
        <x:v>497.74090672162833</x:v>
      </x:c>
      <x:c r="AG86" s="53" t="n">
        <x:f>MAX(0,AE86-AD86)*AC86*roy_rate*B86*(1-IF(union_resp=2,lic_cut*Labour!S86,0))</x:f>
        <x:v>20.07836199995721</x:v>
      </x:c>
      <x:c r="AH86" s="52" t="n">
        <x:v>235</x:v>
      </x:c>
      <x:c r="AI86" s="53" t="n">
        <x:f>AH86*B86</x:f>
        <x:v>338.89356244989904</x:v>
      </x:c>
      <x:c r="AJ86" s="52" t="n">
        <x:v>192</x:v>
      </x:c>
      <x:c r="AK86" s="53" t="n">
        <x:f>AJ86*B86</x:f>
        <x:v>276.8832510228962</x:v>
      </x:c>
      <x:c r="AL86" s="45" t="n">
        <x:v>800</x:v>
      </x:c>
      <x:c r="AM86" s="53" t="n">
        <x:f>AL86*uw_fee*B86</x:f>
        <x:v>28.842005314885025</x:v>
      </x:c>
      <x:c r="AN86" s="52" t="n">
        <x:v>425</x:v>
      </x:c>
      <x:c r="AO86" s="52" t="n">
        <x:v>128</x:v>
      </x:c>
      <x:c r="AP86" s="53" t="n">
        <x:f>K86+T86+W86+Z86+AF86+AI86+AK86+AM86+AN86+AO86</x:f>
        <x:v>3306.5408395360773</x:v>
      </x:c>
      <x:c r="AQ86" s="53" t="n">
        <x:f>AP86*(1-1/champ_prem+champ_spill)</x:f>
        <x:v>2296.208916344498</x:v>
      </x:c>
      <x:c r="AR86" s="63" t="n">
        <x:f>AP86/Economy!O86</x:f>
        <x:v>0.07729037632828444</x:v>
      </x:c>
      <x:c r="AS86" s="52" t="n">
        <x:v>1600</x:v>
      </x:c>
      <x:c r="AT86" s="52" t="n">
        <x:v>375</x:v>
      </x:c>
      <x:c r="AU86" s="52" t="n">
        <x:v>1075</x:v>
      </x:c>
      <x:c r="AV86" s="52" t="n">
        <x:v>188</x:v>
      </x:c>
      <x:c r="AW86" s="52" t="n">
        <x:v>273</x:v>
      </x:c>
      <x:c r="AX86" s="52" t="n">
        <x:v>780</x:v>
      </x:c>
      <x:c r="AY86" s="53" t="n">
        <x:f>Q86+(AS86+AT86+AU86+AV86+AW86+AX86)*B86</x:f>
        <x:v>8768.17324028257</x:v>
      </x:c>
      <x:c r="AZ86" s="53" t="n">
        <x:f>P86+(AS86*ret_rail+AT86*ret_tel+AU86*ret_elec+AV86*ret_auto+AW86*ret_chem+AX86*ret_steel)*B86*IF(OR($A86=1931,$A86=1932),abroad_slump,1)+AB86+AG86</x:f>
        <x:v>837.6343493907812</x:v>
      </x:c>
      <x:c r="BA86" s="53" t="n">
        <x:f>AP86*champ_profit+AZ86</x:f>
        <x:v>1498.9425172979968</x:v>
      </x:c>
      <x:c r="BB86" s="53" t="n">
        <x:f>(K86+AI86+AK86)*champ_profit+P86+(AS86*ret_rail+AT86*ret_tel+AU86*ret_elec)*B86*IF(OR($A86=1931,$A86=1932),abroad_slump,1)</x:f>
        <x:v>818.3336399591265</x:v>
      </x:c>
      <x:c r="BC86" s="53" t="n">
        <x:f>(T86+W86+Z86+AF86+AN86+AO86)*champ_profit+(AV86*ret_auto+AW86*ret_chem+AX86*ret_steel)*B86*IF(OR($A86=1931,$A86=1932),abroad_slump,1)+AB86+AG86</x:f>
        <x:v>674.8404762758929</x:v>
      </x:c>
      <x:c r="BD86" s="53" t="n">
        <x:f>IF($A86&gt;=crown_start,(BB86*crown_charter+BC86*crown_comp)*crown_payout,0)</x:f>
        <x:v>129.28532404592653</x:v>
      </x:c>
      <x:c r="BE86" s="63" t="n">
        <x:f>IF(BB86+BC86&gt;0,(BB86*crown_charter+BC86*crown_comp)/(BA86),0)</x:f>
        <x:v>0.1725020440129713</x:v>
      </x:c>
    </x:row>
    <x:row r="87">
      <x:c r="A87" s="58" t="n">
        <x:v>1927</x:v>
      </x:c>
      <x:c r="B87" s="65" t="n">
        <x:f>champ_scale*(1+Labour!AP87)*(1+Partners!BX87)*(1-IF(union_resp=2,tariff_cut*Labour!S87,0))</x:f>
        <x:v>1.4554014228346364</x:v>
      </x:c>
      <x:c r="C87" s="45" t="n">
        <x:v>9220</x:v>
      </x:c>
      <x:c r="D87" s="45" t="n">
        <x:v>950</x:v>
      </x:c>
      <x:c r="E87" s="45" t="n">
        <x:v>13110</x:v>
      </x:c>
      <x:c r="F87" s="47" t="n">
        <x:f>E87*B87</x:f>
        <x:v>19080.31265336208</x:v>
      </x:c>
      <x:c r="G87" s="47" t="n">
        <x:f>F87/Economy!B87*1000000</x:f>
        <x:v>813.0575713244667</x:v>
      </x:c>
      <x:c r="H87" s="45" t="n">
        <x:v>366</x:v>
      </x:c>
      <x:c r="I87" s="67" t="n">
        <x:f>IF(H87&gt;0,G87/H87,0)</x:f>
        <x:v>2.2214687741105648</x:v>
      </x:c>
      <x:c r="J87" s="68" t="n">
        <x:v>0.722</x:v>
      </x:c>
      <x:c r="K87" s="53" t="n">
        <x:f>Resources!K87*J87*B87</x:f>
        <x:v>266.19912024651626</x:v>
      </x:c>
      <x:c r="L87" s="45" t="n">
        <x:v>467</x:v>
      </x:c>
      <x:c r="M87" s="59" t="n">
        <x:v>0.545</x:v>
      </x:c>
      <x:c r="N87" s="45" t="n">
        <x:v>82</x:v>
      </x:c>
      <x:c r="O87" s="68" t="n">
        <x:v>0.844</x:v>
      </x:c>
      <x:c r="P87" s="53" t="n">
        <x:f>(IF(Gulf!E87=1,0,L87*M87)+N87)*O87*B87</x:f>
        <x:v>413.36116187558673</x:v>
      </x:c>
      <x:c r="Q87" s="53" t="n">
        <x:f>P87*oil_book</x:f>
        <x:v>2893.528133129107</x:v>
      </x:c>
      <x:c r="R87" s="68" t="n">
        <x:v>8.25</x:v>
      </x:c>
      <x:c r="S87" s="45" t="n">
        <x:v>25</x:v>
      </x:c>
      <x:c r="T87" s="53" t="n">
        <x:f>R87*S87*B87</x:f>
        <x:v>300.17654345964377</x:v>
      </x:c>
      <x:c r="U87" s="45" t="n">
        <x:v>983.3</x:v>
      </x:c>
      <x:c r="V87" s="45" t="n">
        <x:v>330</x:v>
      </x:c>
      <x:c r="W87" s="53" t="n">
        <x:f>U87/1000*V87*B87</x:f>
        <x:v>472.2617522941883</x:v>
      </x:c>
      <x:c r="X87" s="45" t="n">
        <x:v>7250</x:v>
      </x:c>
      <x:c r="Y87" s="59" t="n">
        <x:v>0.148</x:v>
      </x:c>
      <x:c r="Z87" s="53" t="n">
        <x:f>X87*Y87*chem_va*B87</x:f>
        <x:v>702.7405770157042</x:v>
      </x:c>
      <x:c r="AA87" s="59" t="n">
        <x:v>0.116</x:v>
      </x:c>
      <x:c r="AB87" s="53" t="n">
        <x:f>X87*AA87*roy_rate*B87*(1-IF(union_resp=2,lic_cut*Labour!S87,0))</x:f>
        <x:v>25.703844528682513</x:v>
      </x:c>
      <x:c r="AC87" s="45" t="n">
        <x:v>3500</x:v>
      </x:c>
      <x:c r="AD87" s="59" t="n">
        <x:v>0.237</x:v>
      </x:c>
      <x:c r="AE87" s="59" t="n">
        <x:v>0.443</x:v>
      </x:c>
      <x:c r="AF87" s="53" t="n">
        <x:f>AC87*AD87*elec_va*B87</x:f>
        <x:v>543.264966108599</x:v>
      </x:c>
      <x:c r="AG87" s="53" t="n">
        <x:f>MAX(0,AE87-AD87)*AC87*roy_rate*B87*(1-IF(union_resp=2,lic_cut*Labour!S87,0))</x:f>
        <x:v>22.03623294313923</x:v>
      </x:c>
      <x:c r="AH87" s="52" t="n">
        <x:v>250</x:v>
      </x:c>
      <x:c r="AI87" s="53" t="n">
        <x:f>AH87*B87</x:f>
        <x:v>363.8503557086591</x:v>
      </x:c>
      <x:c r="AJ87" s="52" t="n">
        <x:v>205</x:v>
      </x:c>
      <x:c r="AK87" s="53" t="n">
        <x:f>AJ87*B87</x:f>
        <x:v>298.35729168110043</x:v>
      </x:c>
      <x:c r="AL87" s="45" t="n">
        <x:v>850</x:v>
      </x:c>
      <x:c r="AM87" s="53" t="n">
        <x:f>AL87*uw_fee*B87</x:f>
        <x:v>30.927280235236022</x:v>
      </x:c>
      <x:c r="AN87" s="52" t="n">
        <x:v>470</x:v>
      </x:c>
      <x:c r="AO87" s="52" t="n">
        <x:v>145</x:v>
      </x:c>
      <x:c r="AP87" s="53" t="n">
        <x:f>K87+T87+W87+Z87+AF87+AI87+AK87+AM87+AN87+AO87</x:f>
        <x:v>3592.777886749647</x:v>
      </x:c>
      <x:c r="AQ87" s="53" t="n">
        <x:f>AP87*(1-1/champ_prem+champ_spill)</x:f>
        <x:v>2494.9846435761438</x:v>
      </x:c>
      <x:c r="AR87" s="63" t="n">
        <x:f>AP87/Economy!O87</x:f>
        <x:v>0.08094214630249619</x:v>
      </x:c>
      <x:c r="AS87" s="52" t="n">
        <x:v>1700</x:v>
      </x:c>
      <x:c r="AT87" s="52" t="n">
        <x:v>400</x:v>
      </x:c>
      <x:c r="AU87" s="52" t="n">
        <x:v>1250</x:v>
      </x:c>
      <x:c r="AV87" s="52" t="n">
        <x:v>225</x:v>
      </x:c>
      <x:c r="AW87" s="52" t="n">
        <x:v>299</x:v>
      </x:c>
      <x:c r="AX87" s="52" t="n">
        <x:v>797</x:v>
      </x:c>
      <x:c r="AY87" s="53" t="n">
        <x:f>Q87+(AS87+AT87+AU87+AV87+AW87+AX87)*B87</x:f>
        <x:v>9691.708179189693</x:v>
      </x:c>
      <x:c r="AZ87" s="53" t="n">
        <x:f>P87+(AS87*ret_rail+AT87*ret_tel+AU87*ret_elec+AV87*ret_auto+AW87*ret_chem+AX87*ret_steel)*B87*IF(OR($A87=1931,$A87=1932),abroad_slump,1)+AB87+AG87</x:f>
        <x:v>931.486979207563</x:v>
      </x:c>
      <x:c r="BA87" s="53" t="n">
        <x:f>AP87*champ_profit+AZ87</x:f>
        <x:v>1650.0425565574924</x:v>
      </x:c>
      <x:c r="BB87" s="53" t="n">
        <x:f>(K87+AI87+AK87)*champ_profit+P87+(AS87*ret_rail+AT87*ret_tel+AU87*ret_elec)*B87*IF(OR($A87=1931,$A87=1932),abroad_slump,1)</x:f>
        <x:v>908.3153177552022</x:v>
      </x:c>
      <x:c r="BC87" s="53" t="n">
        <x:f>(T87+W87+Z87+AF87+AN87+AO87)*champ_profit+(AV87*ret_auto+AW87*ret_chem+AX87*ret_steel)*B87*IF(OR($A87=1931,$A87=1932),abroad_slump,1)+AB87+AG87</x:f>
        <x:v>735.5417827552432</x:v>
      </x:c>
      <x:c r="BD87" s="53" t="n">
        <x:f>IF($A87&gt;=crown_start,(BB87*crown_charter+BC87*crown_comp)*crown_payout,0)</x:f>
        <x:v>142.96108602961</x:v>
      </x:c>
      <x:c r="BE87" s="63" t="n">
        <x:f>IF(BB87+BC87&gt;0,(BB87*crown_charter+BC87*crown_comp)/(BA87),0)</x:f>
        <x:v>0.17328169562835005</x:v>
      </x:c>
    </x:row>
    <x:row r="88">
      <x:c r="A88" s="58" t="n">
        <x:v>1928</x:v>
      </x:c>
      <x:c r="B88" s="65" t="n">
        <x:f>champ_scale*(1+Labour!AP88)*(1+Partners!BX88)*(1-IF(union_resp=2,tariff_cut*Labour!S88,0))</x:f>
        <x:v>1.4673264979738185</x:v>
      </x:c>
      <x:c r="C88" s="45" t="n">
        <x:v>9610</x:v>
      </x:c>
      <x:c r="D88" s="45" t="n">
        <x:v>920</x:v>
      </x:c>
      <x:c r="E88" s="45" t="n">
        <x:v>13560</x:v>
      </x:c>
      <x:c r="F88" s="47" t="n">
        <x:f>E88*B88</x:f>
        <x:v>19896.94731252498</x:v>
      </x:c>
      <x:c r="G88" s="47" t="n">
        <x:f>F88/Economy!B88*1000000</x:f>
        <x:v>820.8442495516988</x:v>
      </x:c>
      <x:c r="H88" s="45" t="n">
        <x:v>369</x:v>
      </x:c>
      <x:c r="I88" s="67" t="n">
        <x:f>IF(H88&gt;0,G88/H88,0)</x:f>
        <x:v>2.2245101613867178</x:v>
      </x:c>
      <x:c r="J88" s="68" t="n">
        <x:v>0.711</x:v>
      </x:c>
      <x:c r="K88" s="53" t="n">
        <x:f>Resources!K88*J88*B88</x:f>
        <x:v>288.64127298023004</x:v>
      </x:c>
      <x:c r="L88" s="45" t="n">
        <x:v>533</x:v>
      </x:c>
      <x:c r="M88" s="59" t="n">
        <x:v>0.547</x:v>
      </x:c>
      <x:c r="N88" s="45" t="n">
        <x:v>86</x:v>
      </x:c>
      <x:c r="O88" s="68" t="n">
        <x:v>0.822</x:v>
      </x:c>
      <x:c r="P88" s="53" t="n">
        <x:f>(IF(Gulf!E88=1,0,L88*M88)+N88)*O88*B88</x:f>
        <x:v>455.3802622152138</x:v>
      </x:c>
      <x:c r="Q88" s="53" t="n">
        <x:f>P88*oil_book</x:f>
        <x:v>3187.6618355064966</x:v>
      </x:c>
      <x:c r="R88" s="68" t="n">
        <x:v>8.625</x:v>
      </x:c>
      <x:c r="S88" s="45" t="n">
        <x:v>25</x:v>
      </x:c>
      <x:c r="T88" s="53" t="n">
        <x:f>R88*S88*B88</x:f>
        <x:v>316.3922761256046</x:v>
      </x:c>
      <x:c r="U88" s="45" t="n">
        <x:v>1066.7</x:v>
      </x:c>
      <x:c r="V88" s="45" t="n">
        <x:v>330</x:v>
      </x:c>
      <x:c r="W88" s="53" t="n">
        <x:f>U88/1000*V88*B88</x:f>
        <x:v>516.5150678782618</x:v>
      </x:c>
      <x:c r="X88" s="45" t="n">
        <x:v>7625</x:v>
      </x:c>
      <x:c r="Y88" s="59" t="n">
        <x:v>0.149</x:v>
      </x:c>
      <x:c r="Z88" s="53" t="n">
        <x:f>X88*Y88*chem_va*B88</x:f>
        <x:v>750.1798428797271</x:v>
      </x:c>
      <x:c r="AA88" s="59" t="n">
        <x:v>0.118</x:v>
      </x:c>
      <x:c r="AB88" s="53" t="n">
        <x:f>X88*AA88*roy_rate*B88*(1-IF(union_resp=2,lic_cut*Labour!S88,0))</x:f>
        <x:v>27.724767347590806</x:v>
      </x:c>
      <x:c r="AC88" s="45" t="n">
        <x:v>3750</x:v>
      </x:c>
      <x:c r="AD88" s="59" t="n">
        <x:v>0.239</x:v>
      </x:c>
      <x:c r="AE88" s="59" t="n">
        <x:v>0.447</x:v>
      </x:c>
      <x:c r="AF88" s="53" t="n">
        <x:f>AC88*AD88*elec_va*B88</x:f>
        <x:v>591.7911182140657</x:v>
      </x:c>
      <x:c r="AG88" s="53" t="n">
        <x:f>MAX(0,AE88-AD88)*AC88*roy_rate*B88*(1-IF(union_resp=2,lic_cut*Labour!S88,0))</x:f>
        <x:v>24.03480803681115</x:v>
      </x:c>
      <x:c r="AH88" s="52" t="n">
        <x:v>265</x:v>
      </x:c>
      <x:c r="AI88" s="53" t="n">
        <x:f>AH88*B88</x:f>
        <x:v>388.8415219630619</x:v>
      </x:c>
      <x:c r="AJ88" s="52" t="n">
        <x:v>218</x:v>
      </x:c>
      <x:c r="AK88" s="53" t="n">
        <x:f>AJ88*B88</x:f>
        <x:v>319.87717655829243</x:v>
      </x:c>
      <x:c r="AL88" s="45" t="n">
        <x:v>900</x:v>
      </x:c>
      <x:c r="AM88" s="53" t="n">
        <x:f>AL88*uw_fee*B88</x:f>
        <x:v>33.014846204410915</x:v>
      </x:c>
      <x:c r="AN88" s="52" t="n">
        <x:v>515</x:v>
      </x:c>
      <x:c r="AO88" s="52" t="n">
        <x:v>162</x:v>
      </x:c>
      <x:c r="AP88" s="53" t="n">
        <x:f>K88+T88+W88+Z88+AF88+AI88+AK88+AM88+AN88+AO88</x:f>
        <x:v>3882.253122803654</x:v>
      </x:c>
      <x:c r="AQ88" s="53" t="n">
        <x:f>AP88*(1-1/champ_prem+champ_spill)</x:f>
        <x:v>2696.009113058093</x:v>
      </x:c>
      <x:c r="AR88" s="63" t="n">
        <x:f>AP88/Economy!O88</x:f>
        <x:v>0.08149816740219563</x:v>
      </x:c>
      <x:c r="AS88" s="52" t="n">
        <x:v>1800</x:v>
      </x:c>
      <x:c r="AT88" s="52" t="n">
        <x:v>425</x:v>
      </x:c>
      <x:c r="AU88" s="52" t="n">
        <x:v>1425</x:v>
      </x:c>
      <x:c r="AV88" s="52" t="n">
        <x:v>262</x:v>
      </x:c>
      <x:c r="AW88" s="52" t="n">
        <x:v>324</x:v>
      </x:c>
      <x:c r="AX88" s="52" t="n">
        <x:v>813</x:v>
      </x:c>
      <x:c r="AY88" s="53" t="n">
        <x:f>Q88+(AS88+AT88+AU88+AV88+AW88+AX88)*B88</x:f>
        <x:v>10596.193323776306</x:v>
      </x:c>
      <x:c r="AZ88" s="53" t="n">
        <x:f>P88+(AS88*ret_rail+AT88*ret_tel+AU88*ret_elec+AV88*ret_auto+AW88*ret_chem+AX88*ret_steel)*B88*IF(OR($A88=1931,$A88=1932),abroad_slump,1)+AB88+AG88</x:f>
        <x:v>1022.685002662717</x:v>
      </x:c>
      <x:c r="BA88" s="53" t="n">
        <x:f>AP88*champ_profit+AZ88</x:f>
        <x:v>1799.135627223448</x:v>
      </x:c>
      <x:c r="BB88" s="53" t="n">
        <x:f>(K88+AI88+AK88)*champ_profit+P88+(AS88*ret_rail+AT88*ret_tel+AU88*ret_elec)*B88*IF(OR($A88=1931,$A88=1932),abroad_slump,1)</x:f>
        <x:v>995.6388356699501</x:v>
      </x:c>
      <x:c r="BC88" s="53" t="n">
        <x:f>(T88+W88+Z88+AF88+AN88+AO88)*champ_profit+(AV88*ret_auto+AW88*ret_chem+AX88*ret_steel)*B88*IF(OR($A88=1931,$A88=1932),abroad_slump,1)+AB88+AG88</x:f>
        <x:v>796.8938223126155</x:v>
      </x:c>
      <x:c r="BD88" s="53" t="n">
        <x:f>IF($A88&gt;=crown_start,(BB88*crown_charter+BC88*crown_comp)*crown_payout,0)</x:f>
        <x:v>156.33060735124837</x:v>
      </x:c>
      <x:c r="BE88" s="63" t="n">
        <x:f>IF(BB88+BC88&gt;0,(BB88*crown_charter+BC88*crown_comp)/(BA88),0)</x:f>
        <x:v>0.17378412720613923</x:v>
      </x:c>
    </x:row>
    <x:row r="89">
      <x:c r="A89" s="58" t="n">
        <x:v>1929</x:v>
      </x:c>
      <x:c r="B89" s="65" t="n">
        <x:f>champ_scale*(1+Labour!AP89)*(1+Partners!BX89)*(1-IF(union_resp=2,tariff_cut*Labour!S89,0))</x:f>
        <x:v>1.4800788335481818</x:v>
      </x:c>
      <x:c r="C89" s="45" t="n">
        <x:v>10000</x:v>
      </x:c>
      <x:c r="D89" s="45" t="n">
        <x:v>900</x:v>
      </x:c>
      <x:c r="E89" s="45" t="n">
        <x:v>14000</x:v>
      </x:c>
      <x:c r="F89" s="47" t="n">
        <x:f>E89*B89</x:f>
        <x:v>20721.103669674547</x:v>
      </x:c>
      <x:c r="G89" s="47" t="n">
        <x:f>F89/Economy!B89*1000000</x:f>
        <x:v>827.7732112357544</x:v>
      </x:c>
      <x:c r="H89" s="45" t="n">
        <x:v>371</x:v>
      </x:c>
      <x:c r="I89" s="67" t="n">
        <x:f>IF(H89&gt;0,G89/H89,0)</x:f>
        <x:v>2.231194639449473</x:v>
      </x:c>
      <x:c r="J89" s="68" t="n">
        <x:v>0.7</x:v>
      </x:c>
      <x:c r="K89" s="53" t="n">
        <x:f>Resources!K89*J89*B89</x:f>
        <x:v>310.8165550451182</x:v>
      </x:c>
      <x:c r="L89" s="45" t="n">
        <x:v>600</x:v>
      </x:c>
      <x:c r="M89" s="59" t="n">
        <x:v>0.55</x:v>
      </x:c>
      <x:c r="N89" s="45" t="n">
        <x:v>90</x:v>
      </x:c>
      <x:c r="O89" s="68" t="n">
        <x:v>0.8</x:v>
      </x:c>
      <x:c r="P89" s="53" t="n">
        <x:f>(IF(Gulf!E89=1,0,L89*M89)+N89)*O89*B89</x:f>
        <x:v>497.3064880721891</x:v>
      </x:c>
      <x:c r="Q89" s="53" t="n">
        <x:f>P89*oil_book</x:f>
        <x:v>3481.1454165053237</x:v>
      </x:c>
      <x:c r="R89" s="68" t="n">
        <x:v>9</x:v>
      </x:c>
      <x:c r="S89" s="45" t="n">
        <x:v>25</x:v>
      </x:c>
      <x:c r="T89" s="53" t="n">
        <x:f>R89*S89*B89</x:f>
        <x:v>333.0177375483409</x:v>
      </x:c>
      <x:c r="U89" s="45" t="n">
        <x:v>1150</x:v>
      </x:c>
      <x:c r="V89" s="45" t="n">
        <x:v>330</x:v>
      </x:c>
      <x:c r="W89" s="53" t="n">
        <x:f>U89/1000*V89*B89</x:f>
        <x:v>561.689917331535</x:v>
      </x:c>
      <x:c r="X89" s="45" t="n">
        <x:v>8000</x:v>
      </x:c>
      <x:c r="Y89" s="59" t="n">
        <x:v>0.15</x:v>
      </x:c>
      <x:c r="Z89" s="53" t="n">
        <x:f>X89*Y89*chem_va*B89</x:f>
        <x:v>799.2425701160182</x:v>
      </x:c>
      <x:c r="AA89" s="59" t="n">
        <x:v>0.12</x:v>
      </x:c>
      <x:c r="AB89" s="53" t="n">
        <x:f>X89*AA89*roy_rate*B89*(1-IF(union_resp=2,lic_cut*Labour!S89,0))</x:f>
        <x:v>29.83838928433134</x:v>
      </x:c>
      <x:c r="AC89" s="45" t="n">
        <x:v>4000</x:v>
      </x:c>
      <x:c r="AD89" s="59" t="n">
        <x:v>0.24</x:v>
      </x:c>
      <x:c r="AE89" s="59" t="n">
        <x:v>0.45</x:v>
      </x:c>
      <x:c r="AF89" s="53" t="n">
        <x:f>AC89*AD89*elec_va*B89</x:f>
        <x:v>639.3940560928146</x:v>
      </x:c>
      <x:c r="AG89" s="53" t="n">
        <x:f>MAX(0,AE89-AD89)*AC89*roy_rate*B89*(1-IF(union_resp=2,lic_cut*Labour!S89,0))</x:f>
        <x:v>26.10859062378993</x:v>
      </x:c>
      <x:c r="AH89" s="52" t="n">
        <x:v>280</x:v>
      </x:c>
      <x:c r="AI89" s="53" t="n">
        <x:f>AH89*B89</x:f>
        <x:v>414.4220733934909</x:v>
      </x:c>
      <x:c r="AJ89" s="52" t="n">
        <x:v>230</x:v>
      </x:c>
      <x:c r="AK89" s="53" t="n">
        <x:f>AJ89*B89</x:f>
        <x:v>340.4181317160818</x:v>
      </x:c>
      <x:c r="AL89" s="45" t="n">
        <x:v>600</x:v>
      </x:c>
      <x:c r="AM89" s="53" t="n">
        <x:f>AL89*uw_fee*B89</x:f>
        <x:v>22.20118250322273</x:v>
      </x:c>
      <x:c r="AN89" s="52" t="n">
        <x:v>560</x:v>
      </x:c>
      <x:c r="AO89" s="52" t="n">
        <x:v>180</x:v>
      </x:c>
      <x:c r="AP89" s="53" t="n">
        <x:f>K89+T89+W89+Z89+AF89+AI89+AK89+AM89+AN89+AO89</x:f>
        <x:v>4161.202223746623</x:v>
      </x:c>
      <x:c r="AQ89" s="53" t="n">
        <x:f>AP89*(1-1/champ_prem+champ_spill)</x:f>
        <x:v>2889.72376649071</x:v>
      </x:c>
      <x:c r="AR89" s="63" t="n">
        <x:f>AP89/Economy!O89</x:f>
        <x:v>0.0823214051554915</x:v>
      </x:c>
      <x:c r="AS89" s="52" t="n">
        <x:v>1900</x:v>
      </x:c>
      <x:c r="AT89" s="52" t="n">
        <x:v>450</x:v>
      </x:c>
      <x:c r="AU89" s="52" t="n">
        <x:v>1600</x:v>
      </x:c>
      <x:c r="AV89" s="52" t="n">
        <x:v>300</x:v>
      </x:c>
      <x:c r="AW89" s="52" t="n">
        <x:v>350</x:v>
      </x:c>
      <x:c r="AX89" s="52" t="n">
        <x:v>830</x:v>
      </x:c>
      <x:c r="AY89" s="53" t="n">
        <x:f>Q89+(AS89+AT89+AU89+AV89+AW89+AX89)*B89</x:f>
        <x:v>11517.97348267195</x:v>
      </x:c>
      <x:c r="AZ89" s="53" t="n">
        <x:f>P89+(AS89*ret_rail+AT89*ret_tel+AU89*ret_elec+AV89*ret_auto+AW89*ret_chem+AX89*ret_steel)*B89*IF(OR($A89=1931,$A89=1932),abroad_slump,1)+AB89+AG89</x:f>
        <x:v>1115.3874089619098</x:v>
      </x:c>
      <x:c r="BA89" s="53" t="n">
        <x:f>AP89*champ_profit+AZ89</x:f>
        <x:v>1947.6278537112344</x:v>
      </x:c>
      <x:c r="BB89" s="53" t="n">
        <x:f>(K89+AI89+AK89)*champ_profit+P89+(AS89*ret_rail+AT89*ret_tel+AU89*ret_elec)*B89*IF(OR($A89=1931,$A89=1932),abroad_slump,1)</x:f>
        <x:v>1083.417706157269</x:v>
      </x:c>
      <x:c r="BC89" s="53" t="n">
        <x:f>(T89+W89+Z89+AF89+AN89+AO89)*champ_profit+(AV89*ret_auto+AW89*ret_chem+AX89*ret_steel)*B89*IF(OR($A89=1931,$A89=1932),abroad_slump,1)+AB89+AG89</x:f>
        <x:v>859.7699110533207</x:v>
      </x:c>
      <x:c r="BD89" s="53" t="n">
        <x:f>IF($A89&gt;=crown_start,(BB89*crown_charter+BC89*crown_comp)*crown_payout,0)</x:f>
        <x:v>169.81800971179146</x:v>
      </x:c>
      <x:c r="BE89" s="63" t="n">
        <x:f>IF(BB89+BC89&gt;0,(BB89*crown_charter+BC89*crown_comp)/(BA89),0)</x:f>
        <x:v>0.17438445377354886</x:v>
      </x:c>
    </x:row>
    <x:row r="90">
      <x:c r="A90" s="58" t="n">
        <x:v>1930</x:v>
      </x:c>
      <x:c r="B90" s="65" t="n">
        <x:f>champ_scale*(1+Labour!AP90)*(1+Partners!BX90)*(1-IF(union_resp=2,tariff_cut*Labour!S90,0))</x:f>
        <x:v>1.493587571558047</x:v>
      </x:c>
      <x:c r="C90" s="45" t="n">
        <x:v>10170</x:v>
      </x:c>
      <x:c r="D90" s="45" t="n">
        <x:v>1100</x:v>
      </x:c>
      <x:c r="E90" s="45" t="n">
        <x:v>13500</x:v>
      </x:c>
      <x:c r="F90" s="47" t="n">
        <x:f>E90*B90</x:f>
        <x:v>20163.432216033634</x:v>
      </x:c>
      <x:c r="G90" s="47" t="n">
        <x:f>F90/Economy!B90*1000000</x:f>
        <x:v>783.2766960292223</x:v>
      </x:c>
      <x:c r="H90" s="45" t="n">
        <x:v>390</x:v>
      </x:c>
      <x:c r="I90" s="67" t="n">
        <x:f>IF(H90&gt;0,G90/H90,0)</x:f>
        <x:v>2.0084017846903137</x:v>
      </x:c>
      <x:c r="J90" s="68" t="n">
        <x:v>0.617</x:v>
      </x:c>
      <x:c r="K90" s="53" t="n">
        <x:f>Resources!K90*J90*B90</x:f>
        <x:v>239.60131822934187</x:v>
      </x:c>
      <x:c r="L90" s="45" t="n">
        <x:v>560</x:v>
      </x:c>
      <x:c r="M90" s="59" t="n">
        <x:v>0.55</x:v>
      </x:c>
      <x:c r="N90" s="45" t="n">
        <x:v>85</x:v>
      </x:c>
      <x:c r="O90" s="68" t="n">
        <x:v>0.717</x:v>
      </x:c>
      <x:c r="P90" s="53" t="n">
        <x:f>(IF(Gulf!E90=1,0,L90*M90)+N90)*O90*B90</x:f>
        <x:v>420.86459950119803</x:v>
      </x:c>
      <x:c r="Q90" s="53" t="n">
        <x:f>P90*oil_book</x:f>
        <x:v>2946.0521965083863</x:v>
      </x:c>
      <x:c r="R90" s="68" t="n">
        <x:v>7</x:v>
      </x:c>
      <x:c r="S90" s="45" t="n">
        <x:v>23</x:v>
      </x:c>
      <x:c r="T90" s="53" t="n">
        <x:f>R90*S90*B90</x:f>
        <x:v>240.46759902084554</x:v>
      </x:c>
      <x:c r="U90" s="45" t="n">
        <x:v>850</x:v>
      </x:c>
      <x:c r="V90" s="45" t="n">
        <x:v>320</x:v>
      </x:c>
      <x:c r="W90" s="53" t="n">
        <x:f>U90/1000*V90*B90</x:f>
        <x:v>406.2558194637887</x:v>
      </x:c>
      <x:c r="X90" s="45" t="n">
        <x:v>7000</x:v>
      </x:c>
      <x:c r="Y90" s="59" t="n">
        <x:v>0.153</x:v>
      </x:c>
      <x:c r="Z90" s="53" t="n">
        <x:f>X90*Y90*chem_va*B90</x:f>
        <x:v>719.8345301124007</x:v>
      </x:c>
      <x:c r="AA90" s="59" t="n">
        <x:v>0.12</x:v>
      </x:c>
      <x:c r="AB90" s="53" t="n">
        <x:f>X90*AA90*roy_rate*B90*(1-IF(union_resp=2,lic_cut*Labour!S90,0))</x:f>
        <x:v>26.346884762283945</x:v>
      </x:c>
      <x:c r="AC90" s="45" t="n">
        <x:v>3500</x:v>
      </x:c>
      <x:c r="AD90" s="59" t="n">
        <x:v>0.24</x:v>
      </x:c>
      <x:c r="AE90" s="59" t="n">
        <x:v>0.45</x:v>
      </x:c>
      <x:c r="AF90" s="53" t="n">
        <x:f>AC90*AD90*elec_va*B90</x:f>
        <x:v>564.5761020489417</x:v>
      </x:c>
      <x:c r="AG90" s="53" t="n">
        <x:f>MAX(0,AE90-AD90)*AC90*roy_rate*B90*(1-IF(union_resp=2,lic_cut*Labour!S90,0))</x:f>
        <x:v>23.053524166998457</x:v>
      </x:c>
      <x:c r="AH90" s="52" t="n">
        <x:v>267</x:v>
      </x:c>
      <x:c r="AI90" s="53" t="n">
        <x:f>AH90*B90</x:f>
        <x:v>398.7878816059985</x:v>
      </x:c>
      <x:c r="AJ90" s="52" t="n">
        <x:v>203</x:v>
      </x:c>
      <x:c r="AK90" s="53" t="n">
        <x:f>AJ90*B90</x:f>
        <x:v>303.1982770262835</x:v>
      </x:c>
      <x:c r="AL90" s="45" t="n">
        <x:v>300</x:v>
      </x:c>
      <x:c r="AM90" s="53" t="n">
        <x:f>AL90*uw_fee*B90</x:f>
        <x:v>11.201906786685353</x:v>
      </x:c>
      <x:c r="AN90" s="52" t="n">
        <x:v>513</x:v>
      </x:c>
      <x:c r="AO90" s="52" t="n">
        <x:v>157</x:v>
      </x:c>
      <x:c r="AP90" s="53" t="n">
        <x:f>K90+T90+W90+Z90+AF90+AI90+AK90+AM90+AN90+AO90</x:f>
        <x:v>3553.9234342942855</x:v>
      </x:c>
      <x:c r="AQ90" s="53" t="n">
        <x:f>AP90*(1-1/champ_prem+champ_spill)</x:f>
        <x:v>2468.002384926587</x:v>
      </x:c>
      <x:c r="AR90" s="63" t="n">
        <x:f>AP90/Economy!O90</x:f>
        <x:v>0.0749863092536852</x:v>
      </x:c>
      <x:c r="AS90" s="52" t="n">
        <x:v>1867</x:v>
      </x:c>
      <x:c r="AT90" s="52" t="n">
        <x:v>443</x:v>
      </x:c>
      <x:c r="AU90" s="52" t="n">
        <x:v>1567</x:v>
      </x:c>
      <x:c r="AV90" s="52" t="n">
        <x:v>287</x:v>
      </x:c>
      <x:c r="AW90" s="52" t="n">
        <x:v>343</x:v>
      </x:c>
      <x:c r="AX90" s="52" t="n">
        <x:v>820</x:v>
      </x:c>
      <x:c r="AY90" s="53" t="n">
        <x:f>Q90+(AS90+AT90+AU90+AV90+AW90+AX90)*B90</x:f>
        <x:v>10902.393190198101</x:v>
      </x:c>
      <x:c r="AZ90" s="53" t="n">
        <x:f>P90+(AS90*ret_rail+AT90*ret_tel+AU90*ret_elec+AV90*ret_auto+AW90*ret_chem+AX90*ret_steel)*B90*IF(OR($A90=1931,$A90=1932),abroad_slump,1)+AB90+AG90</x:f>
        <x:v>1026.088687310092</x:v>
      </x:c>
      <x:c r="BA90" s="53" t="n">
        <x:f>AP90*champ_profit+AZ90</x:f>
        <x:v>1736.873374168949</x:v>
      </x:c>
      <x:c r="BB90" s="53" t="n">
        <x:f>(K90+AI90+AK90)*champ_profit+P90+(AS90*ret_rail+AT90*ret_tel+AU90*ret_elec)*B90*IF(OR($A90=1931,$A90=1932),abroad_slump,1)</x:f>
        <x:v>978.6060448226901</x:v>
      </x:c>
      <x:c r="BC90" s="53" t="n">
        <x:f>(T90+W90+Z90+AF90+AN90+AO90)*champ_profit+(AV90*ret_auto+AW90*ret_chem+AX90*ret_steel)*B90*IF(OR($A90=1931,$A90=1932),abroad_slump,1)+AB90+AG90</x:f>
        <x:v>756.026947988922</x:v>
      </x:c>
      <x:c r="BD90" s="53" t="n">
        <x:f>IF($A90&gt;=crown_start,(BB90*crown_charter+BC90*crown_comp)*crown_payout,0)</x:f>
        <x:v>152.56683352239315</x:v>
      </x:c>
      <x:c r="BE90" s="63" t="n">
        <x:f>IF(BB90+BC90&gt;0,(BB90*crown_charter+BC90*crown_comp)/(BA90),0)</x:f>
        <x:v>0.1756798576008946</x:v>
      </x:c>
    </x:row>
    <x:row r="91">
      <x:c r="A91" s="58" t="n">
        <x:v>1931</x:v>
      </x:c>
      <x:c r="B91" s="65" t="n">
        <x:f>champ_scale*(1+Labour!AP91)*(1+Partners!BX91)*(1-IF(union_resp=2,tariff_cut*Labour!S91,0))</x:f>
        <x:v>1.5067798994764359</x:v>
      </x:c>
      <x:c r="C91" s="45" t="n">
        <x:v>10330</x:v>
      </x:c>
      <x:c r="D91" s="45" t="n">
        <x:v>1300</x:v>
      </x:c>
      <x:c r="E91" s="45" t="n">
        <x:v>13000</x:v>
      </x:c>
      <x:c r="F91" s="47" t="n">
        <x:f>E91*B91</x:f>
        <x:v>19588.138693193665</x:v>
      </x:c>
      <x:c r="G91" s="47" t="n">
        <x:f>F91/Economy!B91*1000000</x:f>
        <x:v>743.7501746483226</x:v>
      </x:c>
      <x:c r="H91" s="45" t="n">
        <x:v>409</x:v>
      </x:c>
      <x:c r="I91" s="67" t="n">
        <x:f>IF(H91&gt;0,G91/H91,0)</x:f>
        <x:v>1.8184600847147252</x:v>
      </x:c>
      <x:c r="J91" s="68" t="n">
        <x:v>0.533</x:v>
      </x:c>
      <x:c r="K91" s="53" t="n">
        <x:f>Resources!K91*J91*B91</x:f>
        <x:v>176.68501101260688</x:v>
      </x:c>
      <x:c r="L91" s="45" t="n">
        <x:v>520</x:v>
      </x:c>
      <x:c r="M91" s="59" t="n">
        <x:v>0.55</x:v>
      </x:c>
      <x:c r="N91" s="45" t="n">
        <x:v>78</x:v>
      </x:c>
      <x:c r="O91" s="68" t="n">
        <x:v>0.633</x:v>
      </x:c>
      <x:c r="P91" s="53" t="n">
        <x:f>(IF(Gulf!E91=1,0,L91*M91)+N91)*O91*B91</x:f>
        <x:v>347.18017019816455</x:v>
      </x:c>
      <x:c r="Q91" s="53" t="n">
        <x:f>P91*oil_book</x:f>
        <x:v>2430.261191387152</x:v>
      </x:c>
      <x:c r="R91" s="68" t="n">
        <x:v>5.5</x:v>
      </x:c>
      <x:c r="S91" s="45" t="n">
        <x:v>22</x:v>
      </x:c>
      <x:c r="T91" s="53" t="n">
        <x:f>R91*S91*B91</x:f>
        <x:v>182.32036783664873</x:v>
      </x:c>
      <x:c r="U91" s="45" t="n">
        <x:v>650</x:v>
      </x:c>
      <x:c r="V91" s="45" t="n">
        <x:v>310</x:v>
      </x:c>
      <x:c r="W91" s="53" t="n">
        <x:f>U91/1000*V91*B91</x:f>
        <x:v>303.61614974450185</x:v>
      </x:c>
      <x:c r="X91" s="45" t="n">
        <x:v>6000</x:v>
      </x:c>
      <x:c r="Y91" s="59" t="n">
        <x:v>0.157</x:v>
      </x:c>
      <x:c r="Z91" s="53" t="n">
        <x:f>X91*Y91*chem_va*B91</x:f>
        <x:v>638.7239993880612</x:v>
      </x:c>
      <x:c r="AA91" s="59" t="n">
        <x:v>0.12</x:v>
      </x:c>
      <x:c r="AB91" s="53" t="n">
        <x:f>X91*AA91*roy_rate*B91*(1-IF(union_resp=2,lic_cut*Labour!S91,0))</x:f>
        <x:v>22.78251208008371</x:v>
      </x:c>
      <x:c r="AC91" s="45" t="n">
        <x:v>2900</x:v>
      </x:c>
      <x:c r="AD91" s="59" t="n">
        <x:v>0.24</x:v>
      </x:c>
      <x:c r="AE91" s="59" t="n">
        <x:v>0.45</x:v>
      </x:c>
      <x:c r="AF91" s="53" t="n">
        <x:f>AC91*AD91*elec_va*B91</x:f>
        <x:v>471.9234645160197</x:v>
      </x:c>
      <x:c r="AG91" s="53" t="n">
        <x:f>MAX(0,AE91-AD91)*AC91*roy_rate*B91*(1-IF(union_resp=2,lic_cut*Labour!S91,0))</x:f>
        <x:v>19.27020813440414</x:v>
      </x:c>
      <x:c r="AH91" s="52" t="n">
        <x:v>253</x:v>
      </x:c>
      <x:c r="AI91" s="53" t="n">
        <x:f>AH91*B91</x:f>
        <x:v>381.21531456753826</x:v>
      </x:c>
      <x:c r="AJ91" s="52" t="n">
        <x:v>177</x:v>
      </x:c>
      <x:c r="AK91" s="53" t="n">
        <x:f>AJ91*B91</x:f>
        <x:v>266.70004220732915</x:v>
      </x:c>
      <x:c r="AL91" s="45" t="n">
        <x:v>50</x:v>
      </x:c>
      <x:c r="AM91" s="53" t="n">
        <x:f>AL91*uw_fee*B91</x:f>
        <x:v>1.883474874345545</x:v>
      </x:c>
      <x:c r="AN91" s="52" t="n">
        <x:v>467</x:v>
      </x:c>
      <x:c r="AO91" s="52" t="n">
        <x:v>133</x:v>
      </x:c>
      <x:c r="AP91" s="53" t="n">
        <x:f>K91+T91+W91+Z91+AF91+AI91+AK91+AM91+AN91+AO91</x:f>
        <x:v>3023.0678241470514</x:v>
      </x:c>
      <x:c r="AQ91" s="53" t="n">
        <x:f>AP91*(1-1/champ_prem+champ_spill)</x:f>
        <x:v>2099.3526556576744</x:v>
      </x:c>
      <x:c r="AR91" s="63" t="n">
        <x:f>AP91/Economy!O91</x:f>
        <x:v>0.0707110004292541</x:v>
      </x:c>
      <x:c r="AS91" s="52" t="n">
        <x:v>1833</x:v>
      </x:c>
      <x:c r="AT91" s="52" t="n">
        <x:v>437</x:v>
      </x:c>
      <x:c r="AU91" s="52" t="n">
        <x:v>1533</x:v>
      </x:c>
      <x:c r="AV91" s="52" t="n">
        <x:v>273</x:v>
      </x:c>
      <x:c r="AW91" s="52" t="n">
        <x:v>337</x:v>
      </x:c>
      <x:c r="AX91" s="52" t="n">
        <x:v>810</x:v>
      </x:c>
      <x:c r="AY91" s="53" t="n">
        <x:f>Q91+(AS91+AT91+AU91+AV91+AW91+AX91)*B91</x:f>
        <x:v>10300.172606352577</x:v>
      </x:c>
      <x:c r="AZ91" s="53" t="n">
        <x:f>P91+(AS91*ret_rail+AT91*ret_tel+AU91*ret_elec+AV91*ret_auto+AW91*ret_chem+AX91*ret_steel)*B91*IF(OR($A91=1931,$A91=1932),abroad_slump,1)+AB91+AG91</x:f>
        <x:v>773.6455919268797</x:v>
      </x:c>
      <x:c r="BA91" s="53" t="n">
        <x:f>AP91*champ_profit+AZ91</x:f>
        <x:v>1378.25915675629</x:v>
      </x:c>
      <x:c r="BB91" s="53" t="n">
        <x:f>(K91+AI91+AK91)*champ_profit+P91+(AS91*ret_rail+AT91*ret_tel+AU91*ret_elec)*B91*IF(OR($A91=1931,$A91=1932),abroad_slump,1)</x:f>
        <x:v>768.0448910405258</x:v>
      </x:c>
      <x:c r="BC91" s="53" t="n">
        <x:f>(T91+W91+Z91+AF91+AN91+AO91)*champ_profit+(AV91*ret_auto+AW91*ret_chem+AX91*ret_steel)*B91*IF(OR($A91=1931,$A91=1932),abroad_slump,1)+AB91+AG91</x:f>
        <x:v>609.8375707408951</x:v>
      </x:c>
      <x:c r="BD91" s="53" t="n">
        <x:f>IF($A91&gt;=crown_start,(BB91*crown_charter+BC91*crown_comp)*crown_payout,0)</x:f>
        <x:v>120.39911420970154</x:v>
      </x:c>
      <x:c r="BE91" s="63" t="n">
        <x:f>IF(BB91+BC91&gt;0,(BB91*crown_charter+BC91*crown_comp)/(BA91),0)</x:f>
        <x:v>0.1747118655000397</x:v>
      </x:c>
    </x:row>
    <x:row r="92">
      <x:c r="A92" s="58" t="n">
        <x:v>1932</x:v>
      </x:c>
      <x:c r="B92" s="65" t="n">
        <x:f>champ_scale*(1+Labour!AP92)*(1+Partners!BX92)*(1-IF(union_resp=2,tariff_cut*Labour!S92,0))</x:f>
        <x:v>1.5223507446517126</x:v>
      </x:c>
      <x:c r="C92" s="45" t="n">
        <x:v>10500</x:v>
      </x:c>
      <x:c r="D92" s="45" t="n">
        <x:v>1500</x:v>
      </x:c>
      <x:c r="E92" s="45" t="n">
        <x:v>12500</x:v>
      </x:c>
      <x:c r="F92" s="47" t="n">
        <x:f>E92*B92</x:f>
        <x:v>19029.384308146407</x:v>
      </x:c>
      <x:c r="G92" s="47" t="n">
        <x:f>F92/Economy!B92*1000000</x:f>
        <x:v>706.8122889726403</x:v>
      </x:c>
      <x:c r="H92" s="45" t="n">
        <x:v>428</x:v>
      </x:c>
      <x:c r="I92" s="67" t="n">
        <x:f>IF(H92&gt;0,G92/H92,0)</x:f>
        <x:v>1.6514305817117765</x:v>
      </x:c>
      <x:c r="J92" s="68" t="n">
        <x:v>0.45</x:v>
      </x:c>
      <x:c r="K92" s="53" t="n">
        <x:f>Resources!K92*J92*B92</x:f>
        <x:v>104.81384876927042</x:v>
      </x:c>
      <x:c r="L92" s="45" t="n">
        <x:v>450</x:v>
      </x:c>
      <x:c r="M92" s="59" t="n">
        <x:v>0.55</x:v>
      </x:c>
      <x:c r="N92" s="45" t="n">
        <x:v>72</x:v>
      </x:c>
      <x:c r="O92" s="68" t="n">
        <x:v>0.55</x:v>
      </x:c>
      <x:c r="P92" s="53" t="n">
        <x:f>(IF(Gulf!E92=1,0,L92*M92)+N92)*O92*B92</x:f>
        <x:v>267.5150846039222</x:v>
      </x:c>
      <x:c r="Q92" s="53" t="n">
        <x:f>P92*oil_book</x:f>
        <x:v>1872.6055922274554</x:v>
      </x:c>
      <x:c r="R92" s="68" t="n">
        <x:v>4</x:v>
      </x:c>
      <x:c r="S92" s="45" t="n">
        <x:v>20</x:v>
      </x:c>
      <x:c r="T92" s="53" t="n">
        <x:f>R92*S92*B92</x:f>
        <x:v>121.788059572137</x:v>
      </x:c>
      <x:c r="U92" s="45" t="n">
        <x:v>450</x:v>
      </x:c>
      <x:c r="V92" s="45" t="n">
        <x:v>300</x:v>
      </x:c>
      <x:c r="W92" s="53" t="n">
        <x:f>U92/1000*V92*B92</x:f>
        <x:v>205.5173505279812</x:v>
      </x:c>
      <x:c r="X92" s="45" t="n">
        <x:v>5500</x:v>
      </x:c>
      <x:c r="Y92" s="59" t="n">
        <x:v>0.16</x:v>
      </x:c>
      <x:c r="Z92" s="53" t="n">
        <x:f>X92*Y92*chem_va*B92</x:f>
        <x:v>602.8508948820781</x:v>
      </x:c>
      <x:c r="AA92" s="59" t="n">
        <x:v>0.12</x:v>
      </x:c>
      <x:c r="AB92" s="53" t="n">
        <x:f>X92*AA92*roy_rate*B92*(1-IF(union_resp=2,lic_cut*Labour!S92,0))</x:f>
        <x:v>21.099781320872737</x:v>
      </x:c>
      <x:c r="AC92" s="45" t="n">
        <x:v>2500</x:v>
      </x:c>
      <x:c r="AD92" s="59" t="n">
        <x:v>0.24</x:v>
      </x:c>
      <x:c r="AE92" s="59" t="n">
        <x:v>0.45</x:v>
      </x:c>
      <x:c r="AF92" s="53" t="n">
        <x:f>AC92*AD92*elec_va*B92</x:f>
        <x:v>411.0347010559624</x:v>
      </x:c>
      <x:c r="AG92" s="53" t="n">
        <x:f>MAX(0,AE92-AD92)*AC92*roy_rate*B92*(1-IF(union_resp=2,lic_cut*Labour!S92,0))</x:f>
        <x:v>16.78391695978513</x:v>
      </x:c>
      <x:c r="AH92" s="52" t="n">
        <x:v>240</x:v>
      </x:c>
      <x:c r="AI92" s="53" t="n">
        <x:f>AH92*B92</x:f>
        <x:v>365.364178716411</x:v>
      </x:c>
      <x:c r="AJ92" s="52" t="n">
        <x:v>150</x:v>
      </x:c>
      <x:c r="AK92" s="53" t="n">
        <x:f>AJ92*B92</x:f>
        <x:v>228.35261169775688</x:v>
      </x:c>
      <x:c r="AL92" s="45" t="n">
        <x:v>20</x:v>
      </x:c>
      <x:c r="AM92" s="53" t="n">
        <x:f>AL92*uw_fee*B92</x:f>
        <x:v>0.7611753723258563</x:v>
      </x:c>
      <x:c r="AN92" s="52" t="n">
        <x:v>420</x:v>
      </x:c>
      <x:c r="AO92" s="52" t="n">
        <x:v>110</x:v>
      </x:c>
      <x:c r="AP92" s="53" t="n">
        <x:f>K92+T92+W92+Z92+AF92+AI92+AK92+AM92+AN92+AO92</x:f>
        <x:v>2570.482820593923</x:v>
      </x:c>
      <x:c r="AQ92" s="53" t="n">
        <x:f>AP92*(1-1/champ_prem+champ_spill)</x:f>
        <x:v>1785.0575143013352</x:v>
      </x:c>
      <x:c r="AR92" s="63" t="n">
        <x:f>AP92/Economy!O92</x:f>
        <x:v>0.06539743117416229</x:v>
      </x:c>
      <x:c r="AS92" s="52" t="n">
        <x:v>1800</x:v>
      </x:c>
      <x:c r="AT92" s="52" t="n">
        <x:v>430</x:v>
      </x:c>
      <x:c r="AU92" s="52" t="n">
        <x:v>1500</x:v>
      </x:c>
      <x:c r="AV92" s="52" t="n">
        <x:v>260</x:v>
      </x:c>
      <x:c r="AW92" s="52" t="n">
        <x:v>330</x:v>
      </x:c>
      <x:c r="AX92" s="52" t="n">
        <x:v>800</x:v>
      </x:c>
      <x:c r="AY92" s="53" t="n">
        <x:f>Q92+(AS92+AT92+AU92+AV92+AW92+AX92)*B92</x:f>
        <x:v>9667.041404844224</x:v>
      </x:c>
      <x:c r="AZ92" s="53" t="n">
        <x:f>P92+(AS92*ret_rail+AT92*ret_tel+AU92*ret_elec+AV92*ret_auto+AW92*ret_chem+AX92*ret_steel)*B92*IF(OR($A92=1931,$A92=1932),abroad_slump,1)+AB92+AG92</x:f>
        <x:v>685.6211048687919</x:v>
      </x:c>
      <x:c r="BA92" s="53" t="n">
        <x:f>AP92*champ_profit+AZ92</x:f>
        <x:v>1199.7176689875764</x:v>
      </x:c>
      <x:c r="BB92" s="53" t="n">
        <x:f>(K92+AI92+AK92)*champ_profit+P92+(AS92*ret_rail+AT92*ret_tel+AU92*ret_elec)*B92*IF(OR($A92=1931,$A92=1932),abroad_slump,1)</x:f>
        <x:v>660.8448464995852</x:v>
      </x:c>
      <x:c r="BC92" s="53" t="n">
        <x:f>(T92+W92+Z92+AF92+AN92+AO92)*champ_profit+(AV92*ret_auto+AW92*ret_chem+AX92*ret_steel)*B92*IF(OR($A92=1931,$A92=1932),abroad_slump,1)+AB92+AG92</x:f>
        <x:v>538.7205874135261</x:v>
      </x:c>
      <x:c r="BD92" s="53" t="n">
        <x:f>IF($A92&gt;=crown_start,(BB92*crown_charter+BC92*crown_comp)*crown_payout,0)</x:f>
        <x:v>104.1544293089892</x:v>
      </x:c>
      <x:c r="BE92" s="63" t="n">
        <x:f>IF(BB92+BC92&gt;0,(BB92*crown_charter+BC92*crown_comp)/(BA92),0)</x:f>
        <x:v>0.17363156682835812</x:v>
      </x:c>
    </x:row>
  </x:sheetData>
  <x:mergeCells>
    <x:mergeCell ref="AC4:AG4"/>
    <x:mergeCell ref="J4:Q4"/>
    <x:mergeCell ref="BA4:BE4"/>
    <x:mergeCell ref="AS4:AY4"/>
    <x:mergeCell ref="AH4:AO4"/>
    <x:mergeCell ref="R4:T4"/>
    <x:mergeCell ref="U4:W4"/>
    <x:mergeCell ref="AP4:AR4"/>
    <x:mergeCell ref="B4:I4"/>
    <x:mergeCell ref="X4:AB4"/>
  </x:mergeCells>
  <x:pageMargins left="0.7" right="0.7" top="0.75" bottom="0.75" header="0.3" footer="0.3"/>
  <x:legacyDrawing xmlns:r="http://schemas.openxmlformats.org/officeDocument/2006/relationships" r:id="Rd0b91d1d26ea4c29"/>
</x:worksheet>
</file>

<file path=xl/worksheets/sheet15.xml><?xml version="1.0" encoding="utf-8"?>
<x:worksheet xmlns:x="http://schemas.openxmlformats.org/spreadsheetml/2006/main">
  <x:sheetPr>
    <x:tabColor rgb="FF548235"/>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2.5" customWidth="1"/>
    <x:col min="20" max="20" width="12.5" customWidth="1"/>
    <x:col min="21" max="21" width="12.5" customWidth="1"/>
    <x:col min="22" max="22" width="12.5" customWidth="1"/>
    <x:col min="23" max="23" width="12.5" customWidth="1"/>
    <x:col min="24" max="24" width="12.5" customWidth="1"/>
    <x:col min="25" max="25" width="12.5" customWidth="1"/>
    <x:col min="26" max="26" width="12.5" customWidth="1"/>
    <x:col min="27" max="27" width="12.5" customWidth="1"/>
    <x:col min="28" max="28" width="12.5" customWidth="1"/>
    <x:col min="29" max="29" width="12.5" customWidth="1"/>
    <x:col min="30" max="30" width="12.5" customWidth="1"/>
    <x:col min="31" max="31" width="12.5" customWidth="1"/>
    <x:col min="32" max="32" width="12.5" customWidth="1"/>
    <x:col min="33" max="33" width="12.5" customWidth="1"/>
    <x:col min="34" max="34" width="12.5" customWidth="1"/>
    <x:col min="35" max="35" width="12.5" customWidth="1"/>
    <x:col min="36" max="36" width="12.5" customWidth="1"/>
    <x:col min="37" max="37" width="12.5" customWidth="1"/>
    <x:col min="38" max="38" width="12.5" customWidth="1"/>
    <x:col min="39" max="39" width="12.5" customWidth="1"/>
    <x:col min="40" max="40" width="12.5" customWidth="1"/>
    <x:col min="41" max="41" width="12.5" customWidth="1"/>
    <x:col min="42" max="42" width="12.5" customWidth="1"/>
    <x:col min="43" max="43" width="12.5" customWidth="1"/>
    <x:col min="44" max="44" width="12.5" customWidth="1"/>
    <x:col min="45" max="45" width="12.5" customWidth="1"/>
    <x:col min="46" max="46" width="12.5" customWidth="1"/>
    <x:col min="47" max="47" width="12.5" customWidth="1"/>
    <x:col min="48" max="48" width="12.5" customWidth="1"/>
    <x:col min="49" max="49" width="12.5" customWidth="1"/>
    <x:col min="50" max="50" width="12.5" customWidth="1"/>
    <x:col min="51" max="51" width="12.5" customWidth="1"/>
    <x:col min="52" max="52" width="12.5" customWidth="1"/>
    <x:col min="53" max="53" width="12.5" customWidth="1"/>
    <x:col min="54" max="54" width="12.5" customWidth="1"/>
    <x:col min="55" max="55" width="12.5" customWidth="1"/>
    <x:col min="56" max="56" width="12.5" customWidth="1"/>
    <x:col min="57" max="57" width="12.5" customWidth="1"/>
    <x:col min="58" max="58" width="12.5" customWidth="1"/>
    <x:col min="59" max="59" width="12.5" customWidth="1"/>
    <x:col min="60" max="60" width="12.5" customWidth="1"/>
    <x:col min="61" max="61" width="12.5" customWidth="1"/>
    <x:col min="62" max="62" width="12.5" customWidth="1"/>
    <x:col min="63" max="63" width="12.5" customWidth="1"/>
    <x:col min="64" max="64" width="12.5" customWidth="1"/>
    <x:col min="65" max="65" width="12.5" customWidth="1"/>
    <x:col min="66" max="66" width="12.5" customWidth="1"/>
    <x:col min="67" max="67" width="12.5" customWidth="1"/>
    <x:col min="68" max="68" width="12.5" customWidth="1"/>
  </x:cols>
  <x:sheetData>
    <x:row r="1">
      <x:c r="A1" s="18" t="inlineStr">
        <x:is>
          <x:t xml:space="preserve">Talent, migration and jobs</x:t>
        </x:is>
      </x:c>
    </x:row>
    <x:row r="2">
      <x:c r="A2" s="2" t="inlineStr">
        <x:is>
          <x:t xml:space="preserve">The loop: Pacifica's lead draws skilled people, who raise output and the champions, who create jobs that draw more people; what the Union loses (CR-020 B10).</x:t>
        </x:is>
      </x:c>
    </x:row>
    <x:row r="3">
      <x:c r="A3" s="19" t="inlineStr">
        <x:is>
          <x:t xml:space="preserve">Years run down the page. Blue = input you can change · black = formula · green = link to another sheet. Hover a column heading for its definition.</x:t>
        </x:is>
      </x:c>
    </x:row>
    <x:row r="4">
      <x:c r="B4" s="56" t="inlineStr">
        <x:is>
          <x:t xml:space="preserve">Pacifica's workers</x:t>
        </x:is>
      </x:c>
      <x:c r="J4" s="56" t="inlineStr">
        <x:is>
          <x:t xml:space="preserve">Guest workers</x:t>
        </x:is>
      </x:c>
      <x:c r="S4" s="56" t="inlineStr">
        <x:is>
          <x:t xml:space="preserve">The pull</x:t>
        </x:is>
      </x:c>
      <x:c r="AG4" s="56" t="inlineStr">
        <x:is>
          <x:t xml:space="preserve">Extra arrivals</x:t>
        </x:is>
      </x:c>
      <x:c r="AM4" s="56" t="inlineStr">
        <x:is>
          <x:t xml:space="preserve">Productivity</x:t>
        </x:is>
      </x:c>
      <x:c r="AQ4" s="56" t="inlineStr">
        <x:is>
          <x:t xml:space="preserve">Diverted immigration</x:t>
        </x:is>
      </x:c>
      <x:c r="AU4" s="56" t="inlineStr">
        <x:is>
          <x:t xml:space="preserve">The Union</x:t>
        </x:is>
      </x:c>
    </x:row>
    <x:row r="5" ht="54" customHeight="1">
      <x:c r="A5" s="57" t="inlineStr">
        <x:is>
          <x:t xml:space="preserve">Year</x:t>
        </x:is>
      </x:c>
      <x:c r="B5" s="6" t="inlineStr">
        <x:is>
          <x:t xml:space="preserve">Labour force</x:t>
        </x:is>
      </x:c>
      <x:c r="C5" s="6" t="inlineStr">
        <x:is>
          <x:t xml:space="preserve">Output per worker ($)</x:t>
        </x:is>
      </x:c>
      <x:c r="D5" s="6" t="inlineStr">
        <x:is>
          <x:t xml:space="preserve">Jobs in the champions</x:t>
        </x:is>
      </x:c>
      <x:c r="E5" s="6" t="inlineStr">
        <x:is>
          <x:t xml:space="preserve">Related jobs: suppliers, services, construction</x:t>
        </x:is>
      </x:c>
      <x:c r="F5" s="6" t="inlineStr">
        <x:is>
          <x:t xml:space="preserve">Champion-related jobs</x:t>
        </x:is>
      </x:c>
      <x:c r="G5" s="6" t="inlineStr">
        <x:is>
          <x:t xml:space="preserve">Champion-related jobs / labour force</x:t>
        </x:is>
      </x:c>
      <x:c r="H5" s="6" t="inlineStr">
        <x:is>
          <x:t xml:space="preserve">New champion-related jobs</x:t>
        </x:is>
      </x:c>
      <x:c r="I5" s="6" t="inlineStr">
        <x:is>
          <x:t xml:space="preserve">Unemployment rate</x:t>
        </x:is>
      </x:c>
      <x:c r="J5" s="6" t="inlineStr">
        <x:is>
          <x:t xml:space="preserve">Guest-worker permits wanted by employers</x:t>
        </x:is>
      </x:c>
      <x:c r="K5" s="6" t="inlineStr">
        <x:is>
          <x:t xml:space="preserve">Guest workers who become residents</x:t>
        </x:is>
      </x:c>
      <x:c r="L5" s="6" t="inlineStr">
        <x:is>
          <x:t xml:space="preserve">Guest workers present</x:t>
        </x:is>
      </x:c>
      <x:c r="M5" s="6" t="inlineStr">
        <x:is>
          <x:t xml:space="preserve">Guest workers arriving</x:t>
        </x:is>
      </x:c>
      <x:c r="N5" s="6" t="inlineStr">
        <x:is>
          <x:t xml:space="preserve">Guest workers / resident labour force</x:t>
        </x:is>
      </x:c>
      <x:c r="O5" s="6" t="inlineStr">
        <x:is>
          <x:t xml:space="preserve">Guest workers' output ($m)</x:t>
        </x:is>
      </x:c>
      <x:c r="P5" s="6" t="inlineStr">
        <x:is>
          <x:t xml:space="preserve">Guest workers' wages ($m)</x:t>
        </x:is>
      </x:c>
      <x:c r="Q5" s="6" t="inlineStr">
        <x:is>
          <x:t xml:space="preserve">Employer levy ($m)</x:t>
        </x:is>
      </x:c>
      <x:c r="R5" s="6" t="inlineStr">
        <x:is>
          <x:t xml:space="preserve">Remittances sent home ($m)</x:t>
        </x:is>
      </x:c>
      <x:c r="S5" s="6" t="inlineStr">
        <x:is>
          <x:t xml:space="preserve">The Union's response, phased in</x:t>
        </x:is>
      </x:c>
      <x:c r="T5" s="6" t="inlineStr">
        <x:is>
          <x:t xml:space="preserve">Lead over US output per person, last year</x:t>
        </x:is>
      </x:c>
      <x:c r="U5" s="6" t="inlineStr">
        <x:is>
          <x:t xml:space="preserve">Lead beyond what the baseline arrivals assume</x:t>
        </x:is>
      </x:c>
      <x:c r="V5" s="6" t="inlineStr">
        <x:is>
          <x:t xml:space="preserve">Union population without Pacifica's pull (m)</x:t>
        </x:is>
      </x:c>
      <x:c r="W5" s="6" t="inlineStr">
        <x:is>
          <x:t xml:space="preserve">Union skilled workers</x:t>
        </x:is>
      </x:c>
      <x:c r="X5" s="6" t="inlineStr">
        <x:is>
          <x:t xml:space="preserve">Skilled emigrants leaving Europe and Asia</x:t>
        </x:is>
      </x:c>
      <x:c r="Y5" s="6" t="inlineStr">
        <x:is>
          <x:t xml:space="preserve">Skilled workers who want to come: from the Union</x:t>
        </x:is>
      </x:c>
      <x:c r="Z5" s="6" t="inlineStr">
        <x:is>
          <x:t xml:space="preserve">Skilled workers who want to come: from Europe and Asia</x:t>
        </x:is>
      </x:c>
      <x:c r="AA5" s="6" t="inlineStr">
        <x:is>
          <x:t xml:space="preserve">Skilled people in Asia ready to emigrate</x:t>
        </x:is>
      </x:c>
      <x:c r="AB5" s="6" t="inlineStr">
        <x:is>
          <x:t xml:space="preserve">Skilled workers who want to come: from Asia</x:t>
        </x:is>
      </x:c>
      <x:c r="AC5" s="6" t="inlineStr">
        <x:is>
          <x:t xml:space="preserve">Places in the skilled-entry programme</x:t>
        </x:is>
      </x:c>
      <x:c r="AD5" s="6" t="inlineStr">
        <x:is>
          <x:t xml:space="preserve">Skilled workers admitted</x:t>
        </x:is>
      </x:c>
      <x:c r="AE5" s="6" t="inlineStr">
        <x:is>
          <x:t xml:space="preserve">… of whom from the Union</x:t>
        </x:is>
      </x:c>
      <x:c r="AF5" s="6" t="inlineStr">
        <x:is>
          <x:t xml:space="preserve">… of whom from Asia</x:t>
        </x:is>
      </x:c>
      <x:c r="AG5" s="6" t="inlineStr">
        <x:is>
          <x:t xml:space="preserve">Skilled arrivals with their families</x:t>
        </x:is>
      </x:c>
      <x:c r="AH5" s="6" t="inlineStr">
        <x:is>
          <x:t xml:space="preserve">Talent migrants and descendants</x:t>
        </x:is>
      </x:c>
      <x:c r="AI5" s="6" t="inlineStr">
        <x:is>
          <x:t xml:space="preserve">Relatives who follow</x:t>
        </x:is>
      </x:c>
      <x:c r="AJ5" s="6" t="inlineStr">
        <x:is>
          <x:t xml:space="preserve">Arrivals for new jobs (− leave when jobs go)</x:t>
        </x:is>
      </x:c>
      <x:c r="AK5" s="6" t="inlineStr">
        <x:is>
          <x:t xml:space="preserve">Former guest workers settling, with families</x:t>
        </x:is>
      </x:c>
      <x:c r="AL5" s="6" t="inlineStr">
        <x:is>
          <x:t xml:space="preserve">Extra arrivals, all</x:t>
        </x:is>
      </x:c>
      <x:c r="AM5" s="6" t="inlineStr">
        <x:is>
          <x:t xml:space="preserve">Extra skilled workers in Pacifica</x:t>
        </x:is>
      </x:c>
      <x:c r="AN5" s="6" t="inlineStr">
        <x:is>
          <x:t xml:space="preserve">Extra skilled workers / labour force</x:t>
        </x:is>
      </x:c>
      <x:c r="AO5" s="6" t="inlineStr">
        <x:is>
          <x:t xml:space="preserve">Output per resident raised by the extra talent</x:t>
        </x:is>
      </x:c>
      <x:c r="AP5" s="6" t="inlineStr">
        <x:is>
          <x:t xml:space="preserve">Champions raised by the extra talent</x:t>
        </x:is>
      </x:c>
      <x:c r="AQ5" s="6" t="inlineStr">
        <x:is>
          <x:t xml:space="preserve">US immigration, historical</x:t>
        </x:is>
      </x:c>
      <x:c r="AR5" s="6" t="inlineStr">
        <x:is>
          <x:t xml:space="preserve">Immigrants who choose Pacifica instead</x:t>
        </x:is>
      </x:c>
      <x:c r="AS5" s="6" t="inlineStr">
        <x:is>
          <x:t xml:space="preserve">First-generation diverted immigrants in Pacifica</x:t>
        </x:is>
      </x:c>
      <x:c r="AT5" s="6" t="inlineStr">
        <x:is>
          <x:t xml:space="preserve">Output per resident lowered while they learn the language and trades</x:t>
        </x:is>
      </x:c>
      <x:c r="AU5" s="6" t="inlineStr">
        <x:is>
          <x:t xml:space="preserve">Union-born skilled workers in Pacifica</x:t>
        </x:is>
      </x:c>
      <x:c r="AV5" s="6" t="inlineStr">
        <x:is>
          <x:t xml:space="preserve">Missing from the Union: diverted immigrants and their children</x:t>
        </x:is>
      </x:c>
      <x:c r="AW5" s="6" t="inlineStr">
        <x:is>
          <x:t xml:space="preserve">Missing from the Union: talent emigrants, families and children</x:t>
        </x:is>
      </x:c>
      <x:c r="AX5" s="6" t="inlineStr">
        <x:is>
          <x:t xml:space="preserve">Union population (m)</x:t>
        </x:is>
      </x:c>
      <x:c r="AY5" s="6" t="inlineStr">
        <x:is>
          <x:t xml:space="preserve">Union citizens working in Pacifica as guest workers</x:t>
        </x:is>
      </x:c>
      <x:c r="AZ5" s="6" t="inlineStr">
        <x:is>
          <x:t xml:space="preserve">Union output per person vs the US average</x:t>
        </x:is>
      </x:c>
      <x:c r="BA5" s="6" t="inlineStr">
        <x:is>
          <x:t xml:space="preserve">Union output per worker, historical ($)</x:t>
        </x:is>
      </x:c>
      <x:c r="BB5" s="6" t="inlineStr">
        <x:is>
          <x:t xml:space="preserve">Growth lost to the brain drain</x:t>
        </x:is>
      </x:c>
      <x:c r="BC5" s="6" t="inlineStr">
        <x:is>
          <x:t xml:space="preserve">Growth lost to Pacific trade and gold</x:t>
        </x:is>
      </x:c>
      <x:c r="BD5" s="6" t="inlineStr">
        <x:is>
          <x:t xml:space="preserve">Growth regained by emulating Pacifica</x:t>
        </x:is>
      </x:c>
      <x:c r="BE5" s="6" t="inlineStr">
        <x:is>
          <x:t xml:space="preserve">Union productivity vs history</x:t>
        </x:is>
      </x:c>
      <x:c r="BF5" s="6" t="inlineStr">
        <x:is>
          <x:t xml:space="preserve">Extra crash: the German loan book (§34)</x:t>
        </x:is>
      </x:c>
      <x:c r="BG5" s="6" t="inlineStr">
        <x:is>
          <x:t xml:space="preserve">Skill premium lost with the emigrants ($m)</x:t>
        </x:is>
      </x:c>
      <x:c r="BH5" s="6" t="inlineStr">
        <x:is>
          <x:t xml:space="preserve">Business lost to the champions ($m)</x:t>
        </x:is>
      </x:c>
      <x:c r="BI5" s="6" t="inlineStr">
        <x:is>
          <x:t xml:space="preserve">Output of Union workers away as guest workers ($m)</x:t>
        </x:is>
      </x:c>
      <x:c r="BJ5" s="6" t="inlineStr">
        <x:is>
          <x:t xml:space="preserve">Union GDP without Pacifica's pull ($m)</x:t>
        </x:is>
      </x:c>
      <x:c r="BK5" s="6" t="inlineStr">
        <x:is>
          <x:t xml:space="preserve">Union GDP ($m)</x:t>
        </x:is>
      </x:c>
      <x:c r="BL5" s="6" t="inlineStr">
        <x:is>
          <x:t xml:space="preserve">Union output lost to Pacifica</x:t>
        </x:is>
      </x:c>
      <x:c r="BM5" s="6" t="inlineStr">
        <x:is>
          <x:t xml:space="preserve">Union jobs displaced this year</x:t>
        </x:is>
      </x:c>
      <x:c r="BN5" s="6" t="inlineStr">
        <x:is>
          <x:t xml:space="preserve">Displaced Union workers not yet re-employed</x:t>
        </x:is>
      </x:c>
      <x:c r="BO5" s="6" t="inlineStr">
        <x:is>
          <x:t xml:space="preserve">US unemployment, historical</x:t>
        </x:is>
      </x:c>
      <x:c r="BP5" s="6" t="inlineStr">
        <x:is>
          <x:t xml:space="preserve">Union unemployment</x:t>
        </x:is>
      </x:c>
    </x:row>
    <x:row r="6">
      <x:c r="A6" s="58" t="n">
        <x:v>1846</x:v>
      </x:c>
      <x:c r="B6" s="47" t="n">
        <x:f>Economy!B6*lf_rate</x:f>
        <x:v>72271.5</x:v>
      </x:c>
      <x:c r="C6" s="47" t="n">
        <x:f>Economy!O6*1000000/(B6+L6)</x:f>
        <x:v>264.2857142857143</x:v>
      </x:c>
      <x:c r="D6" s="47" t="n">
        <x:f>Champions!AP6*1000000/(C6*champ_prem)</x:f>
        <x:v>0</x:v>
      </x:c>
      <x:c r="E6" s="47" t="n">
        <x:f>D6*job_mult</x:f>
        <x:v>0</x:v>
      </x:c>
      <x:c r="F6" s="47" t="n">
        <x:f>D6+E6</x:f>
        <x:v>0</x:v>
      </x:c>
      <x:c r="G6" s="63" t="n">
        <x:f>F6/B6</x:f>
        <x:v>0</x:v>
      </x:c>
      <x:c r="H6" s="47" t="n">
        <x:f>0</x:f>
        <x:v>0</x:v>
      </x:c>
      <x:c r="I6" s="63" t="n">
        <x:f>pac_u_base</x:f>
        <x:v>0.015</x:v>
      </x:c>
      <x:c r="J6" s="47" t="n">
        <x:f>0</x:f>
        <x:v>0</x:v>
      </x:c>
      <x:c r="K6" s="47" t="n">
        <x:f>0</x:f>
        <x:v>0</x:v>
      </x:c>
      <x:c r="L6" s="47" t="n">
        <x:f>0</x:f>
        <x:v>0</x:v>
      </x:c>
      <x:c r="M6" s="47" t="n">
        <x:f>0</x:f>
        <x:v>0</x:v>
      </x:c>
      <x:c r="N6" s="63" t="n">
        <x:f>L6/B6</x:f>
        <x:v>0</x:v>
      </x:c>
      <x:c r="O6" s="53" t="n">
        <x:f>Economy!L6</x:f>
        <x:v>0</x:v>
      </x:c>
      <x:c r="P6" s="53" t="n">
        <x:f>O6*gw_wage_share</x:f>
        <x:v>0</x:v>
      </x:c>
      <x:c r="Q6" s="53" t="n">
        <x:f>P6*gw_levy</x:f>
        <x:v>0</x:v>
      </x:c>
      <x:c r="R6" s="53" t="n">
        <x:f>P6*gw_remit</x:f>
        <x:v>0</x:v>
      </x:c>
      <x:c r="S6" s="63" t="n">
        <x:f>IF(union_resp&gt;=1,MIN(1,MAX(0,($A6-resp_start)/(resp_full-resp_start))),0)</x:f>
        <x:v>0</x:v>
      </x:c>
      <x:c r="T6" s="67" t="n">
        <x:f>0</x:f>
        <x:v>0</x:v>
      </x:c>
      <x:c r="U6" s="67" t="n">
        <x:f>MAX(0,T6-gap_base)</x:f>
        <x:v>0</x:v>
      </x:c>
      <x:c r="V6" s="68" t="n">
        <x:v>15</x:v>
      </x:c>
      <x:c r="W6" s="47" t="n">
        <x:f>V6*1000000*lf_rate*union_skill_share</x:f>
        <x:v>756000</x:v>
      </x:c>
      <x:c r="X6" s="45" t="n">
        <x:v>0</x:v>
      </x:c>
      <x:c r="Y6" s="47" t="n">
        <x:f>IF(AND(mig_endo=1,$A6&gt;=talent_start),talent_rate_u*W6*U6*(1-(1-bd_keep)*S6),0)</x:f>
        <x:v>0</x:v>
      </x:c>
      <x:c r="Z6" s="47" t="n">
        <x:f>IF(AND(mig_endo=1,$A6&gt;=talent_start),X6*MIN(0.5,talent_share_o*U6)*(1-eu_comp*S6),0)</x:f>
        <x:v>0</x:v>
      </x:c>
      <x:c r="AA6" s="45" t="n">
        <x:v>0</x:v>
      </x:c>
      <x:c r="AB6" s="47" t="n">
        <x:f>IF(AND(mig_endo=1,$A6&gt;=talent_start),AA6*MIN(0.5,talent_share_a*U6),0)</x:f>
        <x:v>0</x:v>
      </x:c>
      <x:c r="AC6" s="47" t="n">
        <x:f>entry_cap*People!B6</x:f>
        <x:v>510</x:v>
      </x:c>
      <x:c r="AD6" s="47" t="n">
        <x:f>MIN(AC6,Y6+Z6+AB6)</x:f>
        <x:v>0</x:v>
      </x:c>
      <x:c r="AE6" s="47" t="n">
        <x:f>IF(Y6+Z6+AB6&gt;0,AD6*Y6/(Y6+Z6+AB6),0)</x:f>
        <x:v>0</x:v>
      </x:c>
      <x:c r="AF6" s="47" t="n">
        <x:f>IF(Y6+Z6+AB6&gt;0,AD6*AB6/(Y6+Z6+AB6),0)</x:f>
        <x:v>0</x:v>
      </x:c>
      <x:c r="AG6" s="47" t="n">
        <x:f>AD6*family_mult</x:f>
        <x:v>0</x:v>
      </x:c>
      <x:c r="AH6" s="47" t="n">
        <x:f>0</x:f>
        <x:v>0</x:v>
      </x:c>
      <x:c r="AI6" s="47" t="n">
        <x:f>0</x:f>
        <x:v>0</x:v>
      </x:c>
      <x:c r="AJ6" s="47" t="n">
        <x:f>0</x:f>
        <x:v>0</x:v>
      </x:c>
      <x:c r="AK6" s="47" t="n">
        <x:f>K6*gw_conv_family</x:f>
        <x:v>0</x:v>
      </x:c>
      <x:c r="AL6" s="47" t="n">
        <x:f>AG6+AI6+AJ6+AK6+AR6</x:f>
        <x:v>0</x:v>
      </x:c>
      <x:c r="AM6" s="47" t="n">
        <x:f>0</x:f>
        <x:v>0</x:v>
      </x:c>
      <x:c r="AN6" s="64" t="n">
        <x:f>AM6/B6</x:f>
        <x:v>0</x:v>
      </x:c>
      <x:c r="AO6" s="64" t="n">
        <x:f>0</x:f>
        <x:v>0</x:v>
      </x:c>
      <x:c r="AP6" s="64" t="n">
        <x:f>0</x:f>
        <x:v>0</x:v>
      </x:c>
      <x:c r="AQ6" s="45" t="n">
        <x:v>150000</x:v>
      </x:c>
      <x:c r="AR6" s="47" t="n">
        <x:f>IF(AND(div_on=1,$A6&gt;=div_start),AQ6*MIN(div_max,div_rate*U6)*(1-div_comp*S6),0)</x:f>
        <x:v>0</x:v>
      </x:c>
      <x:c r="AS6" s="47" t="n">
        <x:f>0</x:f>
        <x:v>0</x:v>
      </x:c>
      <x:c r="AT6" s="64" t="n">
        <x:f>0</x:f>
        <x:v>0</x:v>
      </x:c>
      <x:c r="AU6" s="47" t="n">
        <x:f>0</x:f>
        <x:v>0</x:v>
      </x:c>
      <x:c r="AV6" s="47" t="n">
        <x:f>0</x:f>
        <x:v>0</x:v>
      </x:c>
      <x:c r="AW6" s="47" t="n">
        <x:f>0</x:f>
        <x:v>0</x:v>
      </x:c>
      <x:c r="AX6" s="67" t="n">
        <x:f>V6-(AV6+AW6)/1000000</x:f>
        <x:v>15</x:v>
      </x:c>
      <x:c r="AY6" s="47" t="n">
        <x:f>L6*gw_union</x:f>
        <x:v>0</x:v>
      </x:c>
      <x:c r="AZ6" s="46" t="n">
        <x:v>1.12</x:v>
      </x:c>
      <x:c r="BA6" s="47" t="n">
        <x:f>Economy!Q6*AZ6/lf_rate</x:f>
        <x:v>253.33333333333334</x:v>
      </x:c>
      <x:c r="BB6" s="64" t="n">
        <x:f>0</x:f>
        <x:v>0</x:v>
      </x:c>
      <x:c r="BC6" s="64" t="n">
        <x:f>0</x:f>
        <x:v>0</x:v>
      </x:c>
      <x:c r="BD6" s="64" t="n">
        <x:f>emu_g*S6</x:f>
        <x:v>0</x:v>
      </x:c>
      <x:c r="BE6" s="65" t="n">
        <x:f>1</x:f>
        <x:v>1</x:v>
      </x:c>
      <x:c r="BF6" s="46" t="n">
        <x:v>1</x:v>
      </x:c>
      <x:c r="BG6" s="53" t="n">
        <x:f>AU6*BA6*BE6*(skill_rel-1+skill_spill)/1000000</x:f>
        <x:v>0</x:v>
      </x:c>
      <x:c r="BH6" s="53" t="n">
        <x:f>union_disp*(Champions!AP6+Champions!AZ6)*(1-IF(union_resp=2,mkt_cut*S6,0))</x:f>
        <x:v>0</x:v>
      </x:c>
      <x:c r="BI6" s="53" t="n">
        <x:f>AY6*BA6*BE6/1000000</x:f>
        <x:v>0</x:v>
      </x:c>
      <x:c r="BJ6" s="47" t="n">
        <x:f>V6*Economy!Q6*AZ6</x:f>
        <x:v>1596.0000000000002</x:v>
      </x:c>
      <x:c r="BK6" s="47" t="n">
        <x:f>BJ6</x:f>
        <x:v>1596.0000000000002</x:v>
      </x:c>
      <x:c r="BL6" s="63" t="n">
        <x:f>1-BK6/BJ6</x:f>
        <x:v>0</x:v>
      </x:c>
      <x:c r="BM6" s="47" t="n">
        <x:f>0</x:f>
        <x:v>0</x:v>
      </x:c>
      <x:c r="BN6" s="47" t="n">
        <x:f>0</x:f>
        <x:v>0</x:v>
      </x:c>
      <x:c r="BO6" s="59" t="n">
        <x:v>0.04</x:v>
      </x:c>
      <x:c r="BP6" s="63" t="n">
        <x:f>BO6+BN6/(AX6*1000000*lf_rate)</x:f>
        <x:v>0.04</x:v>
      </x:c>
    </x:row>
    <x:row r="7">
      <x:c r="A7" s="58" t="n">
        <x:v>1847</x:v>
      </x:c>
      <x:c r="B7" s="47" t="n">
        <x:f>Economy!B7*lf_rate</x:f>
        <x:v>74195.5725</x:v>
      </x:c>
      <x:c r="C7" s="47" t="n">
        <x:f>Economy!O7*1000000/(B7+L7)</x:f>
        <x:v>274.8571428571429</x:v>
      </x:c>
      <x:c r="D7" s="47" t="n">
        <x:f>Champions!AP7*1000000/(C7*champ_prem)</x:f>
        <x:v>0</x:v>
      </x:c>
      <x:c r="E7" s="47" t="n">
        <x:f>D7*job_mult</x:f>
        <x:v>0</x:v>
      </x:c>
      <x:c r="F7" s="47" t="n">
        <x:f>D7+E7</x:f>
        <x:v>0</x:v>
      </x:c>
      <x:c r="G7" s="63" t="n">
        <x:f>F7/B7</x:f>
        <x:v>0</x:v>
      </x:c>
      <x:c r="H7" s="47" t="n">
        <x:f>F7-F6</x:f>
        <x:v>0</x:v>
      </x:c>
      <x:c r="I7" s="63" t="n">
        <x:f>MAX(0.005,pac_u_base*IF(Paths!AC7=1,pac_u_war,1)+(okun*(1-Economy!G7)*(B7+L7)-MAX(0,L6-L7))/B7)</x:f>
        <x:v>0.015</x:v>
      </x:c>
      <x:c r="J7" s="47" t="n">
        <x:f>IF(AND(gw_on=1,$A7&gt;=gw_start),MIN(gw_cap*B6,gw_cover*F6+gw_gen*B6),0)</x:f>
        <x:v>0</x:v>
      </x:c>
      <x:c r="K7" s="47" t="n">
        <x:f>L6*gw_conv</x:f>
        <x:v>0</x:v>
      </x:c>
      <x:c r="L7" s="47" t="n">
        <x:f>MAX(0,L6-K7+gw_adj*(J7-L6))*MAX(0,1-gw_slump*(1-Economy!G7))</x:f>
        <x:v>0</x:v>
      </x:c>
      <x:c r="M7" s="47" t="n">
        <x:f>MAX(0,L7-L6+L6/gw_term)</x:f>
        <x:v>0</x:v>
      </x:c>
      <x:c r="N7" s="63" t="n">
        <x:f>L7/B7</x:f>
        <x:v>0</x:v>
      </x:c>
      <x:c r="O7" s="53" t="n">
        <x:f>Economy!L7</x:f>
        <x:v>0</x:v>
      </x:c>
      <x:c r="P7" s="53" t="n">
        <x:f>O7*gw_wage_share</x:f>
        <x:v>0</x:v>
      </x:c>
      <x:c r="Q7" s="53" t="n">
        <x:f>P7*gw_levy</x:f>
        <x:v>0</x:v>
      </x:c>
      <x:c r="R7" s="53" t="n">
        <x:f>P7*gw_remit</x:f>
        <x:v>0</x:v>
      </x:c>
      <x:c r="S7" s="63" t="n">
        <x:f>IF(union_resp&gt;=1,MIN(1,MAX(0,($A7-resp_start)/(resp_full-resp_start))),0)</x:f>
        <x:v>0</x:v>
      </x:c>
      <x:c r="T7" s="67" t="n">
        <x:f>Economy!R6</x:f>
        <x:v>1.168421052631579</x:v>
      </x:c>
      <x:c r="U7" s="67" t="n">
        <x:f>MAX(0,T7-gap_base)</x:f>
        <x:v>0</x:v>
      </x:c>
      <x:c r="V7" s="68" t="n">
        <x:v>15.47</x:v>
      </x:c>
      <x:c r="W7" s="47" t="n">
        <x:f>V7*1000000*lf_rate*union_skill_share</x:f>
        <x:v>779688</x:v>
      </x:c>
      <x:c r="X7" s="45" t="n">
        <x:v>0</x:v>
      </x:c>
      <x:c r="Y7" s="47" t="n">
        <x:f>IF(AND(mig_endo=1,$A7&gt;=talent_start),talent_rate_u*W7*U7*(1-(1-bd_keep)*S7),0)</x:f>
        <x:v>0</x:v>
      </x:c>
      <x:c r="Z7" s="47" t="n">
        <x:f>IF(AND(mig_endo=1,$A7&gt;=talent_start),X7*MIN(0.5,talent_share_o*U7)*(1-eu_comp*S7),0)</x:f>
        <x:v>0</x:v>
      </x:c>
      <x:c r="AA7" s="45" t="n">
        <x:v>0</x:v>
      </x:c>
      <x:c r="AB7" s="47" t="n">
        <x:f>IF(AND(mig_endo=1,$A7&gt;=talent_start),AA7*MIN(0.5,talent_share_a*U7),0)</x:f>
        <x:v>0</x:v>
      </x:c>
      <x:c r="AC7" s="47" t="n">
        <x:f>entry_cap*People!B7</x:f>
        <x:v>522.45</x:v>
      </x:c>
      <x:c r="AD7" s="47" t="n">
        <x:f>MIN(AC7,Y7+Z7+AB7)</x:f>
        <x:v>0</x:v>
      </x:c>
      <x:c r="AE7" s="47" t="n">
        <x:f>IF(Y7+Z7+AB7&gt;0,AD7*Y7/(Y7+Z7+AB7),0)</x:f>
        <x:v>0</x:v>
      </x:c>
      <x:c r="AF7" s="47" t="n">
        <x:f>IF(Y7+Z7+AB7&gt;0,AD7*AB7/(Y7+Z7+AB7),0)</x:f>
        <x:v>0</x:v>
      </x:c>
      <x:c r="AG7" s="47" t="n">
        <x:f>AD7*family_mult</x:f>
        <x:v>0</x:v>
      </x:c>
      <x:c r="AH7" s="47" t="n">
        <x:f>AH6*(1+Paths!C7)+AG7</x:f>
        <x:v>0</x:v>
      </x:c>
      <x:c r="AI7" s="47" t="n">
        <x:f>IF(AND(mig_endo=1,$A7&gt;=talent_start),chain_rate*AH6,0)</x:f>
        <x:v>0</x:v>
      </x:c>
      <x:c r="AJ7" s="47" t="n">
        <x:f>IF(AND(mig_endo=1,$A7&gt;=talent_start),IF(H6&gt;0,H6*job_fill,H6*job_return)*job_family,0)</x:f>
        <x:v>0</x:v>
      </x:c>
      <x:c r="AK7" s="47" t="n">
        <x:f>K7*gw_conv_family</x:f>
        <x:v>0</x:v>
      </x:c>
      <x:c r="AL7" s="47" t="n">
        <x:f>AG7+AI7+AJ7+AK7+AR7</x:f>
        <x:v>0</x:v>
      </x:c>
      <x:c r="AM7" s="47" t="n">
        <x:f>AM6*(1-skill_ret)+AD7</x:f>
        <x:v>0</x:v>
      </x:c>
      <x:c r="AN7" s="64" t="n">
        <x:f>AM7/B7</x:f>
        <x:v>0</x:v>
      </x:c>
      <x:c r="AO7" s="64" t="n">
        <x:f>(skill_rel-1+skill_spill)*AM6/B6-AT7</x:f>
        <x:v>0</x:v>
      </x:c>
      <x:c r="AP7" s="64" t="n">
        <x:f>talent_champ*AM6/(skill_base_share*B6)</x:f>
        <x:v>0</x:v>
      </x:c>
      <x:c r="AQ7" s="45" t="n">
        <x:v>205000</x:v>
      </x:c>
      <x:c r="AR7" s="47" t="n">
        <x:f>IF(AND(div_on=1,$A7&gt;=div_start),AQ7*MIN(div_max,div_rate*U7)*(1-div_comp*S7),0)</x:f>
        <x:v>0</x:v>
      </x:c>
      <x:c r="AS7" s="47" t="n">
        <x:f>AS6*(1-div_assim)+AR7</x:f>
        <x:v>0</x:v>
      </x:c>
      <x:c r="AT7" s="64" t="n">
        <x:f>(1-div_rel)*AS6/Economy!B6</x:f>
        <x:v>0</x:v>
      </x:c>
      <x:c r="AU7" s="47" t="n">
        <x:f>AU6*(1-skill_ret)+AE7</x:f>
        <x:v>0</x:v>
      </x:c>
      <x:c r="AV7" s="47" t="n">
        <x:f>AV6*(1+union_nat)+AR7</x:f>
        <x:v>0</x:v>
      </x:c>
      <x:c r="AW7" s="47" t="n">
        <x:f>AW6*(1+union_nat)+AE7*family_mult</x:f>
        <x:v>0</x:v>
      </x:c>
      <x:c r="AX7" s="67" t="n">
        <x:f>V7-(AV7+AW7)/1000000</x:f>
        <x:v>15.47</x:v>
      </x:c>
      <x:c r="AY7" s="47" t="n">
        <x:f>L7*gw_union</x:f>
        <x:v>0</x:v>
      </x:c>
      <x:c r="AZ7" s="46" t="n">
        <x:v>1.12</x:v>
      </x:c>
      <x:c r="BA7" s="47" t="n">
        <x:f>Economy!Q7*AZ7/lf_rate</x:f>
        <x:v>261.33333333333337</x:v>
      </x:c>
      <x:c r="BB7" s="64" t="n">
        <x:f>bd_growth*AU6/W6</x:f>
        <x:v>0</x:v>
      </x:c>
      <x:c r="BC7" s="64" t="n">
        <x:f>tg_k*MIN(1,Economy!O6/BK6)</x:f>
        <x:v>0.000035902866541353385</x:v>
      </x:c>
      <x:c r="BD7" s="64" t="n">
        <x:f>emu_g*S7</x:f>
        <x:v>0</x:v>
      </x:c>
      <x:c r="BE7" s="65" t="n">
        <x:f>BE6*(1-BB7-BC7+BD7)</x:f>
        <x:v>0.9999640971334587</x:v>
      </x:c>
      <x:c r="BF7" s="46" t="n">
        <x:v>1</x:v>
      </x:c>
      <x:c r="BG7" s="53" t="n">
        <x:f>AU7*BA7*BE7*(skill_rel-1+skill_spill)/1000000</x:f>
        <x:v>0</x:v>
      </x:c>
      <x:c r="BH7" s="53" t="n">
        <x:f>union_disp*(Champions!AP7+Champions!AZ7)*(1-IF(union_resp=2,mkt_cut*S7,0))</x:f>
        <x:v>0</x:v>
      </x:c>
      <x:c r="BI7" s="53" t="n">
        <x:f>AY7*BA7*BE7/1000000</x:f>
        <x:v>0</x:v>
      </x:c>
      <x:c r="BJ7" s="47" t="n">
        <x:f>V7*Economy!Q7*AZ7</x:f>
        <x:v>1697.9872000000003</x:v>
      </x:c>
      <x:c r="BK7" s="47" t="n">
        <x:f>MAX(0.3*BJ7,AX7*Economy!Q7*AZ7*BE7*BF7-BG7-BH7-BI7)</x:f>
        <x:v>1697.9262373921697</x:v>
      </x:c>
      <x:c r="BL7" s="63" t="n">
        <x:f>1-BK7/BJ7</x:f>
        <x:v>0.00003590286654142627</x:v>
      </x:c>
      <x:c r="BM7" s="47" t="n">
        <x:f>MAX(0,BH7-BH6)*1000000/BA7</x:f>
        <x:v>0</x:v>
      </x:c>
      <x:c r="BN7" s="47" t="n">
        <x:f>BN6*(1-IF(AND($A7&gt;=1930,$A7&lt;=1932),0,union_reabsorb))+BM7</x:f>
        <x:v>0</x:v>
      </x:c>
      <x:c r="BO7" s="59" t="n">
        <x:v>0.04</x:v>
      </x:c>
      <x:c r="BP7" s="63" t="n">
        <x:f>BO7+BN7/(AX7*1000000*lf_rate)</x:f>
        <x:v>0.04</x:v>
      </x:c>
    </x:row>
    <x:row r="8">
      <x:c r="A8" s="58" t="n">
        <x:v>1848</x:v>
      </x:c>
      <x:c r="B8" s="47" t="n">
        <x:f>Economy!B8*lf_rate</x:f>
        <x:v>78069.13758</x:v>
      </x:c>
      <x:c r="C8" s="47" t="n">
        <x:f>Economy!O8*1000000/(B8+L8)</x:f>
        <x:v>375.5155419072122</x:v>
      </x:c>
      <x:c r="D8" s="47" t="n">
        <x:f>Champions!AP8*1000000/(C8*champ_prem)</x:f>
        <x:v>0</x:v>
      </x:c>
      <x:c r="E8" s="47" t="n">
        <x:f>D8*job_mult</x:f>
        <x:v>0</x:v>
      </x:c>
      <x:c r="F8" s="47" t="n">
        <x:f>D8+E8</x:f>
        <x:v>0</x:v>
      </x:c>
      <x:c r="G8" s="63" t="n">
        <x:f>F8/B8</x:f>
        <x:v>0</x:v>
      </x:c>
      <x:c r="H8" s="47" t="n">
        <x:f>F8-F7</x:f>
        <x:v>0</x:v>
      </x:c>
      <x:c r="I8" s="63" t="n">
        <x:f>MAX(0.005,pac_u_base*IF(Paths!AC8=1,pac_u_war,1)+(okun*(1-Economy!G8)*(B8+L8)-MAX(0,L7-L8))/B8)</x:f>
        <x:v>0.015</x:v>
      </x:c>
      <x:c r="J8" s="47" t="n">
        <x:f>IF(AND(gw_on=1,$A8&gt;=gw_start),MIN(gw_cap*B7,gw_cover*F7+gw_gen*B7),0)</x:f>
        <x:v>0</x:v>
      </x:c>
      <x:c r="K8" s="47" t="n">
        <x:f>L7*gw_conv</x:f>
        <x:v>0</x:v>
      </x:c>
      <x:c r="L8" s="47" t="n">
        <x:f>MAX(0,L7-K8+gw_adj*(J8-L7))*MAX(0,1-gw_slump*(1-Economy!G8))</x:f>
        <x:v>0</x:v>
      </x:c>
      <x:c r="M8" s="47" t="n">
        <x:f>MAX(0,L8-L7+L7/gw_term)</x:f>
        <x:v>0</x:v>
      </x:c>
      <x:c r="N8" s="63" t="n">
        <x:f>L8/B8</x:f>
        <x:v>0</x:v>
      </x:c>
      <x:c r="O8" s="53" t="n">
        <x:f>Economy!L8</x:f>
        <x:v>0</x:v>
      </x:c>
      <x:c r="P8" s="53" t="n">
        <x:f>O8*gw_wage_share</x:f>
        <x:v>0</x:v>
      </x:c>
      <x:c r="Q8" s="53" t="n">
        <x:f>P8*gw_levy</x:f>
        <x:v>0</x:v>
      </x:c>
      <x:c r="R8" s="53" t="n">
        <x:f>P8*gw_remit</x:f>
        <x:v>0</x:v>
      </x:c>
      <x:c r="S8" s="63" t="n">
        <x:f>IF(union_resp&gt;=1,MIN(1,MAX(0,($A8-resp_start)/(resp_full-resp_start))),0)</x:f>
        <x:v>0</x:v>
      </x:c>
      <x:c r="T8" s="67" t="n">
        <x:f>Economy!R7</x:f>
        <x:v>1.1779591836734693</x:v>
      </x:c>
      <x:c r="U8" s="67" t="n">
        <x:f>MAX(0,T8-gap_base)</x:f>
        <x:v>0</x:v>
      </x:c>
      <x:c r="V8" s="68" t="n">
        <x:v>15.93</x:v>
      </x:c>
      <x:c r="W8" s="47" t="n">
        <x:f>V8*1000000*lf_rate*union_skill_share</x:f>
        <x:v>802872</x:v>
      </x:c>
      <x:c r="X8" s="45" t="n">
        <x:v>0</x:v>
      </x:c>
      <x:c r="Y8" s="47" t="n">
        <x:f>IF(AND(mig_endo=1,$A8&gt;=talent_start),talent_rate_u*W8*U8*(1-(1-bd_keep)*S8),0)</x:f>
        <x:v>0</x:v>
      </x:c>
      <x:c r="Z8" s="47" t="n">
        <x:f>IF(AND(mig_endo=1,$A8&gt;=talent_start),X8*MIN(0.5,talent_share_o*U8)*(1-eu_comp*S8),0)</x:f>
        <x:v>0</x:v>
      </x:c>
      <x:c r="AA8" s="45" t="n">
        <x:v>0</x:v>
      </x:c>
      <x:c r="AB8" s="47" t="n">
        <x:f>IF(AND(mig_endo=1,$A8&gt;=talent_start),AA8*MIN(0.5,talent_share_a*U8),0)</x:f>
        <x:v>0</x:v>
      </x:c>
      <x:c r="AC8" s="47" t="n">
        <x:f>entry_cap*People!B8</x:f>
        <x:v>537.48675</x:v>
      </x:c>
      <x:c r="AD8" s="47" t="n">
        <x:f>MIN(AC8,Y8+Z8+AB8)</x:f>
        <x:v>0</x:v>
      </x:c>
      <x:c r="AE8" s="47" t="n">
        <x:f>IF(Y8+Z8+AB8&gt;0,AD8*Y8/(Y8+Z8+AB8),0)</x:f>
        <x:v>0</x:v>
      </x:c>
      <x:c r="AF8" s="47" t="n">
        <x:f>IF(Y8+Z8+AB8&gt;0,AD8*AB8/(Y8+Z8+AB8),0)</x:f>
        <x:v>0</x:v>
      </x:c>
      <x:c r="AG8" s="47" t="n">
        <x:f>AD8*family_mult</x:f>
        <x:v>0</x:v>
      </x:c>
      <x:c r="AH8" s="47" t="n">
        <x:f>AH7*(1+Paths!C8)+AG8</x:f>
        <x:v>0</x:v>
      </x:c>
      <x:c r="AI8" s="47" t="n">
        <x:f>IF(AND(mig_endo=1,$A8&gt;=talent_start),chain_rate*AH7,0)</x:f>
        <x:v>0</x:v>
      </x:c>
      <x:c r="AJ8" s="47" t="n">
        <x:f>IF(AND(mig_endo=1,$A8&gt;=talent_start),IF(H7&gt;0,H7*job_fill,H7*job_return)*job_family,0)</x:f>
        <x:v>0</x:v>
      </x:c>
      <x:c r="AK8" s="47" t="n">
        <x:f>K8*gw_conv_family</x:f>
        <x:v>0</x:v>
      </x:c>
      <x:c r="AL8" s="47" t="n">
        <x:f>AG8+AI8+AJ8+AK8+AR8</x:f>
        <x:v>0</x:v>
      </x:c>
      <x:c r="AM8" s="47" t="n">
        <x:f>AM7*(1-skill_ret)+AD8</x:f>
        <x:v>0</x:v>
      </x:c>
      <x:c r="AN8" s="64" t="n">
        <x:f>AM8/B8</x:f>
        <x:v>0</x:v>
      </x:c>
      <x:c r="AO8" s="64" t="n">
        <x:f>(skill_rel-1+skill_spill)*AM7/B7-AT8</x:f>
        <x:v>0</x:v>
      </x:c>
      <x:c r="AP8" s="64" t="n">
        <x:f>talent_champ*AM7/(skill_base_share*B7)</x:f>
        <x:v>0</x:v>
      </x:c>
      <x:c r="AQ8" s="45" t="n">
        <x:v>260000</x:v>
      </x:c>
      <x:c r="AR8" s="47" t="n">
        <x:f>IF(AND(div_on=1,$A8&gt;=div_start),AQ8*MIN(div_max,div_rate*U8)*(1-div_comp*S8),0)</x:f>
        <x:v>0</x:v>
      </x:c>
      <x:c r="AS8" s="47" t="n">
        <x:f>AS7*(1-div_assim)+AR8</x:f>
        <x:v>0</x:v>
      </x:c>
      <x:c r="AT8" s="64" t="n">
        <x:f>(1-div_rel)*AS7/Economy!B7</x:f>
        <x:v>0</x:v>
      </x:c>
      <x:c r="AU8" s="47" t="n">
        <x:f>AU7*(1-skill_ret)+AE8</x:f>
        <x:v>0</x:v>
      </x:c>
      <x:c r="AV8" s="47" t="n">
        <x:f>AV7*(1+union_nat)+AR8</x:f>
        <x:v>0</x:v>
      </x:c>
      <x:c r="AW8" s="47" t="n">
        <x:f>AW7*(1+union_nat)+AE8*family_mult</x:f>
        <x:v>0</x:v>
      </x:c>
      <x:c r="AX8" s="67" t="n">
        <x:f>V8-(AV8+AW8)/1000000</x:f>
        <x:v>15.93</x:v>
      </x:c>
      <x:c r="AY8" s="47" t="n">
        <x:f>L8*gw_union</x:f>
        <x:v>0</x:v>
      </x:c>
      <x:c r="AZ8" s="46" t="n">
        <x:v>1.12</x:v>
      </x:c>
      <x:c r="BA8" s="47" t="n">
        <x:f>Economy!Q8*AZ8/lf_rate</x:f>
        <x:v>266.6666666666667</x:v>
      </x:c>
      <x:c r="BB8" s="64" t="n">
        <x:f>bd_growth*AU7/W7</x:f>
        <x:v>0</x:v>
      </x:c>
      <x:c r="BC8" s="64" t="n">
        <x:f>tg_k*MIN(1,Economy!O7/BK7)</x:f>
        <x:v>0.00003603192403927107</x:v>
      </x:c>
      <x:c r="BD8" s="64" t="n">
        <x:f>emu_g*S8</x:f>
        <x:v>0</x:v>
      </x:c>
      <x:c r="BE8" s="65" t="n">
        <x:f>BE7*(1-BB8-BC8+BD8)</x:f>
        <x:v>0.9999280665030689</x:v>
      </x:c>
      <x:c r="BF8" s="46" t="n">
        <x:v>1</x:v>
      </x:c>
      <x:c r="BG8" s="53" t="n">
        <x:f>AU8*BA8*BE8*(skill_rel-1+skill_spill)/1000000</x:f>
        <x:v>0</x:v>
      </x:c>
      <x:c r="BH8" s="53" t="n">
        <x:f>union_disp*(Champions!AP8+Champions!AZ8)*(1-IF(union_resp=2,mkt_cut*S8,0))</x:f>
        <x:v>0</x:v>
      </x:c>
      <x:c r="BI8" s="53" t="n">
        <x:f>AY8*BA8*BE8/1000000</x:f>
        <x:v>0</x:v>
      </x:c>
      <x:c r="BJ8" s="47" t="n">
        <x:f>V8*Economy!Q8*AZ8</x:f>
        <x:v>1784.16</x:v>
      </x:c>
      <x:c r="BK8" s="47" t="n">
        <x:f>MAX(0.3*BJ8,AX8*Economy!Q8*AZ8*BE8*BF8-BG8-BH8-BI8)</x:f>
        <x:v>1784.0316591321155</x:v>
      </x:c>
      <x:c r="BL8" s="63" t="n">
        <x:f>1-BK8/BJ8</x:f>
        <x:v>0.00007193349693113138</x:v>
      </x:c>
      <x:c r="BM8" s="47" t="n">
        <x:f>MAX(0,BH8-BH7)*1000000/BA8</x:f>
        <x:v>0</x:v>
      </x:c>
      <x:c r="BN8" s="47" t="n">
        <x:f>BN7*(1-IF(AND($A8&gt;=1930,$A8&lt;=1932),0,union_reabsorb))+BM8</x:f>
        <x:v>0</x:v>
      </x:c>
      <x:c r="BO8" s="59" t="n">
        <x:v>0.04</x:v>
      </x:c>
      <x:c r="BP8" s="63" t="n">
        <x:f>BO8+BN8/(AX8*1000000*lf_rate)</x:f>
        <x:v>0.04</x:v>
      </x:c>
    </x:row>
    <x:row r="9">
      <x:c r="A9" s="58" t="n">
        <x:v>1849</x:v>
      </x:c>
      <x:c r="B9" s="47" t="n">
        <x:f>Economy!B9*lf_rate</x:f>
        <x:v>89449.05068064</x:v>
      </x:c>
      <x:c r="C9" s="47" t="n">
        <x:f>Economy!O9*1000000/(B9+L9)</x:f>
        <x:v>787.0771864577456</x:v>
      </x:c>
      <x:c r="D9" s="47" t="n">
        <x:f>Champions!AP9*1000000/(C9*champ_prem)</x:f>
        <x:v>0</x:v>
      </x:c>
      <x:c r="E9" s="47" t="n">
        <x:f>D9*job_mult</x:f>
        <x:v>0</x:v>
      </x:c>
      <x:c r="F9" s="47" t="n">
        <x:f>D9+E9</x:f>
        <x:v>0</x:v>
      </x:c>
      <x:c r="G9" s="63" t="n">
        <x:f>F9/B9</x:f>
        <x:v>0</x:v>
      </x:c>
      <x:c r="H9" s="47" t="n">
        <x:f>F9-F8</x:f>
        <x:v>0</x:v>
      </x:c>
      <x:c r="I9" s="63" t="n">
        <x:f>MAX(0.005,pac_u_base*IF(Paths!AC9=1,pac_u_war,1)+(okun*(1-Economy!G9)*(B9+L9)-MAX(0,L8-L9))/B9)</x:f>
        <x:v>0.015</x:v>
      </x:c>
      <x:c r="J9" s="47" t="n">
        <x:f>IF(AND(gw_on=1,$A9&gt;=gw_start),MIN(gw_cap*B8,gw_cover*F8+gw_gen*B8),0)</x:f>
        <x:v>0</x:v>
      </x:c>
      <x:c r="K9" s="47" t="n">
        <x:f>L8*gw_conv</x:f>
        <x:v>0</x:v>
      </x:c>
      <x:c r="L9" s="47" t="n">
        <x:f>MAX(0,L8-K9+gw_adj*(J9-L8))*MAX(0,1-gw_slump*(1-Economy!G9))</x:f>
        <x:v>0</x:v>
      </x:c>
      <x:c r="M9" s="47" t="n">
        <x:f>MAX(0,L9-L8+L8/gw_term)</x:f>
        <x:v>0</x:v>
      </x:c>
      <x:c r="N9" s="63" t="n">
        <x:f>L9/B9</x:f>
        <x:v>0</x:v>
      </x:c>
      <x:c r="O9" s="53" t="n">
        <x:f>Economy!L9</x:f>
        <x:v>0</x:v>
      </x:c>
      <x:c r="P9" s="53" t="n">
        <x:f>O9*gw_wage_share</x:f>
        <x:v>0</x:v>
      </x:c>
      <x:c r="Q9" s="53" t="n">
        <x:f>P9*gw_levy</x:f>
        <x:v>0</x:v>
      </x:c>
      <x:c r="R9" s="53" t="n">
        <x:f>P9*gw_remit</x:f>
        <x:v>0</x:v>
      </x:c>
      <x:c r="S9" s="63" t="n">
        <x:f>IF(union_resp&gt;=1,MIN(1,MAX(0,($A9-resp_start)/(resp_full-resp_start))),0)</x:f>
        <x:v>0</x:v>
      </x:c>
      <x:c r="T9" s="67" t="n">
        <x:f>Economy!R8</x:f>
        <x:v>1.577165276010291</x:v>
      </x:c>
      <x:c r="U9" s="67" t="n">
        <x:f>MAX(0,T9-gap_base)</x:f>
        <x:v>0.077165276010291</x:v>
      </x:c>
      <x:c r="V9" s="68" t="n">
        <x:v>16.4</x:v>
      </x:c>
      <x:c r="W9" s="47" t="n">
        <x:f>V9*1000000*lf_rate*union_skill_share</x:f>
        <x:v>826559.9999999999</x:v>
      </x:c>
      <x:c r="X9" s="45" t="n">
        <x:v>0</x:v>
      </x:c>
      <x:c r="Y9" s="47" t="n">
        <x:f>IF(AND(mig_endo=1,$A9&gt;=talent_start),talent_rate_u*W9*U9*(1-(1-bd_keep)*S9),0)</x:f>
        <x:v>0</x:v>
      </x:c>
      <x:c r="Z9" s="47" t="n">
        <x:f>IF(AND(mig_endo=1,$A9&gt;=talent_start),X9*MIN(0.5,talent_share_o*U9)*(1-eu_comp*S9),0)</x:f>
        <x:v>0</x:v>
      </x:c>
      <x:c r="AA9" s="45" t="n">
        <x:v>0</x:v>
      </x:c>
      <x:c r="AB9" s="47" t="n">
        <x:f>IF(AND(mig_endo=1,$A9&gt;=talent_start),AA9*MIN(0.5,talent_share_a*U9),0)</x:f>
        <x:v>0</x:v>
      </x:c>
      <x:c r="AC9" s="47" t="n">
        <x:f>entry_cap*People!B9</x:f>
        <x:v>577.786644</x:v>
      </x:c>
      <x:c r="AD9" s="47" t="n">
        <x:f>MIN(AC9,Y9+Z9+AB9)</x:f>
        <x:v>0</x:v>
      </x:c>
      <x:c r="AE9" s="47" t="n">
        <x:f>IF(Y9+Z9+AB9&gt;0,AD9*Y9/(Y9+Z9+AB9),0)</x:f>
        <x:v>0</x:v>
      </x:c>
      <x:c r="AF9" s="47" t="n">
        <x:f>IF(Y9+Z9+AB9&gt;0,AD9*AB9/(Y9+Z9+AB9),0)</x:f>
        <x:v>0</x:v>
      </x:c>
      <x:c r="AG9" s="47" t="n">
        <x:f>AD9*family_mult</x:f>
        <x:v>0</x:v>
      </x:c>
      <x:c r="AH9" s="47" t="n">
        <x:f>AH8*(1+Paths!C9)+AG9</x:f>
        <x:v>0</x:v>
      </x:c>
      <x:c r="AI9" s="47" t="n">
        <x:f>IF(AND(mig_endo=1,$A9&gt;=talent_start),chain_rate*AH8,0)</x:f>
        <x:v>0</x:v>
      </x:c>
      <x:c r="AJ9" s="47" t="n">
        <x:f>IF(AND(mig_endo=1,$A9&gt;=talent_start),IF(H8&gt;0,H8*job_fill,H8*job_return)*job_family,0)</x:f>
        <x:v>0</x:v>
      </x:c>
      <x:c r="AK9" s="47" t="n">
        <x:f>K9*gw_conv_family</x:f>
        <x:v>0</x:v>
      </x:c>
      <x:c r="AL9" s="47" t="n">
        <x:f>AG9+AI9+AJ9+AK9+AR9</x:f>
        <x:v>0</x:v>
      </x:c>
      <x:c r="AM9" s="47" t="n">
        <x:f>AM8*(1-skill_ret)+AD9</x:f>
        <x:v>0</x:v>
      </x:c>
      <x:c r="AN9" s="64" t="n">
        <x:f>AM9/B9</x:f>
        <x:v>0</x:v>
      </x:c>
      <x:c r="AO9" s="64" t="n">
        <x:f>(skill_rel-1+skill_spill)*AM8/B8-AT9</x:f>
        <x:v>0</x:v>
      </x:c>
      <x:c r="AP9" s="64" t="n">
        <x:f>talent_champ*AM8/(skill_base_share*B8)</x:f>
        <x:v>0</x:v>
      </x:c>
      <x:c r="AQ9" s="45" t="n">
        <x:v>315000</x:v>
      </x:c>
      <x:c r="AR9" s="47" t="n">
        <x:f>IF(AND(div_on=1,$A9&gt;=div_start),AQ9*MIN(div_max,div_rate*U9)*(1-div_comp*S9),0)</x:f>
        <x:v>0</x:v>
      </x:c>
      <x:c r="AS9" s="47" t="n">
        <x:f>AS8*(1-div_assim)+AR9</x:f>
        <x:v>0</x:v>
      </x:c>
      <x:c r="AT9" s="64" t="n">
        <x:f>(1-div_rel)*AS8/Economy!B8</x:f>
        <x:v>0</x:v>
      </x:c>
      <x:c r="AU9" s="47" t="n">
        <x:f>AU8*(1-skill_ret)+AE9</x:f>
        <x:v>0</x:v>
      </x:c>
      <x:c r="AV9" s="47" t="n">
        <x:f>AV8*(1+union_nat)+AR9</x:f>
        <x:v>0</x:v>
      </x:c>
      <x:c r="AW9" s="47" t="n">
        <x:f>AW8*(1+union_nat)+AE9*family_mult</x:f>
        <x:v>0</x:v>
      </x:c>
      <x:c r="AX9" s="67" t="n">
        <x:f>V9-(AV9+AW9)/1000000</x:f>
        <x:v>16.4</x:v>
      </x:c>
      <x:c r="AY9" s="47" t="n">
        <x:f>L9*gw_union</x:f>
        <x:v>0</x:v>
      </x:c>
      <x:c r="AZ9" s="46" t="n">
        <x:v>1.119</x:v>
      </x:c>
      <x:c r="BA9" s="47" t="n">
        <x:f>Economy!Q9*AZ9/lf_rate</x:f>
        <x:v>271.75714285714287</x:v>
      </x:c>
      <x:c r="BB9" s="64" t="n">
        <x:f>bd_growth*AU8/W8</x:f>
        <x:v>0</x:v>
      </x:c>
      <x:c r="BC9" s="64" t="n">
        <x:f>tg_k*MIN(1,Economy!O8/BK8)</x:f>
        <x:v>0.00004929762488437669</x:v>
      </x:c>
      <x:c r="BD9" s="64" t="n">
        <x:f>emu_g*S9</x:f>
        <x:v>0</x:v>
      </x:c>
      <x:c r="BE9" s="65" t="n">
        <x:f>BE8*(1-BB9-BC9+BD9)</x:f>
        <x:v>0.9998787724243351</x:v>
      </x:c>
      <x:c r="BF9" s="46" t="n">
        <x:v>1</x:v>
      </x:c>
      <x:c r="BG9" s="53" t="n">
        <x:f>AU9*BA9*BE9*(skill_rel-1+skill_spill)/1000000</x:f>
        <x:v>0</x:v>
      </x:c>
      <x:c r="BH9" s="53" t="n">
        <x:f>union_disp*(Champions!AP9+Champions!AZ9)*(1-IF(union_resp=2,mkt_cut*S9,0))</x:f>
        <x:v>0</x:v>
      </x:c>
      <x:c r="BI9" s="53" t="n">
        <x:f>AY9*BA9*BE9/1000000</x:f>
        <x:v>0</x:v>
      </x:c>
      <x:c r="BJ9" s="47" t="n">
        <x:f>V9*Economy!Q9*AZ9</x:f>
        <x:v>1871.8632</x:v>
      </x:c>
      <x:c r="BK9" s="47" t="n">
        <x:f>MAX(0.3*BJ9,AX9*Economy!Q9*AZ9*BE9*BF9-BG9-BH9-BI9)</x:f>
        <x:v>1871.6362785622875</x:v>
      </x:c>
      <x:c r="BL9" s="63" t="n">
        <x:f>1-BK9/BJ9</x:f>
        <x:v>0.00012122757566501718</x:v>
      </x:c>
      <x:c r="BM9" s="47" t="n">
        <x:f>MAX(0,BH9-BH8)*1000000/BA9</x:f>
        <x:v>0</x:v>
      </x:c>
      <x:c r="BN9" s="47" t="n">
        <x:f>BN8*(1-IF(AND($A9&gt;=1930,$A9&lt;=1932),0,union_reabsorb))+BM9</x:f>
        <x:v>0</x:v>
      </x:c>
      <x:c r="BO9" s="59" t="n">
        <x:v>0.04</x:v>
      </x:c>
      <x:c r="BP9" s="63" t="n">
        <x:f>BO9+BN9/(AX9*1000000*lf_rate)</x:f>
        <x:v>0.04</x:v>
      </x:c>
    </x:row>
    <x:row r="10">
      <x:c r="A10" s="58" t="n">
        <x:v>1850</x:v>
      </x:c>
      <x:c r="B10" s="47" t="n">
        <x:f>Economy!B10*lf_rate</x:f>
        <x:v>105829.80308608513</x:v>
      </x:c>
      <x:c r="C10" s="47" t="n">
        <x:f>Economy!O10*1000000/(B10+L10)</x:f>
        <x:v>730.7774397902251</x:v>
      </x:c>
      <x:c r="D10" s="47" t="n">
        <x:f>Champions!AP10*1000000/(C10*champ_prem)</x:f>
        <x:v>0</x:v>
      </x:c>
      <x:c r="E10" s="47" t="n">
        <x:f>D10*job_mult</x:f>
        <x:v>0</x:v>
      </x:c>
      <x:c r="F10" s="47" t="n">
        <x:f>D10+E10</x:f>
        <x:v>0</x:v>
      </x:c>
      <x:c r="G10" s="63" t="n">
        <x:f>F10/B10</x:f>
        <x:v>0</x:v>
      </x:c>
      <x:c r="H10" s="47" t="n">
        <x:f>F10-F9</x:f>
        <x:v>0</x:v>
      </x:c>
      <x:c r="I10" s="63" t="n">
        <x:f>MAX(0.005,pac_u_base*IF(Paths!AC10=1,pac_u_war,1)+(okun*(1-Economy!G10)*(B10+L10)-MAX(0,L9-L10))/B10)</x:f>
        <x:v>0.015</x:v>
      </x:c>
      <x:c r="J10" s="47" t="n">
        <x:f>IF(AND(gw_on=1,$A10&gt;=gw_start),MIN(gw_cap*B9,gw_cover*F9+gw_gen*B9),0)</x:f>
        <x:v>0</x:v>
      </x:c>
      <x:c r="K10" s="47" t="n">
        <x:f>L9*gw_conv</x:f>
        <x:v>0</x:v>
      </x:c>
      <x:c r="L10" s="47" t="n">
        <x:f>MAX(0,L9-K10+gw_adj*(J10-L9))*MAX(0,1-gw_slump*(1-Economy!G10))</x:f>
        <x:v>0</x:v>
      </x:c>
      <x:c r="M10" s="47" t="n">
        <x:f>MAX(0,L10-L9+L9/gw_term)</x:f>
        <x:v>0</x:v>
      </x:c>
      <x:c r="N10" s="63" t="n">
        <x:f>L10/B10</x:f>
        <x:v>0</x:v>
      </x:c>
      <x:c r="O10" s="53" t="n">
        <x:f>Economy!L10</x:f>
        <x:v>0</x:v>
      </x:c>
      <x:c r="P10" s="53" t="n">
        <x:f>O10*gw_wage_share</x:f>
        <x:v>0</x:v>
      </x:c>
      <x:c r="Q10" s="53" t="n">
        <x:f>P10*gw_levy</x:f>
        <x:v>0</x:v>
      </x:c>
      <x:c r="R10" s="53" t="n">
        <x:f>P10*gw_remit</x:f>
        <x:v>0</x:v>
      </x:c>
      <x:c r="S10" s="63" t="n">
        <x:f>IF(union_resp&gt;=1,MIN(1,MAX(0,($A10-resp_start)/(resp_full-resp_start))),0)</x:f>
        <x:v>0</x:v>
      </x:c>
      <x:c r="T10" s="67" t="n">
        <x:f>Economy!R9</x:f>
        <x:v>3.240906061884835</x:v>
      </x:c>
      <x:c r="U10" s="67" t="n">
        <x:f>MAX(0,T10-gap_base)</x:f>
        <x:v>1.7409060618848349</x:v>
      </x:c>
      <x:c r="V10" s="68" t="n">
        <x:v>16.87</x:v>
      </x:c>
      <x:c r="W10" s="47" t="n">
        <x:f>V10*1000000*lf_rate*union_skill_share</x:f>
        <x:v>850248</x:v>
      </x:c>
      <x:c r="X10" s="45" t="n">
        <x:v>0</x:v>
      </x:c>
      <x:c r="Y10" s="47" t="n">
        <x:f>IF(AND(mig_endo=1,$A10&gt;=talent_start),talent_rate_u*W10*U10*(1-(1-bd_keep)*S10),0)</x:f>
        <x:v>0</x:v>
      </x:c>
      <x:c r="Z10" s="47" t="n">
        <x:f>IF(AND(mig_endo=1,$A10&gt;=talent_start),X10*MIN(0.5,talent_share_o*U10)*(1-eu_comp*S10),0)</x:f>
        <x:v>0</x:v>
      </x:c>
      <x:c r="AA10" s="45" t="n">
        <x:v>0</x:v>
      </x:c>
      <x:c r="AB10" s="47" t="n">
        <x:f>IF(AND(mig_endo=1,$A10&gt;=talent_start),AA10*MIN(0.5,talent_share_a*U10),0)</x:f>
        <x:v>0</x:v>
      </x:c>
      <x:c r="AC10" s="47" t="n">
        <x:f>entry_cap*People!B10</x:f>
        <x:v>700.056937152</x:v>
      </x:c>
      <x:c r="AD10" s="47" t="n">
        <x:f>MIN(AC10,Y10+Z10+AB10)</x:f>
        <x:v>0</x:v>
      </x:c>
      <x:c r="AE10" s="47" t="n">
        <x:f>IF(Y10+Z10+AB10&gt;0,AD10*Y10/(Y10+Z10+AB10),0)</x:f>
        <x:v>0</x:v>
      </x:c>
      <x:c r="AF10" s="47" t="n">
        <x:f>IF(Y10+Z10+AB10&gt;0,AD10*AB10/(Y10+Z10+AB10),0)</x:f>
        <x:v>0</x:v>
      </x:c>
      <x:c r="AG10" s="47" t="n">
        <x:f>AD10*family_mult</x:f>
        <x:v>0</x:v>
      </x:c>
      <x:c r="AH10" s="47" t="n">
        <x:f>AH9*(1+Paths!C10)+AG10</x:f>
        <x:v>0</x:v>
      </x:c>
      <x:c r="AI10" s="47" t="n">
        <x:f>IF(AND(mig_endo=1,$A10&gt;=talent_start),chain_rate*AH9,0)</x:f>
        <x:v>0</x:v>
      </x:c>
      <x:c r="AJ10" s="47" t="n">
        <x:f>IF(AND(mig_endo=1,$A10&gt;=talent_start),IF(H9&gt;0,H9*job_fill,H9*job_return)*job_family,0)</x:f>
        <x:v>0</x:v>
      </x:c>
      <x:c r="AK10" s="47" t="n">
        <x:f>K10*gw_conv_family</x:f>
        <x:v>0</x:v>
      </x:c>
      <x:c r="AL10" s="47" t="n">
        <x:f>AG10+AI10+AJ10+AK10+AR10</x:f>
        <x:v>0</x:v>
      </x:c>
      <x:c r="AM10" s="47" t="n">
        <x:f>AM9*(1-skill_ret)+AD10</x:f>
        <x:v>0</x:v>
      </x:c>
      <x:c r="AN10" s="64" t="n">
        <x:f>AM10/B10</x:f>
        <x:v>0</x:v>
      </x:c>
      <x:c r="AO10" s="64" t="n">
        <x:f>(skill_rel-1+skill_spill)*AM9/B9-AT10</x:f>
        <x:v>0</x:v>
      </x:c>
      <x:c r="AP10" s="64" t="n">
        <x:f>talent_champ*AM9/(skill_base_share*B9)</x:f>
        <x:v>0</x:v>
      </x:c>
      <x:c r="AQ10" s="45" t="n">
        <x:v>370000</x:v>
      </x:c>
      <x:c r="AR10" s="47" t="n">
        <x:f>IF(AND(div_on=1,$A10&gt;=div_start),AQ10*MIN(div_max,div_rate*U10)*(1-div_comp*S10),0)</x:f>
        <x:v>0</x:v>
      </x:c>
      <x:c r="AS10" s="47" t="n">
        <x:f>AS9*(1-div_assim)+AR10</x:f>
        <x:v>0</x:v>
      </x:c>
      <x:c r="AT10" s="64" t="n">
        <x:f>(1-div_rel)*AS9/Economy!B9</x:f>
        <x:v>0</x:v>
      </x:c>
      <x:c r="AU10" s="47" t="n">
        <x:f>AU9*(1-skill_ret)+AE10</x:f>
        <x:v>0</x:v>
      </x:c>
      <x:c r="AV10" s="47" t="n">
        <x:f>AV9*(1+union_nat)+AR10</x:f>
        <x:v>0</x:v>
      </x:c>
      <x:c r="AW10" s="47" t="n">
        <x:f>AW9*(1+union_nat)+AE10*family_mult</x:f>
        <x:v>0</x:v>
      </x:c>
      <x:c r="AX10" s="67" t="n">
        <x:f>V10-(AV10+AW10)/1000000</x:f>
        <x:v>16.87</x:v>
      </x:c>
      <x:c r="AY10" s="47" t="n">
        <x:f>L10*gw_union</x:f>
        <x:v>0</x:v>
      </x:c>
      <x:c r="AZ10" s="46" t="n">
        <x:v>1.119</x:v>
      </x:c>
      <x:c r="BA10" s="47" t="n">
        <x:f>Economy!Q10*AZ10/lf_rate</x:f>
        <x:v>279.75</x:v>
      </x:c>
      <x:c r="BB10" s="64" t="n">
        <x:f>bd_growth*AU9/W9</x:f>
        <x:v>0</x:v>
      </x:c>
      <x:c r="BC10" s="64" t="n">
        <x:f>tg_k*MIN(1,Economy!O9/BK9)</x:f>
        <x:v>0.00011284773854957858</x:v>
      </x:c>
      <x:c r="BD10" s="64" t="n">
        <x:f>emu_g*S10</x:f>
        <x:v>0</x:v>
      </x:c>
      <x:c r="BE10" s="65" t="n">
        <x:f>BE9*(1-BB10-BC10+BD10)</x:f>
        <x:v>0.9997659383660433</x:v>
      </x:c>
      <x:c r="BF10" s="46" t="n">
        <x:v>1</x:v>
      </x:c>
      <x:c r="BG10" s="53" t="n">
        <x:f>AU10*BA10*BE10*(skill_rel-1+skill_spill)/1000000</x:f>
        <x:v>0</x:v>
      </x:c>
      <x:c r="BH10" s="53" t="n">
        <x:f>union_disp*(Champions!AP10+Champions!AZ10)*(1-IF(union_resp=2,mkt_cut*S10,0))</x:f>
        <x:v>0</x:v>
      </x:c>
      <x:c r="BI10" s="53" t="n">
        <x:f>AY10*BA10*BE10/1000000</x:f>
        <x:v>0</x:v>
      </x:c>
      <x:c r="BJ10" s="47" t="n">
        <x:f>V10*Economy!Q10*AZ10</x:f>
        <x:v>1982.14065</x:v>
      </x:c>
      <x:c r="BK10" s="47" t="n">
        <x:f>MAX(0.3*BJ10,AX10*Economy!Q10*AZ10*BE10*BF10-BG10-BH10-BI10)</x:f>
        <x:v>1981.6767069207292</x:v>
      </x:c>
      <x:c r="BL10" s="63" t="n">
        <x:f>1-BK10/BJ10</x:f>
        <x:v>0.00023406163395667257</x:v>
      </x:c>
      <x:c r="BM10" s="47" t="n">
        <x:f>MAX(0,BH10-BH9)*1000000/BA10</x:f>
        <x:v>0</x:v>
      </x:c>
      <x:c r="BN10" s="47" t="n">
        <x:f>BN9*(1-IF(AND($A10&gt;=1930,$A10&lt;=1932),0,union_reabsorb))+BM10</x:f>
        <x:v>0</x:v>
      </x:c>
      <x:c r="BO10" s="59" t="n">
        <x:v>0.04</x:v>
      </x:c>
      <x:c r="BP10" s="63" t="n">
        <x:f>BO10+BN10/(AX10*1000000*lf_rate)</x:f>
        <x:v>0.04</x:v>
      </x:c>
    </x:row>
    <x:row r="11">
      <x:c r="A11" s="58" t="n">
        <x:v>1851</x:v>
      </x:c>
      <x:c r="B11" s="47" t="n">
        <x:f>Economy!B11*lf_rate</x:f>
        <x:v>120019.84151077381</x:v>
      </x:c>
      <x:c r="C11" s="47" t="n">
        <x:f>Economy!O11*1000000/(B11+L11)</x:f>
        <x:v>880.6369447061637</x:v>
      </x:c>
      <x:c r="D11" s="47" t="n">
        <x:f>Champions!AP11*1000000/(C11*champ_prem)</x:f>
        <x:v>0</x:v>
      </x:c>
      <x:c r="E11" s="47" t="n">
        <x:f>D11*job_mult</x:f>
        <x:v>0</x:v>
      </x:c>
      <x:c r="F11" s="47" t="n">
        <x:f>D11+E11</x:f>
        <x:v>0</x:v>
      </x:c>
      <x:c r="G11" s="63" t="n">
        <x:f>F11/B11</x:f>
        <x:v>0</x:v>
      </x:c>
      <x:c r="H11" s="47" t="n">
        <x:f>F11-F10</x:f>
        <x:v>0</x:v>
      </x:c>
      <x:c r="I11" s="63" t="n">
        <x:f>MAX(0.005,pac_u_base*IF(Paths!AC11=1,pac_u_war,1)+(okun*(1-Economy!G11)*(B11+L11)-MAX(0,L10-L11))/B11)</x:f>
        <x:v>0.015</x:v>
      </x:c>
      <x:c r="J11" s="47" t="n">
        <x:f>IF(AND(gw_on=1,$A11&gt;=gw_start),MIN(gw_cap*B10,gw_cover*F10+gw_gen*B10),0)</x:f>
        <x:v>0</x:v>
      </x:c>
      <x:c r="K11" s="47" t="n">
        <x:f>L10*gw_conv</x:f>
        <x:v>0</x:v>
      </x:c>
      <x:c r="L11" s="47" t="n">
        <x:f>MAX(0,L10-K11+gw_adj*(J11-L10))*MAX(0,1-gw_slump*(1-Economy!G11))</x:f>
        <x:v>0</x:v>
      </x:c>
      <x:c r="M11" s="47" t="n">
        <x:f>MAX(0,L11-L10+L10/gw_term)</x:f>
        <x:v>0</x:v>
      </x:c>
      <x:c r="N11" s="63" t="n">
        <x:f>L11/B11</x:f>
        <x:v>0</x:v>
      </x:c>
      <x:c r="O11" s="53" t="n">
        <x:f>Economy!L11</x:f>
        <x:v>0</x:v>
      </x:c>
      <x:c r="P11" s="53" t="n">
        <x:f>O11*gw_wage_share</x:f>
        <x:v>0</x:v>
      </x:c>
      <x:c r="Q11" s="53" t="n">
        <x:f>P11*gw_levy</x:f>
        <x:v>0</x:v>
      </x:c>
      <x:c r="R11" s="53" t="n">
        <x:f>P11*gw_remit</x:f>
        <x:v>0</x:v>
      </x:c>
      <x:c r="S11" s="63" t="n">
        <x:f>IF(union_resp&gt;=1,MIN(1,MAX(0,($A11-resp_start)/(resp_full-resp_start))),0)</x:f>
        <x:v>0</x:v>
      </x:c>
      <x:c r="T11" s="67" t="n">
        <x:f>Economy!R10</x:f>
        <x:v>2.9231097591609</x:v>
      </x:c>
      <x:c r="U11" s="67" t="n">
        <x:f>MAX(0,T11-gap_base)</x:f>
        <x:v>1.4231097591609</x:v>
      </x:c>
      <x:c r="V11" s="68" t="n">
        <x:v>17.33</x:v>
      </x:c>
      <x:c r="W11" s="47" t="n">
        <x:f>V11*1000000*lf_rate*union_skill_share</x:f>
        <x:v>873432</x:v>
      </x:c>
      <x:c r="X11" s="45" t="n">
        <x:v>0</x:v>
      </x:c>
      <x:c r="Y11" s="47" t="n">
        <x:f>IF(AND(mig_endo=1,$A11&gt;=talent_start),talent_rate_u*W11*U11*(1-(1-bd_keep)*S11),0)</x:f>
        <x:v>0</x:v>
      </x:c>
      <x:c r="Z11" s="47" t="n">
        <x:f>IF(AND(mig_endo=1,$A11&gt;=talent_start),X11*MIN(0.5,talent_share_o*U11)*(1-eu_comp*S11),0)</x:f>
        <x:v>0</x:v>
      </x:c>
      <x:c r="AA11" s="45" t="n">
        <x:v>0</x:v>
      </x:c>
      <x:c r="AB11" s="47" t="n">
        <x:f>IF(AND(mig_endo=1,$A11&gt;=talent_start),AA11*MIN(0.5,talent_share_a*U11),0)</x:f>
        <x:v>0</x:v>
      </x:c>
      <x:c r="AC11" s="47" t="n">
        <x:f>entry_cap*People!B11</x:f>
        <x:v>811.7973926492161</x:v>
      </x:c>
      <x:c r="AD11" s="47" t="n">
        <x:f>MIN(AC11,Y11+Z11+AB11)</x:f>
        <x:v>0</x:v>
      </x:c>
      <x:c r="AE11" s="47" t="n">
        <x:f>IF(Y11+Z11+AB11&gt;0,AD11*Y11/(Y11+Z11+AB11),0)</x:f>
        <x:v>0</x:v>
      </x:c>
      <x:c r="AF11" s="47" t="n">
        <x:f>IF(Y11+Z11+AB11&gt;0,AD11*AB11/(Y11+Z11+AB11),0)</x:f>
        <x:v>0</x:v>
      </x:c>
      <x:c r="AG11" s="47" t="n">
        <x:f>AD11*family_mult</x:f>
        <x:v>0</x:v>
      </x:c>
      <x:c r="AH11" s="47" t="n">
        <x:f>AH10*(1+Paths!C11)+AG11</x:f>
        <x:v>0</x:v>
      </x:c>
      <x:c r="AI11" s="47" t="n">
        <x:f>IF(AND(mig_endo=1,$A11&gt;=talent_start),chain_rate*AH10,0)</x:f>
        <x:v>0</x:v>
      </x:c>
      <x:c r="AJ11" s="47" t="n">
        <x:f>IF(AND(mig_endo=1,$A11&gt;=talent_start),IF(H10&gt;0,H10*job_fill,H10*job_return)*job_family,0)</x:f>
        <x:v>0</x:v>
      </x:c>
      <x:c r="AK11" s="47" t="n">
        <x:f>K11*gw_conv_family</x:f>
        <x:v>0</x:v>
      </x:c>
      <x:c r="AL11" s="47" t="n">
        <x:f>AG11+AI11+AJ11+AK11+AR11</x:f>
        <x:v>0</x:v>
      </x:c>
      <x:c r="AM11" s="47" t="n">
        <x:f>AM10*(1-skill_ret)+AD11</x:f>
        <x:v>0</x:v>
      </x:c>
      <x:c r="AN11" s="64" t="n">
        <x:f>AM11/B11</x:f>
        <x:v>0</x:v>
      </x:c>
      <x:c r="AO11" s="64" t="n">
        <x:f>(skill_rel-1+skill_spill)*AM10/B10-AT11</x:f>
        <x:v>0</x:v>
      </x:c>
      <x:c r="AP11" s="64" t="n">
        <x:f>talent_champ*AM10/(skill_base_share*B10)</x:f>
        <x:v>0</x:v>
      </x:c>
      <x:c r="AQ11" s="45" t="n">
        <x:v>385000</x:v>
      </x:c>
      <x:c r="AR11" s="47" t="n">
        <x:f>IF(AND(div_on=1,$A11&gt;=div_start),AQ11*MIN(div_max,div_rate*U11)*(1-div_comp*S11),0)</x:f>
        <x:v>0</x:v>
      </x:c>
      <x:c r="AS11" s="47" t="n">
        <x:f>AS10*(1-div_assim)+AR11</x:f>
        <x:v>0</x:v>
      </x:c>
      <x:c r="AT11" s="64" t="n">
        <x:f>(1-div_rel)*AS10/Economy!B10</x:f>
        <x:v>0</x:v>
      </x:c>
      <x:c r="AU11" s="47" t="n">
        <x:f>AU10*(1-skill_ret)+AE11</x:f>
        <x:v>0</x:v>
      </x:c>
      <x:c r="AV11" s="47" t="n">
        <x:f>AV10*(1+union_nat)+AR11</x:f>
        <x:v>0</x:v>
      </x:c>
      <x:c r="AW11" s="47" t="n">
        <x:f>AW10*(1+union_nat)+AE11*family_mult</x:f>
        <x:v>0</x:v>
      </x:c>
      <x:c r="AX11" s="67" t="n">
        <x:f>V11-(AV11+AW11)/1000000</x:f>
        <x:v>17.33</x:v>
      </x:c>
      <x:c r="AY11" s="47" t="n">
        <x:f>L11*gw_union</x:f>
        <x:v>0</x:v>
      </x:c>
      <x:c r="AZ11" s="46" t="n">
        <x:v>1.119</x:v>
      </x:c>
      <x:c r="BA11" s="47" t="n">
        <x:f>Economy!Q11*AZ11/lf_rate</x:f>
        <x:v>290.4071428571429</x:v>
      </x:c>
      <x:c r="BB11" s="64" t="n">
        <x:f>bd_growth*AU10/W10</x:f>
        <x:v>0</x:v>
      </x:c>
      <x:c r="BC11" s="64" t="n">
        <x:f>tg_k*MIN(1,Economy!O10/BK10)</x:f>
        <x:v>0.0001170796915803582</x:v>
      </x:c>
      <x:c r="BD11" s="64" t="n">
        <x:f>emu_g*S11</x:f>
        <x:v>0</x:v>
      </x:c>
      <x:c r="BE11" s="65" t="n">
        <x:f>BE10*(1-BB11-BC11+BD11)</x:f>
        <x:v>0.9996488860783269</x:v>
      </x:c>
      <x:c r="BF11" s="46" t="n">
        <x:v>1</x:v>
      </x:c>
      <x:c r="BG11" s="53" t="n">
        <x:f>AU11*BA11*BE11*(skill_rel-1+skill_spill)/1000000</x:f>
        <x:v>0</x:v>
      </x:c>
      <x:c r="BH11" s="53" t="n">
        <x:f>union_disp*(Champions!AP11+Champions!AZ11)*(1-IF(union_resp=2,mkt_cut*S11,0))</x:f>
        <x:v>0</x:v>
      </x:c>
      <x:c r="BI11" s="53" t="n">
        <x:f>AY11*BA11*BE11/1000000</x:f>
        <x:v>0</x:v>
      </x:c>
      <x:c r="BJ11" s="47" t="n">
        <x:f>V11*Economy!Q11*AZ11</x:f>
        <x:v>2113.7574299999997</x:v>
      </x:c>
      <x:c r="BK11" s="47" t="n">
        <x:f>MAX(0.3*BJ11,AX11*Economy!Q11*AZ11*BE11*BF11-BG11-BH11-BI11)</x:f>
        <x:v>2113.0152603392867</x:v>
      </x:c>
      <x:c r="BL11" s="63" t="n">
        <x:f>1-BK11/BJ11</x:f>
        <x:v>0.0003511139216730852</x:v>
      </x:c>
      <x:c r="BM11" s="47" t="n">
        <x:f>MAX(0,BH11-BH10)*1000000/BA11</x:f>
        <x:v>0</x:v>
      </x:c>
      <x:c r="BN11" s="47" t="n">
        <x:f>BN10*(1-IF(AND($A11&gt;=1930,$A11&lt;=1932),0,union_reabsorb))+BM11</x:f>
        <x:v>0</x:v>
      </x:c>
      <x:c r="BO11" s="59" t="n">
        <x:v>0.04</x:v>
      </x:c>
      <x:c r="BP11" s="63" t="n">
        <x:f>BO11+BN11/(AX11*1000000*lf_rate)</x:f>
        <x:v>0.04</x:v>
      </x:c>
    </x:row>
    <x:row r="12">
      <x:c r="A12" s="58" t="n">
        <x:v>1852</x:v>
      </x:c>
      <x:c r="B12" s="47" t="n">
        <x:f>Economy!B12*lf_rate</x:f>
        <x:v>137425.10024286</x:v>
      </x:c>
      <x:c r="C12" s="47" t="n">
        <x:f>Economy!O12*1000000/(B12+L12)</x:f>
        <x:v>864.4880332428128</x:v>
      </x:c>
      <x:c r="D12" s="47" t="n">
        <x:f>Champions!AP12*1000000/(C12*champ_prem)</x:f>
        <x:v>0</x:v>
      </x:c>
      <x:c r="E12" s="47" t="n">
        <x:f>D12*job_mult</x:f>
        <x:v>0</x:v>
      </x:c>
      <x:c r="F12" s="47" t="n">
        <x:f>D12+E12</x:f>
        <x:v>0</x:v>
      </x:c>
      <x:c r="G12" s="63" t="n">
        <x:f>F12/B12</x:f>
        <x:v>0</x:v>
      </x:c>
      <x:c r="H12" s="47" t="n">
        <x:f>F12-F11</x:f>
        <x:v>0</x:v>
      </x:c>
      <x:c r="I12" s="63" t="n">
        <x:f>MAX(0.005,pac_u_base*IF(Paths!AC12=1,pac_u_war,1)+(okun*(1-Economy!G12)*(B12+L12)-MAX(0,L11-L12))/B12)</x:f>
        <x:v>0.015</x:v>
      </x:c>
      <x:c r="J12" s="47" t="n">
        <x:f>IF(AND(gw_on=1,$A12&gt;=gw_start),MIN(gw_cap*B11,gw_cover*F11+gw_gen*B11),0)</x:f>
        <x:v>0</x:v>
      </x:c>
      <x:c r="K12" s="47" t="n">
        <x:f>L11*gw_conv</x:f>
        <x:v>0</x:v>
      </x:c>
      <x:c r="L12" s="47" t="n">
        <x:f>MAX(0,L11-K12+gw_adj*(J12-L11))*MAX(0,1-gw_slump*(1-Economy!G12))</x:f>
        <x:v>0</x:v>
      </x:c>
      <x:c r="M12" s="47" t="n">
        <x:f>MAX(0,L12-L11+L11/gw_term)</x:f>
        <x:v>0</x:v>
      </x:c>
      <x:c r="N12" s="63" t="n">
        <x:f>L12/B12</x:f>
        <x:v>0</x:v>
      </x:c>
      <x:c r="O12" s="53" t="n">
        <x:f>Economy!L12</x:f>
        <x:v>0</x:v>
      </x:c>
      <x:c r="P12" s="53" t="n">
        <x:f>O12*gw_wage_share</x:f>
        <x:v>0</x:v>
      </x:c>
      <x:c r="Q12" s="53" t="n">
        <x:f>P12*gw_levy</x:f>
        <x:v>0</x:v>
      </x:c>
      <x:c r="R12" s="53" t="n">
        <x:f>P12*gw_remit</x:f>
        <x:v>0</x:v>
      </x:c>
      <x:c r="S12" s="63" t="n">
        <x:f>IF(union_resp&gt;=1,MIN(1,MAX(0,($A12-resp_start)/(resp_full-resp_start))),0)</x:f>
        <x:v>0</x:v>
      </x:c>
      <x:c r="T12" s="67" t="n">
        <x:f>Economy!R11</x:f>
        <x:v>3.39327997042742</x:v>
      </x:c>
      <x:c r="U12" s="67" t="n">
        <x:f>MAX(0,T12-gap_base)</x:f>
        <x:v>1.89327997042742</x:v>
      </x:c>
      <x:c r="V12" s="68" t="n">
        <x:v>17.8</x:v>
      </x:c>
      <x:c r="W12" s="47" t="n">
        <x:f>V12*1000000*lf_rate*union_skill_share</x:f>
        <x:v>897120</x:v>
      </x:c>
      <x:c r="X12" s="45" t="n">
        <x:v>0</x:v>
      </x:c>
      <x:c r="Y12" s="47" t="n">
        <x:f>IF(AND(mig_endo=1,$A12&gt;=talent_start),talent_rate_u*W12*U12*(1-(1-bd_keep)*S12),0)</x:f>
        <x:v>0</x:v>
      </x:c>
      <x:c r="Z12" s="47" t="n">
        <x:f>IF(AND(mig_endo=1,$A12&gt;=talent_start),X12*MIN(0.5,talent_share_o*U12)*(1-eu_comp*S12),0)</x:f>
        <x:v>0</x:v>
      </x:c>
      <x:c r="AA12" s="45" t="n">
        <x:v>0</x:v>
      </x:c>
      <x:c r="AB12" s="47" t="n">
        <x:f>IF(AND(mig_endo=1,$A12&gt;=talent_start),AA12*MIN(0.5,talent_share_a*U12),0)</x:f>
        <x:v>0</x:v>
      </x:c>
      <x:c r="AC12" s="47" t="n">
        <x:f>entry_cap*People!B12</x:f>
        <x:v>902.7717717904098</x:v>
      </x:c>
      <x:c r="AD12" s="47" t="n">
        <x:f>MIN(AC12,Y12+Z12+AB12)</x:f>
        <x:v>0</x:v>
      </x:c>
      <x:c r="AE12" s="47" t="n">
        <x:f>IF(Y12+Z12+AB12&gt;0,AD12*Y12/(Y12+Z12+AB12),0)</x:f>
        <x:v>0</x:v>
      </x:c>
      <x:c r="AF12" s="47" t="n">
        <x:f>IF(Y12+Z12+AB12&gt;0,AD12*AB12/(Y12+Z12+AB12),0)</x:f>
        <x:v>0</x:v>
      </x:c>
      <x:c r="AG12" s="47" t="n">
        <x:f>AD12*family_mult</x:f>
        <x:v>0</x:v>
      </x:c>
      <x:c r="AH12" s="47" t="n">
        <x:f>AH11*(1+Paths!C12)+AG12</x:f>
        <x:v>0</x:v>
      </x:c>
      <x:c r="AI12" s="47" t="n">
        <x:f>IF(AND(mig_endo=1,$A12&gt;=talent_start),chain_rate*AH11,0)</x:f>
        <x:v>0</x:v>
      </x:c>
      <x:c r="AJ12" s="47" t="n">
        <x:f>IF(AND(mig_endo=1,$A12&gt;=talent_start),IF(H11&gt;0,H11*job_fill,H11*job_return)*job_family,0)</x:f>
        <x:v>0</x:v>
      </x:c>
      <x:c r="AK12" s="47" t="n">
        <x:f>K12*gw_conv_family</x:f>
        <x:v>0</x:v>
      </x:c>
      <x:c r="AL12" s="47" t="n">
        <x:f>AG12+AI12+AJ12+AK12+AR12</x:f>
        <x:v>0</x:v>
      </x:c>
      <x:c r="AM12" s="47" t="n">
        <x:f>AM11*(1-skill_ret)+AD12</x:f>
        <x:v>0</x:v>
      </x:c>
      <x:c r="AN12" s="64" t="n">
        <x:f>AM12/B12</x:f>
        <x:v>0</x:v>
      </x:c>
      <x:c r="AO12" s="64" t="n">
        <x:f>(skill_rel-1+skill_spill)*AM11/B11-AT12</x:f>
        <x:v>0</x:v>
      </x:c>
      <x:c r="AP12" s="64" t="n">
        <x:f>talent_champ*AM11/(skill_base_share*B11)</x:f>
        <x:v>0</x:v>
      </x:c>
      <x:c r="AQ12" s="45" t="n">
        <x:v>400000</x:v>
      </x:c>
      <x:c r="AR12" s="47" t="n">
        <x:f>IF(AND(div_on=1,$A12&gt;=div_start),AQ12*MIN(div_max,div_rate*U12)*(1-div_comp*S12),0)</x:f>
        <x:v>0</x:v>
      </x:c>
      <x:c r="AS12" s="47" t="n">
        <x:f>AS11*(1-div_assim)+AR12</x:f>
        <x:v>0</x:v>
      </x:c>
      <x:c r="AT12" s="64" t="n">
        <x:f>(1-div_rel)*AS11/Economy!B11</x:f>
        <x:v>0</x:v>
      </x:c>
      <x:c r="AU12" s="47" t="n">
        <x:f>AU11*(1-skill_ret)+AE12</x:f>
        <x:v>0</x:v>
      </x:c>
      <x:c r="AV12" s="47" t="n">
        <x:f>AV11*(1+union_nat)+AR12</x:f>
        <x:v>0</x:v>
      </x:c>
      <x:c r="AW12" s="47" t="n">
        <x:f>AW11*(1+union_nat)+AE12*family_mult</x:f>
        <x:v>0</x:v>
      </x:c>
      <x:c r="AX12" s="67" t="n">
        <x:f>V12-(AV12+AW12)/1000000</x:f>
        <x:v>17.8</x:v>
      </x:c>
      <x:c r="AY12" s="47" t="n">
        <x:f>L12*gw_union</x:f>
        <x:v>0</x:v>
      </x:c>
      <x:c r="AZ12" s="46" t="n">
        <x:v>1.119</x:v>
      </x:c>
      <x:c r="BA12" s="47" t="n">
        <x:f>Economy!Q12*AZ12/lf_rate</x:f>
        <x:v>301.06428571428575</x:v>
      </x:c>
      <x:c r="BB12" s="64" t="n">
        <x:f>bd_growth*AU11/W11</x:f>
        <x:v>0</x:v>
      </x:c>
      <x:c r="BC12" s="64" t="n">
        <x:f>tg_k*MIN(1,Economy!O11/BK11)</x:f>
        <x:v>0.00015006125395686153</x:v>
      </x:c>
      <x:c r="BD12" s="64" t="n">
        <x:f>emu_g*S12</x:f>
        <x:v>0</x:v>
      </x:c>
      <x:c r="BE12" s="65" t="n">
        <x:f>BE11*(1-BB12-BC12+BD12)</x:f>
        <x:v>0.9994988775129654</x:v>
      </x:c>
      <x:c r="BF12" s="46" t="n">
        <x:v>1</x:v>
      </x:c>
      <x:c r="BG12" s="53" t="n">
        <x:f>AU12*BA12*BE12*(skill_rel-1+skill_spill)/1000000</x:f>
        <x:v>0</x:v>
      </x:c>
      <x:c r="BH12" s="53" t="n">
        <x:f>union_disp*(Champions!AP12+Champions!AZ12)*(1-IF(union_resp=2,mkt_cut*S12,0))</x:f>
        <x:v>0</x:v>
      </x:c>
      <x:c r="BI12" s="53" t="n">
        <x:f>AY12*BA12*BE12/1000000</x:f>
        <x:v>0</x:v>
      </x:c>
      <x:c r="BJ12" s="47" t="n">
        <x:f>V12*Economy!Q12*AZ12</x:f>
        <x:v>2250.7566</x:v>
      </x:c>
      <x:c r="BK12" s="47" t="n">
        <x:f>MAX(0.3*BJ12,AX12*Economy!Q12*AZ12*BE12*BF12-BG12-BH12-BI12)</x:f>
        <x:v>2249.6286952548985</x:v>
      </x:c>
      <x:c r="BL12" s="63" t="n">
        <x:f>1-BK12/BJ12</x:f>
        <x:v>0.0005011224870345998</x:v>
      </x:c>
      <x:c r="BM12" s="47" t="n">
        <x:f>MAX(0,BH12-BH11)*1000000/BA12</x:f>
        <x:v>0</x:v>
      </x:c>
      <x:c r="BN12" s="47" t="n">
        <x:f>BN11*(1-IF(AND($A12&gt;=1930,$A12&lt;=1932),0,union_reabsorb))+BM12</x:f>
        <x:v>0</x:v>
      </x:c>
      <x:c r="BO12" s="59" t="n">
        <x:v>0.04</x:v>
      </x:c>
      <x:c r="BP12" s="63" t="n">
        <x:f>BO12+BN12/(AX12*1000000*lf_rate)</x:f>
        <x:v>0.04</x:v>
      </x:c>
    </x:row>
    <x:row r="13">
      <x:c r="A13" s="58" t="n">
        <x:v>1853</x:v>
      </x:c>
      <x:c r="B13" s="47" t="n">
        <x:f>Economy!B13*lf_rate</x:f>
        <x:v>155423.20104480287</x:v>
      </x:c>
      <x:c r="C13" s="47" t="n">
        <x:f>Economy!O13*1000000/(B13+L13)</x:f>
        <x:v>767.0326289462045</x:v>
      </x:c>
      <x:c r="D13" s="47" t="n">
        <x:f>Champions!AP13*1000000/(C13*champ_prem)</x:f>
        <x:v>0</x:v>
      </x:c>
      <x:c r="E13" s="47" t="n">
        <x:f>D13*job_mult</x:f>
        <x:v>0</x:v>
      </x:c>
      <x:c r="F13" s="47" t="n">
        <x:f>D13+E13</x:f>
        <x:v>0</x:v>
      </x:c>
      <x:c r="G13" s="63" t="n">
        <x:f>F13/B13</x:f>
        <x:v>0</x:v>
      </x:c>
      <x:c r="H13" s="47" t="n">
        <x:f>F13-F12</x:f>
        <x:v>0</x:v>
      </x:c>
      <x:c r="I13" s="63" t="n">
        <x:f>MAX(0.005,pac_u_base*IF(Paths!AC13=1,pac_u_war,1)+(okun*(1-Economy!G13)*(B13+L13)-MAX(0,L12-L13))/B13)</x:f>
        <x:v>0.015</x:v>
      </x:c>
      <x:c r="J13" s="47" t="n">
        <x:f>IF(AND(gw_on=1,$A13&gt;=gw_start),MIN(gw_cap*B12,gw_cover*F12+gw_gen*B12),0)</x:f>
        <x:v>0</x:v>
      </x:c>
      <x:c r="K13" s="47" t="n">
        <x:f>L12*gw_conv</x:f>
        <x:v>0</x:v>
      </x:c>
      <x:c r="L13" s="47" t="n">
        <x:f>MAX(0,L12-K13+gw_adj*(J13-L12))*MAX(0,1-gw_slump*(1-Economy!G13))</x:f>
        <x:v>0</x:v>
      </x:c>
      <x:c r="M13" s="47" t="n">
        <x:f>MAX(0,L13-L12+L12/gw_term)</x:f>
        <x:v>0</x:v>
      </x:c>
      <x:c r="N13" s="63" t="n">
        <x:f>L13/B13</x:f>
        <x:v>0</x:v>
      </x:c>
      <x:c r="O13" s="53" t="n">
        <x:f>Economy!L13</x:f>
        <x:v>0</x:v>
      </x:c>
      <x:c r="P13" s="53" t="n">
        <x:f>O13*gw_wage_share</x:f>
        <x:v>0</x:v>
      </x:c>
      <x:c r="Q13" s="53" t="n">
        <x:f>P13*gw_levy</x:f>
        <x:v>0</x:v>
      </x:c>
      <x:c r="R13" s="53" t="n">
        <x:f>P13*gw_remit</x:f>
        <x:v>0</x:v>
      </x:c>
      <x:c r="S13" s="63" t="n">
        <x:f>IF(union_resp&gt;=1,MIN(1,MAX(0,($A13-resp_start)/(resp_full-resp_start))),0)</x:f>
        <x:v>0</x:v>
      </x:c>
      <x:c r="T13" s="67" t="n">
        <x:f>Economy!R12</x:f>
        <x:v>3.21314136249541</x:v>
      </x:c>
      <x:c r="U13" s="67" t="n">
        <x:f>MAX(0,T13-gap_base)</x:f>
        <x:v>1.71314136249541</x:v>
      </x:c>
      <x:c r="V13" s="68" t="n">
        <x:v>18.27</x:v>
      </x:c>
      <x:c r="W13" s="47" t="n">
        <x:f>V13*1000000*lf_rate*union_skill_share</x:f>
        <x:v>920808</x:v>
      </x:c>
      <x:c r="X13" s="45" t="n">
        <x:v>0</x:v>
      </x:c>
      <x:c r="Y13" s="47" t="n">
        <x:f>IF(AND(mig_endo=1,$A13&gt;=talent_start),talent_rate_u*W13*U13*(1-(1-bd_keep)*S13),0)</x:f>
        <x:v>0</x:v>
      </x:c>
      <x:c r="Z13" s="47" t="n">
        <x:f>IF(AND(mig_endo=1,$A13&gt;=talent_start),X13*MIN(0.5,talent_share_o*U13)*(1-eu_comp*S13),0)</x:f>
        <x:v>0</x:v>
      </x:c>
      <x:c r="AA13" s="45" t="n">
        <x:v>0</x:v>
      </x:c>
      <x:c r="AB13" s="47" t="n">
        <x:f>IF(AND(mig_endo=1,$A13&gt;=talent_start),AA13*MIN(0.5,talent_share_a*U13),0)</x:f>
        <x:v>0</x:v>
      </x:c>
      <x:c r="AC13" s="47" t="n">
        <x:f>entry_cap*People!B13</x:f>
        <x:v>1060.443945964733</x:v>
      </x:c>
      <x:c r="AD13" s="47" t="n">
        <x:f>MIN(AC13,Y13+Z13+AB13)</x:f>
        <x:v>0</x:v>
      </x:c>
      <x:c r="AE13" s="47" t="n">
        <x:f>IF(Y13+Z13+AB13&gt;0,AD13*Y13/(Y13+Z13+AB13),0)</x:f>
        <x:v>0</x:v>
      </x:c>
      <x:c r="AF13" s="47" t="n">
        <x:f>IF(Y13+Z13+AB13&gt;0,AD13*AB13/(Y13+Z13+AB13),0)</x:f>
        <x:v>0</x:v>
      </x:c>
      <x:c r="AG13" s="47" t="n">
        <x:f>AD13*family_mult</x:f>
        <x:v>0</x:v>
      </x:c>
      <x:c r="AH13" s="47" t="n">
        <x:f>AH12*(1+Paths!C13)+AG13</x:f>
        <x:v>0</x:v>
      </x:c>
      <x:c r="AI13" s="47" t="n">
        <x:f>IF(AND(mig_endo=1,$A13&gt;=talent_start),chain_rate*AH12,0)</x:f>
        <x:v>0</x:v>
      </x:c>
      <x:c r="AJ13" s="47" t="n">
        <x:f>IF(AND(mig_endo=1,$A13&gt;=talent_start),IF(H12&gt;0,H12*job_fill,H12*job_return)*job_family,0)</x:f>
        <x:v>0</x:v>
      </x:c>
      <x:c r="AK13" s="47" t="n">
        <x:f>K13*gw_conv_family</x:f>
        <x:v>0</x:v>
      </x:c>
      <x:c r="AL13" s="47" t="n">
        <x:f>AG13+AI13+AJ13+AK13+AR13</x:f>
        <x:v>0</x:v>
      </x:c>
      <x:c r="AM13" s="47" t="n">
        <x:f>AM12*(1-skill_ret)+AD13</x:f>
        <x:v>0</x:v>
      </x:c>
      <x:c r="AN13" s="64" t="n">
        <x:f>AM13/B13</x:f>
        <x:v>0</x:v>
      </x:c>
      <x:c r="AO13" s="64" t="n">
        <x:f>(skill_rel-1+skill_spill)*AM12/B12-AT13</x:f>
        <x:v>0</x:v>
      </x:c>
      <x:c r="AP13" s="64" t="n">
        <x:f>talent_champ*AM12/(skill_base_share*B12)</x:f>
        <x:v>0</x:v>
      </x:c>
      <x:c r="AQ13" s="45" t="n">
        <x:v>415000</x:v>
      </x:c>
      <x:c r="AR13" s="47" t="n">
        <x:f>IF(AND(div_on=1,$A13&gt;=div_start),AQ13*MIN(div_max,div_rate*U13)*(1-div_comp*S13),0)</x:f>
        <x:v>0</x:v>
      </x:c>
      <x:c r="AS13" s="47" t="n">
        <x:f>AS12*(1-div_assim)+AR13</x:f>
        <x:v>0</x:v>
      </x:c>
      <x:c r="AT13" s="64" t="n">
        <x:f>(1-div_rel)*AS12/Economy!B12</x:f>
        <x:v>0</x:v>
      </x:c>
      <x:c r="AU13" s="47" t="n">
        <x:f>AU12*(1-skill_ret)+AE13</x:f>
        <x:v>0</x:v>
      </x:c>
      <x:c r="AV13" s="47" t="n">
        <x:f>AV12*(1+union_nat)+AR13</x:f>
        <x:v>0</x:v>
      </x:c>
      <x:c r="AW13" s="47" t="n">
        <x:f>AW12*(1+union_nat)+AE13*family_mult</x:f>
        <x:v>0</x:v>
      </x:c>
      <x:c r="AX13" s="67" t="n">
        <x:f>V13-(AV13+AW13)/1000000</x:f>
        <x:v>18.27</x:v>
      </x:c>
      <x:c r="AY13" s="47" t="n">
        <x:f>L13*gw_union</x:f>
        <x:v>0</x:v>
      </x:c>
      <x:c r="AZ13" s="46" t="n">
        <x:v>1.119</x:v>
      </x:c>
      <x:c r="BA13" s="47" t="n">
        <x:f>Economy!Q13*AZ13/lf_rate</x:f>
        <x:v>311.7214285714286</x:v>
      </x:c>
      <x:c r="BB13" s="64" t="n">
        <x:f>bd_growth*AU12/W12</x:f>
        <x:v>0</x:v>
      </x:c>
      <x:c r="BC13" s="64" t="n">
        <x:f>tg_k*MIN(1,Economy!O12/BK12)</x:f>
        <x:v>0.00015842928418952087</x:v>
      </x:c>
      <x:c r="BD13" s="64" t="n">
        <x:f>emu_g*S13</x:f>
        <x:v>0</x:v>
      </x:c>
      <x:c r="BE13" s="65" t="n">
        <x:f>BE12*(1-BB13-BC13+BD13)</x:f>
        <x:v>0.9993405276212528</x:v>
      </x:c>
      <x:c r="BF13" s="46" t="n">
        <x:v>1</x:v>
      </x:c>
      <x:c r="BG13" s="53" t="n">
        <x:f>AU13*BA13*BE13*(skill_rel-1+skill_spill)/1000000</x:f>
        <x:v>0</x:v>
      </x:c>
      <x:c r="BH13" s="53" t="n">
        <x:f>union_disp*(Champions!AP13+Champions!AZ13)*(1-IF(union_resp=2,mkt_cut*S13,0))</x:f>
        <x:v>0</x:v>
      </x:c>
      <x:c r="BI13" s="53" t="n">
        <x:f>AY13*BA13*BE13/1000000</x:f>
        <x:v>0</x:v>
      </x:c>
      <x:c r="BJ13" s="47" t="n">
        <x:f>V13*Economy!Q13*AZ13</x:f>
        <x:v>2391.9632100000003</x:v>
      </x:c>
      <x:c r="BK13" s="47" t="n">
        <x:f>MAX(0.3*BJ13,AX13*Economy!Q13*AZ13*BE13*BF13-BG13-BH13-BI13)</x:f>
        <x:v>2390.3857763320257</x:v>
      </x:c>
      <x:c r="BL13" s="63" t="n">
        <x:f>1-BK13/BJ13</x:f>
        <x:v>0.0006594723787473056</x:v>
      </x:c>
      <x:c r="BM13" s="47" t="n">
        <x:f>MAX(0,BH13-BH12)*1000000/BA13</x:f>
        <x:v>0</x:v>
      </x:c>
      <x:c r="BN13" s="47" t="n">
        <x:f>BN12*(1-IF(AND($A13&gt;=1930,$A13&lt;=1932),0,union_reabsorb))+BM13</x:f>
        <x:v>0</x:v>
      </x:c>
      <x:c r="BO13" s="59" t="n">
        <x:v>0.04</x:v>
      </x:c>
      <x:c r="BP13" s="63" t="n">
        <x:f>BO13+BN13/(AX13*1000000*lf_rate)</x:f>
        <x:v>0.04</x:v>
      </x:c>
    </x:row>
    <x:row r="14">
      <x:c r="A14" s="58" t="n">
        <x:v>1854</x:v>
      </x:c>
      <x:c r="B14" s="47" t="n">
        <x:f>Economy!B14*lf_rate</x:f>
        <x:v>168718.48665316132</x:v>
      </x:c>
      <x:c r="C14" s="47" t="n">
        <x:f>Economy!O14*1000000/(B14+L14)</x:f>
        <x:v>760.3871040251938</x:v>
      </x:c>
      <x:c r="D14" s="47" t="n">
        <x:f>Champions!AP14*1000000/(C14*champ_prem)</x:f>
        <x:v>0</x:v>
      </x:c>
      <x:c r="E14" s="47" t="n">
        <x:f>D14*job_mult</x:f>
        <x:v>0</x:v>
      </x:c>
      <x:c r="F14" s="47" t="n">
        <x:f>D14+E14</x:f>
        <x:v>0</x:v>
      </x:c>
      <x:c r="G14" s="63" t="n">
        <x:f>F14/B14</x:f>
        <x:v>0</x:v>
      </x:c>
      <x:c r="H14" s="47" t="n">
        <x:f>F14-F13</x:f>
        <x:v>0</x:v>
      </x:c>
      <x:c r="I14" s="63" t="n">
        <x:f>MAX(0.005,pac_u_base*IF(Paths!AC14=1,pac_u_war,1)+(okun*(1-Economy!G14)*(B14+L14)-MAX(0,L13-L14))/B14)</x:f>
        <x:v>0.015</x:v>
      </x:c>
      <x:c r="J14" s="47" t="n">
        <x:f>IF(AND(gw_on=1,$A14&gt;=gw_start),MIN(gw_cap*B13,gw_cover*F13+gw_gen*B13),0)</x:f>
        <x:v>0</x:v>
      </x:c>
      <x:c r="K14" s="47" t="n">
        <x:f>L13*gw_conv</x:f>
        <x:v>0</x:v>
      </x:c>
      <x:c r="L14" s="47" t="n">
        <x:f>MAX(0,L13-K14+gw_adj*(J14-L13))*MAX(0,1-gw_slump*(1-Economy!G14))</x:f>
        <x:v>0</x:v>
      </x:c>
      <x:c r="M14" s="47" t="n">
        <x:f>MAX(0,L14-L13+L13/gw_term)</x:f>
        <x:v>0</x:v>
      </x:c>
      <x:c r="N14" s="63" t="n">
        <x:f>L14/B14</x:f>
        <x:v>0</x:v>
      </x:c>
      <x:c r="O14" s="53" t="n">
        <x:f>Economy!L14</x:f>
        <x:v>0</x:v>
      </x:c>
      <x:c r="P14" s="53" t="n">
        <x:f>O14*gw_wage_share</x:f>
        <x:v>0</x:v>
      </x:c>
      <x:c r="Q14" s="53" t="n">
        <x:f>P14*gw_levy</x:f>
        <x:v>0</x:v>
      </x:c>
      <x:c r="R14" s="53" t="n">
        <x:f>P14*gw_remit</x:f>
        <x:v>0</x:v>
      </x:c>
      <x:c r="S14" s="63" t="n">
        <x:f>IF(union_resp&gt;=1,MIN(1,MAX(0,($A14-resp_start)/(resp_full-resp_start))),0)</x:f>
        <x:v>0</x:v>
      </x:c>
      <x:c r="T14" s="67" t="n">
        <x:f>Economy!R13</x:f>
        <x:v>2.753450462883811</x:v>
      </x:c>
      <x:c r="U14" s="67" t="n">
        <x:f>MAX(0,T14-gap_base)</x:f>
        <x:v>1.2534504628838108</x:v>
      </x:c>
      <x:c r="V14" s="68" t="n">
        <x:v>18.73</x:v>
      </x:c>
      <x:c r="W14" s="47" t="n">
        <x:f>V14*1000000*lf_rate*union_skill_share</x:f>
        <x:v>943992</x:v>
      </x:c>
      <x:c r="X14" s="45" t="n">
        <x:v>0</x:v>
      </x:c>
      <x:c r="Y14" s="47" t="n">
        <x:f>IF(AND(mig_endo=1,$A14&gt;=talent_start),talent_rate_u*W14*U14*(1-(1-bd_keep)*S14),0)</x:f>
        <x:v>0</x:v>
      </x:c>
      <x:c r="Z14" s="47" t="n">
        <x:f>IF(AND(mig_endo=1,$A14&gt;=talent_start),X14*MIN(0.5,talent_share_o*U14)*(1-eu_comp*S14),0)</x:f>
        <x:v>0</x:v>
      </x:c>
      <x:c r="AA14" s="45" t="n">
        <x:v>0</x:v>
      </x:c>
      <x:c r="AB14" s="47" t="n">
        <x:f>IF(AND(mig_endo=1,$A14&gt;=talent_start),AA14*MIN(0.5,talent_share_a*U14),0)</x:f>
        <x:v>0</x:v>
      </x:c>
      <x:c r="AC14" s="47" t="n">
        <x:f>entry_cap*People!B14</x:f>
        <x:v>1159.887497532451</x:v>
      </x:c>
      <x:c r="AD14" s="47" t="n">
        <x:f>MIN(AC14,Y14+Z14+AB14)</x:f>
        <x:v>0</x:v>
      </x:c>
      <x:c r="AE14" s="47" t="n">
        <x:f>IF(Y14+Z14+AB14&gt;0,AD14*Y14/(Y14+Z14+AB14),0)</x:f>
        <x:v>0</x:v>
      </x:c>
      <x:c r="AF14" s="47" t="n">
        <x:f>IF(Y14+Z14+AB14&gt;0,AD14*AB14/(Y14+Z14+AB14),0)</x:f>
        <x:v>0</x:v>
      </x:c>
      <x:c r="AG14" s="47" t="n">
        <x:f>AD14*family_mult</x:f>
        <x:v>0</x:v>
      </x:c>
      <x:c r="AH14" s="47" t="n">
        <x:f>AH13*(1+Paths!C14)+AG14</x:f>
        <x:v>0</x:v>
      </x:c>
      <x:c r="AI14" s="47" t="n">
        <x:f>IF(AND(mig_endo=1,$A14&gt;=talent_start),chain_rate*AH13,0)</x:f>
        <x:v>0</x:v>
      </x:c>
      <x:c r="AJ14" s="47" t="n">
        <x:f>IF(AND(mig_endo=1,$A14&gt;=talent_start),IF(H13&gt;0,H13*job_fill,H13*job_return)*job_family,0)</x:f>
        <x:v>0</x:v>
      </x:c>
      <x:c r="AK14" s="47" t="n">
        <x:f>K14*gw_conv_family</x:f>
        <x:v>0</x:v>
      </x:c>
      <x:c r="AL14" s="47" t="n">
        <x:f>AG14+AI14+AJ14+AK14+AR14</x:f>
        <x:v>0</x:v>
      </x:c>
      <x:c r="AM14" s="47" t="n">
        <x:f>AM13*(1-skill_ret)+AD14</x:f>
        <x:v>0</x:v>
      </x:c>
      <x:c r="AN14" s="64" t="n">
        <x:f>AM14/B14</x:f>
        <x:v>0</x:v>
      </x:c>
      <x:c r="AO14" s="64" t="n">
        <x:f>(skill_rel-1+skill_spill)*AM13/B13-AT14</x:f>
        <x:v>0</x:v>
      </x:c>
      <x:c r="AP14" s="64" t="n">
        <x:f>talent_champ*AM13/(skill_base_share*B13)</x:f>
        <x:v>0</x:v>
      </x:c>
      <x:c r="AQ14" s="45" t="n">
        <x:v>430000</x:v>
      </x:c>
      <x:c r="AR14" s="47" t="n">
        <x:f>IF(AND(div_on=1,$A14&gt;=div_start),AQ14*MIN(div_max,div_rate*U14)*(1-div_comp*S14),0)</x:f>
        <x:v>0</x:v>
      </x:c>
      <x:c r="AS14" s="47" t="n">
        <x:f>AS13*(1-div_assim)+AR14</x:f>
        <x:v>0</x:v>
      </x:c>
      <x:c r="AT14" s="64" t="n">
        <x:f>(1-div_rel)*AS13/Economy!B13</x:f>
        <x:v>0</x:v>
      </x:c>
      <x:c r="AU14" s="47" t="n">
        <x:f>AU13*(1-skill_ret)+AE14</x:f>
        <x:v>0</x:v>
      </x:c>
      <x:c r="AV14" s="47" t="n">
        <x:f>AV13*(1+union_nat)+AR14</x:f>
        <x:v>0</x:v>
      </x:c>
      <x:c r="AW14" s="47" t="n">
        <x:f>AW13*(1+union_nat)+AE14*family_mult</x:f>
        <x:v>0</x:v>
      </x:c>
      <x:c r="AX14" s="67" t="n">
        <x:f>V14-(AV14+AW14)/1000000</x:f>
        <x:v>18.73</x:v>
      </x:c>
      <x:c r="AY14" s="47" t="n">
        <x:f>L14*gw_union</x:f>
        <x:v>0</x:v>
      </x:c>
      <x:c r="AZ14" s="46" t="n">
        <x:v>1.118</x:v>
      </x:c>
      <x:c r="BA14" s="47" t="n">
        <x:f>Economy!Q14*AZ14/lf_rate</x:f>
        <x:v>322.09047619047624</x:v>
      </x:c>
      <x:c r="BB14" s="64" t="n">
        <x:f>bd_growth*AU13/W13</x:f>
        <x:v>0</x:v>
      </x:c>
      <x:c r="BC14" s="64" t="n">
        <x:f>tg_k*MIN(1,Economy!O13/BK13)</x:f>
        <x:v>0.00014961769059665454</x:v>
      </x:c>
      <x:c r="BD14" s="64" t="n">
        <x:f>emu_g*S14</x:f>
        <x:v>0</x:v>
      </x:c>
      <x:c r="BE14" s="65" t="n">
        <x:f>BE13*(1-BB14-BC14+BD14)</x:f>
        <x:v>0.9991910085993905</x:v>
      </x:c>
      <x:c r="BF14" s="46" t="n">
        <x:v>1</x:v>
      </x:c>
      <x:c r="BG14" s="53" t="n">
        <x:f>AU14*BA14*BE14*(skill_rel-1+skill_spill)/1000000</x:f>
        <x:v>0</x:v>
      </x:c>
      <x:c r="BH14" s="53" t="n">
        <x:f>union_disp*(Champions!AP14+Champions!AZ14)*(1-IF(union_resp=2,mkt_cut*S14,0))</x:f>
        <x:v>0</x:v>
      </x:c>
      <x:c r="BI14" s="53" t="n">
        <x:f>AY14*BA14*BE14/1000000</x:f>
        <x:v>0</x:v>
      </x:c>
      <x:c r="BJ14" s="47" t="n">
        <x:f>V14*Economy!Q14*AZ14</x:f>
        <x:v>2533.75694</x:v>
      </x:c>
      <x:c r="BK14" s="47" t="n">
        <x:f>MAX(0.3*BJ14,AX14*Economy!Q14*AZ14*BE14*BF14-BG14-BH14-BI14)</x:f>
        <x:v>2531.7071524243056</x:v>
      </x:c>
      <x:c r="BL14" s="63" t="n">
        <x:f>1-BK14/BJ14</x:f>
        <x:v>0.0008089914006095267</x:v>
      </x:c>
      <x:c r="BM14" s="47" t="n">
        <x:f>MAX(0,BH14-BH13)*1000000/BA14</x:f>
        <x:v>0</x:v>
      </x:c>
      <x:c r="BN14" s="47" t="n">
        <x:f>BN13*(1-IF(AND($A14&gt;=1930,$A14&lt;=1932),0,union_reabsorb))+BM14</x:f>
        <x:v>0</x:v>
      </x:c>
      <x:c r="BO14" s="59" t="n">
        <x:v>0.04</x:v>
      </x:c>
      <x:c r="BP14" s="63" t="n">
        <x:f>BO14+BN14/(AX14*1000000*lf_rate)</x:f>
        <x:v>0.04</x:v>
      </x:c>
    </x:row>
    <x:row r="15">
      <x:c r="A15" s="58" t="n">
        <x:v>1855</x:v>
      </x:c>
      <x:c r="B15" s="47" t="n">
        <x:f>Economy!B15*lf_rate</x:f>
        <x:v>180755.1345463866</x:v>
      </x:c>
      <x:c r="C15" s="47" t="n">
        <x:f>Economy!O15*1000000/(B15+L15)</x:f>
        <x:v>695.9046975183982</x:v>
      </x:c>
      <x:c r="D15" s="47" t="n">
        <x:f>Champions!AP15*1000000/(C15*champ_prem)</x:f>
        <x:v>0</x:v>
      </x:c>
      <x:c r="E15" s="47" t="n">
        <x:f>D15*job_mult</x:f>
        <x:v>0</x:v>
      </x:c>
      <x:c r="F15" s="47" t="n">
        <x:f>D15+E15</x:f>
        <x:v>0</x:v>
      </x:c>
      <x:c r="G15" s="63" t="n">
        <x:f>F15/B15</x:f>
        <x:v>0</x:v>
      </x:c>
      <x:c r="H15" s="47" t="n">
        <x:f>F15-F14</x:f>
        <x:v>0</x:v>
      </x:c>
      <x:c r="I15" s="63" t="n">
        <x:f>MAX(0.005,pac_u_base*IF(Paths!AC15=1,pac_u_war,1)+(okun*(1-Economy!G15)*(B15+L15)-MAX(0,L14-L15))/B15)</x:f>
        <x:v>0.015</x:v>
      </x:c>
      <x:c r="J15" s="47" t="n">
        <x:f>IF(AND(gw_on=1,$A15&gt;=gw_start),MIN(gw_cap*B14,gw_cover*F14+gw_gen*B14),0)</x:f>
        <x:v>0</x:v>
      </x:c>
      <x:c r="K15" s="47" t="n">
        <x:f>L14*gw_conv</x:f>
        <x:v>0</x:v>
      </x:c>
      <x:c r="L15" s="47" t="n">
        <x:f>MAX(0,L14-K15+gw_adj*(J15-L14))*MAX(0,1-gw_slump*(1-Economy!G15))</x:f>
        <x:v>0</x:v>
      </x:c>
      <x:c r="M15" s="47" t="n">
        <x:f>MAX(0,L15-L14+L14/gw_term)</x:f>
        <x:v>0</x:v>
      </x:c>
      <x:c r="N15" s="63" t="n">
        <x:f>L15/B15</x:f>
        <x:v>0</x:v>
      </x:c>
      <x:c r="O15" s="53" t="n">
        <x:f>Economy!L15</x:f>
        <x:v>0</x:v>
      </x:c>
      <x:c r="P15" s="53" t="n">
        <x:f>O15*gw_wage_share</x:f>
        <x:v>0</x:v>
      </x:c>
      <x:c r="Q15" s="53" t="n">
        <x:f>P15*gw_levy</x:f>
        <x:v>0</x:v>
      </x:c>
      <x:c r="R15" s="53" t="n">
        <x:f>P15*gw_remit</x:f>
        <x:v>0</x:v>
      </x:c>
      <x:c r="S15" s="63" t="n">
        <x:f>IF(union_resp&gt;=1,MIN(1,MAX(0,($A15-resp_start)/(resp_full-resp_start))),0)</x:f>
        <x:v>0</x:v>
      </x:c>
      <x:c r="T15" s="67" t="n">
        <x:f>Economy!R14</x:f>
        <x:v>2.6393601957899295</x:v>
      </x:c>
      <x:c r="U15" s="67" t="n">
        <x:f>MAX(0,T15-gap_base)</x:f>
        <x:v>1.1393601957899295</x:v>
      </x:c>
      <x:c r="V15" s="68" t="n">
        <x:v>19.2</x:v>
      </x:c>
      <x:c r="W15" s="47" t="n">
        <x:f>V15*1000000*lf_rate*union_skill_share</x:f>
        <x:v>967680</x:v>
      </x:c>
      <x:c r="X15" s="45" t="n">
        <x:v>0</x:v>
      </x:c>
      <x:c r="Y15" s="47" t="n">
        <x:f>IF(AND(mig_endo=1,$A15&gt;=talent_start),talent_rate_u*W15*U15*(1-(1-bd_keep)*S15),0)</x:f>
        <x:v>0</x:v>
      </x:c>
      <x:c r="Z15" s="47" t="n">
        <x:f>IF(AND(mig_endo=1,$A15&gt;=talent_start),X15*MIN(0.5,talent_share_o*U15)*(1-eu_comp*S15),0)</x:f>
        <x:v>0</x:v>
      </x:c>
      <x:c r="AA15" s="45" t="n">
        <x:v>0</x:v>
      </x:c>
      <x:c r="AB15" s="47" t="n">
        <x:f>IF(AND(mig_endo=1,$A15&gt;=talent_start),AA15*MIN(0.5,talent_share_a*U15),0)</x:f>
        <x:v>0</x:v>
      </x:c>
      <x:c r="AC15" s="47" t="n">
        <x:f>entry_cap*People!B15</x:f>
        <x:v>1250.3765975127105</x:v>
      </x:c>
      <x:c r="AD15" s="47" t="n">
        <x:f>MIN(AC15,Y15+Z15+AB15)</x:f>
        <x:v>0</x:v>
      </x:c>
      <x:c r="AE15" s="47" t="n">
        <x:f>IF(Y15+Z15+AB15&gt;0,AD15*Y15/(Y15+Z15+AB15),0)</x:f>
        <x:v>0</x:v>
      </x:c>
      <x:c r="AF15" s="47" t="n">
        <x:f>IF(Y15+Z15+AB15&gt;0,AD15*AB15/(Y15+Z15+AB15),0)</x:f>
        <x:v>0</x:v>
      </x:c>
      <x:c r="AG15" s="47" t="n">
        <x:f>AD15*family_mult</x:f>
        <x:v>0</x:v>
      </x:c>
      <x:c r="AH15" s="47" t="n">
        <x:f>AH14*(1+Paths!C15)+AG15</x:f>
        <x:v>0</x:v>
      </x:c>
      <x:c r="AI15" s="47" t="n">
        <x:f>IF(AND(mig_endo=1,$A15&gt;=talent_start),chain_rate*AH14,0)</x:f>
        <x:v>0</x:v>
      </x:c>
      <x:c r="AJ15" s="47" t="n">
        <x:f>IF(AND(mig_endo=1,$A15&gt;=talent_start),IF(H14&gt;0,H14*job_fill,H14*job_return)*job_family,0)</x:f>
        <x:v>0</x:v>
      </x:c>
      <x:c r="AK15" s="47" t="n">
        <x:f>K15*gw_conv_family</x:f>
        <x:v>0</x:v>
      </x:c>
      <x:c r="AL15" s="47" t="n">
        <x:f>AG15+AI15+AJ15+AK15+AR15</x:f>
        <x:v>0</x:v>
      </x:c>
      <x:c r="AM15" s="47" t="n">
        <x:f>AM14*(1-skill_ret)+AD15</x:f>
        <x:v>0</x:v>
      </x:c>
      <x:c r="AN15" s="64" t="n">
        <x:f>AM15/B15</x:f>
        <x:v>0</x:v>
      </x:c>
      <x:c r="AO15" s="64" t="n">
        <x:f>(skill_rel-1+skill_spill)*AM14/B14-AT15</x:f>
        <x:v>0</x:v>
      </x:c>
      <x:c r="AP15" s="64" t="n">
        <x:f>talent_champ*AM14/(skill_base_share*B14)</x:f>
        <x:v>0</x:v>
      </x:c>
      <x:c r="AQ15" s="45" t="n">
        <x:v>315000</x:v>
      </x:c>
      <x:c r="AR15" s="47" t="n">
        <x:f>IF(AND(div_on=1,$A15&gt;=div_start),AQ15*MIN(div_max,div_rate*U15)*(1-div_comp*S15),0)</x:f>
        <x:v>0</x:v>
      </x:c>
      <x:c r="AS15" s="47" t="n">
        <x:f>AS14*(1-div_assim)+AR15</x:f>
        <x:v>0</x:v>
      </x:c>
      <x:c r="AT15" s="64" t="n">
        <x:f>(1-div_rel)*AS14/Economy!B14</x:f>
        <x:v>0</x:v>
      </x:c>
      <x:c r="AU15" s="47" t="n">
        <x:f>AU14*(1-skill_ret)+AE15</x:f>
        <x:v>0</x:v>
      </x:c>
      <x:c r="AV15" s="47" t="n">
        <x:f>AV14*(1+union_nat)+AR15</x:f>
        <x:v>0</x:v>
      </x:c>
      <x:c r="AW15" s="47" t="n">
        <x:f>AW14*(1+union_nat)+AE15*family_mult</x:f>
        <x:v>0</x:v>
      </x:c>
      <x:c r="AX15" s="67" t="n">
        <x:f>V15-(AV15+AW15)/1000000</x:f>
        <x:v>19.2</x:v>
      </x:c>
      <x:c r="AY15" s="47" t="n">
        <x:f>L15*gw_union</x:f>
        <x:v>0</x:v>
      </x:c>
      <x:c r="AZ15" s="46" t="n">
        <x:v>1.118</x:v>
      </x:c>
      <x:c r="BA15" s="47" t="n">
        <x:f>Economy!Q15*AZ15/lf_rate</x:f>
        <x:v>332.73809523809524</x:v>
      </x:c>
      <x:c r="BB15" s="64" t="n">
        <x:f>bd_growth*AU14/W14</x:f>
        <x:v>0</x:v>
      </x:c>
      <x:c r="BC15" s="64" t="n">
        <x:f>tg_k*MIN(1,Economy!O14/BK14)</x:f>
        <x:v>0.00015202156537598958</x:v>
      </x:c>
      <x:c r="BD15" s="64" t="n">
        <x:f>emu_g*S15</x:f>
        <x:v>0</x:v>
      </x:c>
      <x:c r="BE15" s="65" t="n">
        <x:f>BE14*(1-BB15-BC15+BD15)</x:f>
        <x:v>0.9990391100181536</x:v>
      </x:c>
      <x:c r="BF15" s="46" t="n">
        <x:v>1</x:v>
      </x:c>
      <x:c r="BG15" s="53" t="n">
        <x:f>AU15*BA15*BE15*(skill_rel-1+skill_spill)/1000000</x:f>
        <x:v>0</x:v>
      </x:c>
      <x:c r="BH15" s="53" t="n">
        <x:f>union_disp*(Champions!AP15+Champions!AZ15)*(1-IF(union_resp=2,mkt_cut*S15,0))</x:f>
        <x:v>0</x:v>
      </x:c>
      <x:c r="BI15" s="53" t="n">
        <x:f>AY15*BA15*BE15/1000000</x:f>
        <x:v>0</x:v>
      </x:c>
      <x:c r="BJ15" s="47" t="n">
        <x:f>V15*Economy!Q15*AZ15</x:f>
        <x:v>2683.2000000000003</x:v>
      </x:c>
      <x:c r="BK15" s="47" t="n">
        <x:f>MAX(0.3*BJ15,AX15*Economy!Q15*AZ15*BE15*BF15-BG15-BH15-BI15)</x:f>
        <x:v>2680.62174000071</x:v>
      </x:c>
      <x:c r="BL15" s="63" t="n">
        <x:f>1-BK15/BJ15</x:f>
        <x:v>0.0009608899818464023</x:v>
      </x:c>
      <x:c r="BM15" s="47" t="n">
        <x:f>MAX(0,BH15-BH14)*1000000/BA15</x:f>
        <x:v>0</x:v>
      </x:c>
      <x:c r="BN15" s="47" t="n">
        <x:f>BN14*(1-IF(AND($A15&gt;=1930,$A15&lt;=1932),0,union_reabsorb))+BM15</x:f>
        <x:v>0</x:v>
      </x:c>
      <x:c r="BO15" s="59" t="n">
        <x:v>0.04</x:v>
      </x:c>
      <x:c r="BP15" s="63" t="n">
        <x:f>BO15+BN15/(AX15*1000000*lf_rate)</x:f>
        <x:v>0.04</x:v>
      </x:c>
    </x:row>
    <x:row r="16">
      <x:c r="A16" s="58" t="n">
        <x:v>1856</x:v>
      </x:c>
      <x:c r="B16" s="47" t="n">
        <x:f>Economy!B16*lf_rate</x:f>
        <x:v>208550.26194091915</x:v>
      </x:c>
      <x:c r="C16" s="47" t="n">
        <x:f>Economy!O16*1000000/(B16+L16)</x:f>
        <x:v>678.4873780567709</x:v>
      </x:c>
      <x:c r="D16" s="47" t="n">
        <x:f>Champions!AP16*1000000/(C16*champ_prem)</x:f>
        <x:v>0</x:v>
      </x:c>
      <x:c r="E16" s="47" t="n">
        <x:f>D16*job_mult</x:f>
        <x:v>0</x:v>
      </x:c>
      <x:c r="F16" s="47" t="n">
        <x:f>D16+E16</x:f>
        <x:v>0</x:v>
      </x:c>
      <x:c r="G16" s="63" t="n">
        <x:f>F16/B16</x:f>
        <x:v>0</x:v>
      </x:c>
      <x:c r="H16" s="47" t="n">
        <x:f>F16-F15</x:f>
        <x:v>0</x:v>
      </x:c>
      <x:c r="I16" s="63" t="n">
        <x:f>MAX(0.005,pac_u_base*IF(Paths!AC16=1,pac_u_war,1)+(okun*(1-Economy!G16)*(B16+L16)-MAX(0,L15-L16))/B16)</x:f>
        <x:v>0.015</x:v>
      </x:c>
      <x:c r="J16" s="47" t="n">
        <x:f>IF(AND(gw_on=1,$A16&gt;=gw_start),MIN(gw_cap*B15,gw_cover*F15+gw_gen*B15),0)</x:f>
        <x:v>0</x:v>
      </x:c>
      <x:c r="K16" s="47" t="n">
        <x:f>L15*gw_conv</x:f>
        <x:v>0</x:v>
      </x:c>
      <x:c r="L16" s="47" t="n">
        <x:f>MAX(0,L15-K16+gw_adj*(J16-L15))*MAX(0,1-gw_slump*(1-Economy!G16))</x:f>
        <x:v>0</x:v>
      </x:c>
      <x:c r="M16" s="47" t="n">
        <x:f>MAX(0,L16-L15+L15/gw_term)</x:f>
        <x:v>0</x:v>
      </x:c>
      <x:c r="N16" s="63" t="n">
        <x:f>L16/B16</x:f>
        <x:v>0</x:v>
      </x:c>
      <x:c r="O16" s="53" t="n">
        <x:f>Economy!L16</x:f>
        <x:v>0</x:v>
      </x:c>
      <x:c r="P16" s="53" t="n">
        <x:f>O16*gw_wage_share</x:f>
        <x:v>0</x:v>
      </x:c>
      <x:c r="Q16" s="53" t="n">
        <x:f>P16*gw_levy</x:f>
        <x:v>0</x:v>
      </x:c>
      <x:c r="R16" s="53" t="n">
        <x:f>P16*gw_remit</x:f>
        <x:v>0</x:v>
      </x:c>
      <x:c r="S16" s="63" t="n">
        <x:f>IF(union_resp&gt;=1,MIN(1,MAX(0,($A16-resp_start)/(resp_full-resp_start))),0)</x:f>
        <x:v>0</x:v>
      </x:c>
      <x:c r="T16" s="67" t="n">
        <x:f>Economy!R15</x:f>
        <x:v>2.338239783661818</x:v>
      </x:c>
      <x:c r="U16" s="67" t="n">
        <x:f>MAX(0,T16-gap_base)</x:f>
        <x:v>0.8382397836618178</x:v>
      </x:c>
      <x:c r="V16" s="68" t="n">
        <x:v>19.67</x:v>
      </x:c>
      <x:c r="W16" s="47" t="n">
        <x:f>V16*1000000*lf_rate*union_skill_share</x:f>
        <x:v>991368</x:v>
      </x:c>
      <x:c r="X16" s="45" t="n">
        <x:v>0</x:v>
      </x:c>
      <x:c r="Y16" s="47" t="n">
        <x:f>IF(AND(mig_endo=1,$A16&gt;=talent_start),talent_rate_u*W16*U16*(1-(1-bd_keep)*S16),0)</x:f>
        <x:v>0</x:v>
      </x:c>
      <x:c r="Z16" s="47" t="n">
        <x:f>IF(AND(mig_endo=1,$A16&gt;=talent_start),X16*MIN(0.5,talent_share_o*U16)*(1-eu_comp*S16),0)</x:f>
        <x:v>0</x:v>
      </x:c>
      <x:c r="AA16" s="45" t="n">
        <x:v>0</x:v>
      </x:c>
      <x:c r="AB16" s="47" t="n">
        <x:f>IF(AND(mig_endo=1,$A16&gt;=talent_start),AA16*MIN(0.5,talent_share_a*U16),0)</x:f>
        <x:v>0</x:v>
      </x:c>
      <x:c r="AC16" s="47" t="n">
        <x:f>entry_cap*People!B16</x:f>
        <x:v>1331.8396102928123</x:v>
      </x:c>
      <x:c r="AD16" s="47" t="n">
        <x:f>MIN(AC16,Y16+Z16+AB16)</x:f>
        <x:v>0</x:v>
      </x:c>
      <x:c r="AE16" s="47" t="n">
        <x:f>IF(Y16+Z16+AB16&gt;0,AD16*Y16/(Y16+Z16+AB16),0)</x:f>
        <x:v>0</x:v>
      </x:c>
      <x:c r="AF16" s="47" t="n">
        <x:f>IF(Y16+Z16+AB16&gt;0,AD16*AB16/(Y16+Z16+AB16),0)</x:f>
        <x:v>0</x:v>
      </x:c>
      <x:c r="AG16" s="47" t="n">
        <x:f>AD16*family_mult</x:f>
        <x:v>0</x:v>
      </x:c>
      <x:c r="AH16" s="47" t="n">
        <x:f>AH15*(1+Paths!C16)+AG16</x:f>
        <x:v>0</x:v>
      </x:c>
      <x:c r="AI16" s="47" t="n">
        <x:f>IF(AND(mig_endo=1,$A16&gt;=talent_start),chain_rate*AH15,0)</x:f>
        <x:v>0</x:v>
      </x:c>
      <x:c r="AJ16" s="47" t="n">
        <x:f>IF(AND(mig_endo=1,$A16&gt;=talent_start),IF(H15&gt;0,H15*job_fill,H15*job_return)*job_family,0)</x:f>
        <x:v>0</x:v>
      </x:c>
      <x:c r="AK16" s="47" t="n">
        <x:f>K16*gw_conv_family</x:f>
        <x:v>0</x:v>
      </x:c>
      <x:c r="AL16" s="47" t="n">
        <x:f>AG16+AI16+AJ16+AK16+AR16</x:f>
        <x:v>0</x:v>
      </x:c>
      <x:c r="AM16" s="47" t="n">
        <x:f>AM15*(1-skill_ret)+AD16</x:f>
        <x:v>0</x:v>
      </x:c>
      <x:c r="AN16" s="64" t="n">
        <x:f>AM16/B16</x:f>
        <x:v>0</x:v>
      </x:c>
      <x:c r="AO16" s="64" t="n">
        <x:f>(skill_rel-1+skill_spill)*AM15/B15-AT16</x:f>
        <x:v>0</x:v>
      </x:c>
      <x:c r="AP16" s="64" t="n">
        <x:f>talent_champ*AM15/(skill_base_share*B15)</x:f>
        <x:v>0</x:v>
      </x:c>
      <x:c r="AQ16" s="45" t="n">
        <x:v>200000</x:v>
      </x:c>
      <x:c r="AR16" s="47" t="n">
        <x:f>IF(AND(div_on=1,$A16&gt;=div_start),AQ16*MIN(div_max,div_rate*U16)*(1-div_comp*S16),0)</x:f>
        <x:v>0</x:v>
      </x:c>
      <x:c r="AS16" s="47" t="n">
        <x:f>AS15*(1-div_assim)+AR16</x:f>
        <x:v>0</x:v>
      </x:c>
      <x:c r="AT16" s="64" t="n">
        <x:f>(1-div_rel)*AS15/Economy!B15</x:f>
        <x:v>0</x:v>
      </x:c>
      <x:c r="AU16" s="47" t="n">
        <x:f>AU15*(1-skill_ret)+AE16</x:f>
        <x:v>0</x:v>
      </x:c>
      <x:c r="AV16" s="47" t="n">
        <x:f>AV15*(1+union_nat)+AR16</x:f>
        <x:v>0</x:v>
      </x:c>
      <x:c r="AW16" s="47" t="n">
        <x:f>AW15*(1+union_nat)+AE16*family_mult</x:f>
        <x:v>0</x:v>
      </x:c>
      <x:c r="AX16" s="67" t="n">
        <x:f>V16-(AV16+AW16)/1000000</x:f>
        <x:v>19.67</x:v>
      </x:c>
      <x:c r="AY16" s="47" t="n">
        <x:f>L16*gw_union</x:f>
        <x:v>0</x:v>
      </x:c>
      <x:c r="AZ16" s="46" t="n">
        <x:v>1.118</x:v>
      </x:c>
      <x:c r="BA16" s="47" t="n">
        <x:f>Economy!Q16*AZ16/lf_rate</x:f>
        <x:v>340.72380952380956</x:v>
      </x:c>
      <x:c r="BB16" s="64" t="n">
        <x:f>bd_growth*AU15/W15</x:f>
        <x:v>0</x:v>
      </x:c>
      <x:c r="BC16" s="64" t="n">
        <x:f>tg_k*MIN(1,Economy!O15/BK15)</x:f>
        <x:v>0.00014077519258427773</x:v>
      </x:c>
      <x:c r="BD16" s="64" t="n">
        <x:f>emu_g*S16</x:f>
        <x:v>0</x:v>
      </x:c>
      <x:c r="BE16" s="65" t="n">
        <x:f>BE15*(1-BB16-BC16+BD16)</x:f>
        <x:v>0.9988984700950416</x:v>
      </x:c>
      <x:c r="BF16" s="46" t="n">
        <x:v>1</x:v>
      </x:c>
      <x:c r="BG16" s="53" t="n">
        <x:f>AU16*BA16*BE16*(skill_rel-1+skill_spill)/1000000</x:f>
        <x:v>0</x:v>
      </x:c>
      <x:c r="BH16" s="53" t="n">
        <x:f>union_disp*(Champions!AP16+Champions!AZ16)*(1-IF(union_resp=2,mkt_cut*S16,0))</x:f>
        <x:v>0</x:v>
      </x:c>
      <x:c r="BI16" s="53" t="n">
        <x:f>AY16*BA16*BE16/1000000</x:f>
        <x:v>0</x:v>
      </x:c>
      <x:c r="BJ16" s="47" t="n">
        <x:f>V16*Economy!Q16*AZ16</x:f>
        <x:v>2814.8556800000006</x:v>
      </x:c>
      <x:c r="BK16" s="47" t="n">
        <x:f>MAX(0.3*BJ16,AX16*Economy!Q16*AZ16*BE16*BF16-BG16-BH16-BI16)</x:f>
        <x:v>2811.7550322903385</x:v>
      </x:c>
      <x:c r="BL16" s="63" t="n">
        <x:f>1-BK16/BJ16</x:f>
        <x:v>0.001101529904958376</x:v>
      </x:c>
      <x:c r="BM16" s="47" t="n">
        <x:f>MAX(0,BH16-BH15)*1000000/BA16</x:f>
        <x:v>0</x:v>
      </x:c>
      <x:c r="BN16" s="47" t="n">
        <x:f>BN15*(1-IF(AND($A16&gt;=1930,$A16&lt;=1932),0,union_reabsorb))+BM16</x:f>
        <x:v>0</x:v>
      </x:c>
      <x:c r="BO16" s="59" t="n">
        <x:v>0.04</x:v>
      </x:c>
      <x:c r="BP16" s="63" t="n">
        <x:f>BO16+BN16/(AX16*1000000*lf_rate)</x:f>
        <x:v>0.04</x:v>
      </x:c>
    </x:row>
    <x:row r="17">
      <x:c r="A17" s="58" t="n">
        <x:v>1857</x:v>
      </x:c>
      <x:c r="B17" s="47" t="n">
        <x:f>Economy!B17*lf_rate</x:f>
        <x:v>237858.7148222693</x:v>
      </x:c>
      <x:c r="C17" s="47" t="n">
        <x:f>Economy!O17*1000000/(B17+L17)</x:f>
        <x:v>603.1405268799888</x:v>
      </x:c>
      <x:c r="D17" s="47" t="n">
        <x:f>Champions!AP17*1000000/(C17*champ_prem)</x:f>
        <x:v>0</x:v>
      </x:c>
      <x:c r="E17" s="47" t="n">
        <x:f>D17*job_mult</x:f>
        <x:v>0</x:v>
      </x:c>
      <x:c r="F17" s="47" t="n">
        <x:f>D17+E17</x:f>
        <x:v>0</x:v>
      </x:c>
      <x:c r="G17" s="63" t="n">
        <x:f>F17/B17</x:f>
        <x:v>0</x:v>
      </x:c>
      <x:c r="H17" s="47" t="n">
        <x:f>F17-F16</x:f>
        <x:v>0</x:v>
      </x:c>
      <x:c r="I17" s="63" t="n">
        <x:f>MAX(0.005,pac_u_base*IF(Paths!AC17=1,pac_u_war,1)+(okun*(1-Economy!G17)*(B17+L17)-MAX(0,L16-L17))/B17)</x:f>
        <x:v>0.030000000000000013</x:v>
      </x:c>
      <x:c r="J17" s="47" t="n">
        <x:f>IF(AND(gw_on=1,$A17&gt;=gw_start),MIN(gw_cap*B16,gw_cover*F16+gw_gen*B16),0)</x:f>
        <x:v>0</x:v>
      </x:c>
      <x:c r="K17" s="47" t="n">
        <x:f>L16*gw_conv</x:f>
        <x:v>0</x:v>
      </x:c>
      <x:c r="L17" s="47" t="n">
        <x:f>MAX(0,L16-K17+gw_adj*(J17-L16))*MAX(0,1-gw_slump*(1-Economy!G17))</x:f>
        <x:v>0</x:v>
      </x:c>
      <x:c r="M17" s="47" t="n">
        <x:f>MAX(0,L17-L16+L16/gw_term)</x:f>
        <x:v>0</x:v>
      </x:c>
      <x:c r="N17" s="63" t="n">
        <x:f>L17/B17</x:f>
        <x:v>0</x:v>
      </x:c>
      <x:c r="O17" s="53" t="n">
        <x:f>Economy!L17</x:f>
        <x:v>0</x:v>
      </x:c>
      <x:c r="P17" s="53" t="n">
        <x:f>O17*gw_wage_share</x:f>
        <x:v>0</x:v>
      </x:c>
      <x:c r="Q17" s="53" t="n">
        <x:f>P17*gw_levy</x:f>
        <x:v>0</x:v>
      </x:c>
      <x:c r="R17" s="53" t="n">
        <x:f>P17*gw_remit</x:f>
        <x:v>0</x:v>
      </x:c>
      <x:c r="S17" s="63" t="n">
        <x:f>IF(union_resp&gt;=1,MIN(1,MAX(0,($A17-resp_start)/(resp_full-resp_start))),0)</x:f>
        <x:v>0</x:v>
      </x:c>
      <x:c r="T17" s="67" t="n">
        <x:f>Economy!R16</x:f>
        <x:v>2.2262867092487792</x:v>
      </x:c>
      <x:c r="U17" s="67" t="n">
        <x:f>MAX(0,T17-gap_base)</x:f>
        <x:v>0.7262867092487792</x:v>
      </x:c>
      <x:c r="V17" s="68" t="n">
        <x:v>20.13</x:v>
      </x:c>
      <x:c r="W17" s="47" t="n">
        <x:f>V17*1000000*lf_rate*union_skill_share</x:f>
        <x:v>1014552</x:v>
      </x:c>
      <x:c r="X17" s="45" t="n">
        <x:v>0</x:v>
      </x:c>
      <x:c r="Y17" s="47" t="n">
        <x:f>IF(AND(mig_endo=1,$A17&gt;=talent_start),talent_rate_u*W17*U17*(1-(1-bd_keep)*S17),0)</x:f>
        <x:v>0</x:v>
      </x:c>
      <x:c r="Z17" s="47" t="n">
        <x:f>IF(AND(mig_endo=1,$A17&gt;=talent_start),X17*MIN(0.5,talent_share_o*U17)*(1-eu_comp*S17),0)</x:f>
        <x:v>0</x:v>
      </x:c>
      <x:c r="AA17" s="45" t="n">
        <x:v>0</x:v>
      </x:c>
      <x:c r="AB17" s="47" t="n">
        <x:f>IF(AND(mig_endo=1,$A17&gt;=talent_start),AA17*MIN(0.5,talent_share_a*U17),0)</x:f>
        <x:v>0</x:v>
      </x:c>
      <x:c r="AC17" s="47" t="n">
        <x:f>entry_cap*People!B17</x:f>
        <x:v>1647.449846006033</x:v>
      </x:c>
      <x:c r="AD17" s="47" t="n">
        <x:f>MIN(AC17,Y17+Z17+AB17)</x:f>
        <x:v>0</x:v>
      </x:c>
      <x:c r="AE17" s="47" t="n">
        <x:f>IF(Y17+Z17+AB17&gt;0,AD17*Y17/(Y17+Z17+AB17),0)</x:f>
        <x:v>0</x:v>
      </x:c>
      <x:c r="AF17" s="47" t="n">
        <x:f>IF(Y17+Z17+AB17&gt;0,AD17*AB17/(Y17+Z17+AB17),0)</x:f>
        <x:v>0</x:v>
      </x:c>
      <x:c r="AG17" s="47" t="n">
        <x:f>AD17*family_mult</x:f>
        <x:v>0</x:v>
      </x:c>
      <x:c r="AH17" s="47" t="n">
        <x:f>AH16*(1+Paths!C17)+AG17</x:f>
        <x:v>0</x:v>
      </x:c>
      <x:c r="AI17" s="47" t="n">
        <x:f>IF(AND(mig_endo=1,$A17&gt;=talent_start),chain_rate*AH16,0)</x:f>
        <x:v>0</x:v>
      </x:c>
      <x:c r="AJ17" s="47" t="n">
        <x:f>IF(AND(mig_endo=1,$A17&gt;=talent_start),IF(H16&gt;0,H16*job_fill,H16*job_return)*job_family,0)</x:f>
        <x:v>0</x:v>
      </x:c>
      <x:c r="AK17" s="47" t="n">
        <x:f>K17*gw_conv_family</x:f>
        <x:v>0</x:v>
      </x:c>
      <x:c r="AL17" s="47" t="n">
        <x:f>AG17+AI17+AJ17+AK17+AR17</x:f>
        <x:v>0</x:v>
      </x:c>
      <x:c r="AM17" s="47" t="n">
        <x:f>AM16*(1-skill_ret)+AD17</x:f>
        <x:v>0</x:v>
      </x:c>
      <x:c r="AN17" s="64" t="n">
        <x:f>AM17/B17</x:f>
        <x:v>0</x:v>
      </x:c>
      <x:c r="AO17" s="64" t="n">
        <x:f>(skill_rel-1+skill_spill)*AM16/B16-AT17</x:f>
        <x:v>0</x:v>
      </x:c>
      <x:c r="AP17" s="64" t="n">
        <x:f>talent_champ*AM16/(skill_base_share*B16)</x:f>
        <x:v>0</x:v>
      </x:c>
      <x:c r="AQ17" s="45" t="n">
        <x:v>188000</x:v>
      </x:c>
      <x:c r="AR17" s="47" t="n">
        <x:f>IF(AND(div_on=1,$A17&gt;=div_start),AQ17*MIN(div_max,div_rate*U17)*(1-div_comp*S17),0)</x:f>
        <x:v>0</x:v>
      </x:c>
      <x:c r="AS17" s="47" t="n">
        <x:f>AS16*(1-div_assim)+AR17</x:f>
        <x:v>0</x:v>
      </x:c>
      <x:c r="AT17" s="64" t="n">
        <x:f>(1-div_rel)*AS16/Economy!B16</x:f>
        <x:v>0</x:v>
      </x:c>
      <x:c r="AU17" s="47" t="n">
        <x:f>AU16*(1-skill_ret)+AE17</x:f>
        <x:v>0</x:v>
      </x:c>
      <x:c r="AV17" s="47" t="n">
        <x:f>AV16*(1+union_nat)+AR17</x:f>
        <x:v>0</x:v>
      </x:c>
      <x:c r="AW17" s="47" t="n">
        <x:f>AW16*(1+union_nat)+AE17*family_mult</x:f>
        <x:v>0</x:v>
      </x:c>
      <x:c r="AX17" s="67" t="n">
        <x:f>V17-(AV17+AW17)/1000000</x:f>
        <x:v>20.13</x:v>
      </x:c>
      <x:c r="AY17" s="47" t="n">
        <x:f>L17*gw_union</x:f>
        <x:v>0</x:v>
      </x:c>
      <x:c r="AZ17" s="46" t="n">
        <x:v>1.118</x:v>
      </x:c>
      <x:c r="BA17" s="47" t="n">
        <x:f>Economy!Q17*AZ17/lf_rate</x:f>
        <x:v>348.7095238095239</x:v>
      </x:c>
      <x:c r="BB17" s="64" t="n">
        <x:f>bd_growth*AU16/W16</x:f>
        <x:v>0</x:v>
      </x:c>
      <x:c r="BC17" s="64" t="n">
        <x:f>tg_k*MIN(1,Economy!O16/BK16)</x:f>
        <x:v>0.00015097195750593683</x:v>
      </x:c>
      <x:c r="BD17" s="64" t="n">
        <x:f>emu_g*S17</x:f>
        <x:v>0</x:v>
      </x:c>
      <x:c r="BE17" s="65" t="n">
        <x:f>BE16*(1-BB17-BC17+BD17)</x:f>
        <x:v>0.9987476644376617</x:v>
      </x:c>
      <x:c r="BF17" s="46" t="n">
        <x:v>1</x:v>
      </x:c>
      <x:c r="BG17" s="53" t="n">
        <x:f>AU17*BA17*BE17*(skill_rel-1+skill_spill)/1000000</x:f>
        <x:v>0</x:v>
      </x:c>
      <x:c r="BH17" s="53" t="n">
        <x:f>union_disp*(Champions!AP17+Champions!AZ17)*(1-IF(union_resp=2,mkt_cut*S17,0))</x:f>
        <x:v>0</x:v>
      </x:c>
      <x:c r="BI17" s="53" t="n">
        <x:f>AY17*BA17*BE17/1000000</x:f>
        <x:v>0</x:v>
      </x:c>
      <x:c r="BJ17" s="47" t="n">
        <x:f>V17*Economy!Q17*AZ17</x:f>
        <x:v>2948.19954</x:v>
      </x:c>
      <x:c r="BK17" s="47" t="n">
        <x:f>MAX(0.3*BJ17,AX17*Economy!Q17*AZ17*BE17*BF17-BG17-BH17-BI17)</x:f>
        <x:v>2944.5074048711886</x:v>
      </x:c>
      <x:c r="BL17" s="63" t="n">
        <x:f>1-BK17/BJ17</x:f>
        <x:v>0.0012523355623382804</x:v>
      </x:c>
      <x:c r="BM17" s="47" t="n">
        <x:f>MAX(0,BH17-BH16)*1000000/BA17</x:f>
        <x:v>0</x:v>
      </x:c>
      <x:c r="BN17" s="47" t="n">
        <x:f>BN16*(1-IF(AND($A17&gt;=1930,$A17&lt;=1932),0,union_reabsorb))+BM17</x:f>
        <x:v>0</x:v>
      </x:c>
      <x:c r="BO17" s="59" t="n">
        <x:v>0.04</x:v>
      </x:c>
      <x:c r="BP17" s="63" t="n">
        <x:f>BO17+BN17/(AX17*1000000*lf_rate)</x:f>
        <x:v>0.04</x:v>
      </x:c>
    </x:row>
    <x:row r="18">
      <x:c r="A18" s="58" t="n">
        <x:v>1858</x:v>
      </x:c>
      <x:c r="B18" s="47" t="n">
        <x:f>Economy!B18*lf_rate</x:f>
        <x:v>252369.5606853142</x:v>
      </x:c>
      <x:c r="C18" s="47" t="n">
        <x:f>Economy!O18*1000000/(B18+L18)</x:f>
        <x:v>616.7752876342927</x:v>
      </x:c>
      <x:c r="D18" s="47" t="n">
        <x:f>Champions!AP18*1000000/(C18*champ_prem)</x:f>
        <x:v>0</x:v>
      </x:c>
      <x:c r="E18" s="47" t="n">
        <x:f>D18*job_mult</x:f>
        <x:v>0</x:v>
      </x:c>
      <x:c r="F18" s="47" t="n">
        <x:f>D18+E18</x:f>
        <x:v>0</x:v>
      </x:c>
      <x:c r="G18" s="63" t="n">
        <x:f>F18/B18</x:f>
        <x:v>0</x:v>
      </x:c>
      <x:c r="H18" s="47" t="n">
        <x:f>F18-F17</x:f>
        <x:v>0</x:v>
      </x:c>
      <x:c r="I18" s="63" t="n">
        <x:f>MAX(0.005,pac_u_base*IF(Paths!AC18=1,pac_u_war,1)+(okun*(1-Economy!G18)*(B18+L18)-MAX(0,L17-L18))/B18)</x:f>
        <x:v>0.02500000000000001</x:v>
      </x:c>
      <x:c r="J18" s="47" t="n">
        <x:f>IF(AND(gw_on=1,$A18&gt;=gw_start),MIN(gw_cap*B17,gw_cover*F17+gw_gen*B17),0)</x:f>
        <x:v>0</x:v>
      </x:c>
      <x:c r="K18" s="47" t="n">
        <x:f>L17*gw_conv</x:f>
        <x:v>0</x:v>
      </x:c>
      <x:c r="L18" s="47" t="n">
        <x:f>MAX(0,L17-K18+gw_adj*(J18-L17))*MAX(0,1-gw_slump*(1-Economy!G18))</x:f>
        <x:v>0</x:v>
      </x:c>
      <x:c r="M18" s="47" t="n">
        <x:f>MAX(0,L18-L17+L17/gw_term)</x:f>
        <x:v>0</x:v>
      </x:c>
      <x:c r="N18" s="63" t="n">
        <x:f>L18/B18</x:f>
        <x:v>0</x:v>
      </x:c>
      <x:c r="O18" s="53" t="n">
        <x:f>Economy!L18</x:f>
        <x:v>0</x:v>
      </x:c>
      <x:c r="P18" s="53" t="n">
        <x:f>O18*gw_wage_share</x:f>
        <x:v>0</x:v>
      </x:c>
      <x:c r="Q18" s="53" t="n">
        <x:f>P18*gw_levy</x:f>
        <x:v>0</x:v>
      </x:c>
      <x:c r="R18" s="53" t="n">
        <x:f>P18*gw_remit</x:f>
        <x:v>0</x:v>
      </x:c>
      <x:c r="S18" s="63" t="n">
        <x:f>IF(union_resp&gt;=1,MIN(1,MAX(0,($A18-resp_start)/(resp_full-resp_start))),0)</x:f>
        <x:v>0</x:v>
      </x:c>
      <x:c r="T18" s="67" t="n">
        <x:f>Economy!R17</x:f>
        <x:v>1.9337329869434758</x:v>
      </x:c>
      <x:c r="U18" s="67" t="n">
        <x:f>MAX(0,T18-gap_base)</x:f>
        <x:v>0.43373298694347584</x:v>
      </x:c>
      <x:c r="V18" s="68" t="n">
        <x:v>20.6</x:v>
      </x:c>
      <x:c r="W18" s="47" t="n">
        <x:f>V18*1000000*lf_rate*union_skill_share</x:f>
        <x:v>1038240</x:v>
      </x:c>
      <x:c r="X18" s="45" t="n">
        <x:v>0</x:v>
      </x:c>
      <x:c r="Y18" s="47" t="n">
        <x:f>IF(AND(mig_endo=1,$A18&gt;=talent_start),talent_rate_u*W18*U18*(1-(1-bd_keep)*S18),0)</x:f>
        <x:v>0</x:v>
      </x:c>
      <x:c r="Z18" s="47" t="n">
        <x:f>IF(AND(mig_endo=1,$A18&gt;=talent_start),X18*MIN(0.5,talent_share_o*U18)*(1-eu_comp*S18),0)</x:f>
        <x:v>0</x:v>
      </x:c>
      <x:c r="AA18" s="45" t="n">
        <x:v>0</x:v>
      </x:c>
      <x:c r="AB18" s="47" t="n">
        <x:f>IF(AND(mig_endo=1,$A18&gt;=talent_start),AA18*MIN(0.5,talent_share_a*U18),0)</x:f>
        <x:v>0</x:v>
      </x:c>
      <x:c r="AC18" s="47" t="n">
        <x:f>entry_cap*People!B18</x:f>
        <x:v>1750.5317943120995</x:v>
      </x:c>
      <x:c r="AD18" s="47" t="n">
        <x:f>MIN(AC18,Y18+Z18+AB18)</x:f>
        <x:v>0</x:v>
      </x:c>
      <x:c r="AE18" s="47" t="n">
        <x:f>IF(Y18+Z18+AB18&gt;0,AD18*Y18/(Y18+Z18+AB18),0)</x:f>
        <x:v>0</x:v>
      </x:c>
      <x:c r="AF18" s="47" t="n">
        <x:f>IF(Y18+Z18+AB18&gt;0,AD18*AB18/(Y18+Z18+AB18),0)</x:f>
        <x:v>0</x:v>
      </x:c>
      <x:c r="AG18" s="47" t="n">
        <x:f>AD18*family_mult</x:f>
        <x:v>0</x:v>
      </x:c>
      <x:c r="AH18" s="47" t="n">
        <x:f>AH17*(1+Paths!C18)+AG18</x:f>
        <x:v>0</x:v>
      </x:c>
      <x:c r="AI18" s="47" t="n">
        <x:f>IF(AND(mig_endo=1,$A18&gt;=talent_start),chain_rate*AH17,0)</x:f>
        <x:v>0</x:v>
      </x:c>
      <x:c r="AJ18" s="47" t="n">
        <x:f>IF(AND(mig_endo=1,$A18&gt;=talent_start),IF(H17&gt;0,H17*job_fill,H17*job_return)*job_family,0)</x:f>
        <x:v>0</x:v>
      </x:c>
      <x:c r="AK18" s="47" t="n">
        <x:f>K18*gw_conv_family</x:f>
        <x:v>0</x:v>
      </x:c>
      <x:c r="AL18" s="47" t="n">
        <x:f>AG18+AI18+AJ18+AK18+AR18</x:f>
        <x:v>0</x:v>
      </x:c>
      <x:c r="AM18" s="47" t="n">
        <x:f>AM17*(1-skill_ret)+AD18</x:f>
        <x:v>0</x:v>
      </x:c>
      <x:c r="AN18" s="64" t="n">
        <x:f>AM18/B18</x:f>
        <x:v>0</x:v>
      </x:c>
      <x:c r="AO18" s="64" t="n">
        <x:f>(skill_rel-1+skill_spill)*AM17/B17-AT18</x:f>
        <x:v>0</x:v>
      </x:c>
      <x:c r="AP18" s="64" t="n">
        <x:f>talent_champ*AM17/(skill_base_share*B17)</x:f>
        <x:v>0</x:v>
      </x:c>
      <x:c r="AQ18" s="45" t="n">
        <x:v>175000</x:v>
      </x:c>
      <x:c r="AR18" s="47" t="n">
        <x:f>IF(AND(div_on=1,$A18&gt;=div_start),AQ18*MIN(div_max,div_rate*U18)*(1-div_comp*S18),0)</x:f>
        <x:v>0</x:v>
      </x:c>
      <x:c r="AS18" s="47" t="n">
        <x:f>AS17*(1-div_assim)+AR18</x:f>
        <x:v>0</x:v>
      </x:c>
      <x:c r="AT18" s="64" t="n">
        <x:f>(1-div_rel)*AS17/Economy!B17</x:f>
        <x:v>0</x:v>
      </x:c>
      <x:c r="AU18" s="47" t="n">
        <x:f>AU17*(1-skill_ret)+AE18</x:f>
        <x:v>0</x:v>
      </x:c>
      <x:c r="AV18" s="47" t="n">
        <x:f>AV17*(1+union_nat)+AR18</x:f>
        <x:v>0</x:v>
      </x:c>
      <x:c r="AW18" s="47" t="n">
        <x:f>AW17*(1+union_nat)+AE18*family_mult</x:f>
        <x:v>0</x:v>
      </x:c>
      <x:c r="AX18" s="67" t="n">
        <x:f>V18-(AV18+AW18)/1000000</x:f>
        <x:v>20.6</x:v>
      </x:c>
      <x:c r="AY18" s="47" t="n">
        <x:f>L18*gw_union</x:f>
        <x:v>0</x:v>
      </x:c>
      <x:c r="AZ18" s="46" t="n">
        <x:v>1.118</x:v>
      </x:c>
      <x:c r="BA18" s="47" t="n">
        <x:f>Economy!Q18*AZ18/lf_rate</x:f>
        <x:v>356.69523809523815</x:v>
      </x:c>
      <x:c r="BB18" s="64" t="n">
        <x:f>bd_growth*AU17/W17</x:f>
        <x:v>0</x:v>
      </x:c>
      <x:c r="BC18" s="64" t="n">
        <x:f>tg_k*MIN(1,Economy!O17/BK17)</x:f>
        <x:v>0.0001461659396850895</x:v>
      </x:c>
      <x:c r="BD18" s="64" t="n">
        <x:f>emu_g*S18</x:f>
        <x:v>0</x:v>
      </x:c>
      <x:c r="BE18" s="65" t="n">
        <x:f>BE17*(1-BB18-BC18+BD18)</x:f>
        <x:v>0.9986016815467809</x:v>
      </x:c>
      <x:c r="BF18" s="46" t="n">
        <x:v>1</x:v>
      </x:c>
      <x:c r="BG18" s="53" t="n">
        <x:f>AU18*BA18*BE18*(skill_rel-1+skill_spill)/1000000</x:f>
        <x:v>0</x:v>
      </x:c>
      <x:c r="BH18" s="53" t="n">
        <x:f>union_disp*(Champions!AP18+Champions!AZ18)*(1-IF(union_resp=2,mkt_cut*S18,0))</x:f>
        <x:v>0</x:v>
      </x:c>
      <x:c r="BI18" s="53" t="n">
        <x:f>AY18*BA18*BE18/1000000</x:f>
        <x:v>0</x:v>
      </x:c>
      <x:c r="BJ18" s="47" t="n">
        <x:f>V18*Economy!Q18*AZ18</x:f>
        <x:v>3086.1272000000004</x:v>
      </x:c>
      <x:c r="BK18" s="47" t="n">
        <x:f>MAX(0.3*BJ18,AX18*Economy!Q18*AZ18*BE18*BF18-BG18-BH18-BI18)</x:f>
        <x:v>3081.811811387259</x:v>
      </x:c>
      <x:c r="BL18" s="63" t="n">
        <x:f>1-BK18/BJ18</x:f>
        <x:v>0.0013983184532191384</x:v>
      </x:c>
      <x:c r="BM18" s="47" t="n">
        <x:f>MAX(0,BH18-BH17)*1000000/BA18</x:f>
        <x:v>0</x:v>
      </x:c>
      <x:c r="BN18" s="47" t="n">
        <x:f>BN17*(1-IF(AND($A18&gt;=1930,$A18&lt;=1932),0,union_reabsorb))+BM18</x:f>
        <x:v>0</x:v>
      </x:c>
      <x:c r="BO18" s="59" t="n">
        <x:v>0.04</x:v>
      </x:c>
      <x:c r="BP18" s="63" t="n">
        <x:f>BO18+BN18/(AX18*1000000*lf_rate)</x:f>
        <x:v>0.04</x:v>
      </x:c>
    </x:row>
    <x:row r="19">
      <x:c r="A19" s="58" t="n">
        <x:v>1859</x:v>
      </x:c>
      <x:c r="B19" s="47" t="n">
        <x:f>Economy!B19*lf_rate</x:f>
        <x:v>267040.0258528527</x:v>
      </x:c>
      <x:c r="C19" s="47" t="n">
        <x:f>Economy!O19*1000000/(B19+L19)</x:f>
        <x:v>621.8085906771163</x:v>
      </x:c>
      <x:c r="D19" s="47" t="n">
        <x:f>Champions!AP19*1000000/(C19*champ_prem)</x:f>
        <x:v>0</x:v>
      </x:c>
      <x:c r="E19" s="47" t="n">
        <x:f>D19*job_mult</x:f>
        <x:v>0</x:v>
      </x:c>
      <x:c r="F19" s="47" t="n">
        <x:f>D19+E19</x:f>
        <x:v>0</x:v>
      </x:c>
      <x:c r="G19" s="63" t="n">
        <x:f>F19/B19</x:f>
        <x:v>0</x:v>
      </x:c>
      <x:c r="H19" s="47" t="n">
        <x:f>F19-F18</x:f>
        <x:v>0</x:v>
      </x:c>
      <x:c r="I19" s="63" t="n">
        <x:f>MAX(0.005,pac_u_base*IF(Paths!AC19=1,pac_u_war,1)+(okun*(1-Economy!G19)*(B19+L19)-MAX(0,L18-L19))/B19)</x:f>
        <x:v>0.015</x:v>
      </x:c>
      <x:c r="J19" s="47" t="n">
        <x:f>IF(AND(gw_on=1,$A19&gt;=gw_start),MIN(gw_cap*B18,gw_cover*F18+gw_gen*B18),0)</x:f>
        <x:v>0</x:v>
      </x:c>
      <x:c r="K19" s="47" t="n">
        <x:f>L18*gw_conv</x:f>
        <x:v>0</x:v>
      </x:c>
      <x:c r="L19" s="47" t="n">
        <x:f>MAX(0,L18-K19+gw_adj*(J19-L18))*MAX(0,1-gw_slump*(1-Economy!G19))</x:f>
        <x:v>0</x:v>
      </x:c>
      <x:c r="M19" s="47" t="n">
        <x:f>MAX(0,L19-L18+L18/gw_term)</x:f>
        <x:v>0</x:v>
      </x:c>
      <x:c r="N19" s="63" t="n">
        <x:f>L19/B19</x:f>
        <x:v>0</x:v>
      </x:c>
      <x:c r="O19" s="53" t="n">
        <x:f>Economy!L19</x:f>
        <x:v>0</x:v>
      </x:c>
      <x:c r="P19" s="53" t="n">
        <x:f>O19*gw_wage_share</x:f>
        <x:v>0</x:v>
      </x:c>
      <x:c r="Q19" s="53" t="n">
        <x:f>P19*gw_levy</x:f>
        <x:v>0</x:v>
      </x:c>
      <x:c r="R19" s="53" t="n">
        <x:f>P19*gw_remit</x:f>
        <x:v>0</x:v>
      </x:c>
      <x:c r="S19" s="63" t="n">
        <x:f>IF(union_resp&gt;=1,MIN(1,MAX(0,($A19-resp_start)/(resp_full-resp_start))),0)</x:f>
        <x:v>0</x:v>
      </x:c>
      <x:c r="T19" s="67" t="n">
        <x:f>Economy!R18</x:f>
        <x:v>1.9331762746746488</x:v>
      </x:c>
      <x:c r="U19" s="67" t="n">
        <x:f>MAX(0,T19-gap_base)</x:f>
        <x:v>0.4331762746746488</x:v>
      </x:c>
      <x:c r="V19" s="68" t="n">
        <x:v>21.07</x:v>
      </x:c>
      <x:c r="W19" s="47" t="n">
        <x:f>V19*1000000*lf_rate*union_skill_share</x:f>
        <x:v>1061928</x:v>
      </x:c>
      <x:c r="X19" s="45" t="n">
        <x:v>0</x:v>
      </x:c>
      <x:c r="Y19" s="47" t="n">
        <x:f>IF(AND(mig_endo=1,$A19&gt;=talent_start),talent_rate_u*W19*U19*(1-(1-bd_keep)*S19),0)</x:f>
        <x:v>0</x:v>
      </x:c>
      <x:c r="Z19" s="47" t="n">
        <x:f>IF(AND(mig_endo=1,$A19&gt;=talent_start),X19*MIN(0.5,talent_share_o*U19)*(1-eu_comp*S19),0)</x:f>
        <x:v>0</x:v>
      </x:c>
      <x:c r="AA19" s="45" t="n">
        <x:v>0</x:v>
      </x:c>
      <x:c r="AB19" s="47" t="n">
        <x:f>IF(AND(mig_endo=1,$A19&gt;=talent_start),AA19*MIN(0.5,talent_share_a*U19),0)</x:f>
        <x:v>0</x:v>
      </x:c>
      <x:c r="AC19" s="47" t="n">
        <x:f>entry_cap*People!B19</x:f>
        <x:v>1854.7476440495327</x:v>
      </x:c>
      <x:c r="AD19" s="47" t="n">
        <x:f>MIN(AC19,Y19+Z19+AB19)</x:f>
        <x:v>0</x:v>
      </x:c>
      <x:c r="AE19" s="47" t="n">
        <x:f>IF(Y19+Z19+AB19&gt;0,AD19*Y19/(Y19+Z19+AB19),0)</x:f>
        <x:v>0</x:v>
      </x:c>
      <x:c r="AF19" s="47" t="n">
        <x:f>IF(Y19+Z19+AB19&gt;0,AD19*AB19/(Y19+Z19+AB19),0)</x:f>
        <x:v>0</x:v>
      </x:c>
      <x:c r="AG19" s="47" t="n">
        <x:f>AD19*family_mult</x:f>
        <x:v>0</x:v>
      </x:c>
      <x:c r="AH19" s="47" t="n">
        <x:f>AH18*(1+Paths!C19)+AG19</x:f>
        <x:v>0</x:v>
      </x:c>
      <x:c r="AI19" s="47" t="n">
        <x:f>IF(AND(mig_endo=1,$A19&gt;=talent_start),chain_rate*AH18,0)</x:f>
        <x:v>0</x:v>
      </x:c>
      <x:c r="AJ19" s="47" t="n">
        <x:f>IF(AND(mig_endo=1,$A19&gt;=talent_start),IF(H18&gt;0,H18*job_fill,H18*job_return)*job_family,0)</x:f>
        <x:v>0</x:v>
      </x:c>
      <x:c r="AK19" s="47" t="n">
        <x:f>K19*gw_conv_family</x:f>
        <x:v>0</x:v>
      </x:c>
      <x:c r="AL19" s="47" t="n">
        <x:f>AG19+AI19+AJ19+AK19+AR19</x:f>
        <x:v>0</x:v>
      </x:c>
      <x:c r="AM19" s="47" t="n">
        <x:f>AM18*(1-skill_ret)+AD19</x:f>
        <x:v>0</x:v>
      </x:c>
      <x:c r="AN19" s="64" t="n">
        <x:f>AM19/B19</x:f>
        <x:v>0</x:v>
      </x:c>
      <x:c r="AO19" s="64" t="n">
        <x:f>(skill_rel-1+skill_spill)*AM18/B18-AT19</x:f>
        <x:v>0</x:v>
      </x:c>
      <x:c r="AP19" s="64" t="n">
        <x:f>talent_champ*AM18/(skill_base_share*B18)</x:f>
        <x:v>0</x:v>
      </x:c>
      <x:c r="AQ19" s="45" t="n">
        <x:v>162000</x:v>
      </x:c>
      <x:c r="AR19" s="47" t="n">
        <x:f>IF(AND(div_on=1,$A19&gt;=div_start),AQ19*MIN(div_max,div_rate*U19)*(1-div_comp*S19),0)</x:f>
        <x:v>0</x:v>
      </x:c>
      <x:c r="AS19" s="47" t="n">
        <x:f>AS18*(1-div_assim)+AR19</x:f>
        <x:v>0</x:v>
      </x:c>
      <x:c r="AT19" s="64" t="n">
        <x:f>(1-div_rel)*AS18/Economy!B18</x:f>
        <x:v>0</x:v>
      </x:c>
      <x:c r="AU19" s="47" t="n">
        <x:f>AU18*(1-skill_ret)+AE19</x:f>
        <x:v>0</x:v>
      </x:c>
      <x:c r="AV19" s="47" t="n">
        <x:f>AV18*(1+union_nat)+AR19</x:f>
        <x:v>0</x:v>
      </x:c>
      <x:c r="AW19" s="47" t="n">
        <x:f>AW18*(1+union_nat)+AE19*family_mult</x:f>
        <x:v>0</x:v>
      </x:c>
      <x:c r="AX19" s="67" t="n">
        <x:f>V19-(AV19+AW19)/1000000</x:f>
        <x:v>21.07</x:v>
      </x:c>
      <x:c r="AY19" s="47" t="n">
        <x:f>L19*gw_union</x:f>
        <x:v>0</x:v>
      </x:c>
      <x:c r="AZ19" s="46" t="n">
        <x:v>1.117</x:v>
      </x:c>
      <x:c r="BA19" s="47" t="n">
        <x:f>Economy!Q19*AZ19/lf_rate</x:f>
        <x:v>364.3547619047619</x:v>
      </x:c>
      <x:c r="BB19" s="64" t="n">
        <x:f>bd_growth*AU18/W18</x:f>
        <x:v>0</x:v>
      </x:c>
      <x:c r="BC19" s="64" t="n">
        <x:f>tg_k*MIN(1,Economy!O18/BK18)</x:f>
        <x:v>0.00015152317978016719</x:v>
      </x:c>
      <x:c r="BD19" s="64" t="n">
        <x:f>emu_g*S19</x:f>
        <x:v>0</x:v>
      </x:c>
      <x:c r="BE19" s="65" t="n">
        <x:f>BE18*(1-BB19-BC19+BD19)</x:f>
        <x:v>0.9984503702446591</x:v>
      </x:c>
      <x:c r="BF19" s="46" t="n">
        <x:v>1</x:v>
      </x:c>
      <x:c r="BG19" s="53" t="n">
        <x:f>AU19*BA19*BE19*(skill_rel-1+skill_spill)/1000000</x:f>
        <x:v>0</x:v>
      </x:c>
      <x:c r="BH19" s="53" t="n">
        <x:f>union_disp*(Champions!AP19+Champions!AZ19)*(1-IF(union_resp=2,mkt_cut*S19,0))</x:f>
        <x:v>0</x:v>
      </x:c>
      <x:c r="BI19" s="53" t="n">
        <x:f>AY19*BA19*BE19/1000000</x:f>
        <x:v>0</x:v>
      </x:c>
      <x:c r="BJ19" s="47" t="n">
        <x:f>V19*Economy!Q19*AZ19</x:f>
        <x:v>3224.32103</x:v>
      </x:c>
      <x:c r="BK19" s="47" t="n">
        <x:f>MAX(0.3*BJ19,AX19*Economy!Q19*AZ19*BE19*BF19-BG19-BH19-BI19)</x:f>
        <x:v>3219.3245261911406</x:v>
      </x:c>
      <x:c r="BL19" s="63" t="n">
        <x:f>1-BK19/BJ19</x:f>
        <x:v>0.0015496297553408978</x:v>
      </x:c>
      <x:c r="BM19" s="47" t="n">
        <x:f>MAX(0,BH19-BH18)*1000000/BA19</x:f>
        <x:v>0</x:v>
      </x:c>
      <x:c r="BN19" s="47" t="n">
        <x:f>BN18*(1-IF(AND($A19&gt;=1930,$A19&lt;=1932),0,union_reabsorb))+BM19</x:f>
        <x:v>0</x:v>
      </x:c>
      <x:c r="BO19" s="59" t="n">
        <x:v>0.04</x:v>
      </x:c>
      <x:c r="BP19" s="63" t="n">
        <x:f>BO19+BN19/(AX19*1000000*lf_rate)</x:f>
        <x:v>0.04</x:v>
      </x:c>
    </x:row>
    <x:row r="20">
      <x:c r="A20" s="58" t="n">
        <x:v>1860</x:v>
      </x:c>
      <x:c r="B20" s="47" t="n">
        <x:f>Economy!B20*lf_rate</x:f>
        <x:v>282174.26613723405</x:v>
      </x:c>
      <x:c r="C20" s="47" t="n">
        <x:f>Economy!O20*1000000/(B20+L20)</x:f>
        <x:v>620.2031451024121</x:v>
      </x:c>
      <x:c r="D20" s="47" t="n">
        <x:f>Champions!AP20*1000000/(C20*champ_prem)</x:f>
        <x:v>895.7638476080582</x:v>
      </x:c>
      <x:c r="E20" s="47" t="n">
        <x:f>D20*job_mult</x:f>
        <x:v>627.0346933256407</x:v>
      </x:c>
      <x:c r="F20" s="47" t="n">
        <x:f>D20+E20</x:f>
        <x:v>1522.7985409336989</x:v>
      </x:c>
      <x:c r="G20" s="63" t="n">
        <x:f>F20/B20</x:f>
        <x:v>0.0053966598789454935</x:v>
      </x:c>
      <x:c r="H20" s="47" t="n">
        <x:f>F20-F19</x:f>
        <x:v>1522.7985409336989</x:v>
      </x:c>
      <x:c r="I20" s="63" t="n">
        <x:f>MAX(0.005,pac_u_base*IF(Paths!AC20=1,pac_u_war,1)+(okun*(1-Economy!G20)*(B20+L20)-MAX(0,L19-L20))/B20)</x:f>
        <x:v>0.015</x:v>
      </x:c>
      <x:c r="J20" s="47" t="n">
        <x:f>IF(AND(gw_on=1,$A20&gt;=gw_start),MIN(gw_cap*B19,gw_cover*F19+gw_gen*B19),0)</x:f>
        <x:v>0</x:v>
      </x:c>
      <x:c r="K20" s="47" t="n">
        <x:f>L19*gw_conv</x:f>
        <x:v>0</x:v>
      </x:c>
      <x:c r="L20" s="47" t="n">
        <x:f>MAX(0,L19-K20+gw_adj*(J20-L19))*MAX(0,1-gw_slump*(1-Economy!G20))</x:f>
        <x:v>0</x:v>
      </x:c>
      <x:c r="M20" s="47" t="n">
        <x:f>MAX(0,L20-L19+L19/gw_term)</x:f>
        <x:v>0</x:v>
      </x:c>
      <x:c r="N20" s="63" t="n">
        <x:f>L20/B20</x:f>
        <x:v>0</x:v>
      </x:c>
      <x:c r="O20" s="53" t="n">
        <x:f>Economy!L20</x:f>
        <x:v>0</x:v>
      </x:c>
      <x:c r="P20" s="53" t="n">
        <x:f>O20*gw_wage_share</x:f>
        <x:v>0</x:v>
      </x:c>
      <x:c r="Q20" s="53" t="n">
        <x:f>P20*gw_levy</x:f>
        <x:v>0</x:v>
      </x:c>
      <x:c r="R20" s="53" t="n">
        <x:f>P20*gw_remit</x:f>
        <x:v>0</x:v>
      </x:c>
      <x:c r="S20" s="63" t="n">
        <x:f>IF(union_resp&gt;=1,MIN(1,MAX(0,($A20-resp_start)/(resp_full-resp_start))),0)</x:f>
        <x:v>0</x:v>
      </x:c>
      <x:c r="T20" s="67" t="n">
        <x:f>Economy!R19</x:f>
        <x:v>1.9062745115648818</x:v>
      </x:c>
      <x:c r="U20" s="67" t="n">
        <x:f>MAX(0,T20-gap_base)</x:f>
        <x:v>0.4062745115648818</x:v>
      </x:c>
      <x:c r="V20" s="68" t="n">
        <x:v>21.53</x:v>
      </x:c>
      <x:c r="W20" s="47" t="n">
        <x:f>V20*1000000*lf_rate*union_skill_share</x:f>
        <x:v>1085112</x:v>
      </x:c>
      <x:c r="X20" s="45" t="n">
        <x:v>0</x:v>
      </x:c>
      <x:c r="Y20" s="47" t="n">
        <x:f>IF(AND(mig_endo=1,$A20&gt;=talent_start),talent_rate_u*W20*U20*(1-(1-bd_keep)*S20),0)</x:f>
        <x:v>0</x:v>
      </x:c>
      <x:c r="Z20" s="47" t="n">
        <x:f>IF(AND(mig_endo=1,$A20&gt;=talent_start),X20*MIN(0.5,talent_share_o*U20)*(1-eu_comp*S20),0)</x:f>
        <x:v>0</x:v>
      </x:c>
      <x:c r="AA20" s="45" t="n">
        <x:v>0</x:v>
      </x:c>
      <x:c r="AB20" s="47" t="n">
        <x:f>IF(AND(mig_endo=1,$A20&gt;=talent_start),AA20*MIN(0.5,talent_share_a*U20),0)</x:f>
        <x:v>0</x:v>
      </x:c>
      <x:c r="AC20" s="47" t="n">
        <x:f>entry_cap*People!B20</x:f>
        <x:v>1960.1098681340773</x:v>
      </x:c>
      <x:c r="AD20" s="47" t="n">
        <x:f>MIN(AC20,Y20+Z20+AB20)</x:f>
        <x:v>0</x:v>
      </x:c>
      <x:c r="AE20" s="47" t="n">
        <x:f>IF(Y20+Z20+AB20&gt;0,AD20*Y20/(Y20+Z20+AB20),0)</x:f>
        <x:v>0</x:v>
      </x:c>
      <x:c r="AF20" s="47" t="n">
        <x:f>IF(Y20+Z20+AB20&gt;0,AD20*AB20/(Y20+Z20+AB20),0)</x:f>
        <x:v>0</x:v>
      </x:c>
      <x:c r="AG20" s="47" t="n">
        <x:f>AD20*family_mult</x:f>
        <x:v>0</x:v>
      </x:c>
      <x:c r="AH20" s="47" t="n">
        <x:f>AH19*(1+Paths!C20)+AG20</x:f>
        <x:v>0</x:v>
      </x:c>
      <x:c r="AI20" s="47" t="n">
        <x:f>IF(AND(mig_endo=1,$A20&gt;=talent_start),chain_rate*AH19,0)</x:f>
        <x:v>0</x:v>
      </x:c>
      <x:c r="AJ20" s="47" t="n">
        <x:f>IF(AND(mig_endo=1,$A20&gt;=talent_start),IF(H19&gt;0,H19*job_fill,H19*job_return)*job_family,0)</x:f>
        <x:v>0</x:v>
      </x:c>
      <x:c r="AK20" s="47" t="n">
        <x:f>K20*gw_conv_family</x:f>
        <x:v>0</x:v>
      </x:c>
      <x:c r="AL20" s="47" t="n">
        <x:f>AG20+AI20+AJ20+AK20+AR20</x:f>
        <x:v>0</x:v>
      </x:c>
      <x:c r="AM20" s="47" t="n">
        <x:f>AM19*(1-skill_ret)+AD20</x:f>
        <x:v>0</x:v>
      </x:c>
      <x:c r="AN20" s="64" t="n">
        <x:f>AM20/B20</x:f>
        <x:v>0</x:v>
      </x:c>
      <x:c r="AO20" s="64" t="n">
        <x:f>(skill_rel-1+skill_spill)*AM19/B19-AT20</x:f>
        <x:v>0</x:v>
      </x:c>
      <x:c r="AP20" s="64" t="n">
        <x:f>talent_champ*AM19/(skill_base_share*B19)</x:f>
        <x:v>0</x:v>
      </x:c>
      <x:c r="AQ20" s="45" t="n">
        <x:v>150000</x:v>
      </x:c>
      <x:c r="AR20" s="47" t="n">
        <x:f>IF(AND(div_on=1,$A20&gt;=div_start),AQ20*MIN(div_max,div_rate*U20)*(1-div_comp*S20),0)</x:f>
        <x:v>0</x:v>
      </x:c>
      <x:c r="AS20" s="47" t="n">
        <x:f>AS19*(1-div_assim)+AR20</x:f>
        <x:v>0</x:v>
      </x:c>
      <x:c r="AT20" s="64" t="n">
        <x:f>(1-div_rel)*AS19/Economy!B19</x:f>
        <x:v>0</x:v>
      </x:c>
      <x:c r="AU20" s="47" t="n">
        <x:f>AU19*(1-skill_ret)+AE20</x:f>
        <x:v>0</x:v>
      </x:c>
      <x:c r="AV20" s="47" t="n">
        <x:f>AV19*(1+union_nat)+AR20</x:f>
        <x:v>0</x:v>
      </x:c>
      <x:c r="AW20" s="47" t="n">
        <x:f>AW19*(1+union_nat)+AE20*family_mult</x:f>
        <x:v>0</x:v>
      </x:c>
      <x:c r="AX20" s="67" t="n">
        <x:f>V20-(AV20+AW20)/1000000</x:f>
        <x:v>21.53</x:v>
      </x:c>
      <x:c r="AY20" s="47" t="n">
        <x:f>L20*gw_union</x:f>
        <x:v>0</x:v>
      </x:c>
      <x:c r="AZ20" s="46" t="n">
        <x:v>1.117</x:v>
      </x:c>
      <x:c r="BA20" s="47" t="n">
        <x:f>Economy!Q20*AZ20/lf_rate</x:f>
        <x:v>372.3333333333333</x:v>
      </x:c>
      <x:c r="BB20" s="64" t="n">
        <x:f>bd_growth*AU19/W19</x:f>
        <x:v>0</x:v>
      </x:c>
      <x:c r="BC20" s="64" t="n">
        <x:f>tg_k*MIN(1,Economy!O19/BK19)</x:f>
        <x:v>0.00015473536213486198</x:v>
      </x:c>
      <x:c r="BD20" s="64" t="n">
        <x:f>emu_g*S20</x:f>
        <x:v>0</x:v>
      </x:c>
      <x:c r="BE20" s="65" t="n">
        <x:f>BE19*(1-BB20-BC20+BD20)</x:f>
        <x:v>0.9982958746650457</x:v>
      </x:c>
      <x:c r="BF20" s="46" t="n">
        <x:v>1</x:v>
      </x:c>
      <x:c r="BG20" s="53" t="n">
        <x:f>AU20*BA20*BE20*(skill_rel-1+skill_spill)/1000000</x:f>
        <x:v>0</x:v>
      </x:c>
      <x:c r="BH20" s="53" t="n">
        <x:f>union_disp*(Champions!AP20+Champions!AZ20)*(1-IF(union_resp=2,mkt_cut*S20,0))</x:f>
        <x:v>0.3</x:v>
      </x:c>
      <x:c r="BI20" s="53" t="n">
        <x:f>AY20*BA20*BE20/1000000</x:f>
        <x:v>0</x:v>
      </x:c>
      <x:c r="BJ20" s="47" t="n">
        <x:f>V20*Economy!Q20*AZ20</x:f>
        <x:v>3366.8614000000002</x:v>
      </x:c>
      <x:c r="BK20" s="47" t="n">
        <x:f>MAX(0.3*BJ20,AX20*Economy!Q20*AZ20*BE20*BF20-BG20-BH20-BI20)</x:f>
        <x:v>3360.82384618898</x:v>
      </x:c>
      <x:c r="BL20" s="63" t="n">
        <x:f>1-BK20/BJ20</x:f>
        <x:v>0.001793229091943127</x:v>
      </x:c>
      <x:c r="BM20" s="47" t="n">
        <x:f>MAX(0,BH20-BH19)*1000000/BA20</x:f>
        <x:v>805.7296329453894</x:v>
      </x:c>
      <x:c r="BN20" s="47" t="n">
        <x:f>BN19*(1-IF(AND($A20&gt;=1930,$A20&lt;=1932),0,union_reabsorb))+BM20</x:f>
        <x:v>805.7296329453894</x:v>
      </x:c>
      <x:c r="BO20" s="59" t="n">
        <x:v>0.04</x:v>
      </x:c>
      <x:c r="BP20" s="63" t="n">
        <x:f>BO20+BN20/(AX20*1000000*lf_rate)</x:f>
        <x:v>0.04008910375698863</x:v>
      </x:c>
    </x:row>
    <x:row r="21">
      <x:c r="A21" s="61" t="n">
        <x:v>1861</x:v>
      </x:c>
      <x:c r="B21" s="47" t="n">
        <x:f>Economy!B21*lf_rate</x:f>
        <x:v>298617.3830647436</x:v>
      </x:c>
      <x:c r="C21" s="47" t="n">
        <x:f>Economy!O21*1000000/(B21+L21)</x:f>
        <x:v>604.3416529233643</x:v>
      </x:c>
      <x:c r="D21" s="47" t="n">
        <x:f>Champions!AP21*1000000/(C21*champ_prem)</x:f>
        <x:v>919.2739783335845</x:v>
      </x:c>
      <x:c r="E21" s="47" t="n">
        <x:f>D21*job_mult</x:f>
        <x:v>643.4917848335091</x:v>
      </x:c>
      <x:c r="F21" s="47" t="n">
        <x:f>D21+E21</x:f>
        <x:v>1562.7657631670936</x:v>
      </x:c>
      <x:c r="G21" s="63" t="n">
        <x:f>F21/B21</x:f>
        <x:v>0.005233338217381232</x:v>
      </x:c>
      <x:c r="H21" s="47" t="n">
        <x:f>F21-F20</x:f>
        <x:v>39.96722223339475</x:v>
      </x:c>
      <x:c r="I21" s="63" t="n">
        <x:f>MAX(0.005,pac_u_base*IF(Paths!AC21=1,pac_u_war,1)+(okun*(1-Economy!G21)*(B21+L21)-MAX(0,L20-L21))/B21)</x:f>
        <x:v>0.01900000000000001</x:v>
      </x:c>
      <x:c r="J21" s="47" t="n">
        <x:f>IF(AND(gw_on=1,$A21&gt;=gw_start),MIN(gw_cap*B20,gw_cover*F20+gw_gen*B20),0)</x:f>
        <x:v>0</x:v>
      </x:c>
      <x:c r="K21" s="47" t="n">
        <x:f>L20*gw_conv</x:f>
        <x:v>0</x:v>
      </x:c>
      <x:c r="L21" s="47" t="n">
        <x:f>MAX(0,L20-K21+gw_adj*(J21-L20))*MAX(0,1-gw_slump*(1-Economy!G21))</x:f>
        <x:v>0</x:v>
      </x:c>
      <x:c r="M21" s="47" t="n">
        <x:f>MAX(0,L21-L20+L20/gw_term)</x:f>
        <x:v>0</x:v>
      </x:c>
      <x:c r="N21" s="63" t="n">
        <x:f>L21/B21</x:f>
        <x:v>0</x:v>
      </x:c>
      <x:c r="O21" s="53" t="n">
        <x:f>Economy!L21</x:f>
        <x:v>0</x:v>
      </x:c>
      <x:c r="P21" s="53" t="n">
        <x:f>O21*gw_wage_share</x:f>
        <x:v>0</x:v>
      </x:c>
      <x:c r="Q21" s="53" t="n">
        <x:f>P21*gw_levy</x:f>
        <x:v>0</x:v>
      </x:c>
      <x:c r="R21" s="53" t="n">
        <x:f>P21*gw_remit</x:f>
        <x:v>0</x:v>
      </x:c>
      <x:c r="S21" s="63" t="n">
        <x:f>IF(union_resp&gt;=1,MIN(1,MAX(0,($A21-resp_start)/(resp_full-resp_start))),0)</x:f>
        <x:v>0</x:v>
      </x:c>
      <x:c r="T21" s="67" t="n">
        <x:f>Economy!R20</x:f>
        <x:v>1.8606094353072364</x:v>
      </x:c>
      <x:c r="U21" s="67" t="n">
        <x:f>MAX(0,T21-gap_base)</x:f>
        <x:v>0.36060943530723644</x:v>
      </x:c>
      <x:c r="V21" s="68" t="n">
        <x:v>22</x:v>
      </x:c>
      <x:c r="W21" s="47" t="n">
        <x:f>V21*1000000*lf_rate*union_skill_share</x:f>
        <x:v>1108800</x:v>
      </x:c>
      <x:c r="X21" s="45" t="n">
        <x:v>0</x:v>
      </x:c>
      <x:c r="Y21" s="47" t="n">
        <x:f>IF(AND(mig_endo=1,$A21&gt;=talent_start),talent_rate_u*W21*U21*(1-(1-bd_keep)*S21),0)</x:f>
        <x:v>0</x:v>
      </x:c>
      <x:c r="Z21" s="47" t="n">
        <x:f>IF(AND(mig_endo=1,$A21&gt;=talent_start),X21*MIN(0.5,talent_share_o*U21)*(1-eu_comp*S21),0)</x:f>
        <x:v>0</x:v>
      </x:c>
      <x:c r="AA21" s="45" t="n">
        <x:v>0</x:v>
      </x:c>
      <x:c r="AB21" s="47" t="n">
        <x:f>IF(AND(mig_endo=1,$A21&gt;=talent_start),AA21*MIN(0.5,talent_share_a*U21),0)</x:f>
        <x:v>0</x:v>
      </x:c>
      <x:c r="AC21" s="47" t="n">
        <x:f>entry_cap*People!B21</x:f>
        <x:v>2070.951076683552</x:v>
      </x:c>
      <x:c r="AD21" s="47" t="n">
        <x:f>MIN(AC21,Y21+Z21+AB21)</x:f>
        <x:v>0</x:v>
      </x:c>
      <x:c r="AE21" s="47" t="n">
        <x:f>IF(Y21+Z21+AB21&gt;0,AD21*Y21/(Y21+Z21+AB21),0)</x:f>
        <x:v>0</x:v>
      </x:c>
      <x:c r="AF21" s="47" t="n">
        <x:f>IF(Y21+Z21+AB21&gt;0,AD21*AB21/(Y21+Z21+AB21),0)</x:f>
        <x:v>0</x:v>
      </x:c>
      <x:c r="AG21" s="47" t="n">
        <x:f>AD21*family_mult</x:f>
        <x:v>0</x:v>
      </x:c>
      <x:c r="AH21" s="47" t="n">
        <x:f>AH20*(1+Paths!C21)+AG21</x:f>
        <x:v>0</x:v>
      </x:c>
      <x:c r="AI21" s="47" t="n">
        <x:f>IF(AND(mig_endo=1,$A21&gt;=talent_start),chain_rate*AH20,0)</x:f>
        <x:v>0</x:v>
      </x:c>
      <x:c r="AJ21" s="47" t="n">
        <x:f>IF(AND(mig_endo=1,$A21&gt;=talent_start),IF(H20&gt;0,H20*job_fill,H20*job_return)*job_family,0)</x:f>
        <x:v>0</x:v>
      </x:c>
      <x:c r="AK21" s="47" t="n">
        <x:f>K21*gw_conv_family</x:f>
        <x:v>0</x:v>
      </x:c>
      <x:c r="AL21" s="47" t="n">
        <x:f>AG21+AI21+AJ21+AK21+AR21</x:f>
        <x:v>0</x:v>
      </x:c>
      <x:c r="AM21" s="47" t="n">
        <x:f>AM20*(1-skill_ret)+AD21</x:f>
        <x:v>0</x:v>
      </x:c>
      <x:c r="AN21" s="64" t="n">
        <x:f>AM21/B21</x:f>
        <x:v>0</x:v>
      </x:c>
      <x:c r="AO21" s="64" t="n">
        <x:f>(skill_rel-1+skill_spill)*AM20/B20-AT21</x:f>
        <x:v>0</x:v>
      </x:c>
      <x:c r="AP21" s="64" t="n">
        <x:f>talent_champ*AM20/(skill_base_share*B20)</x:f>
        <x:v>0</x:v>
      </x:c>
      <x:c r="AQ21" s="45" t="n">
        <x:v>178000</x:v>
      </x:c>
      <x:c r="AR21" s="47" t="n">
        <x:f>IF(AND(div_on=1,$A21&gt;=div_start),AQ21*MIN(div_max,div_rate*U21)*(1-div_comp*S21),0)</x:f>
        <x:v>0</x:v>
      </x:c>
      <x:c r="AS21" s="47" t="n">
        <x:f>AS20*(1-div_assim)+AR21</x:f>
        <x:v>0</x:v>
      </x:c>
      <x:c r="AT21" s="64" t="n">
        <x:f>(1-div_rel)*AS20/Economy!B20</x:f>
        <x:v>0</x:v>
      </x:c>
      <x:c r="AU21" s="47" t="n">
        <x:f>AU20*(1-skill_ret)+AE21</x:f>
        <x:v>0</x:v>
      </x:c>
      <x:c r="AV21" s="47" t="n">
        <x:f>AV20*(1+union_nat)+AR21</x:f>
        <x:v>0</x:v>
      </x:c>
      <x:c r="AW21" s="47" t="n">
        <x:f>AW20*(1+union_nat)+AE21*family_mult</x:f>
        <x:v>0</x:v>
      </x:c>
      <x:c r="AX21" s="67" t="n">
        <x:f>V21-(AV21+AW21)/1000000</x:f>
        <x:v>22</x:v>
      </x:c>
      <x:c r="AY21" s="47" t="n">
        <x:f>L21*gw_union</x:f>
        <x:v>0</x:v>
      </x:c>
      <x:c r="AZ21" s="46" t="n">
        <x:v>1.117</x:v>
      </x:c>
      <x:c r="BA21" s="47" t="n">
        <x:f>Economy!Q21*AZ21/lf_rate</x:f>
        <x:v>377.65238095238095</x:v>
      </x:c>
      <x:c r="BB21" s="64" t="n">
        <x:f>bd_growth*AU20/W20</x:f>
        <x:v>0</x:v>
      </x:c>
      <x:c r="BC21" s="64" t="n">
        <x:f>tg_k*MIN(1,Economy!O20/BK20)</x:f>
        <x:v>0.00015621648917159912</x:v>
      </x:c>
      <x:c r="BD21" s="64" t="n">
        <x:f>emu_g*S21</x:f>
        <x:v>0</x:v>
      </x:c>
      <x:c r="BE21" s="65" t="n">
        <x:f>BE20*(1-BB21-BC21+BD21)</x:f>
        <x:v>0.998139924388351</x:v>
      </x:c>
      <x:c r="BF21" s="46" t="n">
        <x:v>1</x:v>
      </x:c>
      <x:c r="BG21" s="53" t="n">
        <x:f>AU21*BA21*BE21*(skill_rel-1+skill_spill)/1000000</x:f>
        <x:v>0</x:v>
      </x:c>
      <x:c r="BH21" s="53" t="n">
        <x:f>union_disp*(Champions!AP21+Champions!AZ21)*(1-IF(union_resp=2,mkt_cut*S21,0))</x:f>
        <x:v>0.3</x:v>
      </x:c>
      <x:c r="BI21" s="53" t="n">
        <x:f>AY21*BA21*BE21/1000000</x:f>
        <x:v>0</x:v>
      </x:c>
      <x:c r="BJ21" s="47" t="n">
        <x:f>V21*Economy!Q21*AZ21</x:f>
        <x:v>3489.508</x:v>
      </x:c>
      <x:c r="BK21" s="47" t="n">
        <x:f>MAX(0.3*BJ21,AX21*Economy!Q21*AZ21*BE21*BF21-BG21-BH21-BI21)</x:f>
        <x:v>3482.7172512725456</x:v>
      </x:c>
      <x:c r="BL21" s="63" t="n">
        <x:f>1-BK21/BJ21</x:f>
        <x:v>0.0019460476168715601</x:v>
      </x:c>
      <x:c r="BM21" s="47" t="n">
        <x:f>MAX(0,BH21-BH20)*1000000/BA21</x:f>
        <x:v>0</x:v>
      </x:c>
      <x:c r="BN21" s="47" t="n">
        <x:f>BN20*(1-IF(AND($A21&gt;=1930,$A21&lt;=1932),0,union_reabsorb))+BM21</x:f>
        <x:v>604.2972247090421</x:v>
      </x:c>
      <x:c r="BO21" s="59" t="n">
        <x:v>0.04</x:v>
      </x:c>
      <x:c r="BP21" s="63" t="n">
        <x:f>BO21+BN21/(AX21*1000000*lf_rate)</x:f>
        <x:v>0.04006540013254427</x:v>
      </x:c>
    </x:row>
    <x:row r="22">
      <x:c r="A22" s="61" t="n">
        <x:v>1862</x:v>
      </x:c>
      <x:c r="B22" s="47" t="n">
        <x:f>Economy!B22*lf_rate</x:f>
        <x:v>353712.3267015465</x:v>
      </x:c>
      <x:c r="C22" s="47" t="n">
        <x:f>Economy!O22*1000000/(B22+L22)</x:f>
        <x:v>587.9247418194618</x:v>
      </x:c>
      <x:c r="D22" s="47" t="n">
        <x:f>Champions!AP22*1000000/(C22*champ_prem)</x:f>
        <x:v>944.9433167862052</x:v>
      </x:c>
      <x:c r="E22" s="47" t="n">
        <x:f>D22*job_mult</x:f>
        <x:v>661.4603217503436</x:v>
      </x:c>
      <x:c r="F22" s="47" t="n">
        <x:f>D22+E22</x:f>
        <x:v>1606.403638536549</x:v>
      </x:c>
      <x:c r="G22" s="63" t="n">
        <x:f>F22/B22</x:f>
        <x:v>0.004541554017968934</x:v>
      </x:c>
      <x:c r="H22" s="47" t="n">
        <x:f>F22-F21</x:f>
        <x:v>43.63787536945529</x:v>
      </x:c>
      <x:c r="I22" s="63" t="n">
        <x:f>MAX(0.005,pac_u_base*IF(Paths!AC22=1,pac_u_war,1)+(okun*(1-Economy!G22)*(B22+L22)-MAX(0,L21-L22))/B22)</x:f>
        <x:v>0.024000000000000014</x:v>
      </x:c>
      <x:c r="J22" s="47" t="n">
        <x:f>IF(AND(gw_on=1,$A22&gt;=gw_start),MIN(gw_cap*B21,gw_cover*F21+gw_gen*B21),0)</x:f>
        <x:v>0</x:v>
      </x:c>
      <x:c r="K22" s="47" t="n">
        <x:f>L21*gw_conv</x:f>
        <x:v>0</x:v>
      </x:c>
      <x:c r="L22" s="47" t="n">
        <x:f>MAX(0,L21-K22+gw_adj*(J22-L21))*MAX(0,1-gw_slump*(1-Economy!G22))</x:f>
        <x:v>0</x:v>
      </x:c>
      <x:c r="M22" s="47" t="n">
        <x:f>MAX(0,L22-L21+L21/gw_term)</x:f>
        <x:v>0</x:v>
      </x:c>
      <x:c r="N22" s="63" t="n">
        <x:f>L22/B22</x:f>
        <x:v>0</x:v>
      </x:c>
      <x:c r="O22" s="53" t="n">
        <x:f>Economy!L22</x:f>
        <x:v>0</x:v>
      </x:c>
      <x:c r="P22" s="53" t="n">
        <x:f>O22*gw_wage_share</x:f>
        <x:v>0</x:v>
      </x:c>
      <x:c r="Q22" s="53" t="n">
        <x:f>P22*gw_levy</x:f>
        <x:v>0</x:v>
      </x:c>
      <x:c r="R22" s="53" t="n">
        <x:f>P22*gw_remit</x:f>
        <x:v>0</x:v>
      </x:c>
      <x:c r="S22" s="63" t="n">
        <x:f>IF(union_resp&gt;=1,MIN(1,MAX(0,($A22-resp_start)/(resp_full-resp_start))),0)</x:f>
        <x:v>0</x:v>
      </x:c>
      <x:c r="T22" s="67" t="n">
        <x:f>Economy!R21</x:f>
        <x:v>1.7874893959705138</x:v>
      </x:c>
      <x:c r="U22" s="67" t="n">
        <x:f>MAX(0,T22-gap_base)</x:f>
        <x:v>0.2874893959705138</x:v>
      </x:c>
      <x:c r="V22" s="68" t="n">
        <x:v>22.75</x:v>
      </x:c>
      <x:c r="W22" s="47" t="n">
        <x:f>V22*1000000*lf_rate*union_skill_share</x:f>
        <x:v>1146600</x:v>
      </x:c>
      <x:c r="X22" s="45" t="n">
        <x:v>0</x:v>
      </x:c>
      <x:c r="Y22" s="47" t="n">
        <x:f>IF(AND(mig_endo=1,$A22&gt;=talent_start),talent_rate_u*W22*U22*(1-(1-bd_keep)*S22),0)</x:f>
        <x:v>0</x:v>
      </x:c>
      <x:c r="Z22" s="47" t="n">
        <x:f>IF(AND(mig_endo=1,$A22&gt;=talent_start),X22*MIN(0.5,talent_share_o*U22)*(1-eu_comp*S22),0)</x:f>
        <x:v>0</x:v>
      </x:c>
      <x:c r="AA22" s="45" t="n">
        <x:v>0</x:v>
      </x:c>
      <x:c r="AB22" s="47" t="n">
        <x:f>IF(AND(mig_endo=1,$A22&gt;=talent_start),AA22*MIN(0.5,talent_share_a*U22),0)</x:f>
        <x:v>0</x:v>
      </x:c>
      <x:c r="AC22" s="47" t="n">
        <x:f>entry_cap*People!B22</x:f>
        <x:v>2195.011538527071</x:v>
      </x:c>
      <x:c r="AD22" s="47" t="n">
        <x:f>MIN(AC22,Y22+Z22+AB22)</x:f>
        <x:v>0</x:v>
      </x:c>
      <x:c r="AE22" s="47" t="n">
        <x:f>IF(Y22+Z22+AB22&gt;0,AD22*Y22/(Y22+Z22+AB22),0)</x:f>
        <x:v>0</x:v>
      </x:c>
      <x:c r="AF22" s="47" t="n">
        <x:f>IF(Y22+Z22+AB22&gt;0,AD22*AB22/(Y22+Z22+AB22),0)</x:f>
        <x:v>0</x:v>
      </x:c>
      <x:c r="AG22" s="47" t="n">
        <x:f>AD22*family_mult</x:f>
        <x:v>0</x:v>
      </x:c>
      <x:c r="AH22" s="47" t="n">
        <x:f>AH21*(1+Paths!C22)+AG22</x:f>
        <x:v>0</x:v>
      </x:c>
      <x:c r="AI22" s="47" t="n">
        <x:f>IF(AND(mig_endo=1,$A22&gt;=talent_start),chain_rate*AH21,0)</x:f>
        <x:v>0</x:v>
      </x:c>
      <x:c r="AJ22" s="47" t="n">
        <x:f>IF(AND(mig_endo=1,$A22&gt;=talent_start),IF(H21&gt;0,H21*job_fill,H21*job_return)*job_family,0)</x:f>
        <x:v>0</x:v>
      </x:c>
      <x:c r="AK22" s="47" t="n">
        <x:f>K22*gw_conv_family</x:f>
        <x:v>0</x:v>
      </x:c>
      <x:c r="AL22" s="47" t="n">
        <x:f>AG22+AI22+AJ22+AK22+AR22</x:f>
        <x:v>0</x:v>
      </x:c>
      <x:c r="AM22" s="47" t="n">
        <x:f>AM21*(1-skill_ret)+AD22</x:f>
        <x:v>0</x:v>
      </x:c>
      <x:c r="AN22" s="64" t="n">
        <x:f>AM22/B22</x:f>
        <x:v>0</x:v>
      </x:c>
      <x:c r="AO22" s="64" t="n">
        <x:f>(skill_rel-1+skill_spill)*AM21/B21-AT22</x:f>
        <x:v>0</x:v>
      </x:c>
      <x:c r="AP22" s="64" t="n">
        <x:f>talent_champ*AM21/(skill_base_share*B21)</x:f>
        <x:v>0</x:v>
      </x:c>
      <x:c r="AQ22" s="45" t="n">
        <x:v>207000</x:v>
      </x:c>
      <x:c r="AR22" s="47" t="n">
        <x:f>IF(AND(div_on=1,$A22&gt;=div_start),AQ22*MIN(div_max,div_rate*U22)*(1-div_comp*S22),0)</x:f>
        <x:v>0</x:v>
      </x:c>
      <x:c r="AS22" s="47" t="n">
        <x:f>AS21*(1-div_assim)+AR22</x:f>
        <x:v>0</x:v>
      </x:c>
      <x:c r="AT22" s="64" t="n">
        <x:f>(1-div_rel)*AS21/Economy!B21</x:f>
        <x:v>0</x:v>
      </x:c>
      <x:c r="AU22" s="47" t="n">
        <x:f>AU21*(1-skill_ret)+AE22</x:f>
        <x:v>0</x:v>
      </x:c>
      <x:c r="AV22" s="47" t="n">
        <x:f>AV21*(1+union_nat)+AR22</x:f>
        <x:v>0</x:v>
      </x:c>
      <x:c r="AW22" s="47" t="n">
        <x:f>AW21*(1+union_nat)+AE22*family_mult</x:f>
        <x:v>0</x:v>
      </x:c>
      <x:c r="AX22" s="67" t="n">
        <x:f>V22-(AV22+AW22)/1000000</x:f>
        <x:v>22.75</x:v>
      </x:c>
      <x:c r="AY22" s="47" t="n">
        <x:f>L22*gw_union</x:f>
        <x:v>0</x:v>
      </x:c>
      <x:c r="AZ22" s="46" t="n">
        <x:v>1.117</x:v>
      </x:c>
      <x:c r="BA22" s="47" t="n">
        <x:f>Economy!Q22*AZ22/lf_rate</x:f>
        <x:v>382.9714285714286</x:v>
      </x:c>
      <x:c r="BB22" s="64" t="n">
        <x:f>bd_growth*AU21/W21</x:f>
        <x:v>0</x:v>
      </x:c>
      <x:c r="BC22" s="64" t="n">
        <x:f>tg_k*MIN(1,Economy!O21/BK21)</x:f>
        <x:v>0.00015545355237240924</x:v>
      </x:c>
      <x:c r="BD22" s="64" t="n">
        <x:f>emu_g*S22</x:f>
        <x:v>0</x:v>
      </x:c>
      <x:c r="BE22" s="65" t="n">
        <x:f>BE21*(1-BB22-BC22+BD22)</x:f>
        <x:v>0.9979847599913401</x:v>
      </x:c>
      <x:c r="BF22" s="46" t="n">
        <x:v>1</x:v>
      </x:c>
      <x:c r="BG22" s="53" t="n">
        <x:f>AU22*BA22*BE22*(skill_rel-1+skill_spill)/1000000</x:f>
        <x:v>0</x:v>
      </x:c>
      <x:c r="BH22" s="53" t="n">
        <x:f>union_disp*(Champions!AP22+Champions!AZ22)*(1-IF(union_resp=2,mkt_cut*S22,0))</x:f>
        <x:v>0.3</x:v>
      </x:c>
      <x:c r="BI22" s="53" t="n">
        <x:f>AY22*BA22*BE22/1000000</x:f>
        <x:v>0</x:v>
      </x:c>
      <x:c r="BJ22" s="47" t="n">
        <x:f>V22*Economy!Q22*AZ22</x:f>
        <x:v>3659.292</x:v>
      </x:c>
      <x:c r="BK22" s="47" t="n">
        <x:f>MAX(0.3*BJ22,AX22*Economy!Q22*AZ22*BE22*BF22-BG22-BH22-BI22)</x:f>
        <x:v>3651.6176483582303</x:v>
      </x:c>
      <x:c r="BL22" s="63" t="n">
        <x:f>1-BK22/BJ22</x:f>
        <x:v>0.0020972230807952963</x:v>
      </x:c>
      <x:c r="BM22" s="47" t="n">
        <x:f>MAX(0,BH22-BH21)*1000000/BA22</x:f>
        <x:v>0</x:v>
      </x:c>
      <x:c r="BN22" s="47" t="n">
        <x:f>BN21*(1-IF(AND($A22&gt;=1930,$A22&lt;=1932),0,union_reabsorb))+BM22</x:f>
        <x:v>453.2229185317816</x:v>
      </x:c>
      <x:c r="BO22" s="59" t="n">
        <x:v>0.04</x:v>
      </x:c>
      <x:c r="BP22" s="63" t="n">
        <x:f>BO22+BN22/(AX22*1000000*lf_rate)</x:f>
        <x:v>0.040047433063163974</x:v>
      </x:c>
    </x:row>
    <x:row r="23">
      <x:c r="A23" s="61" t="n">
        <x:v>1863</x:v>
      </x:c>
      <x:c r="B23" s="47" t="n">
        <x:f>Economy!B23*lf_rate</x:f>
        <x:v>427863.4992753681</x:v>
      </x:c>
      <x:c r="C23" s="47" t="n">
        <x:f>Economy!O23*1000000/(B23+L23)</x:f>
        <x:v>605.6972100912419</x:v>
      </x:c>
      <x:c r="D23" s="47" t="n">
        <x:f>Champions!AP23*1000000/(C23*champ_prem)</x:f>
        <x:v>1834.6758636451596</x:v>
      </x:c>
      <x:c r="E23" s="47" t="n">
        <x:f>D23*job_mult</x:f>
        <x:v>1284.2731045516116</x:v>
      </x:c>
      <x:c r="F23" s="47" t="n">
        <x:f>D23+E23</x:f>
        <x:v>3118.948968196771</x:v>
      </x:c>
      <x:c r="G23" s="63" t="n">
        <x:f>F23/B23</x:f>
        <x:v>0.0072895887905349245</x:v>
      </x:c>
      <x:c r="H23" s="47" t="n">
        <x:f>F23-F22</x:f>
        <x:v>1512.5453296602223</x:v>
      </x:c>
      <x:c r="I23" s="63" t="n">
        <x:f>MAX(0.005,pac_u_base*IF(Paths!AC23=1,pac_u_war,1)+(okun*(1-Economy!G23)*(B23+L23)-MAX(0,L22-L23))/B23)</x:f>
        <x:v>0.01900000000000001</x:v>
      </x:c>
      <x:c r="J23" s="47" t="n">
        <x:f>IF(AND(gw_on=1,$A23&gt;=gw_start),MIN(gw_cap*B22,gw_cover*F22+gw_gen*B22),0)</x:f>
        <x:v>0</x:v>
      </x:c>
      <x:c r="K23" s="47" t="n">
        <x:f>L22*gw_conv</x:f>
        <x:v>0</x:v>
      </x:c>
      <x:c r="L23" s="47" t="n">
        <x:f>MAX(0,L22-K23+gw_adj*(J23-L22))*MAX(0,1-gw_slump*(1-Economy!G23))</x:f>
        <x:v>0</x:v>
      </x:c>
      <x:c r="M23" s="47" t="n">
        <x:f>MAX(0,L23-L22+L22/gw_term)</x:f>
        <x:v>0</x:v>
      </x:c>
      <x:c r="N23" s="63" t="n">
        <x:f>L23/B23</x:f>
        <x:v>0</x:v>
      </x:c>
      <x:c r="O23" s="53" t="n">
        <x:f>Economy!L23</x:f>
        <x:v>0</x:v>
      </x:c>
      <x:c r="P23" s="53" t="n">
        <x:f>O23*gw_wage_share</x:f>
        <x:v>0</x:v>
      </x:c>
      <x:c r="Q23" s="53" t="n">
        <x:f>P23*gw_levy</x:f>
        <x:v>0</x:v>
      </x:c>
      <x:c r="R23" s="53" t="n">
        <x:f>P23*gw_remit</x:f>
        <x:v>0</x:v>
      </x:c>
      <x:c r="S23" s="63" t="n">
        <x:f>IF(union_resp&gt;=1,MIN(1,MAX(0,($A23-resp_start)/(resp_full-resp_start))),0)</x:f>
        <x:v>0</x:v>
      </x:c>
      <x:c r="T23" s="67" t="n">
        <x:f>Economy!R22</x:f>
        <x:v>1.7147804969734302</x:v>
      </x:c>
      <x:c r="U23" s="67" t="n">
        <x:f>MAX(0,T23-gap_base)</x:f>
        <x:v>0.21478049697343016</x:v>
      </x:c>
      <x:c r="V23" s="68" t="n">
        <x:v>23.5</x:v>
      </x:c>
      <x:c r="W23" s="47" t="n">
        <x:f>V23*1000000*lf_rate*union_skill_share</x:f>
        <x:v>1184400</x:v>
      </x:c>
      <x:c r="X23" s="45" t="n">
        <x:v>0</x:v>
      </x:c>
      <x:c r="Y23" s="47" t="n">
        <x:f>IF(AND(mig_endo=1,$A23&gt;=talent_start),talent_rate_u*W23*U23*(1-(1-bd_keep)*S23),0)</x:f>
        <x:v>0</x:v>
      </x:c>
      <x:c r="Z23" s="47" t="n">
        <x:f>IF(AND(mig_endo=1,$A23&gt;=talent_start),X23*MIN(0.5,talent_share_o*U23)*(1-eu_comp*S23),0)</x:f>
        <x:v>0</x:v>
      </x:c>
      <x:c r="AA23" s="45" t="n">
        <x:v>0</x:v>
      </x:c>
      <x:c r="AB23" s="47" t="n">
        <x:f>IF(AND(mig_endo=1,$A23&gt;=talent_start),AA23*MIN(0.5,talent_share_a*U23),0)</x:f>
        <x:v>0</x:v>
      </x:c>
      <x:c r="AC23" s="47" t="n">
        <x:f>entry_cap*People!B23</x:f>
        <x:v>2858.02170006645</x:v>
      </x:c>
      <x:c r="AD23" s="47" t="n">
        <x:f>MIN(AC23,Y23+Z23+AB23)</x:f>
        <x:v>0</x:v>
      </x:c>
      <x:c r="AE23" s="47" t="n">
        <x:f>IF(Y23+Z23+AB23&gt;0,AD23*Y23/(Y23+Z23+AB23),0)</x:f>
        <x:v>0</x:v>
      </x:c>
      <x:c r="AF23" s="47" t="n">
        <x:f>IF(Y23+Z23+AB23&gt;0,AD23*AB23/(Y23+Z23+AB23),0)</x:f>
        <x:v>0</x:v>
      </x:c>
      <x:c r="AG23" s="47" t="n">
        <x:f>AD23*family_mult</x:f>
        <x:v>0</x:v>
      </x:c>
      <x:c r="AH23" s="47" t="n">
        <x:f>AH22*(1+Paths!C23)+AG23</x:f>
        <x:v>0</x:v>
      </x:c>
      <x:c r="AI23" s="47" t="n">
        <x:f>IF(AND(mig_endo=1,$A23&gt;=talent_start),chain_rate*AH22,0)</x:f>
        <x:v>0</x:v>
      </x:c>
      <x:c r="AJ23" s="47" t="n">
        <x:f>IF(AND(mig_endo=1,$A23&gt;=talent_start),IF(H22&gt;0,H22*job_fill,H22*job_return)*job_family,0)</x:f>
        <x:v>0</x:v>
      </x:c>
      <x:c r="AK23" s="47" t="n">
        <x:f>K23*gw_conv_family</x:f>
        <x:v>0</x:v>
      </x:c>
      <x:c r="AL23" s="47" t="n">
        <x:f>AG23+AI23+AJ23+AK23+AR23</x:f>
        <x:v>0</x:v>
      </x:c>
      <x:c r="AM23" s="47" t="n">
        <x:f>AM22*(1-skill_ret)+AD23</x:f>
        <x:v>0</x:v>
      </x:c>
      <x:c r="AN23" s="64" t="n">
        <x:f>AM23/B23</x:f>
        <x:v>0</x:v>
      </x:c>
      <x:c r="AO23" s="64" t="n">
        <x:f>(skill_rel-1+skill_spill)*AM22/B22-AT23</x:f>
        <x:v>0</x:v>
      </x:c>
      <x:c r="AP23" s="64" t="n">
        <x:f>talent_champ*AM22/(skill_base_share*B22)</x:f>
        <x:v>0</x:v>
      </x:c>
      <x:c r="AQ23" s="45" t="n">
        <x:v>235000</x:v>
      </x:c>
      <x:c r="AR23" s="47" t="n">
        <x:f>IF(AND(div_on=1,$A23&gt;=div_start),AQ23*MIN(div_max,div_rate*U23)*(1-div_comp*S23),0)</x:f>
        <x:v>0</x:v>
      </x:c>
      <x:c r="AS23" s="47" t="n">
        <x:f>AS22*(1-div_assim)+AR23</x:f>
        <x:v>0</x:v>
      </x:c>
      <x:c r="AT23" s="64" t="n">
        <x:f>(1-div_rel)*AS22/Economy!B22</x:f>
        <x:v>0</x:v>
      </x:c>
      <x:c r="AU23" s="47" t="n">
        <x:f>AU22*(1-skill_ret)+AE23</x:f>
        <x:v>0</x:v>
      </x:c>
      <x:c r="AV23" s="47" t="n">
        <x:f>AV22*(1+union_nat)+AR23</x:f>
        <x:v>0</x:v>
      </x:c>
      <x:c r="AW23" s="47" t="n">
        <x:f>AW22*(1+union_nat)+AE23*family_mult</x:f>
        <x:v>0</x:v>
      </x:c>
      <x:c r="AX23" s="67" t="n">
        <x:f>V23-(AV23+AW23)/1000000</x:f>
        <x:v>23.5</x:v>
      </x:c>
      <x:c r="AY23" s="47" t="n">
        <x:f>L23*gw_union</x:f>
        <x:v>0</x:v>
      </x:c>
      <x:c r="AZ23" s="46" t="n">
        <x:v>1.116</x:v>
      </x:c>
      <x:c r="BA23" s="47" t="n">
        <x:f>Economy!Q23*AZ23/lf_rate</x:f>
        <x:v>387.9428571428572</x:v>
      </x:c>
      <x:c r="BB23" s="64" t="n">
        <x:f>bd_growth*AU22/W22</x:f>
        <x:v>0</x:v>
      </x:c>
      <x:c r="BC23" s="64" t="n">
        <x:f>tg_k*MIN(1,Economy!O22/BK22)</x:f>
        <x:v>0.00017084720941240805</x:v>
      </x:c>
      <x:c r="BD23" s="64" t="n">
        <x:f>emu_g*S23</x:f>
        <x:v>0</x:v>
      </x:c>
      <x:c r="BE23" s="65" t="n">
        <x:f>BE22*(1-BB23-BC23+BD23)</x:f>
        <x:v>0.9978142570800594</x:v>
      </x:c>
      <x:c r="BF23" s="46" t="n">
        <x:v>1</x:v>
      </x:c>
      <x:c r="BG23" s="53" t="n">
        <x:f>AU23*BA23*BE23*(skill_rel-1+skill_spill)/1000000</x:f>
        <x:v>0</x:v>
      </x:c>
      <x:c r="BH23" s="53" t="n">
        <x:f>union_disp*(Champions!AP23+Champions!AZ23)*(1-IF(union_resp=2,mkt_cut*S23,0))</x:f>
        <x:v>0.600079348097071</x:v>
      </x:c>
      <x:c r="BI23" s="53" t="n">
        <x:f>AY23*BA23*BE23/1000000</x:f>
        <x:v>0</x:v>
      </x:c>
      <x:c r="BJ23" s="47" t="n">
        <x:f>V23*Economy!Q23*AZ23</x:f>
        <x:v>3828.9960000000005</x:v>
      </x:c>
      <x:c r="BK23" s="47" t="n">
        <x:f>MAX(0.3*BJ23,AX23*Economy!Q23*AZ23*BE23*BF23-BG23-BH23-BI23)</x:f>
        <x:v>3820.0267197544226</x:v>
      </x:c>
      <x:c r="BL23" s="63" t="n">
        <x:f>1-BK23/BJ23</x:f>
        <x:v>0.002342462683580182</x:v>
      </x:c>
      <x:c r="BM23" s="47" t="n">
        <x:f>MAX(0,BH23-BH22)*1000000/BA23</x:f>
        <x:v>773.5143013254885</x:v>
      </x:c>
      <x:c r="BN23" s="47" t="n">
        <x:f>BN22*(1-IF(AND($A23&gt;=1930,$A23&lt;=1932),0,union_reabsorb))+BM23</x:f>
        <x:v>1113.4314902243248</x:v>
      </x:c>
      <x:c r="BO23" s="59" t="n">
        <x:v>0.04</x:v>
      </x:c>
      <x:c r="BP23" s="63" t="n">
        <x:f>BO23+BN23/(AX23*1000000*lf_rate)</x:f>
        <x:v>0.04011280967479477</x:v>
      </x:c>
    </x:row>
    <x:row r="24">
      <x:c r="A24" s="61" t="n">
        <x:v>1864</x:v>
      </x:c>
      <x:c r="B24" s="47" t="n">
        <x:f>Economy!B24*lf_rate</x:f>
        <x:v>471132.78826522327</x:v>
      </x:c>
      <x:c r="C24" s="47" t="n">
        <x:f>Economy!O24*1000000/(B24+L24)</x:f>
        <x:v>667.51072797606</x:v>
      </x:c>
      <x:c r="D24" s="47" t="n">
        <x:f>Champions!AP24*1000000/(C24*champ_prem)</x:f>
        <x:v>1665.0178619724443</x:v>
      </x:c>
      <x:c r="E24" s="47" t="n">
        <x:f>D24*job_mult</x:f>
        <x:v>1165.512503380711</x:v>
      </x:c>
      <x:c r="F24" s="47" t="n">
        <x:f>D24+E24</x:f>
        <x:v>2830.5303653531555</x:v>
      </x:c>
      <x:c r="G24" s="63" t="n">
        <x:f>F24/B24</x:f>
        <x:v>0.0060079248056064275</x:v>
      </x:c>
      <x:c r="H24" s="47" t="n">
        <x:f>F24-F23</x:f>
        <x:v>-288.41860284361564</x:v>
      </x:c>
      <x:c r="I24" s="63" t="n">
        <x:f>MAX(0.005,pac_u_base*IF(Paths!AC24=1,pac_u_war,1)+(okun*(1-Economy!G24)*(B24+L24)-MAX(0,L23-L24))/B24)</x:f>
        <x:v>0.009</x:v>
      </x:c>
      <x:c r="J24" s="47" t="n">
        <x:f>IF(AND(gw_on=1,$A24&gt;=gw_start),MIN(gw_cap*B23,gw_cover*F23+gw_gen*B23),0)</x:f>
        <x:v>0</x:v>
      </x:c>
      <x:c r="K24" s="47" t="n">
        <x:f>L23*gw_conv</x:f>
        <x:v>0</x:v>
      </x:c>
      <x:c r="L24" s="47" t="n">
        <x:f>MAX(0,L23-K24+gw_adj*(J24-L23))*MAX(0,1-gw_slump*(1-Economy!G24))</x:f>
        <x:v>0</x:v>
      </x:c>
      <x:c r="M24" s="47" t="n">
        <x:f>MAX(0,L24-L23+L23/gw_term)</x:f>
        <x:v>0</x:v>
      </x:c>
      <x:c r="N24" s="63" t="n">
        <x:f>L24/B24</x:f>
        <x:v>0</x:v>
      </x:c>
      <x:c r="O24" s="53" t="n">
        <x:f>Economy!L24</x:f>
        <x:v>0</x:v>
      </x:c>
      <x:c r="P24" s="53" t="n">
        <x:f>O24*gw_wage_share</x:f>
        <x:v>0</x:v>
      </x:c>
      <x:c r="Q24" s="53" t="n">
        <x:f>P24*gw_levy</x:f>
        <x:v>0</x:v>
      </x:c>
      <x:c r="R24" s="53" t="n">
        <x:f>P24*gw_remit</x:f>
        <x:v>0</x:v>
      </x:c>
      <x:c r="S24" s="63" t="n">
        <x:f>IF(union_resp&gt;=1,MIN(1,MAX(0,($A24-resp_start)/(resp_full-resp_start))),0)</x:f>
        <x:v>0</x:v>
      </x:c>
      <x:c r="T24" s="67" t="n">
        <x:f>Economy!R23</x:f>
        <x:v>1.742416631769326</x:v>
      </x:c>
      <x:c r="U24" s="67" t="n">
        <x:f>MAX(0,T24-gap_base)</x:f>
        <x:v>0.24241663176932593</x:v>
      </x:c>
      <x:c r="V24" s="68" t="n">
        <x:v>24.25</x:v>
      </x:c>
      <x:c r="W24" s="47" t="n">
        <x:f>V24*1000000*lf_rate*union_skill_share</x:f>
        <x:v>1222200</x:v>
      </x:c>
      <x:c r="X24" s="45" t="n">
        <x:v>0</x:v>
      </x:c>
      <x:c r="Y24" s="47" t="n">
        <x:f>IF(AND(mig_endo=1,$A24&gt;=talent_start),talent_rate_u*W24*U24*(1-(1-bd_keep)*S24),0)</x:f>
        <x:v>0</x:v>
      </x:c>
      <x:c r="Z24" s="47" t="n">
        <x:f>IF(AND(mig_endo=1,$A24&gt;=talent_start),X24*MIN(0.5,talent_share_o*U24)*(1-eu_comp*S24),0)</x:f>
        <x:v>0</x:v>
      </x:c>
      <x:c r="AA24" s="45" t="n">
        <x:v>0</x:v>
      </x:c>
      <x:c r="AB24" s="47" t="n">
        <x:f>IF(AND(mig_endo=1,$A24&gt;=talent_start),AA24*MIN(0.5,talent_share_a*U24),0)</x:f>
        <x:v>0</x:v>
      </x:c>
      <x:c r="AC24" s="47" t="n">
        <x:f>entry_cap*People!B24</x:f>
        <x:v>3254.3140038673805</x:v>
      </x:c>
      <x:c r="AD24" s="47" t="n">
        <x:f>MIN(AC24,Y24+Z24+AB24)</x:f>
        <x:v>0</x:v>
      </x:c>
      <x:c r="AE24" s="47" t="n">
        <x:f>IF(Y24+Z24+AB24&gt;0,AD24*Y24/(Y24+Z24+AB24),0)</x:f>
        <x:v>0</x:v>
      </x:c>
      <x:c r="AF24" s="47" t="n">
        <x:f>IF(Y24+Z24+AB24&gt;0,AD24*AB24/(Y24+Z24+AB24),0)</x:f>
        <x:v>0</x:v>
      </x:c>
      <x:c r="AG24" s="47" t="n">
        <x:f>AD24*family_mult</x:f>
        <x:v>0</x:v>
      </x:c>
      <x:c r="AH24" s="47" t="n">
        <x:f>AH23*(1+Paths!C24)+AG24</x:f>
        <x:v>0</x:v>
      </x:c>
      <x:c r="AI24" s="47" t="n">
        <x:f>IF(AND(mig_endo=1,$A24&gt;=talent_start),chain_rate*AH23,0)</x:f>
        <x:v>0</x:v>
      </x:c>
      <x:c r="AJ24" s="47" t="n">
        <x:f>IF(AND(mig_endo=1,$A24&gt;=talent_start),IF(H23&gt;0,H23*job_fill,H23*job_return)*job_family,0)</x:f>
        <x:v>0</x:v>
      </x:c>
      <x:c r="AK24" s="47" t="n">
        <x:f>K24*gw_conv_family</x:f>
        <x:v>0</x:v>
      </x:c>
      <x:c r="AL24" s="47" t="n">
        <x:f>AG24+AI24+AJ24+AK24+AR24</x:f>
        <x:v>0</x:v>
      </x:c>
      <x:c r="AM24" s="47" t="n">
        <x:f>AM23*(1-skill_ret)+AD24</x:f>
        <x:v>0</x:v>
      </x:c>
      <x:c r="AN24" s="64" t="n">
        <x:f>AM24/B24</x:f>
        <x:v>0</x:v>
      </x:c>
      <x:c r="AO24" s="64" t="n">
        <x:f>(skill_rel-1+skill_spill)*AM23/B23-AT24</x:f>
        <x:v>0</x:v>
      </x:c>
      <x:c r="AP24" s="64" t="n">
        <x:f>talent_champ*AM23/(skill_base_share*B23)</x:f>
        <x:v>0</x:v>
      </x:c>
      <x:c r="AQ24" s="45" t="n">
        <x:v>263000</x:v>
      </x:c>
      <x:c r="AR24" s="47" t="n">
        <x:f>IF(AND(div_on=1,$A24&gt;=div_start),AQ24*MIN(div_max,div_rate*U24)*(1-div_comp*S24),0)</x:f>
        <x:v>0</x:v>
      </x:c>
      <x:c r="AS24" s="47" t="n">
        <x:f>AS23*(1-div_assim)+AR24</x:f>
        <x:v>0</x:v>
      </x:c>
      <x:c r="AT24" s="64" t="n">
        <x:f>(1-div_rel)*AS23/Economy!B23</x:f>
        <x:v>0</x:v>
      </x:c>
      <x:c r="AU24" s="47" t="n">
        <x:f>AU23*(1-skill_ret)+AE24</x:f>
        <x:v>0</x:v>
      </x:c>
      <x:c r="AV24" s="47" t="n">
        <x:f>AV23*(1+union_nat)+AR24</x:f>
        <x:v>0</x:v>
      </x:c>
      <x:c r="AW24" s="47" t="n">
        <x:f>AW23*(1+union_nat)+AE24*family_mult</x:f>
        <x:v>0</x:v>
      </x:c>
      <x:c r="AX24" s="67" t="n">
        <x:f>V24-(AV24+AW24)/1000000</x:f>
        <x:v>24.25</x:v>
      </x:c>
      <x:c r="AY24" s="47" t="n">
        <x:f>L24*gw_union</x:f>
        <x:v>0</x:v>
      </x:c>
      <x:c r="AZ24" s="46" t="n">
        <x:v>1.116</x:v>
      </x:c>
      <x:c r="BA24" s="47" t="n">
        <x:f>Economy!Q24*AZ24/lf_rate</x:f>
        <x:v>393.25714285714287</x:v>
      </x:c>
      <x:c r="BB24" s="64" t="n">
        <x:f>bd_growth*AU23/W23</x:f>
        <x:v>0</x:v>
      </x:c>
      <x:c r="BC24" s="64" t="n">
        <x:f>tg_k*MIN(1,Economy!O23/BK23)</x:f>
        <x:v>0.00020352401709977587</x:v>
      </x:c>
      <x:c r="BD24" s="64" t="n">
        <x:f>emu_g*S24</x:f>
        <x:v>0</x:v>
      </x:c>
      <x:c r="BE24" s="65" t="n">
        <x:f>BE23*(1-BB24-BC24+BD24)</x:f>
        <x:v>0.9976111779141391</x:v>
      </x:c>
      <x:c r="BF24" s="46" t="n">
        <x:v>1</x:v>
      </x:c>
      <x:c r="BG24" s="53" t="n">
        <x:f>AU24*BA24*BE24*(skill_rel-1+skill_spill)/1000000</x:f>
        <x:v>0</x:v>
      </x:c>
      <x:c r="BH24" s="53" t="n">
        <x:f>union_disp*(Champions!AP24+Champions!AZ24)*(1-IF(union_resp=2,mkt_cut*S24,0))</x:f>
        <x:v>0.6001653339747195</x:v>
      </x:c>
      <x:c r="BI24" s="53" t="n">
        <x:f>AY24*BA24*BE24/1000000</x:f>
        <x:v>0</x:v>
      </x:c>
      <x:c r="BJ24" s="47" t="n">
        <x:f>V24*Economy!Q24*AZ24</x:f>
        <x:v>4005.3240000000005</x:v>
      </x:c>
      <x:c r="BK24" s="47" t="n">
        <x:f>MAX(0.3*BJ24,AX24*Economy!Q24*AZ24*BE24*BF24-BG24-BH24-BI24)</x:f>
        <x:v>3995.155828233797</x:v>
      </x:c>
      <x:c r="BL24" s="63" t="n">
        <x:f>1-BK24/BJ24</x:f>
        <x:v>0.0025386639797937427</x:v>
      </x:c>
      <x:c r="BM24" s="47" t="n">
        <x:f>MAX(0,BH24-BH23)*1000000/BA24</x:f>
        <x:v>0.21865051712425182</x:v>
      </x:c>
      <x:c r="BN24" s="47" t="n">
        <x:f>BN23*(1-IF(AND($A24&gt;=1930,$A24&lt;=1932),0,union_reabsorb))+BM24</x:f>
        <x:v>835.2922681853678</x:v>
      </x:c>
      <x:c r="BO24" s="59" t="n">
        <x:v>0.04</x:v>
      </x:c>
      <x:c r="BP24" s="63" t="n">
        <x:f>BO24+BN24/(AX24*1000000*lf_rate)</x:f>
        <x:v>0.040082012004731014</x:v>
      </x:c>
    </x:row>
    <x:row r="25">
      <x:c r="A25" s="61" t="n">
        <x:v>1865</x:v>
      </x:c>
      <x:c r="B25" s="47" t="n">
        <x:f>Economy!B25*lf_rate</x:f>
        <x:v>499257.84730093635</x:v>
      </x:c>
      <x:c r="C25" s="47" t="n">
        <x:f>Economy!O25*1000000/(B25+L25)</x:f>
        <x:v>687.3378195163508</x:v>
      </x:c>
      <x:c r="D25" s="47" t="n">
        <x:f>Champions!AP25*1000000/(C25*champ_prem)</x:f>
        <x:v>1617.2433589248</x:v>
      </x:c>
      <x:c r="E25" s="47" t="n">
        <x:f>D25*job_mult</x:f>
        <x:v>1132.07035124736</x:v>
      </x:c>
      <x:c r="F25" s="47" t="n">
        <x:f>D25+E25</x:f>
        <x:v>2749.31371017216</x:v>
      </x:c>
      <x:c r="G25" s="63" t="n">
        <x:f>F25/B25</x:f>
        <x:v>0.005506801195084598</x:v>
      </x:c>
      <x:c r="H25" s="47" t="n">
        <x:f>F25-F24</x:f>
        <x:v>-81.21665518099553</x:v>
      </x:c>
      <x:c r="I25" s="63" t="n">
        <x:f>MAX(0.005,pac_u_base*IF(Paths!AC25=1,pac_u_war,1)+(okun*(1-Economy!G25)*(B25+L25)-MAX(0,L24-L25))/B25)</x:f>
        <x:v>0.009</x:v>
      </x:c>
      <x:c r="J25" s="47" t="n">
        <x:f>IF(AND(gw_on=1,$A25&gt;=gw_start),MIN(gw_cap*B24,gw_cover*F24+gw_gen*B24),0)</x:f>
        <x:v>0</x:v>
      </x:c>
      <x:c r="K25" s="47" t="n">
        <x:f>L24*gw_conv</x:f>
        <x:v>0</x:v>
      </x:c>
      <x:c r="L25" s="47" t="n">
        <x:f>MAX(0,L24-K25+gw_adj*(J25-L24))*MAX(0,1-gw_slump*(1-Economy!G25))</x:f>
        <x:v>0</x:v>
      </x:c>
      <x:c r="M25" s="47" t="n">
        <x:f>MAX(0,L25-L24+L24/gw_term)</x:f>
        <x:v>0</x:v>
      </x:c>
      <x:c r="N25" s="63" t="n">
        <x:f>L25/B25</x:f>
        <x:v>0</x:v>
      </x:c>
      <x:c r="O25" s="53" t="n">
        <x:f>Economy!L25</x:f>
        <x:v>0</x:v>
      </x:c>
      <x:c r="P25" s="53" t="n">
        <x:f>O25*gw_wage_share</x:f>
        <x:v>0</x:v>
      </x:c>
      <x:c r="Q25" s="53" t="n">
        <x:f>P25*gw_levy</x:f>
        <x:v>0</x:v>
      </x:c>
      <x:c r="R25" s="53" t="n">
        <x:f>P25*gw_remit</x:f>
        <x:v>0</x:v>
      </x:c>
      <x:c r="S25" s="63" t="n">
        <x:f>IF(union_resp&gt;=1,MIN(1,MAX(0,($A25-resp_start)/(resp_full-resp_start))),0)</x:f>
        <x:v>0</x:v>
      </x:c>
      <x:c r="T25" s="67" t="n">
        <x:f>Economy!R24</x:f>
        <x:v>1.894287201013143</x:v>
      </x:c>
      <x:c r="U25" s="67" t="n">
        <x:f>MAX(0,T25-gap_base)</x:f>
        <x:v>0.3942872010131431</x:v>
      </x:c>
      <x:c r="V25" s="68" t="n">
        <x:v>25</x:v>
      </x:c>
      <x:c r="W25" s="47" t="n">
        <x:f>V25*1000000*lf_rate*union_skill_share</x:f>
        <x:v>1260000</x:v>
      </x:c>
      <x:c r="X25" s="45" t="n">
        <x:v>0</x:v>
      </x:c>
      <x:c r="Y25" s="47" t="n">
        <x:f>IF(AND(mig_endo=1,$A25&gt;=talent_start),talent_rate_u*W25*U25*(1-(1-bd_keep)*S25),0)</x:f>
        <x:v>0</x:v>
      </x:c>
      <x:c r="Z25" s="47" t="n">
        <x:f>IF(AND(mig_endo=1,$A25&gt;=talent_start),X25*MIN(0.5,talent_share_o*U25)*(1-eu_comp*S25),0)</x:f>
        <x:v>0</x:v>
      </x:c>
      <x:c r="AA25" s="45" t="n">
        <x:v>0</x:v>
      </x:c>
      <x:c r="AB25" s="47" t="n">
        <x:f>IF(AND(mig_endo=1,$A25&gt;=talent_start),AA25*MIN(0.5,talent_share_a*U25),0)</x:f>
        <x:v>0</x:v>
      </x:c>
      <x:c r="AC25" s="47" t="n">
        <x:f>entry_cap*People!B25</x:f>
        <x:v>3476.1543999215237</x:v>
      </x:c>
      <x:c r="AD25" s="47" t="n">
        <x:f>MIN(AC25,Y25+Z25+AB25)</x:f>
        <x:v>0</x:v>
      </x:c>
      <x:c r="AE25" s="47" t="n">
        <x:f>IF(Y25+Z25+AB25&gt;0,AD25*Y25/(Y25+Z25+AB25),0)</x:f>
        <x:v>0</x:v>
      </x:c>
      <x:c r="AF25" s="47" t="n">
        <x:f>IF(Y25+Z25+AB25&gt;0,AD25*AB25/(Y25+Z25+AB25),0)</x:f>
        <x:v>0</x:v>
      </x:c>
      <x:c r="AG25" s="47" t="n">
        <x:f>AD25*family_mult</x:f>
        <x:v>0</x:v>
      </x:c>
      <x:c r="AH25" s="47" t="n">
        <x:f>AH24*(1+Paths!C25)+AG25</x:f>
        <x:v>0</x:v>
      </x:c>
      <x:c r="AI25" s="47" t="n">
        <x:f>IF(AND(mig_endo=1,$A25&gt;=talent_start),chain_rate*AH24,0)</x:f>
        <x:v>0</x:v>
      </x:c>
      <x:c r="AJ25" s="47" t="n">
        <x:f>IF(AND(mig_endo=1,$A25&gt;=talent_start),IF(H24&gt;0,H24*job_fill,H24*job_return)*job_family,0)</x:f>
        <x:v>0</x:v>
      </x:c>
      <x:c r="AK25" s="47" t="n">
        <x:f>K25*gw_conv_family</x:f>
        <x:v>0</x:v>
      </x:c>
      <x:c r="AL25" s="47" t="n">
        <x:f>AG25+AI25+AJ25+AK25+AR25</x:f>
        <x:v>0</x:v>
      </x:c>
      <x:c r="AM25" s="47" t="n">
        <x:f>AM24*(1-skill_ret)+AD25</x:f>
        <x:v>0</x:v>
      </x:c>
      <x:c r="AN25" s="64" t="n">
        <x:f>AM25/B25</x:f>
        <x:v>0</x:v>
      </x:c>
      <x:c r="AO25" s="64" t="n">
        <x:f>(skill_rel-1+skill_spill)*AM24/B24-AT25</x:f>
        <x:v>0</x:v>
      </x:c>
      <x:c r="AP25" s="64" t="n">
        <x:f>talent_champ*AM24/(skill_base_share*B24)</x:f>
        <x:v>0</x:v>
      </x:c>
      <x:c r="AQ25" s="45" t="n">
        <x:v>292000</x:v>
      </x:c>
      <x:c r="AR25" s="47" t="n">
        <x:f>IF(AND(div_on=1,$A25&gt;=div_start),AQ25*MIN(div_max,div_rate*U25)*(1-div_comp*S25),0)</x:f>
        <x:v>0</x:v>
      </x:c>
      <x:c r="AS25" s="47" t="n">
        <x:f>AS24*(1-div_assim)+AR25</x:f>
        <x:v>0</x:v>
      </x:c>
      <x:c r="AT25" s="64" t="n">
        <x:f>(1-div_rel)*AS24/Economy!B24</x:f>
        <x:v>0</x:v>
      </x:c>
      <x:c r="AU25" s="47" t="n">
        <x:f>AU24*(1-skill_ret)+AE25</x:f>
        <x:v>0</x:v>
      </x:c>
      <x:c r="AV25" s="47" t="n">
        <x:f>AV24*(1+union_nat)+AR25</x:f>
        <x:v>0</x:v>
      </x:c>
      <x:c r="AW25" s="47" t="n">
        <x:f>AW24*(1+union_nat)+AE25*family_mult</x:f>
        <x:v>0</x:v>
      </x:c>
      <x:c r="AX25" s="67" t="n">
        <x:f>V25-(AV25+AW25)/1000000</x:f>
        <x:v>25</x:v>
      </x:c>
      <x:c r="AY25" s="47" t="n">
        <x:f>L25*gw_union</x:f>
        <x:v>0</x:v>
      </x:c>
      <x:c r="AZ25" s="46" t="n">
        <x:v>1.116</x:v>
      </x:c>
      <x:c r="BA25" s="47" t="n">
        <x:f>Economy!Q25*AZ25/lf_rate</x:f>
        <x:v>398.5714285714286</x:v>
      </x:c>
      <x:c r="BB25" s="64" t="n">
        <x:f>bd_growth*AU24/W24</x:f>
        <x:v>0</x:v>
      </x:c>
      <x:c r="BC25" s="64" t="n">
        <x:f>tg_k*MIN(1,Economy!O24/BK24)</x:f>
        <x:v>0.00023615063140654025</x:v>
      </x:c>
      <x:c r="BD25" s="64" t="n">
        <x:f>emu_g*S25</x:f>
        <x:v>0</x:v>
      </x:c>
      <x:c r="BE25" s="65" t="n">
        <x:f>BE24*(1-BB25-BC25+BD25)</x:f>
        <x:v>0.9973755914045764</x:v>
      </x:c>
      <x:c r="BF25" s="46" t="n">
        <x:v>1</x:v>
      </x:c>
      <x:c r="BG25" s="53" t="n">
        <x:f>AU25*BA25*BE25*(skill_rel-1+skill_spill)/1000000</x:f>
        <x:v>0</x:v>
      </x:c>
      <x:c r="BH25" s="53" t="n">
        <x:f>union_disp*(Champions!AP25+Champions!AZ25)*(1-IF(union_resp=2,mkt_cut*S25,0))</x:f>
        <x:v>0.6002599629333625</x:v>
      </x:c>
      <x:c r="BI25" s="53" t="n">
        <x:f>AY25*BA25*BE25/1000000</x:f>
        <x:v>0</x:v>
      </x:c>
      <x:c r="BJ25" s="47" t="n">
        <x:f>V25*Economy!Q25*AZ25</x:f>
        <x:v>4185</x:v>
      </x:c>
      <x:c r="BK25" s="47" t="n">
        <x:f>MAX(0.3*BJ25,AX25*Economy!Q25*AZ25*BE25*BF25-BG25-BH25-BI25)</x:f>
        <x:v>4173.416590065219</x:v>
      </x:c>
      <x:c r="BL25" s="63" t="n">
        <x:f>1-BK25/BJ25</x:f>
        <x:v>0.002767839888836665</x:v>
      </x:c>
      <x:c r="BM25" s="47" t="n">
        <x:f>MAX(0,BH25-BH24)*1000000/BA25</x:f>
        <x:v>0.23742032634440383</x:v>
      </x:c>
      <x:c r="BN25" s="47" t="n">
        <x:f>BN24*(1-IF(AND($A25&gt;=1930,$A25&lt;=1932),0,union_reabsorb))+BM25</x:f>
        <x:v>626.7066214653702</x:v>
      </x:c>
      <x:c r="BO25" s="59" t="n">
        <x:v>0.04</x:v>
      </x:c>
      <x:c r="BP25" s="63" t="n">
        <x:f>BO25+BN25/(AX25*1000000*lf_rate)</x:f>
        <x:v>0.040059686344901466</x:v>
      </x:c>
    </x:row>
    <x:row r="26">
      <x:c r="A26" s="58" t="n">
        <x:v>1866</x:v>
      </x:c>
      <x:c r="B26" s="47" t="n">
        <x:f>Economy!B26*lf_rate</x:f>
        <x:v>530086.6571631496</x:v>
      </x:c>
      <x:c r="C26" s="47" t="n">
        <x:f>Economy!O26*1000000/(B26+L26)</x:f>
        <x:v>691.8705444324312</x:v>
      </x:c>
      <x:c r="D26" s="47" t="n">
        <x:f>Champions!AP26*1000000/(C26*champ_prem)</x:f>
        <x:v>1606.9160134678668</x:v>
      </x:c>
      <x:c r="E26" s="47" t="n">
        <x:f>D26*job_mult</x:f>
        <x:v>1124.8412094275068</x:v>
      </x:c>
      <x:c r="F26" s="47" t="n">
        <x:f>D26+E26</x:f>
        <x:v>2731.7572228953736</x:v>
      </x:c>
      <x:c r="G26" s="63" t="n">
        <x:f>F26/B26</x:f>
        <x:v>0.005153416306524003</x:v>
      </x:c>
      <x:c r="H26" s="47" t="n">
        <x:f>F26-F25</x:f>
        <x:v>-17.556487276786356</x:v>
      </x:c>
      <x:c r="I26" s="63" t="n">
        <x:f>MAX(0.005,pac_u_base*IF(Paths!AC26=1,pac_u_war,1)+(okun*(1-Economy!G26)*(B26+L26)-MAX(0,L25-L26))/B26)</x:f>
        <x:v>0.015</x:v>
      </x:c>
      <x:c r="J26" s="47" t="n">
        <x:f>IF(AND(gw_on=1,$A26&gt;=gw_start),MIN(gw_cap*B25,gw_cover*F25+gw_gen*B25),0)</x:f>
        <x:v>0</x:v>
      </x:c>
      <x:c r="K26" s="47" t="n">
        <x:f>L25*gw_conv</x:f>
        <x:v>0</x:v>
      </x:c>
      <x:c r="L26" s="47" t="n">
        <x:f>MAX(0,L25-K26+gw_adj*(J26-L25))*MAX(0,1-gw_slump*(1-Economy!G26))</x:f>
        <x:v>0</x:v>
      </x:c>
      <x:c r="M26" s="47" t="n">
        <x:f>MAX(0,L26-L25+L25/gw_term)</x:f>
        <x:v>0</x:v>
      </x:c>
      <x:c r="N26" s="63" t="n">
        <x:f>L26/B26</x:f>
        <x:v>0</x:v>
      </x:c>
      <x:c r="O26" s="53" t="n">
        <x:f>Economy!L26</x:f>
        <x:v>0</x:v>
      </x:c>
      <x:c r="P26" s="53" t="n">
        <x:f>O26*gw_wage_share</x:f>
        <x:v>0</x:v>
      </x:c>
      <x:c r="Q26" s="53" t="n">
        <x:f>P26*gw_levy</x:f>
        <x:v>0</x:v>
      </x:c>
      <x:c r="R26" s="53" t="n">
        <x:f>P26*gw_remit</x:f>
        <x:v>0</x:v>
      </x:c>
      <x:c r="S26" s="63" t="n">
        <x:f>IF(union_resp&gt;=1,MIN(1,MAX(0,($A26-resp_start)/(resp_full-resp_start))),0)</x:f>
        <x:v>0</x:v>
      </x:c>
      <x:c r="T26" s="67" t="n">
        <x:f>Economy!R25</x:f>
        <x:v>1.924545894645782</x:v>
      </x:c>
      <x:c r="U26" s="67" t="n">
        <x:f>MAX(0,T26-gap_base)</x:f>
        <x:v>0.4245458946457821</x:v>
      </x:c>
      <x:c r="V26" s="68" t="n">
        <x:v>25.88</x:v>
      </x:c>
      <x:c r="W26" s="47" t="n">
        <x:f>V26*1000000*lf_rate*union_skill_share</x:f>
        <x:v>1304352</x:v>
      </x:c>
      <x:c r="X26" s="45" t="n">
        <x:v>0</x:v>
      </x:c>
      <x:c r="Y26" s="47" t="n">
        <x:f>IF(AND(mig_endo=1,$A26&gt;=talent_start),talent_rate_u*W26*U26*(1-(1-bd_keep)*S26),0)</x:f>
        <x:v>0</x:v>
      </x:c>
      <x:c r="Z26" s="47" t="n">
        <x:f>IF(AND(mig_endo=1,$A26&gt;=talent_start),X26*MIN(0.5,talent_share_o*U26)*(1-eu_comp*S26),0)</x:f>
        <x:v>0</x:v>
      </x:c>
      <x:c r="AA26" s="45" t="n">
        <x:v>0</x:v>
      </x:c>
      <x:c r="AB26" s="47" t="n">
        <x:f>IF(AND(mig_endo=1,$A26&gt;=talent_start),AA26*MIN(0.5,talent_share_a*U26),0)</x:f>
        <x:v>0</x:v>
      </x:c>
      <x:c r="AC26" s="47" t="n">
        <x:f>entry_cap*People!B26</x:f>
        <x:v>3656.1005615204253</x:v>
      </x:c>
      <x:c r="AD26" s="47" t="n">
        <x:f>MIN(AC26,Y26+Z26+AB26)</x:f>
        <x:v>0</x:v>
      </x:c>
      <x:c r="AE26" s="47" t="n">
        <x:f>IF(Y26+Z26+AB26&gt;0,AD26*Y26/(Y26+Z26+AB26),0)</x:f>
        <x:v>0</x:v>
      </x:c>
      <x:c r="AF26" s="47" t="n">
        <x:f>IF(Y26+Z26+AB26&gt;0,AD26*AB26/(Y26+Z26+AB26),0)</x:f>
        <x:v>0</x:v>
      </x:c>
      <x:c r="AG26" s="47" t="n">
        <x:f>AD26*family_mult</x:f>
        <x:v>0</x:v>
      </x:c>
      <x:c r="AH26" s="47" t="n">
        <x:f>AH25*(1+Paths!C26)+AG26</x:f>
        <x:v>0</x:v>
      </x:c>
      <x:c r="AI26" s="47" t="n">
        <x:f>IF(AND(mig_endo=1,$A26&gt;=talent_start),chain_rate*AH25,0)</x:f>
        <x:v>0</x:v>
      </x:c>
      <x:c r="AJ26" s="47" t="n">
        <x:f>IF(AND(mig_endo=1,$A26&gt;=talent_start),IF(H25&gt;0,H25*job_fill,H25*job_return)*job_family,0)</x:f>
        <x:v>0</x:v>
      </x:c>
      <x:c r="AK26" s="47" t="n">
        <x:f>K26*gw_conv_family</x:f>
        <x:v>0</x:v>
      </x:c>
      <x:c r="AL26" s="47" t="n">
        <x:f>AG26+AI26+AJ26+AK26+AR26</x:f>
        <x:v>0</x:v>
      </x:c>
      <x:c r="AM26" s="47" t="n">
        <x:f>AM25*(1-skill_ret)+AD26</x:f>
        <x:v>0</x:v>
      </x:c>
      <x:c r="AN26" s="64" t="n">
        <x:f>AM26/B26</x:f>
        <x:v>0</x:v>
      </x:c>
      <x:c r="AO26" s="64" t="n">
        <x:f>(skill_rel-1+skill_spill)*AM25/B25-AT26</x:f>
        <x:v>0</x:v>
      </x:c>
      <x:c r="AP26" s="64" t="n">
        <x:f>talent_champ*AM25/(skill_base_share*B25)</x:f>
        <x:v>0</x:v>
      </x:c>
      <x:c r="AQ26" s="45" t="n">
        <x:v>320000</x:v>
      </x:c>
      <x:c r="AR26" s="47" t="n">
        <x:f>IF(AND(div_on=1,$A26&gt;=div_start),AQ26*MIN(div_max,div_rate*U26)*(1-div_comp*S26),0)</x:f>
        <x:v>0</x:v>
      </x:c>
      <x:c r="AS26" s="47" t="n">
        <x:f>AS25*(1-div_assim)+AR26</x:f>
        <x:v>0</x:v>
      </x:c>
      <x:c r="AT26" s="64" t="n">
        <x:f>(1-div_rel)*AS25/Economy!B25</x:f>
        <x:v>0</x:v>
      </x:c>
      <x:c r="AU26" s="47" t="n">
        <x:f>AU25*(1-skill_ret)+AE26</x:f>
        <x:v>0</x:v>
      </x:c>
      <x:c r="AV26" s="47" t="n">
        <x:f>AV25*(1+union_nat)+AR26</x:f>
        <x:v>0</x:v>
      </x:c>
      <x:c r="AW26" s="47" t="n">
        <x:f>AW25*(1+union_nat)+AE26*family_mult</x:f>
        <x:v>0</x:v>
      </x:c>
      <x:c r="AX26" s="67" t="n">
        <x:f>V26-(AV26+AW26)/1000000</x:f>
        <x:v>25.88</x:v>
      </x:c>
      <x:c r="AY26" s="47" t="n">
        <x:f>L26*gw_union</x:f>
        <x:v>0</x:v>
      </x:c>
      <x:c r="AZ26" s="46" t="n">
        <x:v>1.116</x:v>
      </x:c>
      <x:c r="BA26" s="47" t="n">
        <x:f>Economy!Q26*AZ26/lf_rate</x:f>
        <x:v>409.20000000000005</x:v>
      </x:c>
      <x:c r="BB26" s="64" t="n">
        <x:f>bd_growth*AU25/W25</x:f>
        <x:v>0</x:v>
      </x:c>
      <x:c r="BC26" s="64" t="n">
        <x:f>tg_k*MIN(1,Economy!O25/BK25)</x:f>
        <x:v>0.00024667472757726076</x:v>
      </x:c>
      <x:c r="BD26" s="64" t="n">
        <x:f>emu_g*S26</x:f>
        <x:v>0</x:v>
      </x:c>
      <x:c r="BE26" s="65" t="n">
        <x:f>BE25*(1-BB26-BC26+BD26)</x:f>
        <x:v>0.9971295640522745</x:v>
      </x:c>
      <x:c r="BF26" s="46" t="n">
        <x:v>1</x:v>
      </x:c>
      <x:c r="BG26" s="53" t="n">
        <x:f>AU26*BA26*BE26*(skill_rel-1+skill_spill)/1000000</x:f>
        <x:v>0</x:v>
      </x:c>
      <x:c r="BH26" s="53" t="n">
        <x:f>union_disp*(Champions!AP26+Champions!AZ26)*(1-IF(union_resp=2,mkt_cut*S26,0))</x:f>
        <x:v>0.6003600428314106</x:v>
      </x:c>
      <x:c r="BI26" s="53" t="n">
        <x:f>AY26*BA26*BE26/1000000</x:f>
        <x:v>0</x:v>
      </x:c>
      <x:c r="BJ26" s="47" t="n">
        <x:f>V26*Economy!Q26*AZ26</x:f>
        <x:v>4447.84032</x:v>
      </x:c>
      <x:c r="BK26" s="47" t="n">
        <x:f>MAX(0.3*BJ26,AX26*Economy!Q26*AZ26*BE26*BF26-BG26-BH26-BI26)</x:f>
        <x:v>4434.4727192128985</x:v>
      </x:c>
      <x:c r="BL26" s="63" t="n">
        <x:f>1-BK26/BJ26</x:f>
        <x:v>0.0030054138245461104</x:v>
      </x:c>
      <x:c r="BM26" s="47" t="n">
        <x:f>MAX(0,BH26-BH25)*1000000/BA26</x:f>
        <x:v>0.24457453090949785</x:v>
      </x:c>
      <x:c r="BN26" s="47" t="n">
        <x:f>BN25*(1-IF(AND($A26&gt;=1930,$A26&lt;=1932),0,union_reabsorb))+BM26</x:f>
        <x:v>470.2745406299372</x:v>
      </x:c>
      <x:c r="BO26" s="59" t="n">
        <x:v>0.04</x:v>
      </x:c>
      <x:c r="BP26" s="63" t="n">
        <x:f>BO26+BN26/(AX26*1000000*lf_rate)</x:f>
        <x:v>0.04004326511928957</x:v>
      </x:c>
    </x:row>
    <x:row r="27">
      <x:c r="A27" s="58" t="n">
        <x:v>1867</x:v>
      </x:c>
      <x:c r="B27" s="47" t="n">
        <x:f>Economy!B27*lf_rate</x:f>
        <x:v>577307.0703634337</x:v>
      </x:c>
      <x:c r="C27" s="47" t="n">
        <x:f>Economy!O27*1000000/(B27+L27)</x:f>
        <x:v>690.963683676642</x:v>
      </x:c>
      <x:c r="D27" s="47" t="n">
        <x:f>Champions!AP27*1000000/(C27*champ_prem)</x:f>
        <x:v>1826.5672668481222</x:v>
      </x:c>
      <x:c r="E27" s="47" t="n">
        <x:f>D27*job_mult</x:f>
        <x:v>1278.5970867936855</x:v>
      </x:c>
      <x:c r="F27" s="47" t="n">
        <x:f>D27+E27</x:f>
        <x:v>3105.164353641808</x:v>
      </x:c>
      <x:c r="G27" s="63" t="n">
        <x:f>F27/B27</x:f>
        <x:v>0.005378704874837242</x:v>
      </x:c>
      <x:c r="H27" s="47" t="n">
        <x:f>F27-F26</x:f>
        <x:v>373.4071307464342</x:v>
      </x:c>
      <x:c r="I27" s="63" t="n">
        <x:f>MAX(0.005,pac_u_base*IF(Paths!AC27=1,pac_u_war,1)+(okun*(1-Economy!G27)*(B27+L27)-MAX(0,L26-L27))/B27)</x:f>
        <x:v>0.015</x:v>
      </x:c>
      <x:c r="J27" s="47" t="n">
        <x:f>IF(AND(gw_on=1,$A27&gt;=gw_start),MIN(gw_cap*B26,gw_cover*F26+gw_gen*B26),0)</x:f>
        <x:v>0</x:v>
      </x:c>
      <x:c r="K27" s="47" t="n">
        <x:f>L26*gw_conv</x:f>
        <x:v>0</x:v>
      </x:c>
      <x:c r="L27" s="47" t="n">
        <x:f>MAX(0,L26-K27+gw_adj*(J27-L26))*MAX(0,1-gw_slump*(1-Economy!G27))</x:f>
        <x:v>0</x:v>
      </x:c>
      <x:c r="M27" s="47" t="n">
        <x:f>MAX(0,L27-L26+L26/gw_term)</x:f>
        <x:v>0</x:v>
      </x:c>
      <x:c r="N27" s="63" t="n">
        <x:f>L27/B27</x:f>
        <x:v>0</x:v>
      </x:c>
      <x:c r="O27" s="53" t="n">
        <x:f>Economy!L27</x:f>
        <x:v>0</x:v>
      </x:c>
      <x:c r="P27" s="53" t="n">
        <x:f>O27*gw_wage_share</x:f>
        <x:v>0</x:v>
      </x:c>
      <x:c r="Q27" s="53" t="n">
        <x:f>P27*gw_levy</x:f>
        <x:v>0</x:v>
      </x:c>
      <x:c r="R27" s="53" t="n">
        <x:f>P27*gw_remit</x:f>
        <x:v>0</x:v>
      </x:c>
      <x:c r="S27" s="63" t="n">
        <x:f>IF(union_resp&gt;=1,MIN(1,MAX(0,($A27-resp_start)/(resp_full-resp_start))),0)</x:f>
        <x:v>0</x:v>
      </x:c>
      <x:c r="T27" s="67" t="n">
        <x:f>Economy!R26</x:f>
        <x:v>1.8869196666339034</x:v>
      </x:c>
      <x:c r="U27" s="67" t="n">
        <x:f>MAX(0,T27-gap_base)</x:f>
        <x:v>0.3869196666339034</x:v>
      </x:c>
      <x:c r="V27" s="68" t="n">
        <x:v>26.76</x:v>
      </x:c>
      <x:c r="W27" s="47" t="n">
        <x:f>V27*1000000*lf_rate*union_skill_share</x:f>
        <x:v>1348704</x:v>
      </x:c>
      <x:c r="X27" s="45" t="n">
        <x:v>0</x:v>
      </x:c>
      <x:c r="Y27" s="47" t="n">
        <x:f>IF(AND(mig_endo=1,$A27&gt;=talent_start),talent_rate_u*W27*U27*(1-(1-bd_keep)*S27),0)</x:f>
        <x:v>0</x:v>
      </x:c>
      <x:c r="Z27" s="47" t="n">
        <x:f>IF(AND(mig_endo=1,$A27&gt;=talent_start),X27*MIN(0.5,talent_share_o*U27)*(1-eu_comp*S27),0)</x:f>
        <x:v>0</x:v>
      </x:c>
      <x:c r="AA27" s="45" t="n">
        <x:v>0</x:v>
      </x:c>
      <x:c r="AB27" s="47" t="n">
        <x:f>IF(AND(mig_endo=1,$A27&gt;=talent_start),AA27*MIN(0.5,talent_share_a*U27),0)</x:f>
        <x:v>0</x:v>
      </x:c>
      <x:c r="AC27" s="47" t="n">
        <x:f>entry_cap*People!B27</x:f>
        <x:v>3916.565969381711</x:v>
      </x:c>
      <x:c r="AD27" s="47" t="n">
        <x:f>MIN(AC27,Y27+Z27+AB27)</x:f>
        <x:v>0</x:v>
      </x:c>
      <x:c r="AE27" s="47" t="n">
        <x:f>IF(Y27+Z27+AB27&gt;0,AD27*Y27/(Y27+Z27+AB27),0)</x:f>
        <x:v>0</x:v>
      </x:c>
      <x:c r="AF27" s="47" t="n">
        <x:f>IF(Y27+Z27+AB27&gt;0,AD27*AB27/(Y27+Z27+AB27),0)</x:f>
        <x:v>0</x:v>
      </x:c>
      <x:c r="AG27" s="47" t="n">
        <x:f>AD27*family_mult</x:f>
        <x:v>0</x:v>
      </x:c>
      <x:c r="AH27" s="47" t="n">
        <x:f>AH26*(1+Paths!C27)+AG27</x:f>
        <x:v>0</x:v>
      </x:c>
      <x:c r="AI27" s="47" t="n">
        <x:f>IF(AND(mig_endo=1,$A27&gt;=talent_start),chain_rate*AH26,0)</x:f>
        <x:v>0</x:v>
      </x:c>
      <x:c r="AJ27" s="47" t="n">
        <x:f>IF(AND(mig_endo=1,$A27&gt;=talent_start),IF(H26&gt;0,H26*job_fill,H26*job_return)*job_family,0)</x:f>
        <x:v>0</x:v>
      </x:c>
      <x:c r="AK27" s="47" t="n">
        <x:f>K27*gw_conv_family</x:f>
        <x:v>0</x:v>
      </x:c>
      <x:c r="AL27" s="47" t="n">
        <x:f>AG27+AI27+AJ27+AK27+AR27</x:f>
        <x:v>0</x:v>
      </x:c>
      <x:c r="AM27" s="47" t="n">
        <x:f>AM26*(1-skill_ret)+AD27</x:f>
        <x:v>0</x:v>
      </x:c>
      <x:c r="AN27" s="64" t="n">
        <x:f>AM27/B27</x:f>
        <x:v>0</x:v>
      </x:c>
      <x:c r="AO27" s="64" t="n">
        <x:f>(skill_rel-1+skill_spill)*AM26/B26-AT27</x:f>
        <x:v>0</x:v>
      </x:c>
      <x:c r="AP27" s="64" t="n">
        <x:f>talent_champ*AM26/(skill_base_share*B26)</x:f>
        <x:v>0</x:v>
      </x:c>
      <x:c r="AQ27" s="45" t="n">
        <x:v>340000</x:v>
      </x:c>
      <x:c r="AR27" s="47" t="n">
        <x:f>IF(AND(div_on=1,$A27&gt;=div_start),AQ27*MIN(div_max,div_rate*U27)*(1-div_comp*S27),0)</x:f>
        <x:v>0</x:v>
      </x:c>
      <x:c r="AS27" s="47" t="n">
        <x:f>AS26*(1-div_assim)+AR27</x:f>
        <x:v>0</x:v>
      </x:c>
      <x:c r="AT27" s="64" t="n">
        <x:f>(1-div_rel)*AS26/Economy!B26</x:f>
        <x:v>0</x:v>
      </x:c>
      <x:c r="AU27" s="47" t="n">
        <x:f>AU26*(1-skill_ret)+AE27</x:f>
        <x:v>0</x:v>
      </x:c>
      <x:c r="AV27" s="47" t="n">
        <x:f>AV26*(1+union_nat)+AR27</x:f>
        <x:v>0</x:v>
      </x:c>
      <x:c r="AW27" s="47" t="n">
        <x:f>AW26*(1+union_nat)+AE27*family_mult</x:f>
        <x:v>0</x:v>
      </x:c>
      <x:c r="AX27" s="67" t="n">
        <x:f>V27-(AV27+AW27)/1000000</x:f>
        <x:v>26.76</x:v>
      </x:c>
      <x:c r="AY27" s="47" t="n">
        <x:f>L27*gw_union</x:f>
        <x:v>0</x:v>
      </x:c>
      <x:c r="AZ27" s="46" t="n">
        <x:v>1.116</x:v>
      </x:c>
      <x:c r="BA27" s="47" t="n">
        <x:f>Economy!Q27*AZ27/lf_rate</x:f>
        <x:v>422.4857142857143</x:v>
      </x:c>
      <x:c r="BB27" s="64" t="n">
        <x:f>bd_growth*AU26/W26</x:f>
        <x:v>0</x:v>
      </x:c>
      <x:c r="BC27" s="64" t="n">
        <x:f>tg_k*MIN(1,Economy!O26/BK26)</x:f>
        <x:v>0.00024811383493160785</x:v>
      </x:c>
      <x:c r="BD27" s="64" t="n">
        <x:f>emu_g*S27</x:f>
        <x:v>0</x:v>
      </x:c>
      <x:c r="BE27" s="65" t="n">
        <x:f>BE26*(1-BB27-BC27+BD27)</x:f>
        <x:v>0.9968821624122138</x:v>
      </x:c>
      <x:c r="BF27" s="46" t="n">
        <x:v>1</x:v>
      </x:c>
      <x:c r="BG27" s="53" t="n">
        <x:f>AU27*BA27*BE27*(skill_rel-1+skill_spill)/1000000</x:f>
        <x:v>0</x:v>
      </x:c>
      <x:c r="BH27" s="53" t="n">
        <x:f>union_disp*(Champions!AP27+Champions!AZ27)*(1-IF(union_resp=2,mkt_cut*S27,0))</x:f>
        <x:v>0.6869336880746524</x:v>
      </x:c>
      <x:c r="BI27" s="53" t="n">
        <x:f>AY27*BA27*BE27/1000000</x:f>
        <x:v>0</x:v>
      </x:c>
      <x:c r="BJ27" s="47" t="n">
        <x:f>V27*Economy!Q27*AZ27</x:f>
        <x:v>4748.401440000001</x:v>
      </x:c>
      <x:c r="BK27" s="47" t="n">
        <x:f>MAX(0.3*BJ27,AX27*Economy!Q27*AZ27*BE27*BF27-BG27-BH27-BI27)</x:f>
        <x:v>4732.909761820396</x:v>
      </x:c>
      <x:c r="BL27" s="63" t="n">
        <x:f>1-BK27/BJ27</x:f>
        <x:v>0.0032625038921739735</x:v>
      </x:c>
      <x:c r="BM27" s="47" t="n">
        <x:f>MAX(0,BH27-BH26)*1000000/BA27</x:f>
        <x:v>204.91496473344566</x:v>
      </x:c>
      <x:c r="BN27" s="47" t="n">
        <x:f>BN26*(1-IF(AND($A27&gt;=1930,$A27&lt;=1932),0,union_reabsorb))+BM27</x:f>
        <x:v>557.6208702058985</x:v>
      </x:c>
      <x:c r="BO27" s="59" t="n">
        <x:v>0.04</x:v>
      </x:c>
      <x:c r="BP27" s="63" t="n">
        <x:f>BO27+BN27/(AX27*1000000*lf_rate)</x:f>
        <x:v>0.04004961392894565</x:v>
      </x:c>
    </x:row>
    <x:row r="28">
      <x:c r="A28" s="58" t="n">
        <x:v>1868</x:v>
      </x:c>
      <x:c r="B28" s="47" t="n">
        <x:f>Economy!B28*lf_rate</x:f>
        <x:v>627762.7066110553</x:v>
      </x:c>
      <x:c r="C28" s="47" t="n">
        <x:f>Economy!O28*1000000/(B28+L28)</x:f>
        <x:v>691.7592709192007</x:v>
      </x:c>
      <x:c r="D28" s="47" t="n">
        <x:f>Champions!AP28*1000000/(C28*champ_prem)</x:f>
        <x:v>2922.949751194448</x:v>
      </x:c>
      <x:c r="E28" s="47" t="n">
        <x:f>D28*job_mult</x:f>
        <x:v>2046.0648258361134</x:v>
      </x:c>
      <x:c r="F28" s="47" t="n">
        <x:f>D28+E28</x:f>
        <x:v>4969.014577030561</x:v>
      </x:c>
      <x:c r="G28" s="63" t="n">
        <x:f>F28/B28</x:f>
        <x:v>0.00791543448615406</x:v>
      </x:c>
      <x:c r="H28" s="47" t="n">
        <x:f>F28-F27</x:f>
        <x:v>1863.850223388753</x:v>
      </x:c>
      <x:c r="I28" s="63" t="n">
        <x:f>MAX(0.005,pac_u_base*IF(Paths!AC28=1,pac_u_war,1)+(okun*(1-Economy!G28)*(B28+L28)-MAX(0,L27-L28))/B28)</x:f>
        <x:v>0.015</x:v>
      </x:c>
      <x:c r="J28" s="47" t="n">
        <x:f>IF(AND(gw_on=1,$A28&gt;=gw_start),MIN(gw_cap*B27,gw_cover*F27+gw_gen*B27),0)</x:f>
        <x:v>0</x:v>
      </x:c>
      <x:c r="K28" s="47" t="n">
        <x:f>L27*gw_conv</x:f>
        <x:v>0</x:v>
      </x:c>
      <x:c r="L28" s="47" t="n">
        <x:f>MAX(0,L27-K28+gw_adj*(J28-L27))*MAX(0,1-gw_slump*(1-Economy!G28))</x:f>
        <x:v>0</x:v>
      </x:c>
      <x:c r="M28" s="47" t="n">
        <x:f>MAX(0,L28-L27+L27/gw_term)</x:f>
        <x:v>0</x:v>
      </x:c>
      <x:c r="N28" s="63" t="n">
        <x:f>L28/B28</x:f>
        <x:v>0</x:v>
      </x:c>
      <x:c r="O28" s="53" t="n">
        <x:f>Economy!L28</x:f>
        <x:v>0</x:v>
      </x:c>
      <x:c r="P28" s="53" t="n">
        <x:f>O28*gw_wage_share</x:f>
        <x:v>0</x:v>
      </x:c>
      <x:c r="Q28" s="53" t="n">
        <x:f>P28*gw_levy</x:f>
        <x:v>0</x:v>
      </x:c>
      <x:c r="R28" s="53" t="n">
        <x:f>P28*gw_remit</x:f>
        <x:v>0</x:v>
      </x:c>
      <x:c r="S28" s="63" t="n">
        <x:f>IF(union_resp&gt;=1,MIN(1,MAX(0,($A28-resp_start)/(resp_full-resp_start))),0)</x:f>
        <x:v>0</x:v>
      </x:c>
      <x:c r="T28" s="67" t="n">
        <x:f>Economy!R27</x:f>
        <x:v>1.8251870889571675</x:v>
      </x:c>
      <x:c r="U28" s="67" t="n">
        <x:f>MAX(0,T28-gap_base)</x:f>
        <x:v>0.3251870889571675</x:v>
      </x:c>
      <x:c r="V28" s="68" t="n">
        <x:v>27.64</x:v>
      </x:c>
      <x:c r="W28" s="47" t="n">
        <x:f>V28*1000000*lf_rate*union_skill_share</x:f>
        <x:v>1393056</x:v>
      </x:c>
      <x:c r="X28" s="45" t="n">
        <x:v>0</x:v>
      </x:c>
      <x:c r="Y28" s="47" t="n">
        <x:f>IF(AND(mig_endo=1,$A28&gt;=talent_start),talent_rate_u*W28*U28*(1-(1-bd_keep)*S28),0)</x:f>
        <x:v>0</x:v>
      </x:c>
      <x:c r="Z28" s="47" t="n">
        <x:f>IF(AND(mig_endo=1,$A28&gt;=talent_start),X28*MIN(0.5,talent_share_o*U28)*(1-eu_comp*S28),0)</x:f>
        <x:v>0</x:v>
      </x:c>
      <x:c r="AA28" s="45" t="n">
        <x:v>0</x:v>
      </x:c>
      <x:c r="AB28" s="47" t="n">
        <x:f>IF(AND(mig_endo=1,$A28&gt;=talent_start),AA28*MIN(0.5,talent_share_a*U28),0)</x:f>
        <x:v>0</x:v>
      </x:c>
      <x:c r="AC28" s="47" t="n">
        <x:f>entry_cap*People!B28</x:f>
        <x:v>4330.677892953055</x:v>
      </x:c>
      <x:c r="AD28" s="47" t="n">
        <x:f>MIN(AC28,Y28+Z28+AB28)</x:f>
        <x:v>0</x:v>
      </x:c>
      <x:c r="AE28" s="47" t="n">
        <x:f>IF(Y28+Z28+AB28&gt;0,AD28*Y28/(Y28+Z28+AB28),0)</x:f>
        <x:v>0</x:v>
      </x:c>
      <x:c r="AF28" s="47" t="n">
        <x:f>IF(Y28+Z28+AB28&gt;0,AD28*AB28/(Y28+Z28+AB28),0)</x:f>
        <x:v>0</x:v>
      </x:c>
      <x:c r="AG28" s="47" t="n">
        <x:f>AD28*family_mult</x:f>
        <x:v>0</x:v>
      </x:c>
      <x:c r="AH28" s="47" t="n">
        <x:f>AH27*(1+Paths!C28)+AG28</x:f>
        <x:v>0</x:v>
      </x:c>
      <x:c r="AI28" s="47" t="n">
        <x:f>IF(AND(mig_endo=1,$A28&gt;=talent_start),chain_rate*AH27,0)</x:f>
        <x:v>0</x:v>
      </x:c>
      <x:c r="AJ28" s="47" t="n">
        <x:f>IF(AND(mig_endo=1,$A28&gt;=talent_start),IF(H27&gt;0,H27*job_fill,H27*job_return)*job_family,0)</x:f>
        <x:v>0</x:v>
      </x:c>
      <x:c r="AK28" s="47" t="n">
        <x:f>K28*gw_conv_family</x:f>
        <x:v>0</x:v>
      </x:c>
      <x:c r="AL28" s="47" t="n">
        <x:f>AG28+AI28+AJ28+AK28+AR28</x:f>
        <x:v>0</x:v>
      </x:c>
      <x:c r="AM28" s="47" t="n">
        <x:f>AM27*(1-skill_ret)+AD28</x:f>
        <x:v>0</x:v>
      </x:c>
      <x:c r="AN28" s="64" t="n">
        <x:f>AM28/B28</x:f>
        <x:v>0</x:v>
      </x:c>
      <x:c r="AO28" s="64" t="n">
        <x:f>(skill_rel-1+skill_spill)*AM27/B27-AT28</x:f>
        <x:v>0</x:v>
      </x:c>
      <x:c r="AP28" s="64" t="n">
        <x:f>talent_champ*AM27/(skill_base_share*B27)</x:f>
        <x:v>0</x:v>
      </x:c>
      <x:c r="AQ28" s="45" t="n">
        <x:v>360000</x:v>
      </x:c>
      <x:c r="AR28" s="47" t="n">
        <x:f>IF(AND(div_on=1,$A28&gt;=div_start),AQ28*MIN(div_max,div_rate*U28)*(1-div_comp*S28),0)</x:f>
        <x:v>0</x:v>
      </x:c>
      <x:c r="AS28" s="47" t="n">
        <x:f>AS27*(1-div_assim)+AR28</x:f>
        <x:v>0</x:v>
      </x:c>
      <x:c r="AT28" s="64" t="n">
        <x:f>(1-div_rel)*AS27/Economy!B27</x:f>
        <x:v>0</x:v>
      </x:c>
      <x:c r="AU28" s="47" t="n">
        <x:f>AU27*(1-skill_ret)+AE28</x:f>
        <x:v>0</x:v>
      </x:c>
      <x:c r="AV28" s="47" t="n">
        <x:f>AV27*(1+union_nat)+AR28</x:f>
        <x:v>0</x:v>
      </x:c>
      <x:c r="AW28" s="47" t="n">
        <x:f>AW27*(1+union_nat)+AE28*family_mult</x:f>
        <x:v>0</x:v>
      </x:c>
      <x:c r="AX28" s="67" t="n">
        <x:f>V28-(AV28+AW28)/1000000</x:f>
        <x:v>27.64</x:v>
      </x:c>
      <x:c r="AY28" s="47" t="n">
        <x:f>L28*gw_union</x:f>
        <x:v>0</x:v>
      </x:c>
      <x:c r="AZ28" s="46" t="n">
        <x:v>1.115</x:v>
      </x:c>
      <x:c r="BA28" s="47" t="n">
        <x:f>Economy!Q28*AZ28/lf_rate</x:f>
        <x:v>432.7261904761905</x:v>
      </x:c>
      <x:c r="BB28" s="64" t="n">
        <x:f>bd_growth*AU27/W27</x:f>
        <x:v>0</x:v>
      </x:c>
      <x:c r="BC28" s="64" t="n">
        <x:f>tg_k*MIN(1,Economy!O27/BK27)</x:f>
        <x:v>0.0002528454418265491</x:v>
      </x:c>
      <x:c r="BD28" s="64" t="n">
        <x:f>emu_g*S28</x:f>
        <x:v>0</x:v>
      </x:c>
      <x:c r="BE28" s="65" t="n">
        <x:f>BE27*(1-BB28-BC28+BD28)</x:f>
        <x:v>0.9966301053014097</x:v>
      </x:c>
      <x:c r="BF28" s="46" t="n">
        <x:v>1</x:v>
      </x:c>
      <x:c r="BG28" s="53" t="n">
        <x:f>AU28*BA28*BE28*(skill_rel-1+skill_spill)/1000000</x:f>
        <x:v>0</x:v>
      </x:c>
      <x:c r="BH28" s="53" t="n">
        <x:f>union_disp*(Champions!AP28+Champions!AZ28)*(1-IF(union_resp=2,mkt_cut*S28,0))</x:f>
        <x:v>1.097687509866373</x:v>
      </x:c>
      <x:c r="BI28" s="53" t="n">
        <x:f>AY28*BA28*BE28/1000000</x:f>
        <x:v>0</x:v>
      </x:c>
      <x:c r="BJ28" s="47" t="n">
        <x:f>V28*Economy!Q28*AZ28</x:f>
        <x:v>5023.431799999999</x:v>
      </x:c>
      <x:c r="BK28" s="47" t="n">
        <x:f>MAX(0.3*BJ28,AX28*Economy!Q28*AZ28*BE28*BF28-BG28-BH28-BI28)</x:f>
        <x:v>5005.405676298583</x:v>
      </x:c>
      <x:c r="BL28" s="63" t="n">
        <x:f>1-BK28/BJ28</x:f>
        <x:v>0.0035884081677821644</x:v>
      </x:c>
      <x:c r="BM28" s="47" t="n">
        <x:f>MAX(0,BH28-BH27)*1000000/BA28</x:f>
        <x:v>949.2233907536529</x:v>
      </x:c>
      <x:c r="BN28" s="47" t="n">
        <x:f>BN27*(1-IF(AND($A28&gt;=1930,$A28&lt;=1932),0,union_reabsorb))+BM28</x:f>
        <x:v>1367.439043408077</x:v>
      </x:c>
      <x:c r="BO28" s="59" t="n">
        <x:v>0.04</x:v>
      </x:c>
      <x:c r="BP28" s="63" t="n">
        <x:f>BO28+BN28/(AX28*1000000*lf_rate)</x:f>
        <x:v>0.04011779331570947</x:v>
      </x:c>
    </x:row>
    <x:row r="29">
      <x:c r="A29" s="58" t="n">
        <x:v>1869</x:v>
      </x:c>
      <x:c r="B29" s="47" t="n">
        <x:f>Economy!B29*lf_rate</x:f>
        <x:v>672648.4380366653</x:v>
      </x:c>
      <x:c r="C29" s="47" t="n">
        <x:f>Economy!O29*1000000/(B29+L29)</x:f>
        <x:v>701.1271227132798</x:v>
      </x:c>
      <x:c r="D29" s="47" t="n">
        <x:f>Champions!AP29*1000000/(C29*champ_prem)</x:f>
        <x:v>3156.3855215202457</x:v>
      </x:c>
      <x:c r="E29" s="47" t="n">
        <x:f>D29*job_mult</x:f>
        <x:v>2209.4698650641717</x:v>
      </x:c>
      <x:c r="F29" s="47" t="n">
        <x:f>D29+E29</x:f>
        <x:v>5365.855386584417</x:v>
      </x:c>
      <x:c r="G29" s="63" t="n">
        <x:f>F29/B29</x:f>
        <x:v>0.007977206343103008</x:v>
      </x:c>
      <x:c r="H29" s="47" t="n">
        <x:f>F29-F28</x:f>
        <x:v>396.84080955385616</x:v>
      </x:c>
      <x:c r="I29" s="63" t="n">
        <x:f>MAX(0.005,pac_u_base*IF(Paths!AC29=1,pac_u_war,1)+(okun*(1-Economy!G29)*(B29+L29)-MAX(0,L28-L29))/B29)</x:f>
        <x:v>0.015</x:v>
      </x:c>
      <x:c r="J29" s="47" t="n">
        <x:f>IF(AND(gw_on=1,$A29&gt;=gw_start),MIN(gw_cap*B28,gw_cover*F28+gw_gen*B28),0)</x:f>
        <x:v>0</x:v>
      </x:c>
      <x:c r="K29" s="47" t="n">
        <x:f>L28*gw_conv</x:f>
        <x:v>0</x:v>
      </x:c>
      <x:c r="L29" s="47" t="n">
        <x:f>MAX(0,L28-K29+gw_adj*(J29-L28))*MAX(0,1-gw_slump*(1-Economy!G29))</x:f>
        <x:v>0</x:v>
      </x:c>
      <x:c r="M29" s="47" t="n">
        <x:f>MAX(0,L29-L28+L28/gw_term)</x:f>
        <x:v>0</x:v>
      </x:c>
      <x:c r="N29" s="63" t="n">
        <x:f>L29/B29</x:f>
        <x:v>0</x:v>
      </x:c>
      <x:c r="O29" s="53" t="n">
        <x:f>Economy!L29</x:f>
        <x:v>0</x:v>
      </x:c>
      <x:c r="P29" s="53" t="n">
        <x:f>O29*gw_wage_share</x:f>
        <x:v>0</x:v>
      </x:c>
      <x:c r="Q29" s="53" t="n">
        <x:f>P29*gw_levy</x:f>
        <x:v>0</x:v>
      </x:c>
      <x:c r="R29" s="53" t="n">
        <x:f>P29*gw_remit</x:f>
        <x:v>0</x:v>
      </x:c>
      <x:c r="S29" s="63" t="n">
        <x:f>IF(union_resp&gt;=1,MIN(1,MAX(0,($A29-resp_start)/(resp_full-resp_start))),0)</x:f>
        <x:v>0</x:v>
      </x:c>
      <x:c r="T29" s="67" t="n">
        <x:f>Economy!R28</x:f>
        <x:v>1.782447201141499</x:v>
      </x:c>
      <x:c r="U29" s="67" t="n">
        <x:f>MAX(0,T29-gap_base)</x:f>
        <x:v>0.2824472011414989</x:v>
      </x:c>
      <x:c r="V29" s="68" t="n">
        <x:v>28.52</x:v>
      </x:c>
      <x:c r="W29" s="47" t="n">
        <x:f>V29*1000000*lf_rate*union_skill_share</x:f>
        <x:v>1437408</x:v>
      </x:c>
      <x:c r="X29" s="45" t="n">
        <x:v>0</x:v>
      </x:c>
      <x:c r="Y29" s="47" t="n">
        <x:f>IF(AND(mig_endo=1,$A29&gt;=talent_start),talent_rate_u*W29*U29*(1-(1-bd_keep)*S29),0)</x:f>
        <x:v>0</x:v>
      </x:c>
      <x:c r="Z29" s="47" t="n">
        <x:f>IF(AND(mig_endo=1,$A29&gt;=talent_start),X29*MIN(0.5,talent_share_o*U29)*(1-eu_comp*S29),0)</x:f>
        <x:v>0</x:v>
      </x:c>
      <x:c r="AA29" s="45" t="n">
        <x:v>0</x:v>
      </x:c>
      <x:c r="AB29" s="47" t="n">
        <x:f>IF(AND(mig_endo=1,$A29&gt;=talent_start),AA29*MIN(0.5,talent_share_a*U29),0)</x:f>
        <x:v>0</x:v>
      </x:c>
      <x:c r="AC29" s="47" t="n">
        <x:f>entry_cap*People!B29</x:f>
        <x:v>4637.360772919163</x:v>
      </x:c>
      <x:c r="AD29" s="47" t="n">
        <x:f>MIN(AC29,Y29+Z29+AB29)</x:f>
        <x:v>0</x:v>
      </x:c>
      <x:c r="AE29" s="47" t="n">
        <x:f>IF(Y29+Z29+AB29&gt;0,AD29*Y29/(Y29+Z29+AB29),0)</x:f>
        <x:v>0</x:v>
      </x:c>
      <x:c r="AF29" s="47" t="n">
        <x:f>IF(Y29+Z29+AB29&gt;0,AD29*AB29/(Y29+Z29+AB29),0)</x:f>
        <x:v>0</x:v>
      </x:c>
      <x:c r="AG29" s="47" t="n">
        <x:f>AD29*family_mult</x:f>
        <x:v>0</x:v>
      </x:c>
      <x:c r="AH29" s="47" t="n">
        <x:f>AH28*(1+Paths!C29)+AG29</x:f>
        <x:v>0</x:v>
      </x:c>
      <x:c r="AI29" s="47" t="n">
        <x:f>IF(AND(mig_endo=1,$A29&gt;=talent_start),chain_rate*AH28,0)</x:f>
        <x:v>0</x:v>
      </x:c>
      <x:c r="AJ29" s="47" t="n">
        <x:f>IF(AND(mig_endo=1,$A29&gt;=talent_start),IF(H28&gt;0,H28*job_fill,H28*job_return)*job_family,0)</x:f>
        <x:v>0</x:v>
      </x:c>
      <x:c r="AK29" s="47" t="n">
        <x:f>K29*gw_conv_family</x:f>
        <x:v>0</x:v>
      </x:c>
      <x:c r="AL29" s="47" t="n">
        <x:f>AG29+AI29+AJ29+AK29+AR29</x:f>
        <x:v>0</x:v>
      </x:c>
      <x:c r="AM29" s="47" t="n">
        <x:f>AM28*(1-skill_ret)+AD29</x:f>
        <x:v>0</x:v>
      </x:c>
      <x:c r="AN29" s="64" t="n">
        <x:f>AM29/B29</x:f>
        <x:v>0</x:v>
      </x:c>
      <x:c r="AO29" s="64" t="n">
        <x:f>(skill_rel-1+skill_spill)*AM28/B28-AT29</x:f>
        <x:v>0</x:v>
      </x:c>
      <x:c r="AP29" s="64" t="n">
        <x:f>talent_champ*AM28/(skill_base_share*B28)</x:f>
        <x:v>0</x:v>
      </x:c>
      <x:c r="AQ29" s="45" t="n">
        <x:v>380000</x:v>
      </x:c>
      <x:c r="AR29" s="47" t="n">
        <x:f>IF(AND(div_on=1,$A29&gt;=div_start),AQ29*MIN(div_max,div_rate*U29)*(1-div_comp*S29),0)</x:f>
        <x:v>0</x:v>
      </x:c>
      <x:c r="AS29" s="47" t="n">
        <x:f>AS28*(1-div_assim)+AR29</x:f>
        <x:v>0</x:v>
      </x:c>
      <x:c r="AT29" s="64" t="n">
        <x:f>(1-div_rel)*AS28/Economy!B28</x:f>
        <x:v>0</x:v>
      </x:c>
      <x:c r="AU29" s="47" t="n">
        <x:f>AU28*(1-skill_ret)+AE29</x:f>
        <x:v>0</x:v>
      </x:c>
      <x:c r="AV29" s="47" t="n">
        <x:f>AV28*(1+union_nat)+AR29</x:f>
        <x:v>0</x:v>
      </x:c>
      <x:c r="AW29" s="47" t="n">
        <x:f>AW28*(1+union_nat)+AE29*family_mult</x:f>
        <x:v>0</x:v>
      </x:c>
      <x:c r="AX29" s="67" t="n">
        <x:f>V29-(AV29+AW29)/1000000</x:f>
        <x:v>28.52</x:v>
      </x:c>
      <x:c r="AY29" s="47" t="n">
        <x:f>L29*gw_union</x:f>
        <x:v>0</x:v>
      </x:c>
      <x:c r="AZ29" s="46" t="n">
        <x:v>1.115</x:v>
      </x:c>
      <x:c r="BA29" s="47" t="n">
        <x:f>Economy!Q29*AZ29/lf_rate</x:f>
        <x:v>446</x:v>
      </x:c>
      <x:c r="BB29" s="64" t="n">
        <x:f>bd_growth*AU28/W28</x:f>
        <x:v>0</x:v>
      </x:c>
      <x:c r="BC29" s="64" t="n">
        <x:f>tg_k*MIN(1,Economy!O28/BK28)</x:f>
        <x:v>0.0002602750108498637</x:v>
      </x:c>
      <x:c r="BD29" s="64" t="n">
        <x:f>emu_g*S29</x:f>
        <x:v>0</x:v>
      </x:c>
      <x:c r="BE29" s="65" t="n">
        <x:f>BE28*(1-BB29-BC29+BD29)</x:f>
        <x:v>0.996370707389939</x:v>
      </x:c>
      <x:c r="BF29" s="46" t="n">
        <x:v>1</x:v>
      </x:c>
      <x:c r="BG29" s="53" t="n">
        <x:f>AU29*BA29*BE29*(skill_rel-1+skill_spill)/1000000</x:f>
        <x:v>0</x:v>
      </x:c>
      <x:c r="BH29" s="53" t="n">
        <x:f>union_disp*(Champions!AP29+Champions!AZ29)*(1-IF(union_resp=2,mkt_cut*S29,0))</x:f>
        <x:v>1.2043988274542385</x:v>
      </x:c>
      <x:c r="BI29" s="53" t="n">
        <x:f>AY29*BA29*BE29/1000000</x:f>
        <x:v>0</x:v>
      </x:c>
      <x:c r="BJ29" s="47" t="n">
        <x:f>V29*Economy!Q29*AZ29</x:f>
        <x:v>5342.3664</x:v>
      </x:c>
      <x:c r="BK29" s="47" t="n">
        <x:f>MAX(0.3*BJ29,AX29*Economy!Q29*AZ29*BE29*BF29-BG29-BH29-BI29)</x:f>
        <x:v>5321.772990276788</x:v>
      </x:c>
      <x:c r="BL29" s="63" t="n">
        <x:f>1-BK29/BJ29</x:f>
        <x:v>0.003854735557488498</x:v>
      </x:c>
      <x:c r="BM29" s="47" t="n">
        <x:f>MAX(0,BH29-BH28)*1000000/BA29</x:f>
        <x:v>239.26304391898108</x:v>
      </x:c>
      <x:c r="BN29" s="47" t="n">
        <x:f>BN28*(1-IF(AND($A29&gt;=1930,$A29&lt;=1932),0,union_reabsorb))+BM29</x:f>
        <x:v>1264.8423264750388</x:v>
      </x:c>
      <x:c r="BO29" s="59" t="n">
        <x:v>0.04</x:v>
      </x:c>
      <x:c r="BP29" s="63" t="n">
        <x:f>BO29+BN29/(AX29*1000000*lf_rate)</x:f>
        <x:v>0.040105593595678474</x:v>
      </x:c>
    </x:row>
    <x:row r="30">
      <x:c r="A30" s="61" t="n">
        <x:v>1870</x:v>
      </x:c>
      <x:c r="B30" s="47" t="n">
        <x:f>Economy!B30*lf_rate</x:f>
        <x:v>719974.5983593619</x:v>
      </x:c>
      <x:c r="C30" s="47" t="n">
        <x:f>Economy!O30*1000000/(B30+L30)</x:f>
        <x:v>714.5765288339693</x:v>
      </x:c>
      <x:c r="D30" s="47" t="n">
        <x:f>Champions!AP30*1000000/(C30*champ_prem)</x:f>
        <x:v>5832.968878613235</x:v>
      </x:c>
      <x:c r="E30" s="47" t="n">
        <x:f>D30*job_mult</x:f>
        <x:v>4083.078215029264</x:v>
      </x:c>
      <x:c r="F30" s="47" t="n">
        <x:f>D30+E30</x:f>
        <x:v>9916.047093642499</x:v>
      </x:c>
      <x:c r="G30" s="63" t="n">
        <x:f>F30/B30</x:f>
        <x:v>0.013772773534286676</x:v>
      </x:c>
      <x:c r="H30" s="47" t="n">
        <x:f>F30-F29</x:f>
        <x:v>4550.191707058082</x:v>
      </x:c>
      <x:c r="I30" s="63" t="n">
        <x:f>MAX(0.005,pac_u_base*IF(Paths!AC30=1,pac_u_war,1)+(okun*(1-Economy!G30)*(B30+L30)-MAX(0,L29-L30))/B30)</x:f>
        <x:v>0.009</x:v>
      </x:c>
      <x:c r="J30" s="47" t="n">
        <x:f>IF(AND(gw_on=1,$A30&gt;=gw_start),MIN(gw_cap*B29,gw_cover*F29+gw_gen*B29),0)</x:f>
        <x:v>0</x:v>
      </x:c>
      <x:c r="K30" s="47" t="n">
        <x:f>L29*gw_conv</x:f>
        <x:v>0</x:v>
      </x:c>
      <x:c r="L30" s="47" t="n">
        <x:f>MAX(0,L29-K30+gw_adj*(J30-L29))*MAX(0,1-gw_slump*(1-Economy!G30))</x:f>
        <x:v>0</x:v>
      </x:c>
      <x:c r="M30" s="47" t="n">
        <x:f>MAX(0,L30-L29+L29/gw_term)</x:f>
        <x:v>0</x:v>
      </x:c>
      <x:c r="N30" s="63" t="n">
        <x:f>L30/B30</x:f>
        <x:v>0</x:v>
      </x:c>
      <x:c r="O30" s="53" t="n">
        <x:f>Economy!L30</x:f>
        <x:v>0</x:v>
      </x:c>
      <x:c r="P30" s="53" t="n">
        <x:f>O30*gw_wage_share</x:f>
        <x:v>0</x:v>
      </x:c>
      <x:c r="Q30" s="53" t="n">
        <x:f>P30*gw_levy</x:f>
        <x:v>0</x:v>
      </x:c>
      <x:c r="R30" s="53" t="n">
        <x:f>P30*gw_remit</x:f>
        <x:v>0</x:v>
      </x:c>
      <x:c r="S30" s="63" t="n">
        <x:f>IF(union_resp&gt;=1,MIN(1,MAX(0,($A30-resp_start)/(resp_full-resp_start))),0)</x:f>
        <x:v>0</x:v>
      </x:c>
      <x:c r="T30" s="67" t="n">
        <x:f>Economy!R29</x:f>
        <x:v>1.7528178067831999</x:v>
      </x:c>
      <x:c r="U30" s="67" t="n">
        <x:f>MAX(0,T30-gap_base)</x:f>
        <x:v>0.25281780678319987</x:v>
      </x:c>
      <x:c r="V30" s="68" t="n">
        <x:v>29.4</x:v>
      </x:c>
      <x:c r="W30" s="47" t="n">
        <x:f>V30*1000000*lf_rate*union_skill_share</x:f>
        <x:v>1481760</x:v>
      </x:c>
      <x:c r="X30" s="45" t="n">
        <x:v>30000</x:v>
      </x:c>
      <x:c r="Y30" s="47" t="n">
        <x:f>IF(AND(mig_endo=1,$A30&gt;=talent_start),talent_rate_u*W30*U30*(1-(1-bd_keep)*S30),0)</x:f>
        <x:v>0</x:v>
      </x:c>
      <x:c r="Z30" s="47" t="n">
        <x:f>IF(AND(mig_endo=1,$A30&gt;=talent_start),X30*MIN(0.5,talent_share_o*U30)*(1-eu_comp*S30),0)</x:f>
        <x:v>0</x:v>
      </x:c>
      <x:c r="AA30" s="45" t="n">
        <x:v>0</x:v>
      </x:c>
      <x:c r="AB30" s="47" t="n">
        <x:f>IF(AND(mig_endo=1,$A30&gt;=talent_start),AA30*MIN(0.5,talent_share_a*U30),0)</x:f>
        <x:v>0</x:v>
      </x:c>
      <x:c r="AC30" s="47" t="n">
        <x:f>entry_cap*People!B30</x:f>
        <x:v>4971.902627604627</x:v>
      </x:c>
      <x:c r="AD30" s="47" t="n">
        <x:f>MIN(AC30,Y30+Z30+AB30)</x:f>
        <x:v>0</x:v>
      </x:c>
      <x:c r="AE30" s="47" t="n">
        <x:f>IF(Y30+Z30+AB30&gt;0,AD30*Y30/(Y30+Z30+AB30),0)</x:f>
        <x:v>0</x:v>
      </x:c>
      <x:c r="AF30" s="47" t="n">
        <x:f>IF(Y30+Z30+AB30&gt;0,AD30*AB30/(Y30+Z30+AB30),0)</x:f>
        <x:v>0</x:v>
      </x:c>
      <x:c r="AG30" s="47" t="n">
        <x:f>AD30*family_mult</x:f>
        <x:v>0</x:v>
      </x:c>
      <x:c r="AH30" s="47" t="n">
        <x:f>AH29*(1+Paths!C30)+AG30</x:f>
        <x:v>0</x:v>
      </x:c>
      <x:c r="AI30" s="47" t="n">
        <x:f>IF(AND(mig_endo=1,$A30&gt;=talent_start),chain_rate*AH29,0)</x:f>
        <x:v>0</x:v>
      </x:c>
      <x:c r="AJ30" s="47" t="n">
        <x:f>IF(AND(mig_endo=1,$A30&gt;=talent_start),IF(H29&gt;0,H29*job_fill,H29*job_return)*job_family,0)</x:f>
        <x:v>0</x:v>
      </x:c>
      <x:c r="AK30" s="47" t="n">
        <x:f>K30*gw_conv_family</x:f>
        <x:v>0</x:v>
      </x:c>
      <x:c r="AL30" s="47" t="n">
        <x:f>AG30+AI30+AJ30+AK30+AR30</x:f>
        <x:v>0</x:v>
      </x:c>
      <x:c r="AM30" s="47" t="n">
        <x:f>AM29*(1-skill_ret)+AD30</x:f>
        <x:v>0</x:v>
      </x:c>
      <x:c r="AN30" s="64" t="n">
        <x:f>AM30/B30</x:f>
        <x:v>0</x:v>
      </x:c>
      <x:c r="AO30" s="64" t="n">
        <x:f>(skill_rel-1+skill_spill)*AM29/B29-AT30</x:f>
        <x:v>0</x:v>
      </x:c>
      <x:c r="AP30" s="64" t="n">
        <x:f>talent_champ*AM29/(skill_base_share*B29)</x:f>
        <x:v>0</x:v>
      </x:c>
      <x:c r="AQ30" s="45" t="n">
        <x:v>400000</x:v>
      </x:c>
      <x:c r="AR30" s="47" t="n">
        <x:f>IF(AND(div_on=1,$A30&gt;=div_start),AQ30*MIN(div_max,div_rate*U30)*(1-div_comp*S30),0)</x:f>
        <x:v>0</x:v>
      </x:c>
      <x:c r="AS30" s="47" t="n">
        <x:f>AS29*(1-div_assim)+AR30</x:f>
        <x:v>0</x:v>
      </x:c>
      <x:c r="AT30" s="64" t="n">
        <x:f>(1-div_rel)*AS29/Economy!B29</x:f>
        <x:v>0</x:v>
      </x:c>
      <x:c r="AU30" s="47" t="n">
        <x:f>AU29*(1-skill_ret)+AE30</x:f>
        <x:v>0</x:v>
      </x:c>
      <x:c r="AV30" s="47" t="n">
        <x:f>AV29*(1+union_nat)+AR30</x:f>
        <x:v>0</x:v>
      </x:c>
      <x:c r="AW30" s="47" t="n">
        <x:f>AW29*(1+union_nat)+AE30*family_mult</x:f>
        <x:v>0</x:v>
      </x:c>
      <x:c r="AX30" s="67" t="n">
        <x:f>V30-(AV30+AW30)/1000000</x:f>
        <x:v>29.4</x:v>
      </x:c>
      <x:c r="AY30" s="47" t="n">
        <x:f>L30*gw_union</x:f>
        <x:v>0</x:v>
      </x:c>
      <x:c r="AZ30" s="46" t="n">
        <x:v>1.115</x:v>
      </x:c>
      <x:c r="BA30" s="47" t="n">
        <x:f>Economy!Q30*AZ30/lf_rate</x:f>
        <x:v>456.61904761904765</x:v>
      </x:c>
      <x:c r="BB30" s="64" t="n">
        <x:f>bd_growth*AU29/W29</x:f>
        <x:v>0</x:v>
      </x:c>
      <x:c r="BC30" s="64" t="n">
        <x:f>tg_k*MIN(1,Economy!O29/BK29)</x:f>
        <x:v>0.0002658580504015638</x:v>
      </x:c>
      <x:c r="BD30" s="64" t="n">
        <x:f>emu_g*S30</x:f>
        <x:v>0</x:v>
      </x:c>
      <x:c r="BE30" s="65" t="n">
        <x:f>BE29*(1-BB30-BC30+BD30)</x:f>
        <x:v>0.9961058142161952</x:v>
      </x:c>
      <x:c r="BF30" s="46" t="n">
        <x:v>1</x:v>
      </x:c>
      <x:c r="BG30" s="53" t="n">
        <x:f>AU30*BA30*BE30*(skill_rel-1+skill_spill)/1000000</x:f>
        <x:v>0</x:v>
      </x:c>
      <x:c r="BH30" s="53" t="n">
        <x:f>union_disp*(Champions!AP30+Champions!AZ30)*(1-IF(union_resp=2,mkt_cut*S30,0))</x:f>
        <x:v>2.396288959341248</x:v>
      </x:c>
      <x:c r="BI30" s="53" t="n">
        <x:f>AY30*BA30*BE30/1000000</x:f>
        <x:v>0</x:v>
      </x:c>
      <x:c r="BJ30" s="47" t="n">
        <x:f>V30*Economy!Q30*AZ30</x:f>
        <x:v>5638.332</x:v>
      </x:c>
      <x:c r="BK30" s="47" t="n">
        <x:f>MAX(0.3*BJ30,AX30*Economy!Q30*AZ30*BE30*BF30-BG30-BH30-BI30)</x:f>
        <x:v>5613.978998721887</x:v>
      </x:c>
      <x:c r="BL30" s="63" t="n">
        <x:f>1-BK30/BJ30</x:f>
        <x:v>0.004319185404143111</x:v>
      </x:c>
      <x:c r="BM30" s="47" t="n">
        <x:f>MAX(0,BH30-BH29)*1000000/BA30</x:f>
        <x:v>2610.2505756207315</x:v>
      </x:c>
      <x:c r="BN30" s="47" t="n">
        <x:f>BN29*(1-IF(AND($A30&gt;=1930,$A30&lt;=1932),0,union_reabsorb))+BM30</x:f>
        <x:v>3558.8823204770106</x:v>
      </x:c>
      <x:c r="BO30" s="59" t="n">
        <x:v>0.04</x:v>
      </x:c>
      <x:c r="BP30" s="63" t="n">
        <x:f>BO30+BN30/(AX30*1000000*lf_rate)</x:f>
        <x:v>0.04028821528348534</x:v>
      </x:c>
    </x:row>
    <x:row r="31">
      <x:c r="A31" s="61" t="n">
        <x:v>1871</x:v>
      </x:c>
      <x:c r="B31" s="47" t="n">
        <x:f>Economy!B31*lf_rate</x:f>
        <x:v>768245.3157281898</x:v>
      </x:c>
      <x:c r="C31" s="47" t="n">
        <x:f>Economy!O31*1000000/(B31+L31)</x:f>
        <x:v>719.8138089882367</x:v>
      </x:c>
      <x:c r="D31" s="47" t="n">
        <x:f>Champions!AP31*1000000/(C31*champ_prem)</x:f>
        <x:v>6898.587672993407</x:v>
      </x:c>
      <x:c r="E31" s="47" t="n">
        <x:f>D31*job_mult</x:f>
        <x:v>4829.011371095385</x:v>
      </x:c>
      <x:c r="F31" s="47" t="n">
        <x:f>D31+E31</x:f>
        <x:v>11727.59904408879</x:v>
      </x:c>
      <x:c r="G31" s="63" t="n">
        <x:f>F31/B31</x:f>
        <x:v>0.015265435146809397</x:v>
      </x:c>
      <x:c r="H31" s="47" t="n">
        <x:f>F31-F30</x:f>
        <x:v>1811.5519504462918</x:v>
      </x:c>
      <x:c r="I31" s="63" t="n">
        <x:f>MAX(0.005,pac_u_base*IF(Paths!AC31=1,pac_u_war,1)+(okun*(1-Economy!G31)*(B31+L31)-MAX(0,L30-L31))/B31)</x:f>
        <x:v>0.009</x:v>
      </x:c>
      <x:c r="J31" s="47" t="n">
        <x:f>IF(AND(gw_on=1,$A31&gt;=gw_start),MIN(gw_cap*B30,gw_cover*F30+gw_gen*B30),0)</x:f>
        <x:v>0</x:v>
      </x:c>
      <x:c r="K31" s="47" t="n">
        <x:f>L30*gw_conv</x:f>
        <x:v>0</x:v>
      </x:c>
      <x:c r="L31" s="47" t="n">
        <x:f>MAX(0,L30-K31+gw_adj*(J31-L30))*MAX(0,1-gw_slump*(1-Economy!G31))</x:f>
        <x:v>0</x:v>
      </x:c>
      <x:c r="M31" s="47" t="n">
        <x:f>MAX(0,L31-L30+L30/gw_term)</x:f>
        <x:v>0</x:v>
      </x:c>
      <x:c r="N31" s="63" t="n">
        <x:f>L31/B31</x:f>
        <x:v>0</x:v>
      </x:c>
      <x:c r="O31" s="53" t="n">
        <x:f>Economy!L31</x:f>
        <x:v>0</x:v>
      </x:c>
      <x:c r="P31" s="53" t="n">
        <x:f>O31*gw_wage_share</x:f>
        <x:v>0</x:v>
      </x:c>
      <x:c r="Q31" s="53" t="n">
        <x:f>P31*gw_levy</x:f>
        <x:v>0</x:v>
      </x:c>
      <x:c r="R31" s="53" t="n">
        <x:f>P31*gw_remit</x:f>
        <x:v>0</x:v>
      </x:c>
      <x:c r="S31" s="63" t="n">
        <x:f>IF(union_resp&gt;=1,MIN(1,MAX(0,($A31-resp_start)/(resp_full-resp_start))),0)</x:f>
        <x:v>0</x:v>
      </x:c>
      <x:c r="T31" s="67" t="n">
        <x:f>Economy!R30</x:f>
        <x:v>1.7448961750596923</x:v>
      </x:c>
      <x:c r="U31" s="67" t="n">
        <x:f>MAX(0,T31-gap_base)</x:f>
        <x:v>0.2448961750596923</x:v>
      </x:c>
      <x:c r="V31" s="68" t="n">
        <x:v>30.46</x:v>
      </x:c>
      <x:c r="W31" s="47" t="n">
        <x:f>V31*1000000*lf_rate*union_skill_share</x:f>
        <x:v>1535184</x:v>
      </x:c>
      <x:c r="X31" s="45" t="n">
        <x:v>33000</x:v>
      </x:c>
      <x:c r="Y31" s="47" t="n">
        <x:f>IF(AND(mig_endo=1,$A31&gt;=talent_start),talent_rate_u*W31*U31*(1-(1-bd_keep)*S31),0)</x:f>
        <x:v>0</x:v>
      </x:c>
      <x:c r="Z31" s="47" t="n">
        <x:f>IF(AND(mig_endo=1,$A31&gt;=talent_start),X31*MIN(0.5,talent_share_o*U31)*(1-eu_comp*S31),0)</x:f>
        <x:v>0</x:v>
      </x:c>
      <x:c r="AA31" s="45" t="n">
        <x:v>0</x:v>
      </x:c>
      <x:c r="AB31" s="47" t="n">
        <x:f>IF(AND(mig_endo=1,$A31&gt;=talent_start),AA31*MIN(0.5,talent_share_a*U31),0)</x:f>
        <x:v>0</x:v>
      </x:c>
      <x:c r="AC31" s="47" t="n">
        <x:f>entry_cap*People!B31</x:f>
        <x:v>5313.4487775291145</x:v>
      </x:c>
      <x:c r="AD31" s="47" t="n">
        <x:f>MIN(AC31,Y31+Z31+AB31)</x:f>
        <x:v>0</x:v>
      </x:c>
      <x:c r="AE31" s="47" t="n">
        <x:f>IF(Y31+Z31+AB31&gt;0,AD31*Y31/(Y31+Z31+AB31),0)</x:f>
        <x:v>0</x:v>
      </x:c>
      <x:c r="AF31" s="47" t="n">
        <x:f>IF(Y31+Z31+AB31&gt;0,AD31*AB31/(Y31+Z31+AB31),0)</x:f>
        <x:v>0</x:v>
      </x:c>
      <x:c r="AG31" s="47" t="n">
        <x:f>AD31*family_mult</x:f>
        <x:v>0</x:v>
      </x:c>
      <x:c r="AH31" s="47" t="n">
        <x:f>AH30*(1+Paths!C31)+AG31</x:f>
        <x:v>0</x:v>
      </x:c>
      <x:c r="AI31" s="47" t="n">
        <x:f>IF(AND(mig_endo=1,$A31&gt;=talent_start),chain_rate*AH30,0)</x:f>
        <x:v>0</x:v>
      </x:c>
      <x:c r="AJ31" s="47" t="n">
        <x:f>IF(AND(mig_endo=1,$A31&gt;=talent_start),IF(H30&gt;0,H30*job_fill,H30*job_return)*job_family,0)</x:f>
        <x:v>0</x:v>
      </x:c>
      <x:c r="AK31" s="47" t="n">
        <x:f>K31*gw_conv_family</x:f>
        <x:v>0</x:v>
      </x:c>
      <x:c r="AL31" s="47" t="n">
        <x:f>AG31+AI31+AJ31+AK31+AR31</x:f>
        <x:v>0</x:v>
      </x:c>
      <x:c r="AM31" s="47" t="n">
        <x:f>AM30*(1-skill_ret)+AD31</x:f>
        <x:v>0</x:v>
      </x:c>
      <x:c r="AN31" s="64" t="n">
        <x:f>AM31/B31</x:f>
        <x:v>0</x:v>
      </x:c>
      <x:c r="AO31" s="64" t="n">
        <x:f>(skill_rel-1+skill_spill)*AM30/B30-AT31</x:f>
        <x:v>0</x:v>
      </x:c>
      <x:c r="AP31" s="64" t="n">
        <x:f>talent_champ*AM30/(skill_base_share*B30)</x:f>
        <x:v>0</x:v>
      </x:c>
      <x:c r="AQ31" s="45" t="n">
        <x:v>420000</x:v>
      </x:c>
      <x:c r="AR31" s="47" t="n">
        <x:f>IF(AND(div_on=1,$A31&gt;=div_start),AQ31*MIN(div_max,div_rate*U31)*(1-div_comp*S31),0)</x:f>
        <x:v>0</x:v>
      </x:c>
      <x:c r="AS31" s="47" t="n">
        <x:f>AS30*(1-div_assim)+AR31</x:f>
        <x:v>0</x:v>
      </x:c>
      <x:c r="AT31" s="64" t="n">
        <x:f>(1-div_rel)*AS30/Economy!B30</x:f>
        <x:v>0</x:v>
      </x:c>
      <x:c r="AU31" s="47" t="n">
        <x:f>AU30*(1-skill_ret)+AE31</x:f>
        <x:v>0</x:v>
      </x:c>
      <x:c r="AV31" s="47" t="n">
        <x:f>AV30*(1+union_nat)+AR31</x:f>
        <x:v>0</x:v>
      </x:c>
      <x:c r="AW31" s="47" t="n">
        <x:f>AW30*(1+union_nat)+AE31*family_mult</x:f>
        <x:v>0</x:v>
      </x:c>
      <x:c r="AX31" s="67" t="n">
        <x:f>V31-(AV31+AW31)/1000000</x:f>
        <x:v>30.46</x:v>
      </x:c>
      <x:c r="AY31" s="47" t="n">
        <x:f>L31*gw_union</x:f>
        <x:v>0</x:v>
      </x:c>
      <x:c r="AZ31" s="46" t="n">
        <x:v>1.114</x:v>
      </x:c>
      <x:c r="BA31" s="47" t="n">
        <x:f>Economy!Q31*AZ31/lf_rate</x:f>
        <x:v>458.8619047619048</x:v>
      </x:c>
      <x:c r="BB31" s="64" t="n">
        <x:f>bd_growth*AU30/W30</x:f>
        <x:v>0</x:v>
      </x:c>
      <x:c r="BC31" s="64" t="n">
        <x:f>tg_k*MIN(1,Economy!O30/BK30)</x:f>
        <x:v>0.0002749263665546627</x:v>
      </x:c>
      <x:c r="BD31" s="64" t="n">
        <x:f>emu_g*S31</x:f>
        <x:v>0</x:v>
      </x:c>
      <x:c r="BE31" s="65" t="n">
        <x:f>BE30*(1-BB31-BC31+BD31)</x:f>
        <x:v>0.9958319584639886</x:v>
      </x:c>
      <x:c r="BF31" s="46" t="n">
        <x:v>1</x:v>
      </x:c>
      <x:c r="BG31" s="53" t="n">
        <x:f>AU31*BA31*BE31*(skill_rel-1+skill_spill)/1000000</x:f>
        <x:v>0</x:v>
      </x:c>
      <x:c r="BH31" s="53" t="n">
        <x:f>union_disp*(Champions!AP31+Champions!AZ31)*(1-IF(union_resp=2,mkt_cut*S31,0))</x:f>
        <x:v>2.9032437107647024</x:v>
      </x:c>
      <x:c r="BI31" s="53" t="n">
        <x:f>AY31*BA31*BE31/1000000</x:f>
        <x:v>0</x:v>
      </x:c>
      <x:c r="BJ31" s="47" t="n">
        <x:f>V31*Economy!Q31*AZ31</x:f>
        <x:v>5870.3121200000005</x:v>
      </x:c>
      <x:c r="BK31" s="47" t="n">
        <x:f>MAX(0.3*BJ31,AX31*Economy!Q31*AZ31*BE31*BF31-BG31-BH31-BI31)</x:f>
        <x:v>5842.941171543725</x:v>
      </x:c>
      <x:c r="BL31" s="63" t="n">
        <x:f>1-BK31/BJ31</x:f>
        <x:v>0.004662605309012968</x:v>
      </x:c>
      <x:c r="BM31" s="47" t="n">
        <x:f>MAX(0,BH31-BH30)*1000000/BA31</x:f>
        <x:v>1104.808976649531</x:v>
      </x:c>
      <x:c r="BN31" s="47" t="n">
        <x:f>BN30*(1-IF(AND($A31&gt;=1930,$A31&lt;=1932),0,union_reabsorb))+BM31</x:f>
        <x:v>3773.970717007289</x:v>
      </x:c>
      <x:c r="BO31" s="59" t="n">
        <x:v>0.04</x:v>
      </x:c>
      <x:c r="BP31" s="63" t="n">
        <x:f>BO31+BN31/(AX31*1000000*lf_rate)</x:f>
        <x:v>0.04029499818004935</x:v>
      </x:c>
    </x:row>
    <x:row r="32">
      <x:c r="A32" s="58" t="n">
        <x:v>1872</x:v>
      </x:c>
      <x:c r="B32" s="47" t="n">
        <x:f>Economy!B32*lf_rate</x:f>
        <x:v>817433.1767270253</x:v>
      </x:c>
      <x:c r="C32" s="47" t="n">
        <x:f>Economy!O32*1000000/(B32+L32)</x:f>
        <x:v>724.9503551217582</x:v>
      </x:c>
      <x:c r="D32" s="47" t="n">
        <x:f>Champions!AP32*1000000/(C32*champ_prem)</x:f>
        <x:v>8082.397648446581</x:v>
      </x:c>
      <x:c r="E32" s="47" t="n">
        <x:f>D32*job_mult</x:f>
        <x:v>5657.678353912606</x:v>
      </x:c>
      <x:c r="F32" s="47" t="n">
        <x:f>D32+E32</x:f>
        <x:v>13740.076002359187</x:v>
      </x:c>
      <x:c r="G32" s="63" t="n">
        <x:f>F32/B32</x:f>
        <x:v>0.016808806387543486</x:v>
      </x:c>
      <x:c r="H32" s="47" t="n">
        <x:f>F32-F31</x:f>
        <x:v>2012.4769582703957</x:v>
      </x:c>
      <x:c r="I32" s="63" t="n">
        <x:f>MAX(0.005,pac_u_base*IF(Paths!AC32=1,pac_u_war,1)+(okun*(1-Economy!G32)*(B32+L32)-MAX(0,L31-L32))/B32)</x:f>
        <x:v>0.015</x:v>
      </x:c>
      <x:c r="J32" s="47" t="n">
        <x:f>IF(AND(gw_on=1,$A32&gt;=gw_start),MIN(gw_cap*B31,gw_cover*F31+gw_gen*B31),0)</x:f>
        <x:v>0</x:v>
      </x:c>
      <x:c r="K32" s="47" t="n">
        <x:f>L31*gw_conv</x:f>
        <x:v>0</x:v>
      </x:c>
      <x:c r="L32" s="47" t="n">
        <x:f>MAX(0,L31-K32+gw_adj*(J32-L31))*MAX(0,1-gw_slump*(1-Economy!G32))</x:f>
        <x:v>0</x:v>
      </x:c>
      <x:c r="M32" s="47" t="n">
        <x:f>MAX(0,L32-L31+L31/gw_term)</x:f>
        <x:v>0</x:v>
      </x:c>
      <x:c r="N32" s="63" t="n">
        <x:f>L32/B32</x:f>
        <x:v>0</x:v>
      </x:c>
      <x:c r="O32" s="53" t="n">
        <x:f>Economy!L32</x:f>
        <x:v>0</x:v>
      </x:c>
      <x:c r="P32" s="53" t="n">
        <x:f>O32*gw_wage_share</x:f>
        <x:v>0</x:v>
      </x:c>
      <x:c r="Q32" s="53" t="n">
        <x:f>P32*gw_levy</x:f>
        <x:v>0</x:v>
      </x:c>
      <x:c r="R32" s="53" t="n">
        <x:f>P32*gw_remit</x:f>
        <x:v>0</x:v>
      </x:c>
      <x:c r="S32" s="63" t="n">
        <x:f>IF(union_resp&gt;=1,MIN(1,MAX(0,($A32-resp_start)/(resp_full-resp_start))),0)</x:f>
        <x:v>0</x:v>
      </x:c>
      <x:c r="T32" s="67" t="n">
        <x:f>Economy!R31</x:f>
        <x:v>1.7475248541910948</x:v>
      </x:c>
      <x:c r="U32" s="67" t="n">
        <x:f>MAX(0,T32-gap_base)</x:f>
        <x:v>0.24752485419109482</x:v>
      </x:c>
      <x:c r="V32" s="68" t="n">
        <x:v>31.52</x:v>
      </x:c>
      <x:c r="W32" s="47" t="n">
        <x:f>V32*1000000*lf_rate*union_skill_share</x:f>
        <x:v>1588608</x:v>
      </x:c>
      <x:c r="X32" s="45" t="n">
        <x:v>36000</x:v>
      </x:c>
      <x:c r="Y32" s="47" t="n">
        <x:f>IF(AND(mig_endo=1,$A32&gt;=talent_start),talent_rate_u*W32*U32*(1-(1-bd_keep)*S32),0)</x:f>
        <x:v>0</x:v>
      </x:c>
      <x:c r="Z32" s="47" t="n">
        <x:f>IF(AND(mig_endo=1,$A32&gt;=talent_start),X32*MIN(0.5,talent_share_o*U32)*(1-eu_comp*S32),0)</x:f>
        <x:v>0</x:v>
      </x:c>
      <x:c r="AA32" s="45" t="n">
        <x:v>0</x:v>
      </x:c>
      <x:c r="AB32" s="47" t="n">
        <x:f>IF(AND(mig_endo=1,$A32&gt;=talent_start),AA32*MIN(0.5,talent_share_a*U32),0)</x:f>
        <x:v>0</x:v>
      </x:c>
      <x:c r="AC32" s="47" t="n">
        <x:f>entry_cap*People!B32</x:f>
        <x:v>5661.484304302167</x:v>
      </x:c>
      <x:c r="AD32" s="47" t="n">
        <x:f>MIN(AC32,Y32+Z32+AB32)</x:f>
        <x:v>0</x:v>
      </x:c>
      <x:c r="AE32" s="47" t="n">
        <x:f>IF(Y32+Z32+AB32&gt;0,AD32*Y32/(Y32+Z32+AB32),0)</x:f>
        <x:v>0</x:v>
      </x:c>
      <x:c r="AF32" s="47" t="n">
        <x:f>IF(Y32+Z32+AB32&gt;0,AD32*AB32/(Y32+Z32+AB32),0)</x:f>
        <x:v>0</x:v>
      </x:c>
      <x:c r="AG32" s="47" t="n">
        <x:f>AD32*family_mult</x:f>
        <x:v>0</x:v>
      </x:c>
      <x:c r="AH32" s="47" t="n">
        <x:f>AH31*(1+Paths!C32)+AG32</x:f>
        <x:v>0</x:v>
      </x:c>
      <x:c r="AI32" s="47" t="n">
        <x:f>IF(AND(mig_endo=1,$A32&gt;=talent_start),chain_rate*AH31,0)</x:f>
        <x:v>0</x:v>
      </x:c>
      <x:c r="AJ32" s="47" t="n">
        <x:f>IF(AND(mig_endo=1,$A32&gt;=talent_start),IF(H31&gt;0,H31*job_fill,H31*job_return)*job_family,0)</x:f>
        <x:v>0</x:v>
      </x:c>
      <x:c r="AK32" s="47" t="n">
        <x:f>K32*gw_conv_family</x:f>
        <x:v>0</x:v>
      </x:c>
      <x:c r="AL32" s="47" t="n">
        <x:f>AG32+AI32+AJ32+AK32+AR32</x:f>
        <x:v>0</x:v>
      </x:c>
      <x:c r="AM32" s="47" t="n">
        <x:f>AM31*(1-skill_ret)+AD32</x:f>
        <x:v>0</x:v>
      </x:c>
      <x:c r="AN32" s="64" t="n">
        <x:f>AM32/B32</x:f>
        <x:v>0</x:v>
      </x:c>
      <x:c r="AO32" s="64" t="n">
        <x:f>(skill_rel-1+skill_spill)*AM31/B31-AT32</x:f>
        <x:v>0</x:v>
      </x:c>
      <x:c r="AP32" s="64" t="n">
        <x:f>talent_champ*AM31/(skill_base_share*B31)</x:f>
        <x:v>0</x:v>
      </x:c>
      <x:c r="AQ32" s="45" t="n">
        <x:v>440000</x:v>
      </x:c>
      <x:c r="AR32" s="47" t="n">
        <x:f>IF(AND(div_on=1,$A32&gt;=div_start),AQ32*MIN(div_max,div_rate*U32)*(1-div_comp*S32),0)</x:f>
        <x:v>0</x:v>
      </x:c>
      <x:c r="AS32" s="47" t="n">
        <x:f>AS31*(1-div_assim)+AR32</x:f>
        <x:v>0</x:v>
      </x:c>
      <x:c r="AT32" s="64" t="n">
        <x:f>(1-div_rel)*AS31/Economy!B31</x:f>
        <x:v>0</x:v>
      </x:c>
      <x:c r="AU32" s="47" t="n">
        <x:f>AU31*(1-skill_ret)+AE32</x:f>
        <x:v>0</x:v>
      </x:c>
      <x:c r="AV32" s="47" t="n">
        <x:f>AV31*(1+union_nat)+AR32</x:f>
        <x:v>0</x:v>
      </x:c>
      <x:c r="AW32" s="47" t="n">
        <x:f>AW31*(1+union_nat)+AE32*family_mult</x:f>
        <x:v>0</x:v>
      </x:c>
      <x:c r="AX32" s="67" t="n">
        <x:f>V32-(AV32+AW32)/1000000</x:f>
        <x:v>31.52</x:v>
      </x:c>
      <x:c r="AY32" s="47" t="n">
        <x:f>L32*gw_union</x:f>
        <x:v>0</x:v>
      </x:c>
      <x:c r="AZ32" s="46" t="n">
        <x:v>1.113</x:v>
      </x:c>
      <x:c r="BA32" s="47" t="n">
        <x:f>Economy!Q32*AZ32/lf_rate</x:f>
        <x:v>458.45000000000005</x:v>
      </x:c>
      <x:c r="BB32" s="64" t="n">
        <x:f>bd_growth*AU31/W31</x:f>
        <x:v>0</x:v>
      </x:c>
      <x:c r="BC32" s="64" t="n">
        <x:f>tg_k*MIN(1,Economy!O31/BK31)</x:f>
        <x:v>0.00028392905424661803</x:v>
      </x:c>
      <x:c r="BD32" s="64" t="n">
        <x:f>emu_g*S32</x:f>
        <x:v>0</x:v>
      </x:c>
      <x:c r="BE32" s="65" t="n">
        <x:f>BE31*(1-BB32-BC32+BD32)</x:f>
        <x:v>0.9955492128378335</x:v>
      </x:c>
      <x:c r="BF32" s="46" t="n">
        <x:v>1</x:v>
      </x:c>
      <x:c r="BG32" s="53" t="n">
        <x:f>AU32*BA32*BE32*(skill_rel-1+skill_spill)/1000000</x:f>
        <x:v>0</x:v>
      </x:c>
      <x:c r="BH32" s="53" t="n">
        <x:f>union_disp*(Champions!AP32+Champions!AZ32)*(1-IF(union_resp=2,mkt_cut*S32,0))</x:f>
        <x:v>3.4509695229656376</x:v>
      </x:c>
      <x:c r="BI32" s="53" t="n">
        <x:f>AY32*BA32*BE32/1000000</x:f>
        <x:v>0</x:v>
      </x:c>
      <x:c r="BJ32" s="47" t="n">
        <x:f>V32*Economy!Q32*AZ32</x:f>
        <x:v>6069.14448</x:v>
      </x:c>
      <x:c r="BK32" s="47" t="n">
        <x:f>MAX(0.3*BJ32,AX32*Economy!Q32*AZ32*BE32*BF32-BG32-BH32-BI32)</x:f>
        <x:v>6038.681040140117</x:v>
      </x:c>
      <x:c r="BL32" s="63" t="n">
        <x:f>1-BK32/BJ32</x:f>
        <x:v>0.0050193960549581584</x:v>
      </x:c>
      <x:c r="BM32" s="47" t="n">
        <x:f>MAX(0,BH32-BH31)*1000000/BA32</x:f>
        <x:v>1194.734021596543</x:v>
      </x:c>
      <x:c r="BN32" s="47" t="n">
        <x:f>BN31*(1-IF(AND($A32&gt;=1930,$A32&lt;=1932),0,union_reabsorb))+BM32</x:f>
        <x:v>4025.2120593520094</x:v>
      </x:c>
      <x:c r="BO32" s="59" t="n">
        <x:v>0.04</x:v>
      </x:c>
      <x:c r="BP32" s="63" t="n">
        <x:f>BO32+BN32/(AX32*1000000*lf_rate)</x:f>
        <x:v>0.04030405578161651</x:v>
      </x:c>
    </x:row>
    <x:row r="33">
      <x:c r="A33" s="58" t="n">
        <x:v>1873</x:v>
      </x:c>
      <x:c r="B33" s="47" t="n">
        <x:f>Economy!B33*lf_rate</x:f>
        <x:v>872595.6070848388</x:v>
      </x:c>
      <x:c r="C33" s="47" t="n">
        <x:f>Economy!O33*1000000/(B33+L33)</x:f>
        <x:v>720.3504210453947</x:v>
      </x:c>
      <x:c r="D33" s="47" t="n">
        <x:f>Champions!AP33*1000000/(C33*champ_prem)</x:f>
        <x:v>9360.140875494568</x:v>
      </x:c>
      <x:c r="E33" s="47" t="n">
        <x:f>D33*job_mult</x:f>
        <x:v>6552.098612846197</x:v>
      </x:c>
      <x:c r="F33" s="47" t="n">
        <x:f>D33+E33</x:f>
        <x:v>15912.239488340765</x:v>
      </x:c>
      <x:c r="G33" s="63" t="n">
        <x:f>F33/B33</x:f>
        <x:v>0.018235525550604433</x:v>
      </x:c>
      <x:c r="H33" s="47" t="n">
        <x:f>F33-F32</x:f>
        <x:v>2172.1634859815786</x:v>
      </x:c>
      <x:c r="I33" s="63" t="n">
        <x:f>MAX(0.005,pac_u_base*IF(Paths!AC33=1,pac_u_war,1)+(okun*(1-Economy!G33)*(B33+L33)-MAX(0,L32-L33))/B33)</x:f>
        <x:v>0.02500000000000001</x:v>
      </x:c>
      <x:c r="J33" s="47" t="n">
        <x:f>IF(AND(gw_on=1,$A33&gt;=gw_start),MIN(gw_cap*B32,gw_cover*F32+gw_gen*B32),0)</x:f>
        <x:v>0</x:v>
      </x:c>
      <x:c r="K33" s="47" t="n">
        <x:f>L32*gw_conv</x:f>
        <x:v>0</x:v>
      </x:c>
      <x:c r="L33" s="47" t="n">
        <x:f>MAX(0,L32-K33+gw_adj*(J33-L32))*MAX(0,1-gw_slump*(1-Economy!G33))</x:f>
        <x:v>0</x:v>
      </x:c>
      <x:c r="M33" s="47" t="n">
        <x:f>MAX(0,L33-L32+L32/gw_term)</x:f>
        <x:v>0</x:v>
      </x:c>
      <x:c r="N33" s="63" t="n">
        <x:f>L33/B33</x:f>
        <x:v>0</x:v>
      </x:c>
      <x:c r="O33" s="53" t="n">
        <x:f>Economy!L33</x:f>
        <x:v>0</x:v>
      </x:c>
      <x:c r="P33" s="53" t="n">
        <x:f>O33*gw_wage_share</x:f>
        <x:v>0</x:v>
      </x:c>
      <x:c r="Q33" s="53" t="n">
        <x:f>P33*gw_levy</x:f>
        <x:v>0</x:v>
      </x:c>
      <x:c r="R33" s="53" t="n">
        <x:f>P33*gw_remit</x:f>
        <x:v>0</x:v>
      </x:c>
      <x:c r="S33" s="63" t="n">
        <x:f>IF(union_resp&gt;=1,MIN(1,MAX(0,($A33-resp_start)/(resp_full-resp_start))),0)</x:f>
        <x:v>0</x:v>
      </x:c>
      <x:c r="T33" s="67" t="n">
        <x:f>Economy!R32</x:f>
        <x:v>1.759995081798488</x:v>
      </x:c>
      <x:c r="U33" s="67" t="n">
        <x:f>MAX(0,T33-gap_base)</x:f>
        <x:v>0.25999508179848796</x:v>
      </x:c>
      <x:c r="V33" s="68" t="n">
        <x:v>32.58</x:v>
      </x:c>
      <x:c r="W33" s="47" t="n">
        <x:f>V33*1000000*lf_rate*union_skill_share</x:f>
        <x:v>1642032</x:v>
      </x:c>
      <x:c r="X33" s="45" t="n">
        <x:v>39000</x:v>
      </x:c>
      <x:c r="Y33" s="47" t="n">
        <x:f>IF(AND(mig_endo=1,$A33&gt;=talent_start),talent_rate_u*W33*U33*(1-(1-bd_keep)*S33),0)</x:f>
        <x:v>0</x:v>
      </x:c>
      <x:c r="Z33" s="47" t="n">
        <x:f>IF(AND(mig_endo=1,$A33&gt;=talent_start),X33*MIN(0.5,talent_share_o*U33)*(1-eu_comp*S33),0)</x:f>
        <x:v>0</x:v>
      </x:c>
      <x:c r="AA33" s="45" t="n">
        <x:v>0</x:v>
      </x:c>
      <x:c r="AB33" s="47" t="n">
        <x:f>IF(AND(mig_endo=1,$A33&gt;=talent_start),AA33*MIN(0.5,talent_share_a*U33),0)</x:f>
        <x:v>0</x:v>
      </x:c>
      <x:c r="AC33" s="47" t="n">
        <x:f>entry_cap*People!B33</x:f>
        <x:v>6016.132506083909</x:v>
      </x:c>
      <x:c r="AD33" s="47" t="n">
        <x:f>MIN(AC33,Y33+Z33+AB33)</x:f>
        <x:v>0</x:v>
      </x:c>
      <x:c r="AE33" s="47" t="n">
        <x:f>IF(Y33+Z33+AB33&gt;0,AD33*Y33/(Y33+Z33+AB33),0)</x:f>
        <x:v>0</x:v>
      </x:c>
      <x:c r="AF33" s="47" t="n">
        <x:f>IF(Y33+Z33+AB33&gt;0,AD33*AB33/(Y33+Z33+AB33),0)</x:f>
        <x:v>0</x:v>
      </x:c>
      <x:c r="AG33" s="47" t="n">
        <x:f>AD33*family_mult</x:f>
        <x:v>0</x:v>
      </x:c>
      <x:c r="AH33" s="47" t="n">
        <x:f>AH32*(1+Paths!C33)+AG33</x:f>
        <x:v>0</x:v>
      </x:c>
      <x:c r="AI33" s="47" t="n">
        <x:f>IF(AND(mig_endo=1,$A33&gt;=talent_start),chain_rate*AH32,0)</x:f>
        <x:v>0</x:v>
      </x:c>
      <x:c r="AJ33" s="47" t="n">
        <x:f>IF(AND(mig_endo=1,$A33&gt;=talent_start),IF(H32&gt;0,H32*job_fill,H32*job_return)*job_family,0)</x:f>
        <x:v>0</x:v>
      </x:c>
      <x:c r="AK33" s="47" t="n">
        <x:f>K33*gw_conv_family</x:f>
        <x:v>0</x:v>
      </x:c>
      <x:c r="AL33" s="47" t="n">
        <x:f>AG33+AI33+AJ33+AK33+AR33</x:f>
        <x:v>0</x:v>
      </x:c>
      <x:c r="AM33" s="47" t="n">
        <x:f>AM32*(1-skill_ret)+AD33</x:f>
        <x:v>0</x:v>
      </x:c>
      <x:c r="AN33" s="64" t="n">
        <x:f>AM33/B33</x:f>
        <x:v>0</x:v>
      </x:c>
      <x:c r="AO33" s="64" t="n">
        <x:f>(skill_rel-1+skill_spill)*AM32/B32-AT33</x:f>
        <x:v>0</x:v>
      </x:c>
      <x:c r="AP33" s="64" t="n">
        <x:f>talent_champ*AM32/(skill_base_share*B32)</x:f>
        <x:v>0</x:v>
      </x:c>
      <x:c r="AQ33" s="45" t="n">
        <x:v>460000</x:v>
      </x:c>
      <x:c r="AR33" s="47" t="n">
        <x:f>IF(AND(div_on=1,$A33&gt;=div_start),AQ33*MIN(div_max,div_rate*U33)*(1-div_comp*S33),0)</x:f>
        <x:v>0</x:v>
      </x:c>
      <x:c r="AS33" s="47" t="n">
        <x:f>AS32*(1-div_assim)+AR33</x:f>
        <x:v>0</x:v>
      </x:c>
      <x:c r="AT33" s="64" t="n">
        <x:f>(1-div_rel)*AS32/Economy!B32</x:f>
        <x:v>0</x:v>
      </x:c>
      <x:c r="AU33" s="47" t="n">
        <x:f>AU32*(1-skill_ret)+AE33</x:f>
        <x:v>0</x:v>
      </x:c>
      <x:c r="AV33" s="47" t="n">
        <x:f>AV32*(1+union_nat)+AR33</x:f>
        <x:v>0</x:v>
      </x:c>
      <x:c r="AW33" s="47" t="n">
        <x:f>AW32*(1+union_nat)+AE33*family_mult</x:f>
        <x:v>0</x:v>
      </x:c>
      <x:c r="AX33" s="67" t="n">
        <x:f>V33-(AV33+AW33)/1000000</x:f>
        <x:v>32.58</x:v>
      </x:c>
      <x:c r="AY33" s="47" t="n">
        <x:f>L33*gw_union</x:f>
        <x:v>0</x:v>
      </x:c>
      <x:c r="AZ33" s="46" t="n">
        <x:v>1.113</x:v>
      </x:c>
      <x:c r="BA33" s="47" t="n">
        <x:f>Economy!Q33*AZ33/lf_rate</x:f>
        <x:v>461.1</x:v>
      </x:c>
      <x:c r="BB33" s="64" t="n">
        <x:f>bd_growth*AU32/W32</x:f>
        <x:v>0</x:v>
      </x:c>
      <x:c r="BC33" s="64" t="n">
        <x:f>tg_k*MIN(1,Economy!O32/BK32)</x:f>
        <x:v>0.00029440127793675306</x:v>
      </x:c>
      <x:c r="BD33" s="64" t="n">
        <x:f>emu_g*S33</x:f>
        <x:v>0</x:v>
      </x:c>
      <x:c r="BE33" s="65" t="n">
        <x:f>BE32*(1-BB33-BC33+BD33)</x:f>
        <x:v>0.995256121877325</x:v>
      </x:c>
      <x:c r="BF33" s="46" t="n">
        <x:v>1</x:v>
      </x:c>
      <x:c r="BG33" s="53" t="n">
        <x:f>AU33*BA33*BE33*(skill_rel-1+skill_spill)/1000000</x:f>
        <x:v>0</x:v>
      </x:c>
      <x:c r="BH33" s="53" t="n">
        <x:f>union_disp*(Champions!AP33+Champions!AZ33)*(1-IF(union_resp=2,mkt_cut*S33,0))</x:f>
        <x:v>3.959492430530922</x:v>
      </x:c>
      <x:c r="BI33" s="53" t="n">
        <x:f>AY33*BA33*BE33/1000000</x:f>
        <x:v>0</x:v>
      </x:c>
      <x:c r="BJ33" s="47" t="n">
        <x:f>V33*Economy!Q33*AZ33</x:f>
        <x:v>6309.50796</x:v>
      </x:c>
      <x:c r="BK33" s="47" t="n">
        <x:f>MAX(0.3*BJ33,AX33*Economy!Q33*AZ33*BE33*BF33-BG33-BH33-BI33)</x:f>
        <x:v>6275.616930793181</x:v>
      </x:c>
      <x:c r="BL33" s="63" t="n">
        <x:f>1-BK33/BJ33</x:f>
        <x:v>0.005371421895601913</x:v>
      </x:c>
      <x:c r="BM33" s="47" t="n">
        <x:f>MAX(0,BH33-BH32)*1000000/BA33</x:f>
        <x:v>1102.847338029244</x:v>
      </x:c>
      <x:c r="BN33" s="47" t="n">
        <x:f>BN32*(1-IF(AND($A33&gt;=1930,$A33&lt;=1932),0,union_reabsorb))+BM33</x:f>
        <x:v>4121.756382543252</x:v>
      </x:c>
      <x:c r="BO33" s="59" t="n">
        <x:v>0.04</x:v>
      </x:c>
      <x:c r="BP33" s="63" t="n">
        <x:f>BO33+BN33/(AX33*1000000*lf_rate)</x:f>
        <x:v>0.04030121871309767</x:v>
      </x:c>
    </x:row>
    <x:row r="34">
      <x:c r="A34" s="58" t="n">
        <x:v>1874</x:v>
      </x:c>
      <x:c r="B34" s="47" t="n">
        <x:f>Economy!B34*lf_rate</x:f>
        <x:v>933846.1236194507</x:v>
      </x:c>
      <x:c r="C34" s="47" t="n">
        <x:f>Economy!O34*1000000/(B34+L34)</x:f>
        <x:v>717.8508429928362</x:v>
      </x:c>
      <x:c r="D34" s="47" t="n">
        <x:f>Champions!AP34*1000000/(C34*champ_prem)</x:f>
        <x:v>10487.659139677919</x:v>
      </x:c>
      <x:c r="E34" s="47" t="n">
        <x:f>D34*job_mult</x:f>
        <x:v>7341.361397774543</x:v>
      </x:c>
      <x:c r="F34" s="47" t="n">
        <x:f>D34+E34</x:f>
        <x:v>17829.02053745246</x:v>
      </x:c>
      <x:c r="G34" s="63" t="n">
        <x:f>F34/B34</x:f>
        <x:v>0.01909203249497871</x:v>
      </x:c>
      <x:c r="H34" s="47" t="n">
        <x:f>F34-F33</x:f>
        <x:v>1916.7810491116943</x:v>
      </x:c>
      <x:c r="I34" s="63" t="n">
        <x:f>MAX(0.005,pac_u_base*IF(Paths!AC34=1,pac_u_war,1)+(okun*(1-Economy!G34)*(B34+L34)-MAX(0,L33-L34))/B34)</x:f>
        <x:v>0.030000000000000013</x:v>
      </x:c>
      <x:c r="J34" s="47" t="n">
        <x:f>IF(AND(gw_on=1,$A34&gt;=gw_start),MIN(gw_cap*B33,gw_cover*F33+gw_gen*B33),0)</x:f>
        <x:v>0</x:v>
      </x:c>
      <x:c r="K34" s="47" t="n">
        <x:f>L33*gw_conv</x:f>
        <x:v>0</x:v>
      </x:c>
      <x:c r="L34" s="47" t="n">
        <x:f>MAX(0,L33-K34+gw_adj*(J34-L33))*MAX(0,1-gw_slump*(1-Economy!G34))</x:f>
        <x:v>0</x:v>
      </x:c>
      <x:c r="M34" s="47" t="n">
        <x:f>MAX(0,L34-L33+L33/gw_term)</x:f>
        <x:v>0</x:v>
      </x:c>
      <x:c r="N34" s="63" t="n">
        <x:f>L34/B34</x:f>
        <x:v>0</x:v>
      </x:c>
      <x:c r="O34" s="53" t="n">
        <x:f>Economy!L34</x:f>
        <x:v>0</x:v>
      </x:c>
      <x:c r="P34" s="53" t="n">
        <x:f>O34*gw_wage_share</x:f>
        <x:v>0</x:v>
      </x:c>
      <x:c r="Q34" s="53" t="n">
        <x:f>P34*gw_levy</x:f>
        <x:v>0</x:v>
      </x:c>
      <x:c r="R34" s="53" t="n">
        <x:f>P34*gw_remit</x:f>
        <x:v>0</x:v>
      </x:c>
      <x:c r="S34" s="63" t="n">
        <x:f>IF(union_resp&gt;=1,MIN(1,MAX(0,($A34-resp_start)/(resp_full-resp_start))),0)</x:f>
        <x:v>0</x:v>
      </x:c>
      <x:c r="T34" s="67" t="n">
        <x:f>Economy!R33</x:f>
        <x:v>1.7387768783854356</x:v>
      </x:c>
      <x:c r="U34" s="67" t="n">
        <x:f>MAX(0,T34-gap_base)</x:f>
        <x:v>0.2387768783854356</x:v>
      </x:c>
      <x:c r="V34" s="68" t="n">
        <x:v>33.64</x:v>
      </x:c>
      <x:c r="W34" s="47" t="n">
        <x:f>V34*1000000*lf_rate*union_skill_share</x:f>
        <x:v>1695456</x:v>
      </x:c>
      <x:c r="X34" s="45" t="n">
        <x:v>42000</x:v>
      </x:c>
      <x:c r="Y34" s="47" t="n">
        <x:f>IF(AND(mig_endo=1,$A34&gt;=talent_start),talent_rate_u*W34*U34*(1-(1-bd_keep)*S34),0)</x:f>
        <x:v>0</x:v>
      </x:c>
      <x:c r="Z34" s="47" t="n">
        <x:f>IF(AND(mig_endo=1,$A34&gt;=talent_start),X34*MIN(0.5,talent_share_o*U34)*(1-eu_comp*S34),0)</x:f>
        <x:v>0</x:v>
      </x:c>
      <x:c r="AA34" s="45" t="n">
        <x:v>0</x:v>
      </x:c>
      <x:c r="AB34" s="47" t="n">
        <x:f>IF(AND(mig_endo=1,$A34&gt;=talent_start),AA34*MIN(0.5,talent_share_a*U34),0)</x:f>
        <x:v>0</x:v>
      </x:c>
      <x:c r="AC34" s="47" t="n">
        <x:f>entry_cap*People!B34</x:f>
        <x:v>6449.519023699502</x:v>
      </x:c>
      <x:c r="AD34" s="47" t="n">
        <x:f>MIN(AC34,Y34+Z34+AB34)</x:f>
        <x:v>0</x:v>
      </x:c>
      <x:c r="AE34" s="47" t="n">
        <x:f>IF(Y34+Z34+AB34&gt;0,AD34*Y34/(Y34+Z34+AB34),0)</x:f>
        <x:v>0</x:v>
      </x:c>
      <x:c r="AF34" s="47" t="n">
        <x:f>IF(Y34+Z34+AB34&gt;0,AD34*AB34/(Y34+Z34+AB34),0)</x:f>
        <x:v>0</x:v>
      </x:c>
      <x:c r="AG34" s="47" t="n">
        <x:f>AD34*family_mult</x:f>
        <x:v>0</x:v>
      </x:c>
      <x:c r="AH34" s="47" t="n">
        <x:f>AH33*(1+Paths!C34)+AG34</x:f>
        <x:v>0</x:v>
      </x:c>
      <x:c r="AI34" s="47" t="n">
        <x:f>IF(AND(mig_endo=1,$A34&gt;=talent_start),chain_rate*AH33,0)</x:f>
        <x:v>0</x:v>
      </x:c>
      <x:c r="AJ34" s="47" t="n">
        <x:f>IF(AND(mig_endo=1,$A34&gt;=talent_start),IF(H33&gt;0,H33*job_fill,H33*job_return)*job_family,0)</x:f>
        <x:v>0</x:v>
      </x:c>
      <x:c r="AK34" s="47" t="n">
        <x:f>K34*gw_conv_family</x:f>
        <x:v>0</x:v>
      </x:c>
      <x:c r="AL34" s="47" t="n">
        <x:f>AG34+AI34+AJ34+AK34+AR34</x:f>
        <x:v>0</x:v>
      </x:c>
      <x:c r="AM34" s="47" t="n">
        <x:f>AM33*(1-skill_ret)+AD34</x:f>
        <x:v>0</x:v>
      </x:c>
      <x:c r="AN34" s="64" t="n">
        <x:f>AM34/B34</x:f>
        <x:v>0</x:v>
      </x:c>
      <x:c r="AO34" s="64" t="n">
        <x:f>(skill_rel-1+skill_spill)*AM33/B33-AT34</x:f>
        <x:v>0</x:v>
      </x:c>
      <x:c r="AP34" s="64" t="n">
        <x:f>talent_champ*AM33/(skill_base_share*B33)</x:f>
        <x:v>0</x:v>
      </x:c>
      <x:c r="AQ34" s="45" t="n">
        <x:v>396000</x:v>
      </x:c>
      <x:c r="AR34" s="47" t="n">
        <x:f>IF(AND(div_on=1,$A34&gt;=div_start),AQ34*MIN(div_max,div_rate*U34)*(1-div_comp*S34),0)</x:f>
        <x:v>0</x:v>
      </x:c>
      <x:c r="AS34" s="47" t="n">
        <x:f>AS33*(1-div_assim)+AR34</x:f>
        <x:v>0</x:v>
      </x:c>
      <x:c r="AT34" s="64" t="n">
        <x:f>(1-div_rel)*AS33/Economy!B33</x:f>
        <x:v>0</x:v>
      </x:c>
      <x:c r="AU34" s="47" t="n">
        <x:f>AU33*(1-skill_ret)+AE34</x:f>
        <x:v>0</x:v>
      </x:c>
      <x:c r="AV34" s="47" t="n">
        <x:f>AV33*(1+union_nat)+AR34</x:f>
        <x:v>0</x:v>
      </x:c>
      <x:c r="AW34" s="47" t="n">
        <x:f>AW33*(1+union_nat)+AE34*family_mult</x:f>
        <x:v>0</x:v>
      </x:c>
      <x:c r="AX34" s="67" t="n">
        <x:f>V34-(AV34+AW34)/1000000</x:f>
        <x:v>33.64</x:v>
      </x:c>
      <x:c r="AY34" s="47" t="n">
        <x:f>L34*gw_union</x:f>
        <x:v>0</x:v>
      </x:c>
      <x:c r="AZ34" s="46" t="n">
        <x:v>1.112</x:v>
      </x:c>
      <x:c r="BA34" s="47" t="n">
        <x:f>Economy!Q34*AZ34/lf_rate</x:f>
        <x:v>460.68571428571437</x:v>
      </x:c>
      <x:c r="BB34" s="64" t="n">
        <x:f>bd_growth*AU33/W33</x:f>
        <x:v>0</x:v>
      </x:c>
      <x:c r="BC34" s="64" t="n">
        <x:f>tg_k*MIN(1,Economy!O33/BK33)</x:f>
        <x:v>0.00030048421688151666</x:v>
      </x:c>
      <x:c r="BD34" s="64" t="n">
        <x:f>emu_g*S34</x:f>
        <x:v>0</x:v>
      </x:c>
      <x:c r="BE34" s="65" t="n">
        <x:f>BE33*(1-BB34-BC34+BD34)</x:f>
        <x:v>0.9949570631209461</x:v>
      </x:c>
      <x:c r="BF34" s="46" t="n">
        <x:v>1</x:v>
      </x:c>
      <x:c r="BG34" s="53" t="n">
        <x:f>AU34*BA34*BE34*(skill_rel-1+skill_spill)/1000000</x:f>
        <x:v>0</x:v>
      </x:c>
      <x:c r="BH34" s="53" t="n">
        <x:f>union_disp*(Champions!AP34+Champions!AZ34)*(1-IF(union_resp=2,mkt_cut*S34,0))</x:f>
        <x:v>4.4611221905117935</x:v>
      </x:c>
      <x:c r="BI34" s="53" t="n">
        <x:f>AY34*BA34*BE34/1000000</x:f>
        <x:v>0</x:v>
      </x:c>
      <x:c r="BJ34" s="47" t="n">
        <x:f>V34*Economy!Q34*AZ34</x:f>
        <x:v>6508.93632</x:v>
      </x:c>
      <x:c r="BK34" s="47" t="n">
        <x:f>MAX(0.3*BJ34,AX34*Economy!Q34*AZ34*BE34*BF34-BG34-BH34-BI34)</x:f>
        <x:v>6471.651042797947</x:v>
      </x:c>
      <x:c r="BL34" s="63" t="n">
        <x:f>1-BK34/BJ34</x:f>
        <x:v>0.005728321091033828</x:v>
      </x:c>
      <x:c r="BM34" s="47" t="n">
        <x:f>MAX(0,BH34-BH33)*1000000/BA34</x:f>
        <x:v>1088.8763085667638</x:v>
      </x:c>
      <x:c r="BN34" s="47" t="n">
        <x:f>BN33*(1-IF(AND($A34&gt;=1930,$A34&lt;=1932),0,union_reabsorb))+BM34</x:f>
        <x:v>4180.193595474202</x:v>
      </x:c>
      <x:c r="BO34" s="59" t="n">
        <x:v>0.04</x:v>
      </x:c>
      <x:c r="BP34" s="63" t="n">
        <x:f>BO34+BN34/(AX34*1000000*lf_rate)</x:f>
        <x:v>0.04029586331432777</x:v>
      </x:c>
    </x:row>
    <x:row r="35">
      <x:c r="A35" s="58" t="n">
        <x:v>1875</x:v>
      </x:c>
      <x:c r="B35" s="47" t="n">
        <x:f>Economy!B35*lf_rate</x:f>
        <x:v>996260.3999682203</x:v>
      </x:c>
      <x:c r="C35" s="47" t="n">
        <x:f>Economy!O35*1000000/(B35+L35)</x:f>
        <x:v>728.9425984044967</x:v>
      </x:c>
      <x:c r="D35" s="47" t="n">
        <x:f>Champions!AP35*1000000/(C35*champ_prem)</x:f>
        <x:v>11561.368937532385</x:v>
      </x:c>
      <x:c r="E35" s="47" t="n">
        <x:f>D35*job_mult</x:f>
        <x:v>8092.958256272669</x:v>
      </x:c>
      <x:c r="F35" s="47" t="n">
        <x:f>D35+E35</x:f>
        <x:v>19654.327193805053</x:v>
      </x:c>
      <x:c r="G35" s="63" t="n">
        <x:f>F35/B35</x:f>
        <x:v>0.019728102406190197</x:v>
      </x:c>
      <x:c r="H35" s="47" t="n">
        <x:f>F35-F34</x:f>
        <x:v>1825.3066563525936</x:v>
      </x:c>
      <x:c r="I35" s="63" t="n">
        <x:f>MAX(0.005,pac_u_base*IF(Paths!AC35=1,pac_u_war,1)+(okun*(1-Economy!G35)*(B35+L35)-MAX(0,L34-L35))/B35)</x:f>
        <x:v>0.02500000000000001</x:v>
      </x:c>
      <x:c r="J35" s="47" t="n">
        <x:f>IF(AND(gw_on=1,$A35&gt;=gw_start),MIN(gw_cap*B34,gw_cover*F34+gw_gen*B34),0)</x:f>
        <x:v>0</x:v>
      </x:c>
      <x:c r="K35" s="47" t="n">
        <x:f>L34*gw_conv</x:f>
        <x:v>0</x:v>
      </x:c>
      <x:c r="L35" s="47" t="n">
        <x:f>MAX(0,L34-K35+gw_adj*(J35-L34))*MAX(0,1-gw_slump*(1-Economy!G35))</x:f>
        <x:v>0</x:v>
      </x:c>
      <x:c r="M35" s="47" t="n">
        <x:f>MAX(0,L35-L34+L34/gw_term)</x:f>
        <x:v>0</x:v>
      </x:c>
      <x:c r="N35" s="63" t="n">
        <x:f>L35/B35</x:f>
        <x:v>0</x:v>
      </x:c>
      <x:c r="O35" s="53" t="n">
        <x:f>Economy!L35</x:f>
        <x:v>0</x:v>
      </x:c>
      <x:c r="P35" s="53" t="n">
        <x:f>O35*gw_wage_share</x:f>
        <x:v>0</x:v>
      </x:c>
      <x:c r="Q35" s="53" t="n">
        <x:f>P35*gw_levy</x:f>
        <x:v>0</x:v>
      </x:c>
      <x:c r="R35" s="53" t="n">
        <x:f>P35*gw_remit</x:f>
        <x:v>0</x:v>
      </x:c>
      <x:c r="S35" s="63" t="n">
        <x:f>IF(union_resp&gt;=1,MIN(1,MAX(0,($A35-resp_start)/(resp_full-resp_start))),0)</x:f>
        <x:v>0</x:v>
      </x:c>
      <x:c r="T35" s="67" t="n">
        <x:f>Economy!R34</x:f>
        <x:v>1.7327434141206386</x:v>
      </x:c>
      <x:c r="U35" s="67" t="n">
        <x:f>MAX(0,T35-gap_base)</x:f>
        <x:v>0.2327434141206386</x:v>
      </x:c>
      <x:c r="V35" s="68" t="n">
        <x:v>34.7</x:v>
      </x:c>
      <x:c r="W35" s="47" t="n">
        <x:f>V35*1000000*lf_rate*union_skill_share</x:f>
        <x:v>1748880</x:v>
      </x:c>
      <x:c r="X35" s="45" t="n">
        <x:v>45000</x:v>
      </x:c>
      <x:c r="Y35" s="47" t="n">
        <x:f>IF(AND(mig_endo=1,$A35&gt;=talent_start),talent_rate_u*W35*U35*(1-(1-bd_keep)*S35),0)</x:f>
        <x:v>0</x:v>
      </x:c>
      <x:c r="Z35" s="47" t="n">
        <x:f>IF(AND(mig_endo=1,$A35&gt;=talent_start),X35*MIN(0.5,talent_share_o*U35)*(1-eu_comp*S35),0)</x:f>
        <x:v>0</x:v>
      </x:c>
      <x:c r="AA35" s="45" t="n">
        <x:v>0</x:v>
      </x:c>
      <x:c r="AB35" s="47" t="n">
        <x:f>IF(AND(mig_endo=1,$A35&gt;=talent_start),AA35*MIN(0.5,talent_share_a*U35),0)</x:f>
        <x:v>0</x:v>
      </x:c>
      <x:c r="AC35" s="47" t="n">
        <x:f>entry_cap*People!B35</x:f>
        <x:v>6891.139885149793</x:v>
      </x:c>
      <x:c r="AD35" s="47" t="n">
        <x:f>MIN(AC35,Y35+Z35+AB35)</x:f>
        <x:v>0</x:v>
      </x:c>
      <x:c r="AE35" s="47" t="n">
        <x:f>IF(Y35+Z35+AB35&gt;0,AD35*Y35/(Y35+Z35+AB35),0)</x:f>
        <x:v>0</x:v>
      </x:c>
      <x:c r="AF35" s="47" t="n">
        <x:f>IF(Y35+Z35+AB35&gt;0,AD35*AB35/(Y35+Z35+AB35),0)</x:f>
        <x:v>0</x:v>
      </x:c>
      <x:c r="AG35" s="47" t="n">
        <x:f>AD35*family_mult</x:f>
        <x:v>0</x:v>
      </x:c>
      <x:c r="AH35" s="47" t="n">
        <x:f>AH34*(1+Paths!C35)+AG35</x:f>
        <x:v>0</x:v>
      </x:c>
      <x:c r="AI35" s="47" t="n">
        <x:f>IF(AND(mig_endo=1,$A35&gt;=talent_start),chain_rate*AH34,0)</x:f>
        <x:v>0</x:v>
      </x:c>
      <x:c r="AJ35" s="47" t="n">
        <x:f>IF(AND(mig_endo=1,$A35&gt;=talent_start),IF(H34&gt;0,H34*job_fill,H34*job_return)*job_family,0)</x:f>
        <x:v>0</x:v>
      </x:c>
      <x:c r="AK35" s="47" t="n">
        <x:f>K35*gw_conv_family</x:f>
        <x:v>0</x:v>
      </x:c>
      <x:c r="AL35" s="47" t="n">
        <x:f>AG35+AI35+AJ35+AK35+AR35</x:f>
        <x:v>0</x:v>
      </x:c>
      <x:c r="AM35" s="47" t="n">
        <x:f>AM34*(1-skill_ret)+AD35</x:f>
        <x:v>0</x:v>
      </x:c>
      <x:c r="AN35" s="64" t="n">
        <x:f>AM35/B35</x:f>
        <x:v>0</x:v>
      </x:c>
      <x:c r="AO35" s="64" t="n">
        <x:f>(skill_rel-1+skill_spill)*AM34/B34-AT35</x:f>
        <x:v>0</x:v>
      </x:c>
      <x:c r="AP35" s="64" t="n">
        <x:f>talent_champ*AM34/(skill_base_share*B34)</x:f>
        <x:v>0</x:v>
      </x:c>
      <x:c r="AQ35" s="45" t="n">
        <x:v>332000</x:v>
      </x:c>
      <x:c r="AR35" s="47" t="n">
        <x:f>IF(AND(div_on=1,$A35&gt;=div_start),AQ35*MIN(div_max,div_rate*U35)*(1-div_comp*S35),0)</x:f>
        <x:v>0</x:v>
      </x:c>
      <x:c r="AS35" s="47" t="n">
        <x:f>AS34*(1-div_assim)+AR35</x:f>
        <x:v>0</x:v>
      </x:c>
      <x:c r="AT35" s="64" t="n">
        <x:f>(1-div_rel)*AS34/Economy!B34</x:f>
        <x:v>0</x:v>
      </x:c>
      <x:c r="AU35" s="47" t="n">
        <x:f>AU34*(1-skill_ret)+AE35</x:f>
        <x:v>0</x:v>
      </x:c>
      <x:c r="AV35" s="47" t="n">
        <x:f>AV34*(1+union_nat)+AR35</x:f>
        <x:v>0</x:v>
      </x:c>
      <x:c r="AW35" s="47" t="n">
        <x:f>AW34*(1+union_nat)+AE35*family_mult</x:f>
        <x:v>0</x:v>
      </x:c>
      <x:c r="AX35" s="67" t="n">
        <x:f>V35-(AV35+AW35)/1000000</x:f>
        <x:v>34.7</x:v>
      </x:c>
      <x:c r="AY35" s="47" t="n">
        <x:f>L35*gw_union</x:f>
        <x:v>0</x:v>
      </x:c>
      <x:c r="AZ35" s="46" t="n">
        <x:v>1.111</x:v>
      </x:c>
      <x:c r="BA35" s="47" t="n">
        <x:f>Economy!Q35*AZ35/lf_rate</x:f>
        <x:v>462.9166666666667</x:v>
      </x:c>
      <x:c r="BB35" s="64" t="n">
        <x:f>bd_growth*AU34/W34</x:f>
        <x:v>0</x:v>
      </x:c>
      <x:c r="BC35" s="64" t="n">
        <x:f>tg_k*MIN(1,Economy!O34/BK34)</x:f>
        <x:v>0.0003107532634095756</x:v>
      </x:c>
      <x:c r="BD35" s="64" t="n">
        <x:f>emu_g*S35</x:f>
        <x:v>0</x:v>
      </x:c>
      <x:c r="BE35" s="65" t="n">
        <x:f>BE34*(1-BB35-BC35+BD35)</x:f>
        <x:v>0.9946478769666289</x:v>
      </x:c>
      <x:c r="BF35" s="46" t="n">
        <x:v>1</x:v>
      </x:c>
      <x:c r="BG35" s="53" t="n">
        <x:f>AU35*BA35*BE35*(skill_rel-1+skill_spill)/1000000</x:f>
        <x:v>0</x:v>
      </x:c>
      <x:c r="BH35" s="53" t="n">
        <x:f>union_disp*(Champions!AP35+Champions!AZ35)*(1-IF(union_resp=2,mkt_cut*S35,0))</x:f>
        <x:v>5.028440959750083</x:v>
      </x:c>
      <x:c r="BI35" s="53" t="n">
        <x:f>AY35*BA35*BE35/1000000</x:f>
        <x:v>0</x:v>
      </x:c>
      <x:c r="BJ35" s="47" t="n">
        <x:f>V35*Economy!Q35*AZ35</x:f>
        <x:v>6746.547500000001</x:v>
      </x:c>
      <x:c r="BK35" s="47" t="n">
        <x:f>MAX(0.3*BJ35,AX35*Economy!Q35*AZ35*BE35*BF35-BG35-BH35-BI35)</x:f>
        <x:v>6705.410706769769</x:v>
      </x:c>
      <x:c r="BL35" s="63" t="n">
        <x:f>1-BK35/BJ35</x:f>
        <x:v>0.00609745847490617</x:v>
      </x:c>
      <x:c r="BM35" s="47" t="n">
        <x:f>MAX(0,BH35-BH34)*1000000/BA35</x:f>
        <x:v>1225.5310946641714</x:v>
      </x:c>
      <x:c r="BN35" s="47" t="n">
        <x:f>BN34*(1-IF(AND($A35&gt;=1930,$A35&lt;=1932),0,union_reabsorb))+BM35</x:f>
        <x:v>4360.676291269823</x:v>
      </x:c>
      <x:c r="BO35" s="59" t="n">
        <x:v>0.04</x:v>
      </x:c>
      <x:c r="BP35" s="63" t="n">
        <x:f>BO35+BN35/(AX35*1000000*lf_rate)</x:f>
        <x:v>0.040299209296779874</x:v>
      </x:c>
    </x:row>
    <x:row r="36">
      <x:c r="A36" s="58" t="n">
        <x:v>1876</x:v>
      </x:c>
      <x:c r="B36" s="47" t="n">
        <x:f>Economy!B36*lf_rate</x:f>
        <x:v>1059860.5475676164</x:v>
      </x:c>
      <x:c r="C36" s="47" t="n">
        <x:f>Economy!O36*1000000/(B36+L36)</x:f>
        <x:v>747.0040126820032</x:v>
      </x:c>
      <x:c r="D36" s="47" t="n">
        <x:f>Champions!AP36*1000000/(C36*champ_prem)</x:f>
        <x:v>12490.779912844084</x:v>
      </x:c>
      <x:c r="E36" s="47" t="n">
        <x:f>D36*job_mult</x:f>
        <x:v>8743.545938990857</x:v>
      </x:c>
      <x:c r="F36" s="47" t="n">
        <x:f>D36+E36</x:f>
        <x:v>21234.32585183494</x:v>
      </x:c>
      <x:c r="G36" s="63" t="n">
        <x:f>F36/B36</x:f>
        <x:v>0.020035018664075938</x:v>
      </x:c>
      <x:c r="H36" s="47" t="n">
        <x:f>F36-F35</x:f>
        <x:v>1579.9986580298864</x:v>
      </x:c>
      <x:c r="I36" s="63" t="n">
        <x:f>MAX(0.005,pac_u_base*IF(Paths!AC36=1,pac_u_war,1)+(okun*(1-Economy!G36)*(B36+L36)-MAX(0,L35-L36))/B36)</x:f>
        <x:v>0.015</x:v>
      </x:c>
      <x:c r="J36" s="47" t="n">
        <x:f>IF(AND(gw_on=1,$A36&gt;=gw_start),MIN(gw_cap*B35,gw_cover*F35+gw_gen*B35),0)</x:f>
        <x:v>0</x:v>
      </x:c>
      <x:c r="K36" s="47" t="n">
        <x:f>L35*gw_conv</x:f>
        <x:v>0</x:v>
      </x:c>
      <x:c r="L36" s="47" t="n">
        <x:f>MAX(0,L35-K36+gw_adj*(J36-L35))*MAX(0,1-gw_slump*(1-Economy!G36))</x:f>
        <x:v>0</x:v>
      </x:c>
      <x:c r="M36" s="47" t="n">
        <x:f>MAX(0,L36-L35+L35/gw_term)</x:f>
        <x:v>0</x:v>
      </x:c>
      <x:c r="N36" s="63" t="n">
        <x:f>L36/B36</x:f>
        <x:v>0</x:v>
      </x:c>
      <x:c r="O36" s="53" t="n">
        <x:f>Economy!L36</x:f>
        <x:v>0</x:v>
      </x:c>
      <x:c r="P36" s="53" t="n">
        <x:f>O36*gw_wage_share</x:f>
        <x:v>0</x:v>
      </x:c>
      <x:c r="Q36" s="53" t="n">
        <x:f>P36*gw_levy</x:f>
        <x:v>0</x:v>
      </x:c>
      <x:c r="R36" s="53" t="n">
        <x:f>P36*gw_remit</x:f>
        <x:v>0</x:v>
      </x:c>
      <x:c r="S36" s="63" t="n">
        <x:f>IF(union_resp&gt;=1,MIN(1,MAX(0,($A36-resp_start)/(resp_full-resp_start))),0)</x:f>
        <x:v>0</x:v>
      </x:c>
      <x:c r="T36" s="67" t="n">
        <x:f>Economy!R35</x:f>
        <x:v>1.749462236170792</x:v>
      </x:c>
      <x:c r="U36" s="67" t="n">
        <x:f>MAX(0,T36-gap_base)</x:f>
        <x:v>0.2494622361707921</x:v>
      </x:c>
      <x:c r="V36" s="68" t="n">
        <x:v>35.76</x:v>
      </x:c>
      <x:c r="W36" s="47" t="n">
        <x:f>V36*1000000*lf_rate*union_skill_share</x:f>
        <x:v>1802304</x:v>
      </x:c>
      <x:c r="X36" s="45" t="n">
        <x:v>48000</x:v>
      </x:c>
      <x:c r="Y36" s="47" t="n">
        <x:f>IF(AND(mig_endo=1,$A36&gt;=talent_start),talent_rate_u*W36*U36*(1-(1-bd_keep)*S36),0)</x:f>
        <x:v>0</x:v>
      </x:c>
      <x:c r="Z36" s="47" t="n">
        <x:f>IF(AND(mig_endo=1,$A36&gt;=talent_start),X36*MIN(0.5,talent_share_o*U36)*(1-eu_comp*S36),0)</x:f>
        <x:v>0</x:v>
      </x:c>
      <x:c r="AA36" s="45" t="n">
        <x:v>0</x:v>
      </x:c>
      <x:c r="AB36" s="47" t="n">
        <x:f>IF(AND(mig_endo=1,$A36&gt;=talent_start),AA36*MIN(0.5,talent_share_a*U36),0)</x:f>
        <x:v>0</x:v>
      </x:c>
      <x:c r="AC36" s="47" t="n">
        <x:f>entry_cap*People!B36</x:f>
        <x:v>7341.151542967639</x:v>
      </x:c>
      <x:c r="AD36" s="47" t="n">
        <x:f>MIN(AC36,Y36+Z36+AB36)</x:f>
        <x:v>0</x:v>
      </x:c>
      <x:c r="AE36" s="47" t="n">
        <x:f>IF(Y36+Z36+AB36&gt;0,AD36*Y36/(Y36+Z36+AB36),0)</x:f>
        <x:v>0</x:v>
      </x:c>
      <x:c r="AF36" s="47" t="n">
        <x:f>IF(Y36+Z36+AB36&gt;0,AD36*AB36/(Y36+Z36+AB36),0)</x:f>
        <x:v>0</x:v>
      </x:c>
      <x:c r="AG36" s="47" t="n">
        <x:f>AD36*family_mult</x:f>
        <x:v>0</x:v>
      </x:c>
      <x:c r="AH36" s="47" t="n">
        <x:f>AH35*(1+Paths!C36)+AG36</x:f>
        <x:v>0</x:v>
      </x:c>
      <x:c r="AI36" s="47" t="n">
        <x:f>IF(AND(mig_endo=1,$A36&gt;=talent_start),chain_rate*AH35,0)</x:f>
        <x:v>0</x:v>
      </x:c>
      <x:c r="AJ36" s="47" t="n">
        <x:f>IF(AND(mig_endo=1,$A36&gt;=talent_start),IF(H35&gt;0,H35*job_fill,H35*job_return)*job_family,0)</x:f>
        <x:v>0</x:v>
      </x:c>
      <x:c r="AK36" s="47" t="n">
        <x:f>K36*gw_conv_family</x:f>
        <x:v>0</x:v>
      </x:c>
      <x:c r="AL36" s="47" t="n">
        <x:f>AG36+AI36+AJ36+AK36+AR36</x:f>
        <x:v>0</x:v>
      </x:c>
      <x:c r="AM36" s="47" t="n">
        <x:f>AM35*(1-skill_ret)+AD36</x:f>
        <x:v>0</x:v>
      </x:c>
      <x:c r="AN36" s="64" t="n">
        <x:f>AM36/B36</x:f>
        <x:v>0</x:v>
      </x:c>
      <x:c r="AO36" s="64" t="n">
        <x:f>(skill_rel-1+skill_spill)*AM35/B35-AT36</x:f>
        <x:v>0</x:v>
      </x:c>
      <x:c r="AP36" s="64" t="n">
        <x:f>talent_champ*AM35/(skill_base_share*B35)</x:f>
        <x:v>0</x:v>
      </x:c>
      <x:c r="AQ36" s="45" t="n">
        <x:v>268000</x:v>
      </x:c>
      <x:c r="AR36" s="47" t="n">
        <x:f>IF(AND(div_on=1,$A36&gt;=div_start),AQ36*MIN(div_max,div_rate*U36)*(1-div_comp*S36),0)</x:f>
        <x:v>0</x:v>
      </x:c>
      <x:c r="AS36" s="47" t="n">
        <x:f>AS35*(1-div_assim)+AR36</x:f>
        <x:v>0</x:v>
      </x:c>
      <x:c r="AT36" s="64" t="n">
        <x:f>(1-div_rel)*AS35/Economy!B35</x:f>
        <x:v>0</x:v>
      </x:c>
      <x:c r="AU36" s="47" t="n">
        <x:f>AU35*(1-skill_ret)+AE36</x:f>
        <x:v>0</x:v>
      </x:c>
      <x:c r="AV36" s="47" t="n">
        <x:f>AV35*(1+union_nat)+AR36</x:f>
        <x:v>0</x:v>
      </x:c>
      <x:c r="AW36" s="47" t="n">
        <x:f>AW35*(1+union_nat)+AE36*family_mult</x:f>
        <x:v>0</x:v>
      </x:c>
      <x:c r="AX36" s="67" t="n">
        <x:f>V36-(AV36+AW36)/1000000</x:f>
        <x:v>35.76</x:v>
      </x:c>
      <x:c r="AY36" s="47" t="n">
        <x:f>L36*gw_union</x:f>
        <x:v>0</x:v>
      </x:c>
      <x:c r="AZ36" s="46" t="n">
        <x:v>1.11</x:v>
      </x:c>
      <x:c r="BA36" s="47" t="n">
        <x:f>Economy!Q36*AZ36/lf_rate</x:f>
        <x:v>481.00000000000006</x:v>
      </x:c>
      <x:c r="BB36" s="64" t="n">
        <x:f>bd_growth*AU35/W35</x:f>
        <x:v>0</x:v>
      </x:c>
      <x:c r="BC36" s="64" t="n">
        <x:f>tg_k*MIN(1,Economy!O35/BK35)</x:f>
        <x:v>0.0003249092455621626</x:v>
      </x:c>
      <x:c r="BD36" s="64" t="n">
        <x:f>emu_g*S36</x:f>
        <x:v>0</x:v>
      </x:c>
      <x:c r="BE36" s="65" t="n">
        <x:f>BE35*(1-BB36-BC36+BD36)</x:f>
        <x:v>0.9943247066753237</x:v>
      </x:c>
      <x:c r="BF36" s="46" t="n">
        <x:v>1</x:v>
      </x:c>
      <x:c r="BG36" s="53" t="n">
        <x:f>AU36*BA36*BE36*(skill_rel-1+skill_spill)/1000000</x:f>
        <x:v>0</x:v>
      </x:c>
      <x:c r="BH36" s="53" t="n">
        <x:f>union_disp*(Champions!AP36+Champions!AZ36)*(1-IF(union_resp=2,mkt_cut*S36,0))</x:f>
        <x:v>5.578861811804045</x:v>
      </x:c>
      <x:c r="BI36" s="53" t="n">
        <x:f>AY36*BA36*BE36/1000000</x:f>
        <x:v>0</x:v>
      </x:c>
      <x:c r="BJ36" s="47" t="n">
        <x:f>V36*Economy!Q36*AZ36</x:f>
        <x:v>7224.2352</x:v>
      </x:c>
      <x:c r="BK36" s="47" t="n">
        <x:f>MAX(0.3*BJ36,AX36*Economy!Q36*AZ36*BE36*BF36-BG36-BH36-BI36)</x:f>
        <x:v>7177.6566843817445</x:v>
      </x:c>
      <x:c r="BL36" s="63" t="n">
        <x:f>1-BK36/BJ36</x:f>
        <x:v>0.006447535874559485</x:v>
      </x:c>
      <x:c r="BM36" s="47" t="n">
        <x:f>MAX(0,BH36-BH35)*1000000/BA36</x:f>
        <x:v>1144.3260957462835</x:v>
      </x:c>
      <x:c r="BN36" s="47" t="n">
        <x:f>BN35*(1-IF(AND($A36&gt;=1930,$A36&lt;=1932),0,union_reabsorb))+BM36</x:f>
        <x:v>4414.833314198651</x:v>
      </x:c>
      <x:c r="BO36" s="59" t="n">
        <x:v>0.04</x:v>
      </x:c>
      <x:c r="BP36" s="63" t="n">
        <x:f>BO36+BN36/(AX36*1000000*lf_rate)</x:f>
        <x:v>0.04029394597010484</x:v>
      </x:c>
    </x:row>
    <x:row r="37">
      <x:c r="A37" s="58" t="n">
        <x:v>1877</x:v>
      </x:c>
      <x:c r="B37" s="47" t="n">
        <x:f>Economy!B37*lf_rate</x:f>
        <x:v>1124820.2979714014</x:v>
      </x:c>
      <x:c r="C37" s="47" t="n">
        <x:f>Economy!O37*1000000/(B37+L37)</x:f>
        <x:v>737.0497713481537</x:v>
      </x:c>
      <x:c r="D37" s="47" t="n">
        <x:f>Champions!AP37*1000000/(C37*champ_prem)</x:f>
        <x:v>13711.71641972329</x:v>
      </x:c>
      <x:c r="E37" s="47" t="n">
        <x:f>D37*job_mult</x:f>
        <x:v>9598.201493806302</x:v>
      </x:c>
      <x:c r="F37" s="47" t="n">
        <x:f>D37+E37</x:f>
        <x:v>23309.917913529593</x:v>
      </x:c>
      <x:c r="G37" s="63" t="n">
        <x:f>F37/B37</x:f>
        <x:v>0.02072323726338218</x:v>
      </x:c>
      <x:c r="H37" s="47" t="n">
        <x:f>F37-F36</x:f>
        <x:v>2075.5920616946532</x:v>
      </x:c>
      <x:c r="I37" s="63" t="n">
        <x:f>MAX(0.005,pac_u_base*IF(Paths!AC37=1,pac_u_war,1)+(okun*(1-Economy!G37)*(B37+L37)-MAX(0,L36-L37))/B37)</x:f>
        <x:v>0.02500000000000001</x:v>
      </x:c>
      <x:c r="J37" s="47" t="n">
        <x:f>IF(AND(gw_on=1,$A37&gt;=gw_start),MIN(gw_cap*B36,gw_cover*F36+gw_gen*B36),0)</x:f>
        <x:v>0</x:v>
      </x:c>
      <x:c r="K37" s="47" t="n">
        <x:f>L36*gw_conv</x:f>
        <x:v>0</x:v>
      </x:c>
      <x:c r="L37" s="47" t="n">
        <x:f>MAX(0,L36-K37+gw_adj*(J37-L36))*MAX(0,1-gw_slump*(1-Economy!G37))</x:f>
        <x:v>0</x:v>
      </x:c>
      <x:c r="M37" s="47" t="n">
        <x:f>MAX(0,L37-L36+L36/gw_term)</x:f>
        <x:v>0</x:v>
      </x:c>
      <x:c r="N37" s="63" t="n">
        <x:f>L37/B37</x:f>
        <x:v>0</x:v>
      </x:c>
      <x:c r="O37" s="53" t="n">
        <x:f>Economy!L37</x:f>
        <x:v>0</x:v>
      </x:c>
      <x:c r="P37" s="53" t="n">
        <x:f>O37*gw_wage_share</x:f>
        <x:v>0</x:v>
      </x:c>
      <x:c r="Q37" s="53" t="n">
        <x:f>P37*gw_levy</x:f>
        <x:v>0</x:v>
      </x:c>
      <x:c r="R37" s="53" t="n">
        <x:f>P37*gw_remit</x:f>
        <x:v>0</x:v>
      </x:c>
      <x:c r="S37" s="63" t="n">
        <x:f>IF(union_resp&gt;=1,MIN(1,MAX(0,($A37-resp_start)/(resp_full-resp_start))),0)</x:f>
        <x:v>0</x:v>
      </x:c>
      <x:c r="T37" s="67" t="n">
        <x:f>Economy!R36</x:f>
        <x:v>1.723855413881546</x:v>
      </x:c>
      <x:c r="U37" s="67" t="n">
        <x:f>MAX(0,T37-gap_base)</x:f>
        <x:v>0.22385541388154606</x:v>
      </x:c>
      <x:c r="V37" s="68" t="n">
        <x:v>36.82</x:v>
      </x:c>
      <x:c r="W37" s="47" t="n">
        <x:f>V37*1000000*lf_rate*union_skill_share</x:f>
        <x:v>1855728</x:v>
      </x:c>
      <x:c r="X37" s="45" t="n">
        <x:v>51000</x:v>
      </x:c>
      <x:c r="Y37" s="47" t="n">
        <x:f>IF(AND(mig_endo=1,$A37&gt;=talent_start),talent_rate_u*W37*U37*(1-(1-bd_keep)*S37),0)</x:f>
        <x:v>0</x:v>
      </x:c>
      <x:c r="Z37" s="47" t="n">
        <x:f>IF(AND(mig_endo=1,$A37&gt;=talent_start),X37*MIN(0.5,talent_share_o*U37)*(1-eu_comp*S37),0)</x:f>
        <x:v>0</x:v>
      </x:c>
      <x:c r="AA37" s="45" t="n">
        <x:v>0</x:v>
      </x:c>
      <x:c r="AB37" s="47" t="n">
        <x:f>IF(AND(mig_endo=1,$A37&gt;=talent_start),AA37*MIN(0.5,talent_share_a*U37),0)</x:f>
        <x:v>0</x:v>
      </x:c>
      <x:c r="AC37" s="47" t="n">
        <x:f>entry_cap*People!B37</x:f>
        <x:v>7799.713422284025</x:v>
      </x:c>
      <x:c r="AD37" s="47" t="n">
        <x:f>MIN(AC37,Y37+Z37+AB37)</x:f>
        <x:v>0</x:v>
      </x:c>
      <x:c r="AE37" s="47" t="n">
        <x:f>IF(Y37+Z37+AB37&gt;0,AD37*Y37/(Y37+Z37+AB37),0)</x:f>
        <x:v>0</x:v>
      </x:c>
      <x:c r="AF37" s="47" t="n">
        <x:f>IF(Y37+Z37+AB37&gt;0,AD37*AB37/(Y37+Z37+AB37),0)</x:f>
        <x:v>0</x:v>
      </x:c>
      <x:c r="AG37" s="47" t="n">
        <x:f>AD37*family_mult</x:f>
        <x:v>0</x:v>
      </x:c>
      <x:c r="AH37" s="47" t="n">
        <x:f>AH36*(1+Paths!C37)+AG37</x:f>
        <x:v>0</x:v>
      </x:c>
      <x:c r="AI37" s="47" t="n">
        <x:f>IF(AND(mig_endo=1,$A37&gt;=talent_start),chain_rate*AH36,0)</x:f>
        <x:v>0</x:v>
      </x:c>
      <x:c r="AJ37" s="47" t="n">
        <x:f>IF(AND(mig_endo=1,$A37&gt;=talent_start),IF(H36&gt;0,H36*job_fill,H36*job_return)*job_family,0)</x:f>
        <x:v>0</x:v>
      </x:c>
      <x:c r="AK37" s="47" t="n">
        <x:f>K37*gw_conv_family</x:f>
        <x:v>0</x:v>
      </x:c>
      <x:c r="AL37" s="47" t="n">
        <x:f>AG37+AI37+AJ37+AK37+AR37</x:f>
        <x:v>0</x:v>
      </x:c>
      <x:c r="AM37" s="47" t="n">
        <x:f>AM36*(1-skill_ret)+AD37</x:f>
        <x:v>0</x:v>
      </x:c>
      <x:c r="AN37" s="64" t="n">
        <x:f>AM37/B37</x:f>
        <x:v>0</x:v>
      </x:c>
      <x:c r="AO37" s="64" t="n">
        <x:f>(skill_rel-1+skill_spill)*AM36/B36-AT37</x:f>
        <x:v>0</x:v>
      </x:c>
      <x:c r="AP37" s="64" t="n">
        <x:f>talent_champ*AM36/(skill_base_share*B36)</x:f>
        <x:v>0</x:v>
      </x:c>
      <x:c r="AQ37" s="45" t="n">
        <x:v>204000</x:v>
      </x:c>
      <x:c r="AR37" s="47" t="n">
        <x:f>IF(AND(div_on=1,$A37&gt;=div_start),AQ37*MIN(div_max,div_rate*U37)*(1-div_comp*S37),0)</x:f>
        <x:v>0</x:v>
      </x:c>
      <x:c r="AS37" s="47" t="n">
        <x:f>AS36*(1-div_assim)+AR37</x:f>
        <x:v>0</x:v>
      </x:c>
      <x:c r="AT37" s="64" t="n">
        <x:f>(1-div_rel)*AS36/Economy!B36</x:f>
        <x:v>0</x:v>
      </x:c>
      <x:c r="AU37" s="47" t="n">
        <x:f>AU36*(1-skill_ret)+AE37</x:f>
        <x:v>0</x:v>
      </x:c>
      <x:c r="AV37" s="47" t="n">
        <x:f>AV36*(1+union_nat)+AR37</x:f>
        <x:v>0</x:v>
      </x:c>
      <x:c r="AW37" s="47" t="n">
        <x:f>AW36*(1+union_nat)+AE37*family_mult</x:f>
        <x:v>0</x:v>
      </x:c>
      <x:c r="AX37" s="67" t="n">
        <x:f>V37-(AV37+AW37)/1000000</x:f>
        <x:v>36.82</x:v>
      </x:c>
      <x:c r="AY37" s="47" t="n">
        <x:f>L37*gw_union</x:f>
        <x:v>0</x:v>
      </x:c>
      <x:c r="AZ37" s="46" t="n">
        <x:v>1.11</x:v>
      </x:c>
      <x:c r="BA37" s="47" t="n">
        <x:f>Economy!Q37*AZ37/lf_rate</x:f>
        <x:v>496.8571428571429</x:v>
      </x:c>
      <x:c r="BB37" s="64" t="n">
        <x:f>bd_growth*AU36/W36</x:f>
        <x:v>0</x:v>
      </x:c>
      <x:c r="BC37" s="64" t="n">
        <x:f>tg_k*MIN(1,Economy!O36/BK36)</x:f>
        <x:v>0.00033091026085397824</x:v>
      </x:c>
      <x:c r="BD37" s="64" t="n">
        <x:f>emu_g*S37</x:f>
        <x:v>0</x:v>
      </x:c>
      <x:c r="BE37" s="65" t="n">
        <x:f>BE36*(1-BB37-BC37+BD37)</x:f>
        <x:v>0.9939956744272642</x:v>
      </x:c>
      <x:c r="BF37" s="46" t="n">
        <x:v>1</x:v>
      </x:c>
      <x:c r="BG37" s="53" t="n">
        <x:f>AU37*BA37*BE37*(skill_rel-1+skill_spill)/1000000</x:f>
        <x:v>0</x:v>
      </x:c>
      <x:c r="BH37" s="53" t="n">
        <x:f>union_disp*(Champions!AP37+Champions!AZ37)*(1-IF(union_resp=2,mkt_cut*S37,0))</x:f>
        <x:v>6.060859771580742</x:v>
      </x:c>
      <x:c r="BI37" s="53" t="n">
        <x:f>AY37*BA37*BE37/1000000</x:f>
        <x:v>0</x:v>
      </x:c>
      <x:c r="BJ37" s="47" t="n">
        <x:f>V37*Economy!Q37*AZ37</x:f>
        <x:v>7683.597600000001</x:v>
      </x:c>
      <x:c r="BK37" s="47" t="n">
        <x:f>MAX(0.3*BJ37,AX37*Economy!Q37*AZ37*BE37*BF37-BG37-BH37-BI37)</x:f>
        <x:v>7631.401918668129</x:v>
      </x:c>
      <x:c r="BL37" s="63" t="n">
        <x:f>1-BK37/BJ37</x:f>
        <x:v>0.006793130516344559</x:v>
      </x:c>
      <x:c r="BM37" s="47" t="n">
        <x:f>MAX(0,BH37-BH36)*1000000/BA37</x:f>
        <x:v>970.0936510744333</x:v>
      </x:c>
      <x:c r="BN37" s="47" t="n">
        <x:f>BN36*(1-IF(AND($A37&gt;=1930,$A37&lt;=1932),0,union_reabsorb))+BM37</x:f>
        <x:v>4281.218636723422</x:v>
      </x:c>
      <x:c r="BO37" s="59" t="n">
        <x:v>0.04</x:v>
      </x:c>
      <x:c r="BP37" s="63" t="n">
        <x:f>BO37+BN37/(AX37*1000000*lf_rate)</x:f>
        <x:v>0.04027684350099089</x:v>
      </x:c>
    </x:row>
    <x:row r="38">
      <x:c r="A38" s="58" t="n">
        <x:v>1878</x:v>
      </x:c>
      <x:c r="B38" s="47" t="n">
        <x:f>Economy!B38*lf_rate</x:f>
        <x:v>1191165.483632858</x:v>
      </x:c>
      <x:c r="C38" s="47" t="n">
        <x:f>Economy!O38*1000000/(B38+L38)</x:f>
        <x:v>741.5563458919078</x:v>
      </x:c>
      <x:c r="D38" s="47" t="n">
        <x:f>Champions!AP38*1000000/(C38*champ_prem)</x:f>
        <x:v>14835.170491235069</x:v>
      </x:c>
      <x:c r="E38" s="47" t="n">
        <x:f>D38*job_mult</x:f>
        <x:v>10384.619343864548</x:v>
      </x:c>
      <x:c r="F38" s="47" t="n">
        <x:f>D38+E38</x:f>
        <x:v>25219.78983509962</x:v>
      </x:c>
      <x:c r="G38" s="63" t="n">
        <x:f>F38/B38</x:f>
        <x:v>0.021172364530059606</x:v>
      </x:c>
      <x:c r="H38" s="47" t="n">
        <x:f>F38-F37</x:f>
        <x:v>1909.8719215700257</x:v>
      </x:c>
      <x:c r="I38" s="63" t="n">
        <x:f>MAX(0.005,pac_u_base*IF(Paths!AC38=1,pac_u_war,1)+(okun*(1-Economy!G38)*(B38+L38)-MAX(0,L37-L38))/B38)</x:f>
        <x:v>0.015</x:v>
      </x:c>
      <x:c r="J38" s="47" t="n">
        <x:f>IF(AND(gw_on=1,$A38&gt;=gw_start),MIN(gw_cap*B37,gw_cover*F37+gw_gen*B37),0)</x:f>
        <x:v>0</x:v>
      </x:c>
      <x:c r="K38" s="47" t="n">
        <x:f>L37*gw_conv</x:f>
        <x:v>0</x:v>
      </x:c>
      <x:c r="L38" s="47" t="n">
        <x:f>MAX(0,L37-K38+gw_adj*(J38-L37))*MAX(0,1-gw_slump*(1-Economy!G38))</x:f>
        <x:v>0</x:v>
      </x:c>
      <x:c r="M38" s="47" t="n">
        <x:f>MAX(0,L38-L37+L37/gw_term)</x:f>
        <x:v>0</x:v>
      </x:c>
      <x:c r="N38" s="63" t="n">
        <x:f>L38/B38</x:f>
        <x:v>0</x:v>
      </x:c>
      <x:c r="O38" s="53" t="n">
        <x:f>Economy!L38</x:f>
        <x:v>0</x:v>
      </x:c>
      <x:c r="P38" s="53" t="n">
        <x:f>O38*gw_wage_share</x:f>
        <x:v>0</x:v>
      </x:c>
      <x:c r="Q38" s="53" t="n">
        <x:f>P38*gw_levy</x:f>
        <x:v>0</x:v>
      </x:c>
      <x:c r="R38" s="53" t="n">
        <x:f>P38*gw_remit</x:f>
        <x:v>0</x:v>
      </x:c>
      <x:c r="S38" s="63" t="n">
        <x:f>IF(union_resp&gt;=1,MIN(1,MAX(0,($A38-resp_start)/(resp_full-resp_start))),0)</x:f>
        <x:v>0</x:v>
      </x:c>
      <x:c r="T38" s="67" t="n">
        <x:f>Economy!R37</x:f>
        <x:v>1.646600553011833</x:v>
      </x:c>
      <x:c r="U38" s="67" t="n">
        <x:f>MAX(0,T38-gap_base)</x:f>
        <x:v>0.14660055301183306</x:v>
      </x:c>
      <x:c r="V38" s="68" t="n">
        <x:v>37.88</x:v>
      </x:c>
      <x:c r="W38" s="47" t="n">
        <x:f>V38*1000000*lf_rate*union_skill_share</x:f>
        <x:v>1909152</x:v>
      </x:c>
      <x:c r="X38" s="45" t="n">
        <x:v>54000</x:v>
      </x:c>
      <x:c r="Y38" s="47" t="n">
        <x:f>IF(AND(mig_endo=1,$A38&gt;=talent_start),talent_rate_u*W38*U38*(1-(1-bd_keep)*S38),0)</x:f>
        <x:v>0</x:v>
      </x:c>
      <x:c r="Z38" s="47" t="n">
        <x:f>IF(AND(mig_endo=1,$A38&gt;=talent_start),X38*MIN(0.5,talent_share_o*U38)*(1-eu_comp*S38),0)</x:f>
        <x:v>0</x:v>
      </x:c>
      <x:c r="AA38" s="45" t="n">
        <x:v>0</x:v>
      </x:c>
      <x:c r="AB38" s="47" t="n">
        <x:f>IF(AND(mig_endo=1,$A38&gt;=talent_start),AA38*MIN(0.5,talent_share_a*U38),0)</x:f>
        <x:v>0</x:v>
      </x:c>
      <x:c r="AC38" s="47" t="n">
        <x:f>entry_cap*People!B38</x:f>
        <x:v>8269.147977307422</x:v>
      </x:c>
      <x:c r="AD38" s="47" t="n">
        <x:f>MIN(AC38,Y38+Z38+AB38)</x:f>
        <x:v>0</x:v>
      </x:c>
      <x:c r="AE38" s="47" t="n">
        <x:f>IF(Y38+Z38+AB38&gt;0,AD38*Y38/(Y38+Z38+AB38),0)</x:f>
        <x:v>0</x:v>
      </x:c>
      <x:c r="AF38" s="47" t="n">
        <x:f>IF(Y38+Z38+AB38&gt;0,AD38*AB38/(Y38+Z38+AB38),0)</x:f>
        <x:v>0</x:v>
      </x:c>
      <x:c r="AG38" s="47" t="n">
        <x:f>AD38*family_mult</x:f>
        <x:v>0</x:v>
      </x:c>
      <x:c r="AH38" s="47" t="n">
        <x:f>AH37*(1+Paths!C38)+AG38</x:f>
        <x:v>0</x:v>
      </x:c>
      <x:c r="AI38" s="47" t="n">
        <x:f>IF(AND(mig_endo=1,$A38&gt;=talent_start),chain_rate*AH37,0)</x:f>
        <x:v>0</x:v>
      </x:c>
      <x:c r="AJ38" s="47" t="n">
        <x:f>IF(AND(mig_endo=1,$A38&gt;=talent_start),IF(H37&gt;0,H37*job_fill,H37*job_return)*job_family,0)</x:f>
        <x:v>0</x:v>
      </x:c>
      <x:c r="AK38" s="47" t="n">
        <x:f>K38*gw_conv_family</x:f>
        <x:v>0</x:v>
      </x:c>
      <x:c r="AL38" s="47" t="n">
        <x:f>AG38+AI38+AJ38+AK38+AR38</x:f>
        <x:v>0</x:v>
      </x:c>
      <x:c r="AM38" s="47" t="n">
        <x:f>AM37*(1-skill_ret)+AD38</x:f>
        <x:v>0</x:v>
      </x:c>
      <x:c r="AN38" s="64" t="n">
        <x:f>AM38/B38</x:f>
        <x:v>0</x:v>
      </x:c>
      <x:c r="AO38" s="64" t="n">
        <x:f>(skill_rel-1+skill_spill)*AM37/B37-AT38</x:f>
        <x:v>0</x:v>
      </x:c>
      <x:c r="AP38" s="64" t="n">
        <x:f>talent_champ*AM37/(skill_base_share*B37)</x:f>
        <x:v>0</x:v>
      </x:c>
      <x:c r="AQ38" s="45" t="n">
        <x:v>140000</x:v>
      </x:c>
      <x:c r="AR38" s="47" t="n">
        <x:f>IF(AND(div_on=1,$A38&gt;=div_start),AQ38*MIN(div_max,div_rate*U38)*(1-div_comp*S38),0)</x:f>
        <x:v>0</x:v>
      </x:c>
      <x:c r="AS38" s="47" t="n">
        <x:f>AS37*(1-div_assim)+AR38</x:f>
        <x:v>0</x:v>
      </x:c>
      <x:c r="AT38" s="64" t="n">
        <x:f>(1-div_rel)*AS37/Economy!B37</x:f>
        <x:v>0</x:v>
      </x:c>
      <x:c r="AU38" s="47" t="n">
        <x:f>AU37*(1-skill_ret)+AE38</x:f>
        <x:v>0</x:v>
      </x:c>
      <x:c r="AV38" s="47" t="n">
        <x:f>AV37*(1+union_nat)+AR38</x:f>
        <x:v>0</x:v>
      </x:c>
      <x:c r="AW38" s="47" t="n">
        <x:f>AW37*(1+union_nat)+AE38*family_mult</x:f>
        <x:v>0</x:v>
      </x:c>
      <x:c r="AX38" s="67" t="n">
        <x:f>V38-(AV38+AW38)/1000000</x:f>
        <x:v>37.88</x:v>
      </x:c>
      <x:c r="AY38" s="47" t="n">
        <x:f>L38*gw_union</x:f>
        <x:v>0</x:v>
      </x:c>
      <x:c r="AZ38" s="46" t="n">
        <x:v>1.109</x:v>
      </x:c>
      <x:c r="BA38" s="47" t="n">
        <x:f>Economy!Q38*AZ38/lf_rate</x:f>
        <x:v>514.8928571428571</x:v>
      </x:c>
      <x:c r="BB38" s="64" t="n">
        <x:f>bd_growth*AU37/W37</x:f>
        <x:v>0</x:v>
      </x:c>
      <x:c r="BC38" s="64" t="n">
        <x:f>tg_k*MIN(1,Economy!O37/BK37)</x:f>
        <x:v>0.0003259094012855793</x:v>
      </x:c>
      <x:c r="BD38" s="64" t="n">
        <x:f>emu_g*S38</x:f>
        <x:v>0</x:v>
      </x:c>
      <x:c r="BE38" s="65" t="n">
        <x:f>BE37*(1-BB38-BC38+BD38)</x:f>
        <x:v>0.9936717218921312</x:v>
      </x:c>
      <x:c r="BF38" s="46" t="n">
        <x:v>1</x:v>
      </x:c>
      <x:c r="BG38" s="53" t="n">
        <x:f>AU38*BA38*BE38*(skill_rel-1+skill_spill)/1000000</x:f>
        <x:v>0</x:v>
      </x:c>
      <x:c r="BH38" s="53" t="n">
        <x:f>union_disp*(Champions!AP38+Champions!AZ38)*(1-IF(union_resp=2,mkt_cut*S38,0))</x:f>
        <x:v>6.597402454327663</x:v>
      </x:c>
      <x:c r="BI38" s="53" t="n">
        <x:f>AY38*BA38*BE38/1000000</x:f>
        <x:v>0</x:v>
      </x:c>
      <x:c r="BJ38" s="47" t="n">
        <x:f>V38*Economy!Q38*AZ38</x:f>
        <x:v>8191.7394</x:v>
      </x:c>
      <x:c r="BK38" s="47" t="n">
        <x:f>MAX(0.3*BJ38,AX38*Economy!Q38*AZ38*BE38*BF38-BG38-BH38-BI38)</x:f>
        <x:v>8133.3023924352865</x:v>
      </x:c>
      <x:c r="BL38" s="63" t="n">
        <x:f>1-BK38/BJ38</x:f>
        <x:v>0.00713365070728611</x:v>
      </x:c>
      <x:c r="BM38" s="47" t="n">
        <x:f>MAX(0,BH38-BH37)*1000000/BA38</x:f>
        <x:v>1042.0472440114997</x:v>
      </x:c>
      <x:c r="BN38" s="47" t="n">
        <x:f>BN37*(1-IF(AND($A38&gt;=1930,$A38&lt;=1932),0,union_reabsorb))+BM38</x:f>
        <x:v>4252.9612215540665</x:v>
      </x:c>
      <x:c r="BO38" s="59" t="n">
        <x:v>0.04</x:v>
      </x:c>
      <x:c r="BP38" s="63" t="n">
        <x:f>BO38+BN38/(AX38*1000000*lf_rate)</x:f>
        <x:v>0.040267320436815135</x:v>
      </x:c>
    </x:row>
    <x:row r="39">
      <x:c r="A39" s="58" t="n">
        <x:v>1879</x:v>
      </x:c>
      <x:c r="B39" s="47" t="n">
        <x:f>Economy!B39*lf_rate</x:f>
        <x:v>1258771.227821882</x:v>
      </x:c>
      <x:c r="C39" s="47" t="n">
        <x:f>Economy!O39*1000000/(B39+L39)</x:f>
        <x:v>735.7990196350241</x:v>
      </x:c>
      <x:c r="D39" s="47" t="n">
        <x:f>Champions!AP39*1000000/(C39*champ_prem)</x:f>
        <x:v>15993.352767947938</x:v>
      </x:c>
      <x:c r="E39" s="47" t="n">
        <x:f>D39*job_mult</x:f>
        <x:v>11195.346937563556</x:v>
      </x:c>
      <x:c r="F39" s="47" t="n">
        <x:f>D39+E39</x:f>
        <x:v>27188.69970551149</x:v>
      </x:c>
      <x:c r="G39" s="63" t="n">
        <x:f>F39/B39</x:f>
        <x:v>0.02159939717764087</x:v>
      </x:c>
      <x:c r="H39" s="47" t="n">
        <x:f>F39-F38</x:f>
        <x:v>1968.9098704118733</x:v>
      </x:c>
      <x:c r="I39" s="63" t="n">
        <x:f>MAX(0.005,pac_u_base*IF(Paths!AC39=1,pac_u_war,1)+(okun*(1-Economy!G39)*(B39+L39)-MAX(0,L38-L39))/B39)</x:f>
        <x:v>0.015</x:v>
      </x:c>
      <x:c r="J39" s="47" t="n">
        <x:f>IF(AND(gw_on=1,$A39&gt;=gw_start),MIN(gw_cap*B38,gw_cover*F38+gw_gen*B38),0)</x:f>
        <x:v>0</x:v>
      </x:c>
      <x:c r="K39" s="47" t="n">
        <x:f>L38*gw_conv</x:f>
        <x:v>0</x:v>
      </x:c>
      <x:c r="L39" s="47" t="n">
        <x:f>MAX(0,L38-K39+gw_adj*(J39-L38))*MAX(0,1-gw_slump*(1-Economy!G39))</x:f>
        <x:v>0</x:v>
      </x:c>
      <x:c r="M39" s="47" t="n">
        <x:f>MAX(0,L39-L38+L38/gw_term)</x:f>
        <x:v>0</x:v>
      </x:c>
      <x:c r="N39" s="63" t="n">
        <x:f>L39/B39</x:f>
        <x:v>0</x:v>
      </x:c>
      <x:c r="O39" s="53" t="n">
        <x:f>Economy!L39</x:f>
        <x:v>0</x:v>
      </x:c>
      <x:c r="P39" s="53" t="n">
        <x:f>O39*gw_wage_share</x:f>
        <x:v>0</x:v>
      </x:c>
      <x:c r="Q39" s="53" t="n">
        <x:f>P39*gw_levy</x:f>
        <x:v>0</x:v>
      </x:c>
      <x:c r="R39" s="53" t="n">
        <x:f>P39*gw_remit</x:f>
        <x:v>0</x:v>
      </x:c>
      <x:c r="S39" s="63" t="n">
        <x:f>IF(union_resp&gt;=1,MIN(1,MAX(0,($A39-resp_start)/(resp_full-resp_start))),0)</x:f>
        <x:v>0</x:v>
      </x:c>
      <x:c r="T39" s="67" t="n">
        <x:f>Economy!R38</x:f>
        <x:v>1.5971982834594936</x:v>
      </x:c>
      <x:c r="U39" s="67" t="n">
        <x:f>MAX(0,T39-gap_base)</x:f>
        <x:v>0.09719828345949355</x:v>
      </x:c>
      <x:c r="V39" s="68" t="n">
        <x:v>38.94</x:v>
      </x:c>
      <x:c r="W39" s="47" t="n">
        <x:f>V39*1000000*lf_rate*union_skill_share</x:f>
        <x:v>1962576</x:v>
      </x:c>
      <x:c r="X39" s="45" t="n">
        <x:v>57000</x:v>
      </x:c>
      <x:c r="Y39" s="47" t="n">
        <x:f>IF(AND(mig_endo=1,$A39&gt;=talent_start),talent_rate_u*W39*U39*(1-(1-bd_keep)*S39),0)</x:f>
        <x:v>0</x:v>
      </x:c>
      <x:c r="Z39" s="47" t="n">
        <x:f>IF(AND(mig_endo=1,$A39&gt;=talent_start),X39*MIN(0.5,talent_share_o*U39)*(1-eu_comp*S39),0)</x:f>
        <x:v>0</x:v>
      </x:c>
      <x:c r="AA39" s="45" t="n">
        <x:v>0</x:v>
      </x:c>
      <x:c r="AB39" s="47" t="n">
        <x:f>IF(AND(mig_endo=1,$A39&gt;=talent_start),AA39*MIN(0.5,talent_share_a*U39),0)</x:f>
        <x:v>0</x:v>
      </x:c>
      <x:c r="AC39" s="47" t="n">
        <x:f>entry_cap*People!B39</x:f>
        <x:v>8747.501788876263</x:v>
      </x:c>
      <x:c r="AD39" s="47" t="n">
        <x:f>MIN(AC39,Y39+Z39+AB39)</x:f>
        <x:v>0</x:v>
      </x:c>
      <x:c r="AE39" s="47" t="n">
        <x:f>IF(Y39+Z39+AB39&gt;0,AD39*Y39/(Y39+Z39+AB39),0)</x:f>
        <x:v>0</x:v>
      </x:c>
      <x:c r="AF39" s="47" t="n">
        <x:f>IF(Y39+Z39+AB39&gt;0,AD39*AB39/(Y39+Z39+AB39),0)</x:f>
        <x:v>0</x:v>
      </x:c>
      <x:c r="AG39" s="47" t="n">
        <x:f>AD39*family_mult</x:f>
        <x:v>0</x:v>
      </x:c>
      <x:c r="AH39" s="47" t="n">
        <x:f>AH38*(1+Paths!C39)+AG39</x:f>
        <x:v>0</x:v>
      </x:c>
      <x:c r="AI39" s="47" t="n">
        <x:f>IF(AND(mig_endo=1,$A39&gt;=talent_start),chain_rate*AH38,0)</x:f>
        <x:v>0</x:v>
      </x:c>
      <x:c r="AJ39" s="47" t="n">
        <x:f>IF(AND(mig_endo=1,$A39&gt;=talent_start),IF(H38&gt;0,H38*job_fill,H38*job_return)*job_family,0)</x:f>
        <x:v>0</x:v>
      </x:c>
      <x:c r="AK39" s="47" t="n">
        <x:f>K39*gw_conv_family</x:f>
        <x:v>0</x:v>
      </x:c>
      <x:c r="AL39" s="47" t="n">
        <x:f>AG39+AI39+AJ39+AK39+AR39</x:f>
        <x:v>0</x:v>
      </x:c>
      <x:c r="AM39" s="47" t="n">
        <x:f>AM38*(1-skill_ret)+AD39</x:f>
        <x:v>0</x:v>
      </x:c>
      <x:c r="AN39" s="64" t="n">
        <x:f>AM39/B39</x:f>
        <x:v>0</x:v>
      </x:c>
      <x:c r="AO39" s="64" t="n">
        <x:f>(skill_rel-1+skill_spill)*AM38/B38-AT39</x:f>
        <x:v>0</x:v>
      </x:c>
      <x:c r="AP39" s="64" t="n">
        <x:f>talent_champ*AM38/(skill_base_share*B38)</x:f>
        <x:v>0</x:v>
      </x:c>
      <x:c r="AQ39" s="45" t="n">
        <x:v>302000</x:v>
      </x:c>
      <x:c r="AR39" s="47" t="n">
        <x:f>IF(AND(div_on=1,$A39&gt;=div_start),AQ39*MIN(div_max,div_rate*U39)*(1-div_comp*S39),0)</x:f>
        <x:v>0</x:v>
      </x:c>
      <x:c r="AS39" s="47" t="n">
        <x:f>AS38*(1-div_assim)+AR39</x:f>
        <x:v>0</x:v>
      </x:c>
      <x:c r="AT39" s="64" t="n">
        <x:f>(1-div_rel)*AS38/Economy!B38</x:f>
        <x:v>0</x:v>
      </x:c>
      <x:c r="AU39" s="47" t="n">
        <x:f>AU38*(1-skill_ret)+AE39</x:f>
        <x:v>0</x:v>
      </x:c>
      <x:c r="AV39" s="47" t="n">
        <x:f>AV38*(1+union_nat)+AR39</x:f>
        <x:v>0</x:v>
      </x:c>
      <x:c r="AW39" s="47" t="n">
        <x:f>AW38*(1+union_nat)+AE39*family_mult</x:f>
        <x:v>0</x:v>
      </x:c>
      <x:c r="AX39" s="67" t="n">
        <x:f>V39-(AV39+AW39)/1000000</x:f>
        <x:v>38.94</x:v>
      </x:c>
      <x:c r="AY39" s="47" t="n">
        <x:f>L39*gw_union</x:f>
        <x:v>0</x:v>
      </x:c>
      <x:c r="AZ39" s="46" t="n">
        <x:v>1.108</x:v>
      </x:c>
      <x:c r="BA39" s="47" t="n">
        <x:f>Economy!Q39*AZ39/lf_rate</x:f>
        <x:v>530.257142857143</x:v>
      </x:c>
      <x:c r="BB39" s="64" t="n">
        <x:f>bd_growth*AU38/W38</x:f>
        <x:v>0</x:v>
      </x:c>
      <x:c r="BC39" s="64" t="n">
        <x:f>tg_k*MIN(1,Economy!O38/BK38)</x:f>
        <x:v>0.00032581463744059755</x:v>
      </x:c>
      <x:c r="BD39" s="64" t="n">
        <x:f>emu_g*S39</x:f>
        <x:v>0</x:v>
      </x:c>
      <x:c r="BE39" s="65" t="n">
        <x:f>BE38*(1-BB39-BC39+BD39)</x:f>
        <x:v>0.9933479691003279</x:v>
      </x:c>
      <x:c r="BF39" s="46" t="n">
        <x:v>1</x:v>
      </x:c>
      <x:c r="BG39" s="53" t="n">
        <x:f>AU39*BA39*BE39*(skill_rel-1+skill_spill)/1000000</x:f>
        <x:v>0</x:v>
      </x:c>
      <x:c r="BH39" s="53" t="n">
        <x:f>union_disp*(Champions!AP39+Champions!AZ39)*(1-IF(union_resp=2,mkt_cut*S39,0))</x:f>
        <x:v>7.0907759600765425</x:v>
      </x:c>
      <x:c r="BI39" s="53" t="n">
        <x:f>AY39*BA39*BE39/1000000</x:f>
        <x:v>0</x:v>
      </x:c>
      <x:c r="BJ39" s="47" t="n">
        <x:f>V39*Economy!Q39*AZ39</x:f>
        <x:v>8672.249520000001</x:v>
      </x:c>
      <x:c r="BK39" s="47" t="n">
        <x:f>MAX(0.3*BJ39,AX39*Economy!Q39*AZ39*BE39*BF39-BG39-BH39-BI39)</x:f>
        <x:v>8607.470672263218</x:v>
      </x:c>
      <x:c r="BL39" s="63" t="n">
        <x:f>1-BK39/BJ39</x:f>
        <x:v>0.007469670653201255</x:v>
      </x:c>
      <x:c r="BM39" s="47" t="n">
        <x:f>MAX(0,BH39-BH38)*1000000/BA39</x:f>
        <x:v>930.4419796977623</x:v>
      </x:c>
      <x:c r="BN39" s="47" t="n">
        <x:f>BN38*(1-IF(AND($A39&gt;=1930,$A39&lt;=1932),0,union_reabsorb))+BM39</x:f>
        <x:v>4120.162895863313</x:v>
      </x:c>
      <x:c r="BO39" s="59" t="n">
        <x:v>0.04</x:v>
      </x:c>
      <x:c r="BP39" s="63" t="n">
        <x:f>BO39+BN39/(AX39*1000000*lf_rate)</x:f>
        <x:v>0.04025192377136152</x:v>
      </x:c>
    </x:row>
    <x:row r="40">
      <x:c r="A40" s="58" t="n">
        <x:v>1880</x:v>
      </x:c>
      <x:c r="B40" s="47" t="n">
        <x:f>Economy!B40*lf_rate</x:f>
        <x:v>1329484.3023173944</x:v>
      </x:c>
      <x:c r="C40" s="47" t="n">
        <x:f>Economy!O40*1000000/(B40+L40)</x:f>
        <x:v>735.9825710053865</x:v>
      </x:c>
      <x:c r="D40" s="47" t="n">
        <x:f>Champions!AP40*1000000/(C40*champ_prem)</x:f>
        <x:v>17231.246197028322</x:v>
      </x:c>
      <x:c r="E40" s="47" t="n">
        <x:f>D40*job_mult</x:f>
        <x:v>12061.872337919825</x:v>
      </x:c>
      <x:c r="F40" s="47" t="n">
        <x:f>D40+E40</x:f>
        <x:v>29293.118534948146</x:v>
      </x:c>
      <x:c r="G40" s="63" t="n">
        <x:f>F40/B40</x:f>
        <x:v>0.02203344445954568</x:v>
      </x:c>
      <x:c r="H40" s="47" t="n">
        <x:f>F40-F39</x:f>
        <x:v>2104.418829436654</x:v>
      </x:c>
      <x:c r="I40" s="63" t="n">
        <x:f>MAX(0.005,pac_u_base*IF(Paths!AC40=1,pac_u_war,1)+(okun*(1-Economy!G40)*(B40+L40)-MAX(0,L39-L40))/B40)</x:f>
        <x:v>0.015</x:v>
      </x:c>
      <x:c r="J40" s="47" t="n">
        <x:f>IF(AND(gw_on=1,$A40&gt;=gw_start),MIN(gw_cap*B39,gw_cover*F39+gw_gen*B39),0)</x:f>
        <x:v>0</x:v>
      </x:c>
      <x:c r="K40" s="47" t="n">
        <x:f>L39*gw_conv</x:f>
        <x:v>0</x:v>
      </x:c>
      <x:c r="L40" s="47" t="n">
        <x:f>MAX(0,L39-K40+gw_adj*(J40-L39))*MAX(0,1-gw_slump*(1-Economy!G40))</x:f>
        <x:v>0</x:v>
      </x:c>
      <x:c r="M40" s="47" t="n">
        <x:f>MAX(0,L40-L39+L39/gw_term)</x:f>
        <x:v>0</x:v>
      </x:c>
      <x:c r="N40" s="63" t="n">
        <x:f>L40/B40</x:f>
        <x:v>0</x:v>
      </x:c>
      <x:c r="O40" s="53" t="n">
        <x:f>Economy!L40</x:f>
        <x:v>0</x:v>
      </x:c>
      <x:c r="P40" s="53" t="n">
        <x:f>O40*gw_wage_share</x:f>
        <x:v>0</x:v>
      </x:c>
      <x:c r="Q40" s="53" t="n">
        <x:f>P40*gw_levy</x:f>
        <x:v>0</x:v>
      </x:c>
      <x:c r="R40" s="53" t="n">
        <x:f>P40*gw_remit</x:f>
        <x:v>0</x:v>
      </x:c>
      <x:c r="S40" s="63" t="n">
        <x:f>IF(union_resp&gt;=1,MIN(1,MAX(0,($A40-resp_start)/(resp_full-resp_start))),0)</x:f>
        <x:v>0</x:v>
      </x:c>
      <x:c r="T40" s="67" t="n">
        <x:f>Economy!R39</x:f>
        <x:v>1.5374904887896028</x:v>
      </x:c>
      <x:c r="U40" s="67" t="n">
        <x:f>MAX(0,T40-gap_base)</x:f>
        <x:v>0.037490488789602816</x:v>
      </x:c>
      <x:c r="V40" s="68" t="n">
        <x:v>40</x:v>
      </x:c>
      <x:c r="W40" s="47" t="n">
        <x:f>V40*1000000*lf_rate*union_skill_share</x:f>
        <x:v>2016000</x:v>
      </x:c>
      <x:c r="X40" s="45" t="n">
        <x:v>60000</x:v>
      </x:c>
      <x:c r="Y40" s="47" t="n">
        <x:f>IF(AND(mig_endo=1,$A40&gt;=talent_start),talent_rate_u*W40*U40*(1-(1-bd_keep)*S40),0)</x:f>
        <x:v>755.8082539983927</x:v>
      </x:c>
      <x:c r="Z40" s="47" t="n">
        <x:f>IF(AND(mig_endo=1,$A40&gt;=talent_start),X40*MIN(0.5,talent_share_o*U40)*(1-eu_comp*S40),0)</x:f>
        <x:v>607.3459183915656</x:v>
      </x:c>
      <x:c r="AA40" s="45" t="n">
        <x:v>5000</x:v>
      </x:c>
      <x:c r="AB40" s="47" t="n">
        <x:f>IF(AND(mig_endo=1,$A40&gt;=talent_start),AA40*MIN(0.5,talent_share_a*U40),0)</x:f>
        <x:v>37.490488789602814</x:v>
      </x:c>
      <x:c r="AC40" s="47" t="n">
        <x:f>entry_cap*People!B40</x:f>
        <x:v>9234.94432286491</x:v>
      </x:c>
      <x:c r="AD40" s="47" t="n">
        <x:f>MIN(AC40,Y40+Z40+AB40)</x:f>
        <x:v>1400.6446611795611</x:v>
      </x:c>
      <x:c r="AE40" s="47" t="n">
        <x:f>IF(Y40+Z40+AB40&gt;0,AD40*Y40/(Y40+Z40+AB40),0)</x:f>
        <x:v>755.8082539983928</x:v>
      </x:c>
      <x:c r="AF40" s="47" t="n">
        <x:f>IF(Y40+Z40+AB40&gt;0,AD40*AB40/(Y40+Z40+AB40),0)</x:f>
        <x:v>37.490488789602814</x:v>
      </x:c>
      <x:c r="AG40" s="47" t="n">
        <x:f>AD40*family_mult</x:f>
        <x:v>3081.418254595035</x:v>
      </x:c>
      <x:c r="AH40" s="47" t="n">
        <x:f>AH39*(1+Paths!C40)+AG40</x:f>
        <x:v>3081.418254595035</x:v>
      </x:c>
      <x:c r="AI40" s="47" t="n">
        <x:f>IF(AND(mig_endo=1,$A40&gt;=talent_start),chain_rate*AH39,0)</x:f>
        <x:v>0</x:v>
      </x:c>
      <x:c r="AJ40" s="47" t="n">
        <x:f>IF(AND(mig_endo=1,$A40&gt;=talent_start),IF(H39&gt;0,H39*job_fill,H39*job_return)*job_family,0)</x:f>
        <x:v>1240.41321835948</x:v>
      </x:c>
      <x:c r="AK40" s="47" t="n">
        <x:f>K40*gw_conv_family</x:f>
        <x:v>0</x:v>
      </x:c>
      <x:c r="AL40" s="47" t="n">
        <x:f>AG40+AI40+AJ40+AK40+AR40</x:f>
        <x:v>8680.100794745842</x:v>
      </x:c>
      <x:c r="AM40" s="47" t="n">
        <x:f>AM39*(1-skill_ret)+AD40</x:f>
        <x:v>1400.6446611795611</x:v>
      </x:c>
      <x:c r="AN40" s="64" t="n">
        <x:f>AM40/B40</x:f>
        <x:v>0.0010535247830592122</x:v>
      </x:c>
      <x:c r="AO40" s="64" t="n">
        <x:f>(skill_rel-1+skill_spill)*AM39/B39-AT40</x:f>
        <x:v>0</x:v>
      </x:c>
      <x:c r="AP40" s="64" t="n">
        <x:f>talent_champ*AM39/(skill_base_share*B39)</x:f>
        <x:v>0</x:v>
      </x:c>
      <x:c r="AQ40" s="45" t="n">
        <x:v>465000</x:v>
      </x:c>
      <x:c r="AR40" s="47" t="n">
        <x:f>IF(AND(div_on=1,$A40&gt;=div_start),AQ40*MIN(div_max,div_rate*U40)*(1-div_comp*S40),0)</x:f>
        <x:v>4358.2693217913275</x:v>
      </x:c>
      <x:c r="AS40" s="47" t="n">
        <x:f>AS39*(1-div_assim)+AR40</x:f>
        <x:v>4358.2693217913275</x:v>
      </x:c>
      <x:c r="AT40" s="64" t="n">
        <x:f>(1-div_rel)*AS39/Economy!B39</x:f>
        <x:v>0</x:v>
      </x:c>
      <x:c r="AU40" s="47" t="n">
        <x:f>AU39*(1-skill_ret)+AE40</x:f>
        <x:v>755.8082539983928</x:v>
      </x:c>
      <x:c r="AV40" s="47" t="n">
        <x:f>AV39*(1+union_nat)+AR40</x:f>
        <x:v>4358.2693217913275</x:v>
      </x:c>
      <x:c r="AW40" s="47" t="n">
        <x:f>AW39*(1+union_nat)+AE40*family_mult</x:f>
        <x:v>1662.7781587964644</x:v>
      </x:c>
      <x:c r="AX40" s="67" t="n">
        <x:f>V40-(AV40+AW40)/1000000</x:f>
        <x:v>39.99397895251941</x:v>
      </x:c>
      <x:c r="AY40" s="47" t="n">
        <x:f>L40*gw_union</x:f>
        <x:v>0</x:v>
      </x:c>
      <x:c r="AZ40" s="46" t="n">
        <x:v>1.107</x:v>
      </x:c>
      <x:c r="BA40" s="47" t="n">
        <x:f>Economy!Q40*AZ40/lf_rate</x:f>
        <x:v>548.2285714285714</x:v>
      </x:c>
      <x:c r="BB40" s="64" t="n">
        <x:f>bd_growth*AU39/W39</x:f>
        <x:v>0</x:v>
      </x:c>
      <x:c r="BC40" s="64" t="n">
        <x:f>tg_k*MIN(1,Economy!O39/BK39)</x:f>
        <x:v>0.00032281352001374314</x:v>
      </x:c>
      <x:c r="BD40" s="64" t="n">
        <x:f>emu_g*S40</x:f>
        <x:v>0</x:v>
      </x:c>
      <x:c r="BE40" s="65" t="n">
        <x:f>BE39*(1-BB40-BC40+BD40)</x:f>
        <x:v>0.9930273029458241</x:v>
      </x:c>
      <x:c r="BF40" s="46" t="n">
        <x:v>1</x:v>
      </x:c>
      <x:c r="BG40" s="53" t="n">
        <x:f>AU40*BA40*BE40*(skill_rel-1+skill_spill)/1000000</x:f>
        <x:v>0.534906453560158</x:v>
      </x:c>
      <x:c r="BH40" s="53" t="n">
        <x:f>union_disp*(Champions!AP40+Champions!AZ40)*(1-IF(union_resp=2,mkt_cut*S40,0))</x:f>
        <x:v>7.875304482255663</x:v>
      </x:c>
      <x:c r="BI40" s="53" t="n">
        <x:f>AY40*BA40*BE40/1000000</x:f>
        <x:v>0</x:v>
      </x:c>
      <x:c r="BJ40" s="47" t="n">
        <x:f>V40*Economy!Q40*AZ40</x:f>
        <x:v>9210.24</x:v>
      </x:c>
      <x:c r="BK40" s="47" t="n">
        <x:f>MAX(0.3*BJ40,AX40*Economy!Q40*AZ40*BE40*BF40-BG40-BH40-BI40)</x:f>
        <x:v>9136.23286026308</x:v>
      </x:c>
      <x:c r="BL40" s="63" t="n">
        <x:f>1-BK40/BJ40</x:f>
        <x:v>0.008035310669094353</x:v>
      </x:c>
      <x:c r="BM40" s="47" t="n">
        <x:f>MAX(0,BH40-BH39)*1000000/BA40</x:f>
        <x:v>1431.0245088737342</x:v>
      </x:c>
      <x:c r="BN40" s="47" t="n">
        <x:f>BN39*(1-IF(AND($A40&gt;=1930,$A40&lt;=1932),0,union_reabsorb))+BM40</x:f>
        <x:v>4521.146680771219</x:v>
      </x:c>
      <x:c r="BO40" s="59" t="n">
        <x:v>0.04</x:v>
      </x:c>
      <x:c r="BP40" s="63" t="n">
        <x:f>BO40+BN40/(AX40*1000000*lf_rate)</x:f>
        <x:v>0.040269156388940366</x:v>
      </x:c>
    </x:row>
    <x:row r="41">
      <x:c r="A41" s="58" t="n">
        <x:v>1881</x:v>
      </x:c>
      <x:c r="B41" s="47" t="n">
        <x:f>Economy!B41*lf_rate</x:f>
        <x:v>1401829.0463069582</x:v>
      </x:c>
      <x:c r="C41" s="47" t="n">
        <x:f>Economy!O41*1000000/(B41+L41)</x:f>
        <x:v>741.3915754295083</x:v>
      </x:c>
      <x:c r="D41" s="47" t="n">
        <x:f>Champions!AP41*1000000/(C41*champ_prem)</x:f>
        <x:v>19679.976908798842</x:v>
      </x:c>
      <x:c r="E41" s="47" t="n">
        <x:f>D41*job_mult</x:f>
        <x:v>13775.983836159188</x:v>
      </x:c>
      <x:c r="F41" s="47" t="n">
        <x:f>D41+E41</x:f>
        <x:v>33455.96074495803</x:v>
      </x:c>
      <x:c r="G41" s="63" t="n">
        <x:f>F41/B41</x:f>
        <x:v>0.023865934889204875</x:v>
      </x:c>
      <x:c r="H41" s="47" t="n">
        <x:f>F41-F40</x:f>
        <x:v>4162.842210009883</x:v>
      </x:c>
      <x:c r="I41" s="63" t="n">
        <x:f>MAX(0.005,pac_u_base*IF(Paths!AC41=1,pac_u_war,1)+(okun*(1-Economy!G41)*(B41+L41)-MAX(0,L40-L41))/B41)</x:f>
        <x:v>0.015</x:v>
      </x:c>
      <x:c r="J41" s="47" t="n">
        <x:f>IF(AND(gw_on=1,$A41&gt;=gw_start),MIN(gw_cap*B40,gw_cover*F40+gw_gen*B40),0)</x:f>
        <x:v>0</x:v>
      </x:c>
      <x:c r="K41" s="47" t="n">
        <x:f>L40*gw_conv</x:f>
        <x:v>0</x:v>
      </x:c>
      <x:c r="L41" s="47" t="n">
        <x:f>MAX(0,L40-K41+gw_adj*(J41-L40))*MAX(0,1-gw_slump*(1-Economy!G41))</x:f>
        <x:v>0</x:v>
      </x:c>
      <x:c r="M41" s="47" t="n">
        <x:f>MAX(0,L41-L40+L40/gw_term)</x:f>
        <x:v>0</x:v>
      </x:c>
      <x:c r="N41" s="63" t="n">
        <x:f>L41/B41</x:f>
        <x:v>0</x:v>
      </x:c>
      <x:c r="O41" s="53" t="n">
        <x:f>Economy!L41</x:f>
        <x:v>0</x:v>
      </x:c>
      <x:c r="P41" s="53" t="n">
        <x:f>O41*gw_wage_share</x:f>
        <x:v>0</x:v>
      </x:c>
      <x:c r="Q41" s="53" t="n">
        <x:f>P41*gw_levy</x:f>
        <x:v>0</x:v>
      </x:c>
      <x:c r="R41" s="53" t="n">
        <x:f>P41*gw_remit</x:f>
        <x:v>0</x:v>
      </x:c>
      <x:c r="S41" s="63" t="n">
        <x:f>IF(union_resp&gt;=1,MIN(1,MAX(0,($A41-resp_start)/(resp_full-resp_start))),0)</x:f>
        <x:v>0</x:v>
      </x:c>
      <x:c r="T41" s="67" t="n">
        <x:f>Economy!R40</x:f>
        <x:v>1.486118652991646</x:v>
      </x:c>
      <x:c r="U41" s="67" t="n">
        <x:f>MAX(0,T41-gap_base)</x:f>
        <x:v>0</x:v>
      </x:c>
      <x:c r="V41" s="68" t="n">
        <x:v>41</x:v>
      </x:c>
      <x:c r="W41" s="47" t="n">
        <x:f>V41*1000000*lf_rate*union_skill_share</x:f>
        <x:v>2066400</x:v>
      </x:c>
      <x:c r="X41" s="45" t="n">
        <x:v>62000</x:v>
      </x:c>
      <x:c r="Y41" s="47" t="n">
        <x:f>IF(AND(mig_endo=1,$A41&gt;=talent_start),talent_rate_u*W41*U41*(1-(1-bd_keep)*S41),0)</x:f>
        <x:v>0</x:v>
      </x:c>
      <x:c r="Z41" s="47" t="n">
        <x:f>IF(AND(mig_endo=1,$A41&gt;=talent_start),X41*MIN(0.5,talent_share_o*U41)*(1-eu_comp*S41),0)</x:f>
        <x:v>0</x:v>
      </x:c>
      <x:c r="AA41" s="45" t="n">
        <x:v>6000</x:v>
      </x:c>
      <x:c r="AB41" s="47" t="n">
        <x:f>IF(AND(mig_endo=1,$A41&gt;=talent_start),AA41*MIN(0.5,talent_share_a*U41),0)</x:f>
        <x:v>0</x:v>
      </x:c>
      <x:c r="AC41" s="47" t="n">
        <x:f>entry_cap*People!B41</x:f>
        <x:v>9757.688567383582</x:v>
      </x:c>
      <x:c r="AD41" s="47" t="n">
        <x:f>MIN(AC41,Y41+Z41+AB41)</x:f>
        <x:v>0</x:v>
      </x:c>
      <x:c r="AE41" s="47" t="n">
        <x:f>IF(Y41+Z41+AB41&gt;0,AD41*Y41/(Y41+Z41+AB41),0)</x:f>
        <x:v>0</x:v>
      </x:c>
      <x:c r="AF41" s="47" t="n">
        <x:f>IF(Y41+Z41+AB41&gt;0,AD41*AB41/(Y41+Z41+AB41),0)</x:f>
        <x:v>0</x:v>
      </x:c>
      <x:c r="AG41" s="47" t="n">
        <x:f>AD41*family_mult</x:f>
        <x:v>0</x:v>
      </x:c>
      <x:c r="AH41" s="47" t="n">
        <x:f>AH40*(1+Paths!C41)+AG41</x:f>
        <x:v>3139.96520143234</x:v>
      </x:c>
      <x:c r="AI41" s="47" t="n">
        <x:f>IF(AND(mig_endo=1,$A41&gt;=talent_start),chain_rate*AH40,0)</x:f>
        <x:v>46.22127381892552</x:v>
      </x:c>
      <x:c r="AJ41" s="47" t="n">
        <x:f>IF(AND(mig_endo=1,$A41&gt;=talent_start),IF(H40&gt;0,H40*job_fill,H40*job_return)*job_family,0)</x:f>
        <x:v>1325.783862545092</x:v>
      </x:c>
      <x:c r="AK41" s="47" t="n">
        <x:f>K41*gw_conv_family</x:f>
        <x:v>0</x:v>
      </x:c>
      <x:c r="AL41" s="47" t="n">
        <x:f>AG41+AI41+AJ41+AK41+AR41</x:f>
        <x:v>1372.0051363640175</x:v>
      </x:c>
      <x:c r="AM41" s="47" t="n">
        <x:f>AM40*(1-skill_ret)+AD41</x:f>
        <x:v>1365.6285446500722</x:v>
      </x:c>
      <x:c r="AN41" s="64" t="n">
        <x:f>AM41/B41</x:f>
        <x:v>0.0009741762365730299</x:v>
      </x:c>
      <x:c r="AO41" s="64" t="n">
        <x:f>(skill_rel-1+skill_spill)*AM40/B40-AT41</x:f>
        <x:v>0.001025374860289168</x:v>
      </x:c>
      <x:c r="AP41" s="64" t="n">
        <x:f>talent_champ*AM40/(skill_base_share*B40)</x:f>
        <x:v>0.0021070495661184244</x:v>
      </x:c>
      <x:c r="AQ41" s="45" t="n">
        <x:v>628000</x:v>
      </x:c>
      <x:c r="AR41" s="47" t="n">
        <x:f>IF(AND(div_on=1,$A41&gt;=div_start),AQ41*MIN(div_max,div_rate*U41)*(1-div_comp*S41),0)</x:f>
        <x:v>0</x:v>
      </x:c>
      <x:c r="AS41" s="47" t="n">
        <x:f>AS40*(1-div_assim)+AR41</x:f>
        <x:v>4140.35585570176</x:v>
      </x:c>
      <x:c r="AT41" s="64" t="n">
        <x:f>(1-div_rel)*AS40/Economy!B40</x:f>
        <x:v>0.0003442073576878081</x:v>
      </x:c>
      <x:c r="AU41" s="47" t="n">
        <x:f>AU40*(1-skill_ret)+AE41</x:f>
        <x:v>736.913047648433</x:v>
      </x:c>
      <x:c r="AV41" s="47" t="n">
        <x:f>AV40*(1+union_nat)+AR41</x:f>
        <x:v>4414.926822974614</x:v>
      </x:c>
      <x:c r="AW41" s="47" t="n">
        <x:f>AW40*(1+union_nat)+AE41*family_mult</x:f>
        <x:v>1684.3942748608183</x:v>
      </x:c>
      <x:c r="AX41" s="67" t="n">
        <x:f>V41-(AV41+AW41)/1000000</x:f>
        <x:v>40.993900678902165</x:v>
      </x:c>
      <x:c r="AY41" s="47" t="n">
        <x:f>L41*gw_union</x:f>
        <x:v>0</x:v>
      </x:c>
      <x:c r="AZ41" s="46" t="n">
        <x:v>1.107</x:v>
      </x:c>
      <x:c r="BA41" s="47" t="n">
        <x:f>Economy!Q41*AZ41/lf_rate</x:f>
        <x:v>545.5928571428572</x:v>
      </x:c>
      <x:c r="BB41" s="64" t="n">
        <x:f>bd_growth*AU40/W40</x:f>
        <x:v>0.000011247146636880846</x:v>
      </x:c>
      <x:c r="BC41" s="64" t="n">
        <x:f>tg_k*MIN(1,Economy!O40/BK40)</x:f>
        <x:v>0.0003212956444619395</x:v>
      </x:c>
      <x:c r="BD41" s="64" t="n">
        <x:f>emu_g*S41</x:f>
        <x:v>0</x:v>
      </x:c>
      <x:c r="BE41" s="65" t="n">
        <x:f>BE40*(1-BB41-BC41+BD41)</x:f>
        <x:v>0.9926970788748651</x:v>
      </x:c>
      <x:c r="BF41" s="46" t="n">
        <x:v>1</x:v>
      </x:c>
      <x:c r="BG41" s="53" t="n">
        <x:f>AU41*BA41*BE41*(skill_rel-1+skill_spill)/1000000</x:f>
        <x:v>0.5188538197263219</x:v>
      </x:c>
      <x:c r="BH41" s="53" t="n">
        <x:f>union_disp*(Champions!AP41+Champions!AZ41)*(1-IF(union_resp=2,mkt_cut*S41,0))</x:f>
        <x:v>9.050836753909897</x:v>
      </x:c>
      <x:c r="BI41" s="53" t="n">
        <x:f>AY41*BA41*BE41/1000000</x:f>
        <x:v>0</x:v>
      </x:c>
      <x:c r="BJ41" s="47" t="n">
        <x:f>V41*Economy!Q41*AZ41</x:f>
        <x:v>9395.109</x:v>
      </x:c>
      <x:c r="BK41" s="47" t="n">
        <x:f>MAX(0.3*BJ41,AX41*Economy!Q41*AZ41*BE41*BF41-BG41-BH41-BI41)</x:f>
        <x:v>9315.540123059101</x:v>
      </x:c>
      <x:c r="BL41" s="63" t="n">
        <x:f>1-BK41/BJ41</x:f>
        <x:v>0.008469180819605016</x:v>
      </x:c>
      <x:c r="BM41" s="47" t="n">
        <x:f>MAX(0,BH41-BH40)*1000000/BA41</x:f>
        <x:v>2154.5961540079957</x:v>
      </x:c>
      <x:c r="BN41" s="47" t="n">
        <x:f>BN40*(1-IF(AND($A41&gt;=1930,$A41&lt;=1932),0,union_reabsorb))+BM41</x:f>
        <x:v>5545.45616458641</x:v>
      </x:c>
      <x:c r="BO41" s="59" t="n">
        <x:v>0.04</x:v>
      </x:c>
      <x:c r="BP41" s="63" t="n">
        <x:f>BO41+BN41/(AX41*1000000*lf_rate)</x:f>
        <x:v>0.04032208369635179</x:v>
      </x:c>
    </x:row>
    <x:row r="42">
      <x:c r="A42" s="58" t="n">
        <x:v>1882</x:v>
      </x:c>
      <x:c r="B42" s="47" t="n">
        <x:f>Economy!B42*lf_rate</x:f>
        <x:v>1474541.6327567738</x:v>
      </x:c>
      <x:c r="C42" s="47" t="n">
        <x:f>Economy!O42*1000000/(B42+L42)</x:f>
        <x:v>745.878229580204</x:v>
      </x:c>
      <x:c r="D42" s="47" t="n">
        <x:f>Champions!AP42*1000000/(C42*champ_prem)</x:f>
        <x:v>21527.228050916914</x:v>
      </x:c>
      <x:c r="E42" s="47" t="n">
        <x:f>D42*job_mult</x:f>
        <x:v>15069.05963564184</x:v>
      </x:c>
      <x:c r="F42" s="47" t="n">
        <x:f>D42+E42</x:f>
        <x:v>36596.28768655875</x:v>
      </x:c>
      <x:c r="G42" s="63" t="n">
        <x:f>F42/B42</x:f>
        <x:v>0.024818755112488114</x:v>
      </x:c>
      <x:c r="H42" s="47" t="n">
        <x:f>F42-F41</x:f>
        <x:v>3140.3269416007242</x:v>
      </x:c>
      <x:c r="I42" s="63" t="n">
        <x:f>MAX(0.005,pac_u_base*IF(Paths!AC42=1,pac_u_war,1)+(okun*(1-Economy!G42)*(B42+L42)-MAX(0,L41-L42))/B42)</x:f>
        <x:v>0.015</x:v>
      </x:c>
      <x:c r="J42" s="47" t="n">
        <x:f>IF(AND(gw_on=1,$A42&gt;=gw_start),MIN(gw_cap*B41,gw_cover*F41+gw_gen*B41),0)</x:f>
        <x:v>0</x:v>
      </x:c>
      <x:c r="K42" s="47" t="n">
        <x:f>L41*gw_conv</x:f>
        <x:v>0</x:v>
      </x:c>
      <x:c r="L42" s="47" t="n">
        <x:f>MAX(0,L41-K42+gw_adj*(J42-L41))*MAX(0,1-gw_slump*(1-Economy!G42))</x:f>
        <x:v>0</x:v>
      </x:c>
      <x:c r="M42" s="47" t="n">
        <x:f>MAX(0,L42-L41+L41/gw_term)</x:f>
        <x:v>0</x:v>
      </x:c>
      <x:c r="N42" s="63" t="n">
        <x:f>L42/B42</x:f>
        <x:v>0</x:v>
      </x:c>
      <x:c r="O42" s="53" t="n">
        <x:f>Economy!L42</x:f>
        <x:v>0</x:v>
      </x:c>
      <x:c r="P42" s="53" t="n">
        <x:f>O42*gw_wage_share</x:f>
        <x:v>0</x:v>
      </x:c>
      <x:c r="Q42" s="53" t="n">
        <x:f>P42*gw_levy</x:f>
        <x:v>0</x:v>
      </x:c>
      <x:c r="R42" s="53" t="n">
        <x:f>P42*gw_remit</x:f>
        <x:v>0</x:v>
      </x:c>
      <x:c r="S42" s="63" t="n">
        <x:f>IF(union_resp&gt;=1,MIN(1,MAX(0,($A42-resp_start)/(resp_full-resp_start))),0)</x:f>
        <x:v>0</x:v>
      </x:c>
      <x:c r="T42" s="67" t="n">
        <x:f>Economy!R41</x:f>
        <x:v>1.5042727617410314</x:v>
      </x:c>
      <x:c r="U42" s="67" t="n">
        <x:f>MAX(0,T42-gap_base)</x:f>
        <x:v>0.004272761741031417</x:v>
      </x:c>
      <x:c r="V42" s="68" t="n">
        <x:v>42</x:v>
      </x:c>
      <x:c r="W42" s="47" t="n">
        <x:f>V42*1000000*lf_rate*union_skill_share</x:f>
        <x:v>2116800</x:v>
      </x:c>
      <x:c r="X42" s="45" t="n">
        <x:v>64000</x:v>
      </x:c>
      <x:c r="Y42" s="47" t="n">
        <x:f>IF(AND(mig_endo=1,$A42&gt;=talent_start),talent_rate_u*W42*U42*(1-(1-bd_keep)*S42),0)</x:f>
        <x:v>90.44582053415303</x:v>
      </x:c>
      <x:c r="Z42" s="47" t="n">
        <x:f>IF(AND(mig_endo=1,$A42&gt;=talent_start),X42*MIN(0.5,talent_share_o*U42)*(1-eu_comp*S42),0)</x:f>
        <x:v>73.83332288502288</x:v>
      </x:c>
      <x:c r="AA42" s="45" t="n">
        <x:v>6000</x:v>
      </x:c>
      <x:c r="AB42" s="47" t="n">
        <x:f>IF(AND(mig_endo=1,$A42&gt;=talent_start),AA42*MIN(0.5,talent_share_a*U42),0)</x:f>
        <x:v>5.127314089237701</x:v>
      </x:c>
      <x:c r="AC42" s="47" t="n">
        <x:f>entry_cap*People!B42</x:f>
        <x:v>10268.440665572964</x:v>
      </x:c>
      <x:c r="AD42" s="47" t="n">
        <x:f>MIN(AC42,Y42+Z42+AB42)</x:f>
        <x:v>169.4064575084136</x:v>
      </x:c>
      <x:c r="AE42" s="47" t="n">
        <x:f>IF(Y42+Z42+AB42&gt;0,AD42*Y42/(Y42+Z42+AB42),0)</x:f>
        <x:v>90.44582053415303</x:v>
      </x:c>
      <x:c r="AF42" s="47" t="n">
        <x:f>IF(Y42+Z42+AB42&gt;0,AD42*AB42/(Y42+Z42+AB42),0)</x:f>
        <x:v>5.127314089237701</x:v>
      </x:c>
      <x:c r="AG42" s="47" t="n">
        <x:f>AD42*family_mult</x:f>
        <x:v>372.69420651851</x:v>
      </x:c>
      <x:c r="AH42" s="47" t="n">
        <x:f>AH41*(1+Paths!C42)+AG42</x:f>
        <x:v>3572.318746778064</x:v>
      </x:c>
      <x:c r="AI42" s="47" t="n">
        <x:f>IF(AND(mig_endo=1,$A42&gt;=talent_start),chain_rate*AH41,0)</x:f>
        <x:v>47.0994780214851</x:v>
      </x:c>
      <x:c r="AJ42" s="47" t="n">
        <x:f>IF(AND(mig_endo=1,$A42&gt;=talent_start),IF(H41&gt;0,H41*job_fill,H41*job_return)*job_family,0)</x:f>
        <x:v>2622.5905923062264</x:v>
      </x:c>
      <x:c r="AK42" s="47" t="n">
        <x:f>K42*gw_conv_family</x:f>
        <x:v>0</x:v>
      </x:c>
      <x:c r="AL42" s="47" t="n">
        <x:f>AG42+AI42+AJ42+AK42+AR42</x:f>
        <x:v>3886.254720699926</x:v>
      </x:c>
      <x:c r="AM42" s="47" t="n">
        <x:f>AM41*(1-skill_ret)+AD42</x:f>
        <x:v>1500.8942885422339</x:v>
      </x:c>
      <x:c r="AN42" s="64" t="n">
        <x:f>AM42/B42</x:f>
        <x:v>0.0010178717610951355</x:v>
      </x:c>
      <x:c r="AO42" s="64" t="n">
        <x:f>(skill_rel-1+skill_spill)*AM41/B41-AT42</x:f>
        <x:v>0.0009563075802488847</x:v>
      </x:c>
      <x:c r="AP42" s="64" t="n">
        <x:f>talent_champ*AM41/(skill_base_share*B41)</x:f>
        <x:v>0.0019483524731460596</x:v>
      </x:c>
      <x:c r="AQ42" s="45" t="n">
        <x:v>790000</x:v>
      </x:c>
      <x:c r="AR42" s="47" t="n">
        <x:f>IF(AND(div_on=1,$A42&gt;=div_start),AQ42*MIN(div_max,div_rate*U42)*(1-div_comp*S42),0)</x:f>
        <x:v>843.8704438537048</x:v>
      </x:c>
      <x:c r="AS42" s="47" t="n">
        <x:f>AS41*(1-div_assim)+AR42</x:f>
        <x:v>4777.208506770377</x:v>
      </x:c>
      <x:c r="AT42" s="64" t="n">
        <x:f>(1-div_rel)*AS41/Economy!B41</x:f>
        <x:v>0.0003101215272960541</x:v>
      </x:c>
      <x:c r="AU42" s="47" t="n">
        <x:f>AU41*(1-skill_ret)+AE42</x:f>
        <x:v>808.9360419913753</x:v>
      </x:c>
      <x:c r="AV42" s="47" t="n">
        <x:f>AV41*(1+union_nat)+AR42</x:f>
        <x:v>5316.191315526989</x:v>
      </x:c>
      <x:c r="AW42" s="47" t="n">
        <x:f>AW41*(1+union_nat)+AE42*family_mult</x:f>
        <x:v>1905.2722056091457</x:v>
      </x:c>
      <x:c r="AX42" s="67" t="n">
        <x:f>V42-(AV42+AW42)/1000000</x:f>
        <x:v>41.992778536478866</x:v>
      </x:c>
      <x:c r="AY42" s="47" t="n">
        <x:f>L42*gw_union</x:f>
        <x:v>0</x:v>
      </x:c>
      <x:c r="AZ42" s="46" t="n">
        <x:v>1.106</x:v>
      </x:c>
      <x:c r="BA42" s="47" t="n">
        <x:f>Economy!Q42*AZ42/lf_rate</x:f>
        <x:v>545.1</x:v>
      </x:c>
      <x:c r="BB42" s="64" t="n">
        <x:f>bd_growth*AU41/W41</x:f>
        <x:v>0.000010698505337520803</x:v>
      </x:c>
      <x:c r="BC42" s="64" t="n">
        <x:f>tg_k*MIN(1,Economy!O41/BK41)</x:f>
        <x:v>0.0003347001563178498</x:v>
      </x:c>
      <x:c r="BD42" s="64" t="n">
        <x:f>emu_g*S42</x:f>
        <x:v>0</x:v>
      </x:c>
      <x:c r="BE42" s="65" t="n">
        <x:f>BE41*(1-BB42-BC42+BD42)</x:f>
        <x:v>0.9923542026323925</x:v>
      </x:c>
      <x:c r="BF42" s="46" t="n">
        <x:v>1</x:v>
      </x:c>
      <x:c r="BG42" s="53" t="n">
        <x:f>AU42*BA42*BE42*(skill_rel-1+skill_spill)/1000000</x:f>
        <x:v>0.5688534984801025</x:v>
      </x:c>
      <x:c r="BH42" s="53" t="n">
        <x:f>union_disp*(Champions!AP42+Champions!AZ42)*(1-IF(union_resp=2,mkt_cut*S42,0))</x:f>
        <x:v>10.138622875986625</x:v>
      </x:c>
      <x:c r="BI42" s="53" t="n">
        <x:f>AY42*BA42*BE42/1000000</x:f>
        <x:v>0</x:v>
      </x:c>
      <x:c r="BJ42" s="47" t="n">
        <x:f>V42*Economy!Q42*AZ42</x:f>
        <x:v>9615.564</x:v>
      </x:c>
      <x:c r="BK42" s="47" t="n">
        <x:f>MAX(0.3*BJ42,AX42*Economy!Q42*AZ42*BE42*BF42-BG42-BH42-BI42)</x:f>
        <x:v>9529.697214173326</x:v>
      </x:c>
      <x:c r="BL42" s="63" t="n">
        <x:f>1-BK42/BJ42</x:f>
        <x:v>0.008929979128283527</x:v>
      </x:c>
      <x:c r="BM42" s="47" t="n">
        <x:f>MAX(0,BH42-BH41)*1000000/BA42</x:f>
        <x:v>1995.5716787318447</x:v>
      </x:c>
      <x:c r="BN42" s="47" t="n">
        <x:f>BN41*(1-IF(AND($A42&gt;=1930,$A42&lt;=1932),0,union_reabsorb))+BM42</x:f>
        <x:v>6154.663802171652</x:v>
      </x:c>
      <x:c r="BO42" s="59" t="n">
        <x:v>0.04</x:v>
      </x:c>
      <x:c r="BP42" s="63" t="n">
        <x:f>BO42+BN42/(AX42*1000000*lf_rate)</x:f>
        <x:v>0.04034896384436701</x:v>
      </x:c>
    </x:row>
    <x:row r="43">
      <x:c r="A43" s="58" t="n">
        <x:v>1883</x:v>
      </x:c>
      <x:c r="B43" s="47" t="n">
        <x:f>Economy!B43*lf_rate</x:f>
        <x:v>1549501.0745223155</x:v>
      </x:c>
      <x:c r="C43" s="47" t="n">
        <x:f>Economy!O43*1000000/(B43+L43)</x:f>
        <x:v>750.2399196844124</x:v>
      </x:c>
      <x:c r="D43" s="47" t="n">
        <x:f>Champions!AP43*1000000/(C43*champ_prem)</x:f>
        <x:v>23365.470052310608</x:v>
      </x:c>
      <x:c r="E43" s="47" t="n">
        <x:f>D43*job_mult</x:f>
        <x:v>16355.829036617424</x:v>
      </x:c>
      <x:c r="F43" s="47" t="n">
        <x:f>D43+E43</x:f>
        <x:v>39721.29908892803</x:v>
      </x:c>
      <x:c r="G43" s="63" t="n">
        <x:f>F43/B43</x:f>
        <x:v>0.02563489612369157</x:v>
      </x:c>
      <x:c r="H43" s="47" t="n">
        <x:f>F43-F42</x:f>
        <x:v>3125.0114023692804</x:v>
      </x:c>
      <x:c r="I43" s="63" t="n">
        <x:f>MAX(0.005,pac_u_base*IF(Paths!AC43=1,pac_u_war,1)+(okun*(1-Economy!G43)*(B43+L43)-MAX(0,L42-L43))/B43)</x:f>
        <x:v>0.015</x:v>
      </x:c>
      <x:c r="J43" s="47" t="n">
        <x:f>IF(AND(gw_on=1,$A43&gt;=gw_start),MIN(gw_cap*B42,gw_cover*F42+gw_gen*B42),0)</x:f>
        <x:v>0</x:v>
      </x:c>
      <x:c r="K43" s="47" t="n">
        <x:f>L42*gw_conv</x:f>
        <x:v>0</x:v>
      </x:c>
      <x:c r="L43" s="47" t="n">
        <x:f>MAX(0,L42-K43+gw_adj*(J43-L42))*MAX(0,1-gw_slump*(1-Economy!G43))</x:f>
        <x:v>0</x:v>
      </x:c>
      <x:c r="M43" s="47" t="n">
        <x:f>MAX(0,L43-L42+L42/gw_term)</x:f>
        <x:v>0</x:v>
      </x:c>
      <x:c r="N43" s="63" t="n">
        <x:f>L43/B43</x:f>
        <x:v>0</x:v>
      </x:c>
      <x:c r="O43" s="53" t="n">
        <x:f>Economy!L43</x:f>
        <x:v>0</x:v>
      </x:c>
      <x:c r="P43" s="53" t="n">
        <x:f>O43*gw_wage_share</x:f>
        <x:v>0</x:v>
      </x:c>
      <x:c r="Q43" s="53" t="n">
        <x:f>P43*gw_levy</x:f>
        <x:v>0</x:v>
      </x:c>
      <x:c r="R43" s="53" t="n">
        <x:f>P43*gw_remit</x:f>
        <x:v>0</x:v>
      </x:c>
      <x:c r="S43" s="63" t="n">
        <x:f>IF(union_resp&gt;=1,MIN(1,MAX(0,($A43-resp_start)/(resp_full-resp_start))),0)</x:f>
        <x:v>0</x:v>
      </x:c>
      <x:c r="T43" s="67" t="n">
        <x:f>Economy!R42</x:f>
        <x:v>1.5133761179888197</x:v>
      </x:c>
      <x:c r="U43" s="67" t="n">
        <x:f>MAX(0,T43-gap_base)</x:f>
        <x:v>0.013376117988819658</x:v>
      </x:c>
      <x:c r="V43" s="68" t="n">
        <x:v>43</x:v>
      </x:c>
      <x:c r="W43" s="47" t="n">
        <x:f>V43*1000000*lf_rate*union_skill_share</x:f>
        <x:v>2167200</x:v>
      </x:c>
      <x:c r="X43" s="45" t="n">
        <x:v>66000</x:v>
      </x:c>
      <x:c r="Y43" s="47" t="n">
        <x:f>IF(AND(mig_endo=1,$A43&gt;=talent_start),talent_rate_u*W43*U43*(1-(1-bd_keep)*S43),0)</x:f>
        <x:v>289.8872290536996</x:v>
      </x:c>
      <x:c r="Z43" s="47" t="n">
        <x:f>IF(AND(mig_endo=1,$A43&gt;=talent_start),X43*MIN(0.5,talent_share_o*U43)*(1-eu_comp*S43),0)</x:f>
        <x:v>238.3624225607663</x:v>
      </x:c>
      <x:c r="AA43" s="45" t="n">
        <x:v>7000</x:v>
      </x:c>
      <x:c r="AB43" s="47" t="n">
        <x:f>IF(AND(mig_endo=1,$A43&gt;=talent_start),AA43*MIN(0.5,talent_share_a*U43),0)</x:f>
        <x:v>18.72656518434752</x:v>
      </x:c>
      <x:c r="AC43" s="47" t="n">
        <x:f>entry_cap*People!B43</x:f>
        <x:v>10796.43980238095</x:v>
      </x:c>
      <x:c r="AD43" s="47" t="n">
        <x:f>MIN(AC43,Y43+Z43+AB43)</x:f>
        <x:v>546.9762167988135</x:v>
      </x:c>
      <x:c r="AE43" s="47" t="n">
        <x:f>IF(Y43+Z43+AB43&gt;0,AD43*Y43/(Y43+Z43+AB43),0)</x:f>
        <x:v>289.8872290536996</x:v>
      </x:c>
      <x:c r="AF43" s="47" t="n">
        <x:f>IF(Y43+Z43+AB43&gt;0,AD43*AB43/(Y43+Z43+AB43),0)</x:f>
        <x:v>18.72656518434752</x:v>
      </x:c>
      <x:c r="AG43" s="47" t="n">
        <x:f>AD43*family_mult</x:f>
        <x:v>1203.34767695739</x:v>
      </x:c>
      <x:c r="AH43" s="47" t="n">
        <x:f>AH42*(1+Paths!C43)+AG43</x:f>
        <x:v>4843.540479924237</x:v>
      </x:c>
      <x:c r="AI43" s="47" t="n">
        <x:f>IF(AND(mig_endo=1,$A43&gt;=talent_start),chain_rate*AH42,0)</x:f>
        <x:v>53.58478120167096</x:v>
      </x:c>
      <x:c r="AJ43" s="47" t="n">
        <x:f>IF(AND(mig_endo=1,$A43&gt;=talent_start),IF(H42&gt;0,H42*job_fill,H42*job_return)*job_family,0)</x:f>
        <x:v>1978.4059732084563</x:v>
      </x:c>
      <x:c r="AK43" s="47" t="n">
        <x:f>K43*gw_conv_family</x:f>
        <x:v>0</x:v>
      </x:c>
      <x:c r="AL43" s="47" t="n">
        <x:f>AG43+AI43+AJ43+AK43+AR43</x:f>
        <x:v>5492.558341980834</x:v>
      </x:c>
      <x:c r="AM43" s="47" t="n">
        <x:f>AM42*(1-skill_ret)+AD43</x:f>
        <x:v>2010.3481481274916</x:v>
      </x:c>
      <x:c r="AN43" s="64" t="n">
        <x:f>AM43/B43</x:f>
        <x:v>0.00129741642725046</x:v>
      </x:c>
      <x:c r="AO43" s="64" t="n">
        <x:f>(skill_rel-1+skill_spill)*AM42/B42-AT43</x:f>
        <x:v>0.0009830551065445022</x:v>
      </x:c>
      <x:c r="AP43" s="64" t="n">
        <x:f>talent_champ*AM42/(skill_base_share*B42)</x:f>
        <x:v>0.002035743522190271</x:v>
      </x:c>
      <x:c r="AQ43" s="45" t="n">
        <x:v>675000</x:v>
      </x:c>
      <x:c r="AR43" s="47" t="n">
        <x:f>IF(AND(div_on=1,$A43&gt;=div_start),AQ43*MIN(div_max,div_rate*U43)*(1-div_comp*S43),0)</x:f>
        <x:v>2257.219910613317</x:v>
      </x:c>
      <x:c r="AS43" s="47" t="n">
        <x:f>AS42*(1-div_assim)+AR43</x:f>
        <x:v>6795.567992045175</x:v>
      </x:c>
      <x:c r="AT43" s="64" t="n">
        <x:f>(1-div_rel)*AS42/Economy!B42</x:f>
        <x:v>0.000340178182879174</x:v>
      </x:c>
      <x:c r="AU43" s="47" t="n">
        <x:f>AU42*(1-skill_ret)+AE43</x:f>
        <x:v>1078.5998699952904</x:v>
      </x:c>
      <x:c r="AV43" s="47" t="n">
        <x:f>AV42*(1+union_nat)+AR43</x:f>
        <x:v>7642.521713242157</x:v>
      </x:c>
      <x:c r="AW43" s="47" t="n">
        <x:f>AW42*(1+union_nat)+AE43*family_mult</x:f>
        <x:v>2567.7926482002035</x:v>
      </x:c>
      <x:c r="AX43" s="67" t="n">
        <x:f>V43-(AV43+AW43)/1000000</x:f>
        <x:v>42.989789685638556</x:v>
      </x:c>
      <x:c r="AY43" s="47" t="n">
        <x:f>L43*gw_union</x:f>
        <x:v>0</x:v>
      </x:c>
      <x:c r="AZ43" s="46" t="n">
        <x:v>1.105</x:v>
      </x:c>
      <x:c r="BA43" s="47" t="n">
        <x:f>Economy!Q43*AZ43/lf_rate</x:f>
        <x:v>541.9761904761905</x:v>
      </x:c>
      <x:c r="BB43" s="64" t="n">
        <x:f>bd_growth*AU42/W42</x:f>
        <x:v>0.000011464513066771191</x:v>
      </x:c>
      <x:c r="BC43" s="64" t="n">
        <x:f>tg_k*MIN(1,Economy!O42/BK42)</x:f>
        <x:v>0.0003462319351071847</x:v>
      </x:c>
      <x:c r="BD43" s="64" t="n">
        <x:f>emu_g*S43</x:f>
        <x:v>0</x:v>
      </x:c>
      <x:c r="BE43" s="65" t="n">
        <x:f>BE42*(1-BB43-BC43+BD43)</x:f>
        <x:v>0.9919992410587803</x:v>
      </x:c>
      <x:c r="BF43" s="46" t="n">
        <x:v>1</x:v>
      </x:c>
      <x:c r="BG43" s="53" t="n">
        <x:f>AU43*BA43*BE43*(skill_rel-1+skill_spill)/1000000</x:f>
        <x:v>0.7538679217433684</x:v>
      </x:c>
      <x:c r="BH43" s="53" t="n">
        <x:f>union_disp*(Champions!AP43+Champions!AZ43)*(1-IF(union_resp=2,mkt_cut*S43,0))</x:f>
        <x:v>11.09110462007868</x:v>
      </x:c>
      <x:c r="BI43" s="53" t="n">
        <x:f>AY43*BA43*BE43/1000000</x:f>
        <x:v>0</x:v>
      </x:c>
      <x:c r="BJ43" s="47" t="n">
        <x:f>V43*Economy!Q43*AZ43</x:f>
        <x:v>9788.09</x:v>
      </x:c>
      <x:c r="BK43" s="47" t="n">
        <x:f>MAX(0.3*BJ43,AX43*Economy!Q43*AZ43*BE43*BF43-BG43-BH43-BI43)</x:f>
        <x:v>9695.627300169896</x:v>
      </x:c>
      <x:c r="BL43" s="63" t="n">
        <x:f>1-BK43/BJ43</x:f>
        <x:v>0.00944644969857289</x:v>
      </x:c>
      <x:c r="BM43" s="47" t="n">
        <x:f>MAX(0,BH43-BH42)*1000000/BA43</x:f>
        <x:v>1757.423593193616</x:v>
      </x:c>
      <x:c r="BN43" s="47" t="n">
        <x:f>BN42*(1-IF(AND($A43&gt;=1930,$A43&lt;=1932),0,union_reabsorb))+BM43</x:f>
        <x:v>6373.421444822356</x:v>
      </x:c>
      <x:c r="BO43" s="59" t="n">
        <x:v>0.04</x:v>
      </x:c>
      <x:c r="BP43" s="63" t="n">
        <x:f>BO43+BN43/(AX43*1000000*lf_rate)</x:f>
        <x:v>0.04035298644340501</x:v>
      </x:c>
    </x:row>
    <x:row r="44">
      <x:c r="A44" s="58" t="n">
        <x:v>1884</x:v>
      </x:c>
      <x:c r="B44" s="47" t="n">
        <x:f>Economy!B44*lf_rate</x:f>
        <x:v>1626944.537672765</x:v>
      </x:c>
      <x:c r="C44" s="47" t="n">
        <x:f>Economy!O44*1000000/(B44+L44)</x:f>
        <x:v>739.8886344701957</x:v>
      </x:c>
      <x:c r="D44" s="47" t="n">
        <x:f>Champions!AP44*1000000/(C44*champ_prem)</x:f>
        <x:v>25448.43393504148</x:v>
      </x:c>
      <x:c r="E44" s="47" t="n">
        <x:f>D44*job_mult</x:f>
        <x:v>17813.903754529034</x:v>
      </x:c>
      <x:c r="F44" s="47" t="n">
        <x:f>D44+E44</x:f>
        <x:v>43262.337689570515</x:v>
      </x:c>
      <x:c r="G44" s="63" t="n">
        <x:f>F44/B44</x:f>
        <x:v>0.026591157035662928</x:v>
      </x:c>
      <x:c r="H44" s="47" t="n">
        <x:f>F44-F43</x:f>
        <x:v>3541.0386006424815</x:v>
      </x:c>
      <x:c r="I44" s="63" t="n">
        <x:f>MAX(0.005,pac_u_base*IF(Paths!AC44=1,pac_u_war,1)+(okun*(1-Economy!G44)*(B44+L44)-MAX(0,L43-L44))/B44)</x:f>
        <x:v>0.02500000000000001</x:v>
      </x:c>
      <x:c r="J44" s="47" t="n">
        <x:f>IF(AND(gw_on=1,$A44&gt;=gw_start),MIN(gw_cap*B43,gw_cover*F43+gw_gen*B43),0)</x:f>
        <x:v>0</x:v>
      </x:c>
      <x:c r="K44" s="47" t="n">
        <x:f>L43*gw_conv</x:f>
        <x:v>0</x:v>
      </x:c>
      <x:c r="L44" s="47" t="n">
        <x:f>MAX(0,L43-K44+gw_adj*(J44-L43))*MAX(0,1-gw_slump*(1-Economy!G44))</x:f>
        <x:v>0</x:v>
      </x:c>
      <x:c r="M44" s="47" t="n">
        <x:f>MAX(0,L44-L43+L43/gw_term)</x:f>
        <x:v>0</x:v>
      </x:c>
      <x:c r="N44" s="63" t="n">
        <x:f>L44/B44</x:f>
        <x:v>0</x:v>
      </x:c>
      <x:c r="O44" s="53" t="n">
        <x:f>Economy!L44</x:f>
        <x:v>0</x:v>
      </x:c>
      <x:c r="P44" s="53" t="n">
        <x:f>O44*gw_wage_share</x:f>
        <x:v>0</x:v>
      </x:c>
      <x:c r="Q44" s="53" t="n">
        <x:f>P44*gw_levy</x:f>
        <x:v>0</x:v>
      </x:c>
      <x:c r="R44" s="53" t="n">
        <x:f>P44*gw_remit</x:f>
        <x:v>0</x:v>
      </x:c>
      <x:c r="S44" s="63" t="n">
        <x:f>IF(union_resp&gt;=1,MIN(1,MAX(0,($A44-resp_start)/(resp_full-resp_start))),0)</x:f>
        <x:v>0</x:v>
      </x:c>
      <x:c r="T44" s="67" t="n">
        <x:f>Economy!R43</x:f>
        <x:v>1.5296153702303552</x:v>
      </x:c>
      <x:c r="U44" s="67" t="n">
        <x:f>MAX(0,T44-gap_base)</x:f>
        <x:v>0.02961537023035521</x:v>
      </x:c>
      <x:c r="V44" s="68" t="n">
        <x:v>44</x:v>
      </x:c>
      <x:c r="W44" s="47" t="n">
        <x:f>V44*1000000*lf_rate*union_skill_share</x:f>
        <x:v>2217600</x:v>
      </x:c>
      <x:c r="X44" s="45" t="n">
        <x:v>68000</x:v>
      </x:c>
      <x:c r="Y44" s="47" t="n">
        <x:f>IF(AND(mig_endo=1,$A44&gt;=talent_start),talent_rate_u*W44*U44*(1-(1-bd_keep)*S44),0)</x:f>
        <x:v>656.7504502283571</x:v>
      </x:c>
      <x:c r="Z44" s="47" t="n">
        <x:f>IF(AND(mig_endo=1,$A44&gt;=talent_start),X44*MIN(0.5,talent_share_o*U44)*(1-eu_comp*S44),0)</x:f>
        <x:v>543.7381974293216</x:v>
      </x:c>
      <x:c r="AA44" s="45" t="n">
        <x:v>8000</x:v>
      </x:c>
      <x:c r="AB44" s="47" t="n">
        <x:f>IF(AND(mig_endo=1,$A44&gt;=talent_start),AA44*MIN(0.5,talent_share_a*U44),0)</x:f>
        <x:v>47.38459236856834</x:v>
      </x:c>
      <x:c r="AC44" s="47" t="n">
        <x:f>entry_cap*People!B44</x:f>
        <x:v>11339.28983365213</x:v>
      </x:c>
      <x:c r="AD44" s="47" t="n">
        <x:f>MIN(AC44,Y44+Z44+AB44)</x:f>
        <x:v>1247.873240026247</x:v>
      </x:c>
      <x:c r="AE44" s="47" t="n">
        <x:f>IF(Y44+Z44+AB44&gt;0,AD44*Y44/(Y44+Z44+AB44),0)</x:f>
        <x:v>656.7504502283571</x:v>
      </x:c>
      <x:c r="AF44" s="47" t="n">
        <x:f>IF(Y44+Z44+AB44&gt;0,AD44*AB44/(Y44+Z44+AB44),0)</x:f>
        <x:v>47.38459236856834</x:v>
      </x:c>
      <x:c r="AG44" s="47" t="n">
        <x:f>AD44*family_mult</x:f>
        <x:v>2745.3211280577434</x:v>
      </x:c>
      <x:c r="AH44" s="47" t="n">
        <x:f>AH43*(1+Paths!C44)+AG44</x:f>
        <x:v>7680.88887710054</x:v>
      </x:c>
      <x:c r="AI44" s="47" t="n">
        <x:f>IF(AND(mig_endo=1,$A44&gt;=talent_start),chain_rate*AH43,0)</x:f>
        <x:v>72.65310719886355</x:v>
      </x:c>
      <x:c r="AJ44" s="47" t="n">
        <x:f>IF(AND(mig_endo=1,$A44&gt;=talent_start),IF(H43&gt;0,H43*job_fill,H43*job_return)*job_family,0)</x:f>
        <x:v>1968.7571834926466</x:v>
      </x:c>
      <x:c r="AK44" s="47" t="n">
        <x:f>K44*gw_conv_family</x:f>
        <x:v>0</x:v>
      </x:c>
      <x:c r="AL44" s="47" t="n">
        <x:f>AG44+AI44+AJ44+AK44+AR44</x:f>
        <x:v>8932.883250998984</x:v>
      </x:c>
      <x:c r="AM44" s="47" t="n">
        <x:f>AM43*(1-skill_ret)+AD44</x:f>
        <x:v>3207.962684450551</x:v>
      </x:c>
      <x:c r="AN44" s="64" t="n">
        <x:f>AM44/B44</x:f>
        <x:v>0.0019717713850524532</x:v>
      </x:c>
      <x:c r="AO44" s="64" t="n">
        <x:f>(skill_rel-1+skill_spill)*AM43/B43-AT44</x:f>
        <x:v>0.0012261481999854098</x:v>
      </x:c>
      <x:c r="AP44" s="64" t="n">
        <x:f>talent_champ*AM43/(skill_base_share*B43)</x:f>
        <x:v>0.00259483285450092</x:v>
      </x:c>
      <x:c r="AQ44" s="45" t="n">
        <x:v>560000</x:v>
      </x:c>
      <x:c r="AR44" s="47" t="n">
        <x:f>IF(AND(div_on=1,$A44&gt;=div_start),AQ44*MIN(div_max,div_rate*U44)*(1-div_comp*S44),0)</x:f>
        <x:v>4146.1518322497295</x:v>
      </x:c>
      <x:c r="AS44" s="47" t="n">
        <x:f>AS43*(1-div_assim)+AR44</x:f>
        <x:v>10601.941424692646</x:v>
      </x:c>
      <x:c r="AT44" s="64" t="n">
        <x:f>(1-div_rel)*AS43/Economy!B43</x:f>
        <x:v>0.0004604931554401882</x:v>
      </x:c>
      <x:c r="AU44" s="47" t="n">
        <x:f>AU43*(1-skill_ret)+AE44</x:f>
        <x:v>1708.3853234737653</x:v>
      </x:c>
      <x:c r="AV44" s="47" t="n">
        <x:f>AV43*(1+union_nat)+AR44</x:f>
        <x:v>11888.026327764033</x:v>
      </x:c>
      <x:c r="AW44" s="47" t="n">
        <x:f>AW43*(1+union_nat)+AE44*family_mult</x:f>
        <x:v>4046.024943129192</x:v>
      </x:c>
      <x:c r="AX44" s="67" t="n">
        <x:f>V44-(AV44+AW44)/1000000</x:f>
        <x:v>43.9840659487291</x:v>
      </x:c>
      <x:c r="AY44" s="47" t="n">
        <x:f>L44*gw_union</x:f>
        <x:v>0</x:v>
      </x:c>
      <x:c r="AZ44" s="46" t="n">
        <x:v>1.104</x:v>
      </x:c>
      <x:c r="BA44" s="47" t="n">
        <x:f>Economy!Q44*AZ44/lf_rate</x:f>
        <x:v>541.4857142857143</x:v>
      </x:c>
      <x:c r="BB44" s="64" t="n">
        <x:f>bd_growth*AU43/W43</x:f>
        <x:v>0.000014930784468373344</x:v>
      </x:c>
      <x:c r="BC44" s="64" t="n">
        <x:f>tg_k*MIN(1,Economy!O43/BK43)</x:f>
        <x:v>0.0003596974777527275</x:v>
      </x:c>
      <x:c r="BD44" s="64" t="n">
        <x:f>emu_g*S44</x:f>
        <x:v>0</x:v>
      </x:c>
      <x:c r="BE44" s="65" t="n">
        <x:f>BE43*(1-BB44-BC44+BD44)</x:f>
        <x:v>0.9916276101069779</x:v>
      </x:c>
      <x:c r="BF44" s="46" t="n">
        <x:v>1</x:v>
      </x:c>
      <x:c r="BG44" s="53" t="n">
        <x:f>AU44*BA44*BE44*(skill_rel-1+skill_spill)/1000000</x:f>
        <x:v>1.1925176014158607</x:v>
      </x:c>
      <x:c r="BH44" s="53" t="n">
        <x:f>union_disp*(Champions!AP44+Champions!AZ44)*(1-IF(union_resp=2,mkt_cut*S44,0))</x:f>
        <x:v>12.1222993195637</x:v>
      </x:c>
      <x:c r="BI44" s="53" t="n">
        <x:f>AY44*BA44*BE44/1000000</x:f>
        <x:v>0</x:v>
      </x:c>
      <x:c r="BJ44" s="47" t="n">
        <x:f>V44*Economy!Q44*AZ44</x:f>
        <x:v>10006.656</x:v>
      </x:c>
      <x:c r="BK44" s="47" t="n">
        <x:f>MAX(0.3*BJ44,AX44*Economy!Q44*AZ44*BE44*BF44-BG44-BH44-BI44)</x:f>
        <x:v>9905.968111592008</x:v>
      </x:c>
      <x:c r="BL44" s="63" t="n">
        <x:f>1-BK44/BJ44</x:f>
        <x:v>0.010062091512688442</x:v>
      </x:c>
      <x:c r="BM44" s="47" t="n">
        <x:f>MAX(0,BH44-BH43)*1000000/BA44</x:f>
        <x:v>1904.3802491544802</x:v>
      </x:c>
      <x:c r="BN44" s="47" t="n">
        <x:f>BN43*(1-IF(AND($A44&gt;=1930,$A44&lt;=1932),0,union_reabsorb))+BM44</x:f>
        <x:v>6684.4463327712465</x:v>
      </x:c>
      <x:c r="BO44" s="59" t="n">
        <x:v>0.04</x:v>
      </x:c>
      <x:c r="BP44" s="63" t="n">
        <x:f>BO44+BN44/(AX44*1000000*lf_rate)</x:f>
        <x:v>0.04036184350100584</x:v>
      </x:c>
    </x:row>
    <x:row r="45">
      <x:c r="A45" s="58" t="n">
        <x:v>1885</x:v>
      </x:c>
      <x:c r="B45" s="47" t="n">
        <x:f>Economy!B45*lf_rate</x:f>
        <x:v>1705945.2808067051</x:v>
      </x:c>
      <x:c r="C45" s="47" t="n">
        <x:f>Economy!O45*1000000/(B45+L45)</x:f>
        <x:v>745.4618658700183</x:v>
      </x:c>
      <x:c r="D45" s="47" t="n">
        <x:f>Champions!AP45*1000000/(C45*champ_prem)</x:f>
        <x:v>29616.94266743058</x:v>
      </x:c>
      <x:c r="E45" s="47" t="n">
        <x:f>D45*job_mult</x:f>
        <x:v>20731.859867201405</x:v>
      </x:c>
      <x:c r="F45" s="47" t="n">
        <x:f>D45+E45</x:f>
        <x:v>50348.802534631985</x:v>
      </x:c>
      <x:c r="G45" s="63" t="n">
        <x:f>F45/B45</x:f>
        <x:v>0.02951372655447841</x:v>
      </x:c>
      <x:c r="H45" s="47" t="n">
        <x:f>F45-F44</x:f>
        <x:v>7086.4648450614695</x:v>
      </x:c>
      <x:c r="I45" s="63" t="n">
        <x:f>MAX(0.005,pac_u_base*IF(Paths!AC45=1,pac_u_war,1)+(okun*(1-Economy!G45)*(B45+L45)-MAX(0,L44-L45))/B45)</x:f>
        <x:v>0.02500000000000001</x:v>
      </x:c>
      <x:c r="J45" s="47" t="n">
        <x:f>IF(AND(gw_on=1,$A45&gt;=gw_start),MIN(gw_cap*B44,gw_cover*F44+gw_gen*B44),0)</x:f>
        <x:v>0</x:v>
      </x:c>
      <x:c r="K45" s="47" t="n">
        <x:f>L44*gw_conv</x:f>
        <x:v>0</x:v>
      </x:c>
      <x:c r="L45" s="47" t="n">
        <x:f>MAX(0,L44-K45+gw_adj*(J45-L44))*MAX(0,1-gw_slump*(1-Economy!G45))</x:f>
        <x:v>0</x:v>
      </x:c>
      <x:c r="M45" s="47" t="n">
        <x:f>MAX(0,L45-L44+L44/gw_term)</x:f>
        <x:v>0</x:v>
      </x:c>
      <x:c r="N45" s="63" t="n">
        <x:f>L45/B45</x:f>
        <x:v>0</x:v>
      </x:c>
      <x:c r="O45" s="53" t="n">
        <x:f>Economy!L45</x:f>
        <x:v>0</x:v>
      </x:c>
      <x:c r="P45" s="53" t="n">
        <x:f>O45*gw_wage_share</x:f>
        <x:v>0</x:v>
      </x:c>
      <x:c r="Q45" s="53" t="n">
        <x:f>P45*gw_levy</x:f>
        <x:v>0</x:v>
      </x:c>
      <x:c r="R45" s="53" t="n">
        <x:f>P45*gw_remit</x:f>
        <x:v>0</x:v>
      </x:c>
      <x:c r="S45" s="63" t="n">
        <x:f>IF(union_resp&gt;=1,MIN(1,MAX(0,($A45-resp_start)/(resp_full-resp_start))),0)</x:f>
        <x:v>0</x:v>
      </x:c>
      <x:c r="T45" s="67" t="n">
        <x:f>Economy!R44</x:f>
        <x:v>1.5085108081431176</x:v>
      </x:c>
      <x:c r="U45" s="67" t="n">
        <x:f>MAX(0,T45-gap_base)</x:f>
        <x:v>0.008510808143117554</x:v>
      </x:c>
      <x:c r="V45" s="68" t="n">
        <x:v>45</x:v>
      </x:c>
      <x:c r="W45" s="47" t="n">
        <x:f>V45*1000000*lf_rate*union_skill_share</x:f>
        <x:v>2268000</x:v>
      </x:c>
      <x:c r="X45" s="45" t="n">
        <x:v>70000</x:v>
      </x:c>
      <x:c r="Y45" s="47" t="n">
        <x:f>IF(AND(mig_endo=1,$A45&gt;=talent_start),talent_rate_u*W45*U45*(1-(1-bd_keep)*S45),0)</x:f>
        <x:v>193.02512868590614</x:v>
      </x:c>
      <x:c r="Z45" s="47" t="n">
        <x:f>IF(AND(mig_endo=1,$A45&gt;=talent_start),X45*MIN(0.5,talent_share_o*U45)*(1-eu_comp*S45),0)</x:f>
        <x:v>160.85427390492177</x:v>
      </x:c>
      <x:c r="AA45" s="45" t="n">
        <x:v>8000</x:v>
      </x:c>
      <x:c r="AB45" s="47" t="n">
        <x:f>IF(AND(mig_endo=1,$A45&gt;=talent_start),AA45*MIN(0.5,talent_share_a*U45),0)</x:f>
        <x:v>13.617293028988087</x:v>
      </x:c>
      <x:c r="AC45" s="47" t="n">
        <x:f>entry_cap*People!B45</x:f>
        <x:v>11902.774990244516</x:v>
      </x:c>
      <x:c r="AD45" s="47" t="n">
        <x:f>MIN(AC45,Y45+Z45+AB45)</x:f>
        <x:v>367.496695619816</x:v>
      </x:c>
      <x:c r="AE45" s="47" t="n">
        <x:f>IF(Y45+Z45+AB45&gt;0,AD45*Y45/(Y45+Z45+AB45),0)</x:f>
        <x:v>193.02512868590614</x:v>
      </x:c>
      <x:c r="AF45" s="47" t="n">
        <x:f>IF(Y45+Z45+AB45&gt;0,AD45*AB45/(Y45+Z45+AB45),0)</x:f>
        <x:v>13.617293028988087</x:v>
      </x:c>
      <x:c r="AG45" s="47" t="n">
        <x:f>AD45*family_mult</x:f>
        <x:v>808.4927303635953</x:v>
      </x:c>
      <x:c r="AH45" s="47" t="n">
        <x:f>AH44*(1+Paths!C45)+AG45</x:f>
        <x:v>8635.318496129046</x:v>
      </x:c>
      <x:c r="AI45" s="47" t="n">
        <x:f>IF(AND(mig_endo=1,$A45&gt;=talent_start),chain_rate*AH44,0)</x:f>
        <x:v>115.2133331565081</x:v>
      </x:c>
      <x:c r="AJ45" s="47" t="n">
        <x:f>IF(AND(mig_endo=1,$A45&gt;=talent_start),IF(H44&gt;0,H44*job_fill,H44*job_return)*job_family,0)</x:f>
        <x:v>2230.854318404763</x:v>
      </x:c>
      <x:c r="AK45" s="47" t="n">
        <x:f>K45*gw_conv_family</x:f>
        <x:v>0</x:v>
      </x:c>
      <x:c r="AL45" s="47" t="n">
        <x:f>AG45+AI45+AJ45+AK45+AR45</x:f>
        <x:v>4101.387787846694</x:v>
      </x:c>
      <x:c r="AM45" s="47" t="n">
        <x:f>AM44*(1-skill_ret)+AD45</x:f>
        <x:v>3495.260312959103</x:v>
      </x:c>
      <x:c r="AN45" s="64" t="n">
        <x:f>AM45/B45</x:f>
        <x:v>0.0020488701204450527</x:v>
      </x:c>
      <x:c r="AO45" s="64" t="n">
        <x:f>(skill_rel-1+skill_spill)*AM44/B44-AT45</x:f>
        <x:v>0.001879073053446575</x:v>
      </x:c>
      <x:c r="AP45" s="64" t="n">
        <x:f>talent_champ*AM44/(skill_base_share*B44)</x:f>
        <x:v>0.003943542770104906</x:v>
      </x:c>
      <x:c r="AQ45" s="45" t="n">
        <x:v>445000</x:v>
      </x:c>
      <x:c r="AR45" s="47" t="n">
        <x:f>IF(AND(div_on=1,$A45&gt;=div_start),AQ45*MIN(div_max,div_rate*U45)*(1-div_comp*S45),0)</x:f>
        <x:v>946.8274059218279</x:v>
      </x:c>
      <x:c r="AS45" s="47" t="n">
        <x:f>AS44*(1-div_assim)+AR45</x:f>
        <x:v>11018.67175937984</x:v>
      </x:c>
      <x:c r="AT45" s="64" t="n">
        <x:f>(1-div_rel)*AS44/Economy!B44</x:f>
        <x:v>0.0006842297471216143</x:v>
      </x:c>
      <x:c r="AU45" s="47" t="n">
        <x:f>AU44*(1-skill_ret)+AE45</x:f>
        <x:v>1858.7008190728272</x:v>
      </x:c>
      <x:c r="AV45" s="47" t="n">
        <x:f>AV44*(1+union_nat)+AR45</x:f>
        <x:v>12989.398075946792</x:v>
      </x:c>
      <x:c r="AW45" s="47" t="n">
        <x:f>AW44*(1+union_nat)+AE45*family_mult</x:f>
        <x:v>4523.278550498865</x:v>
      </x:c>
      <x:c r="AX45" s="67" t="n">
        <x:f>V45-(AV45+AW45)/1000000</x:f>
        <x:v>44.982487323373554</x:v>
      </x:c>
      <x:c r="AY45" s="47" t="n">
        <x:f>L45*gw_union</x:f>
        <x:v>0</x:v>
      </x:c>
      <x:c r="AZ45" s="46" t="n">
        <x:v>1.103</x:v>
      </x:c>
      <x:c r="BA45" s="47" t="n">
        <x:f>Economy!Q45*AZ45/lf_rate</x:f>
        <x:v>538.3690476190477</x:v>
      </x:c>
      <x:c r="BB45" s="64" t="n">
        <x:f>bd_growth*AU44/W44</x:f>
        <x:v>0.000023111273315391847</x:v>
      </x:c>
      <x:c r="BC45" s="64" t="n">
        <x:f>tg_k*MIN(1,Economy!O44/BK44)</x:f>
        <x:v>0.00036455531416322746</x:v>
      </x:c>
      <x:c r="BD45" s="64" t="n">
        <x:f>emu_g*S45</x:f>
        <x:v>0</x:v>
      </x:c>
      <x:c r="BE45" s="65" t="n">
        <x:f>BE44*(1-BB45-BC45+BD45)</x:f>
        <x:v>0.9912431892153181</x:v>
      </x:c>
      <x:c r="BF45" s="46" t="n">
        <x:v>1</x:v>
      </x:c>
      <x:c r="BG45" s="53" t="n">
        <x:f>AU45*BA45*BE45*(skill_rel-1+skill_spill)/1000000</x:f>
        <x:v>1.2894756397705813</x:v>
      </x:c>
      <x:c r="BH45" s="53" t="n">
        <x:f>union_disp*(Champions!AP45+Champions!AZ45)*(1-IF(union_resp=2,mkt_cut*S45,0))</x:f>
        <x:v>14.026453917800842</x:v>
      </x:c>
      <x:c r="BI45" s="53" t="n">
        <x:f>AY45*BA45*BE45/1000000</x:f>
        <x:v>0</x:v>
      </x:c>
      <x:c r="BJ45" s="47" t="n">
        <x:f>V45*Economy!Q45*AZ45</x:f>
        <x:v>10175.175</x:v>
      </x:c>
      <x:c r="BK45" s="47" t="n">
        <x:f>MAX(0.3*BJ45,AX45*Economy!Q45*AZ45*BE45*BF45-BG45-BH45-BI45)</x:f>
        <x:v>10066.831785301058</x:v>
      </x:c>
      <x:c r="BL45" s="63" t="n">
        <x:f>1-BK45/BJ45</x:f>
        <x:v>0.010647798656921559</x:v>
      </x:c>
      <x:c r="BM45" s="47" t="n">
        <x:f>MAX(0,BH45-BH44)*1000000/BA45</x:f>
        <x:v>3536.89463883245</x:v>
      </x:c>
      <x:c r="BN45" s="47" t="n">
        <x:f>BN44*(1-IF(AND($A45&gt;=1930,$A45&lt;=1932),0,union_reabsorb))+BM45</x:f>
        <x:v>8550.229388410884</x:v>
      </x:c>
      <x:c r="BO45" s="59" t="n">
        <x:v>0.04</x:v>
      </x:c>
      <x:c r="BP45" s="63" t="n">
        <x:f>BO45+BN45/(AX45*1000000*lf_rate)</x:f>
        <x:v>0.04045256921596347</x:v>
      </x:c>
    </x:row>
    <x:row r="46">
      <x:c r="A46" s="58" t="n">
        <x:v>1886</x:v>
      </x:c>
      <x:c r="B46" s="47" t="n">
        <x:f>Economy!B46*lf_rate</x:f>
        <x:v>1787702.683184505</x:v>
      </x:c>
      <x:c r="C46" s="47" t="n">
        <x:f>Economy!O46*1000000/(B46+L46)</x:f>
        <x:v>775.5992871886372</x:v>
      </x:c>
      <x:c r="D46" s="47" t="n">
        <x:f>Champions!AP46*1000000/(C46*champ_prem)</x:f>
        <x:v>31725.49803964252</x:v>
      </x:c>
      <x:c r="E46" s="47" t="n">
        <x:f>D46*job_mult</x:f>
        <x:v>22207.84862774976</x:v>
      </x:c>
      <x:c r="F46" s="47" t="n">
        <x:f>D46+E46</x:f>
        <x:v>53933.34666739228</x:v>
      </x:c>
      <x:c r="G46" s="63" t="n">
        <x:f>F46/B46</x:f>
        <x:v>0.03016908078434983</x:v>
      </x:c>
      <x:c r="H46" s="47" t="n">
        <x:f>F46-F45</x:f>
        <x:v>3584.5441327602966</x:v>
      </x:c>
      <x:c r="I46" s="63" t="n">
        <x:f>MAX(0.005,pac_u_base*IF(Paths!AC46=1,pac_u_war,1)+(okun*(1-Economy!G46)*(B46+L46)-MAX(0,L45-L46))/B46)</x:f>
        <x:v>0.015</x:v>
      </x:c>
      <x:c r="J46" s="47" t="n">
        <x:f>IF(AND(gw_on=1,$A46&gt;=gw_start),MIN(gw_cap*B45,gw_cover*F45+gw_gen*B45),0)</x:f>
        <x:v>0</x:v>
      </x:c>
      <x:c r="K46" s="47" t="n">
        <x:f>L45*gw_conv</x:f>
        <x:v>0</x:v>
      </x:c>
      <x:c r="L46" s="47" t="n">
        <x:f>MAX(0,L45-K46+gw_adj*(J46-L45))*MAX(0,1-gw_slump*(1-Economy!G46))</x:f>
        <x:v>0</x:v>
      </x:c>
      <x:c r="M46" s="47" t="n">
        <x:f>MAX(0,L46-L45+L45/gw_term)</x:f>
        <x:v>0</x:v>
      </x:c>
      <x:c r="N46" s="63" t="n">
        <x:f>L46/B46</x:f>
        <x:v>0</x:v>
      </x:c>
      <x:c r="O46" s="53" t="n">
        <x:f>Economy!L46</x:f>
        <x:v>0</x:v>
      </x:c>
      <x:c r="P46" s="53" t="n">
        <x:f>O46*gw_wage_share</x:f>
        <x:v>0</x:v>
      </x:c>
      <x:c r="Q46" s="53" t="n">
        <x:f>P46*gw_levy</x:f>
        <x:v>0</x:v>
      </x:c>
      <x:c r="R46" s="53" t="n">
        <x:f>P46*gw_remit</x:f>
        <x:v>0</x:v>
      </x:c>
      <x:c r="S46" s="63" t="n">
        <x:f>IF(union_resp&gt;=1,MIN(1,MAX(0,($A46-resp_start)/(resp_full-resp_start))),0)</x:f>
        <x:v>0</x:v>
      </x:c>
      <x:c r="T46" s="67" t="n">
        <x:f>Economy!R45</x:f>
        <x:v>1.5272877251971106</x:v>
      </x:c>
      <x:c r="U46" s="67" t="n">
        <x:f>MAX(0,T46-gap_base)</x:f>
        <x:v>0.027287725197110646</x:v>
      </x:c>
      <x:c r="V46" s="68" t="n">
        <x:v>46</x:v>
      </x:c>
      <x:c r="W46" s="47" t="n">
        <x:f>V46*1000000*lf_rate*union_skill_share</x:f>
        <x:v>2318400</x:v>
      </x:c>
      <x:c r="X46" s="45" t="n">
        <x:v>72000</x:v>
      </x:c>
      <x:c r="Y46" s="47" t="n">
        <x:f>IF(AND(mig_endo=1,$A46&gt;=talent_start),talent_rate_u*W46*U46*(1-(1-bd_keep)*S46),0)</x:f>
        <x:v>632.6386209698132</x:v>
      </x:c>
      <x:c r="Z46" s="47" t="n">
        <x:f>IF(AND(mig_endo=1,$A46&gt;=talent_start),X46*MIN(0.5,talent_share_o*U46)*(1-eu_comp*S46),0)</x:f>
        <x:v>530.473377831831</x:v>
      </x:c>
      <x:c r="AA46" s="45" t="n">
        <x:v>9000</x:v>
      </x:c>
      <x:c r="AB46" s="47" t="n">
        <x:f>IF(AND(mig_endo=1,$A46&gt;=talent_start),AA46*MIN(0.5,talent_share_a*U46),0)</x:f>
        <x:v>49.11790535479917</x:v>
      </x:c>
      <x:c r="AC46" s="47" t="n">
        <x:f>entry_cap*People!B46</x:f>
        <x:v>12467.871878422702</x:v>
      </x:c>
      <x:c r="AD46" s="47" t="n">
        <x:f>MIN(AC46,Y46+Z46+AB46)</x:f>
        <x:v>1212.2299041564436</x:v>
      </x:c>
      <x:c r="AE46" s="47" t="n">
        <x:f>IF(Y46+Z46+AB46&gt;0,AD46*Y46/(Y46+Z46+AB46),0)</x:f>
        <x:v>632.6386209698132</x:v>
      </x:c>
      <x:c r="AF46" s="47" t="n">
        <x:f>IF(Y46+Z46+AB46&gt;0,AD46*AB46/(Y46+Z46+AB46),0)</x:f>
        <x:v>49.11790535479917</x:v>
      </x:c>
      <x:c r="AG46" s="47" t="n">
        <x:f>AD46*family_mult</x:f>
        <x:v>2666.905789144176</x:v>
      </x:c>
      <x:c r="AH46" s="47" t="n">
        <x:f>AH45*(1+Paths!C46)+AG46</x:f>
        <x:v>11466.295336699673</x:v>
      </x:c>
      <x:c r="AI46" s="47" t="n">
        <x:f>IF(AND(mig_endo=1,$A46&gt;=talent_start),chain_rate*AH45,0)</x:f>
        <x:v>129.5297774419357</x:v>
      </x:c>
      <x:c r="AJ46" s="47" t="n">
        <x:f>IF(AND(mig_endo=1,$A46&gt;=talent_start),IF(H45&gt;0,H45*job_fill,H45*job_return)*job_family,0)</x:f>
        <x:v>4464.472852388726</x:v>
      </x:c>
      <x:c r="AK46" s="47" t="n">
        <x:f>K46*gw_conv_family</x:f>
        <x:v>0</x:v>
      </x:c>
      <x:c r="AL46" s="47" t="n">
        <x:f>AG46+AI46+AJ46+AK46+AR46</x:f>
        <x:v>9512.145747736466</x:v>
      </x:c>
      <x:c r="AM46" s="47" t="n">
        <x:f>AM45*(1-skill_ret)+AD46</x:f>
        <x:v>4620.108709291569</x:v>
      </x:c>
      <x:c r="AN46" s="64" t="n">
        <x:f>AM46/B46</x:f>
        <x:v>0.0025843831598784577</x:v>
      </x:c>
      <x:c r="AO46" s="64" t="n">
        <x:f>(skill_rel-1+skill_spill)*AM45/B45-AT46</x:f>
        <x:v>0.001985337929778362</x:v>
      </x:c>
      <x:c r="AP46" s="64" t="n">
        <x:f>talent_champ*AM45/(skill_base_share*B45)</x:f>
        <x:v>0.004097740240890105</x:v>
      </x:c>
      <x:c r="AQ46" s="45" t="n">
        <x:v>330000</x:v>
      </x:c>
      <x:c r="AR46" s="47" t="n">
        <x:f>IF(AND(div_on=1,$A46&gt;=div_start),AQ46*MIN(div_max,div_rate*U46)*(1-div_comp*S46),0)</x:f>
        <x:v>2251.2373287616283</x:v>
      </x:c>
      <x:c r="AS46" s="47" t="n">
        <x:f>AS45*(1-div_assim)+AR46</x:f>
        <x:v>12718.975500172475</x:v>
      </x:c>
      <x:c r="AT46" s="64" t="n">
        <x:f>(1-div_rel)*AS45/Economy!B45</x:f>
        <x:v>0.0006781932268002062</x:v>
      </x:c>
      <x:c r="AU46" s="47" t="n">
        <x:f>AU45*(1-skill_ret)+AE46</x:f>
        <x:v>2444.8719195658196</x:v>
      </x:c>
      <x:c r="AV46" s="47" t="n">
        <x:f>AV45*(1+union_nat)+AR46</x:f>
        <x:v>15409.497579695728</x:v>
      </x:c>
      <x:c r="AW46" s="47" t="n">
        <x:f>AW45*(1+union_nat)+AE46*family_mult</x:f>
        <x:v>5973.886137788939</x:v>
      </x:c>
      <x:c r="AX46" s="67" t="n">
        <x:f>V46-(AV46+AW46)/1000000</x:f>
        <x:v>45.978616616282515</x:v>
      </x:c>
      <x:c r="AY46" s="47" t="n">
        <x:f>L46*gw_union</x:f>
        <x:v>0</x:v>
      </x:c>
      <x:c r="AZ46" s="46" t="n">
        <x:v>1.103</x:v>
      </x:c>
      <x:c r="BA46" s="47" t="n">
        <x:f>Economy!Q46*AZ46/lf_rate</x:f>
        <x:v>540.995238095238</x:v>
      </x:c>
      <x:c r="BB46" s="64" t="n">
        <x:f>bd_growth*AU45/W45</x:f>
        <x:v>0.000024585989670275492</x:v>
      </x:c>
      <x:c r="BC46" s="64" t="n">
        <x:f>tg_k*MIN(1,Economy!O45/BK45)</x:f>
        <x:v>0.0003789823389994055</x:v>
      </x:c>
      <x:c r="BD46" s="64" t="n">
        <x:f>emu_g*S46</x:f>
        <x:v>0</x:v>
      </x:c>
      <x:c r="BE46" s="65" t="n">
        <x:f>BE45*(1-BB46-BC46+BD46)</x:f>
        <x:v>0.9908431548581413</x:v>
      </x:c>
      <x:c r="BF46" s="46" t="n">
        <x:v>1</x:v>
      </x:c>
      <x:c r="BG46" s="53" t="n">
        <x:f>AU46*BA46*BE46*(skill_rel-1+skill_spill)/1000000</x:f>
        <x:v>1.7037184270712202</x:v>
      </x:c>
      <x:c r="BH46" s="53" t="n">
        <x:f>union_disp*(Champions!AP46+Champions!AZ46)*(1-IF(union_resp=2,mkt_cut*S46,0))</x:f>
        <x:v>15.702586749900226</x:v>
      </x:c>
      <x:c r="BI46" s="53" t="n">
        <x:f>AY46*BA46*BE46/1000000</x:f>
        <x:v>0</x:v>
      </x:c>
      <x:c r="BJ46" s="47" t="n">
        <x:f>V46*Economy!Q46*AZ46</x:f>
        <x:v>10452.028</x:v>
      </x:c>
      <x:c r="BK46" s="47" t="n">
        <x:f>MAX(0.3*BJ46,AX46*Economy!Q46*AZ46*BE46*BF46-BG46-BH46-BI46)</x:f>
        <x:v>10334.099893596145</x:v>
      </x:c>
      <x:c r="BL46" s="63" t="n">
        <x:f>1-BK46/BJ46</x:f>
        <x:v>0.011282796640408432</x:v>
      </x:c>
      <x:c r="BM46" s="47" t="n">
        <x:f>MAX(0,BH46-BH45)*1000000/BA46</x:f>
        <x:v>3098.239529798437</x:v>
      </x:c>
      <x:c r="BN46" s="47" t="n">
        <x:f>BN45*(1-IF(AND($A46&gt;=1930,$A46&lt;=1932),0,union_reabsorb))+BM46</x:f>
        <x:v>9510.9115711066</x:v>
      </x:c>
      <x:c r="BO46" s="59" t="n">
        <x:v>0.04</x:v>
      </x:c>
      <x:c r="BP46" s="63" t="n">
        <x:f>BO46+BN46/(AX46*1000000*lf_rate)</x:f>
        <x:v>0.040492512154927135</x:v>
      </x:c>
    </x:row>
    <x:row r="47">
      <x:c r="A47" s="58" t="n">
        <x:v>1887</x:v>
      </x:c>
      <x:c r="B47" s="47" t="n">
        <x:f>Economy!B47*lf_rate</x:f>
        <x:v>1875012.7231746835</x:v>
      </x:c>
      <x:c r="C47" s="47" t="n">
        <x:f>Economy!O47*1000000/(B47+L47)</x:f>
        <x:v>791.7265020476399</x:v>
      </x:c>
      <x:c r="D47" s="47" t="n">
        <x:f>Champions!AP47*1000000/(C47*champ_prem)</x:f>
        <x:v>33925.78462865795</x:v>
      </x:c>
      <x:c r="E47" s="47" t="n">
        <x:f>D47*job_mult</x:f>
        <x:v>23748.049240060565</x:v>
      </x:c>
      <x:c r="F47" s="47" t="n">
        <x:f>D47+E47</x:f>
        <x:v>57673.83386871852</x:v>
      </x:c>
      <x:c r="G47" s="63" t="n">
        <x:f>F47/B47</x:f>
        <x:v>0.030759169341031397</x:v>
      </x:c>
      <x:c r="H47" s="47" t="n">
        <x:f>F47-F46</x:f>
        <x:v>3740.4872013262357</x:v>
      </x:c>
      <x:c r="I47" s="63" t="n">
        <x:f>MAX(0.005,pac_u_base*IF(Paths!AC47=1,pac_u_war,1)+(okun*(1-Economy!G47)*(B47+L47)-MAX(0,L46-L47))/B47)</x:f>
        <x:v>0.015</x:v>
      </x:c>
      <x:c r="J47" s="47" t="n">
        <x:f>IF(AND(gw_on=1,$A47&gt;=gw_start),MIN(gw_cap*B46,gw_cover*F46+gw_gen*B46),0)</x:f>
        <x:v>0</x:v>
      </x:c>
      <x:c r="K47" s="47" t="n">
        <x:f>L46*gw_conv</x:f>
        <x:v>0</x:v>
      </x:c>
      <x:c r="L47" s="47" t="n">
        <x:f>MAX(0,L46-K47+gw_adj*(J47-L46))*MAX(0,1-gw_slump*(1-Economy!G47))</x:f>
        <x:v>0</x:v>
      </x:c>
      <x:c r="M47" s="47" t="n">
        <x:f>MAX(0,L47-L46+L46/gw_term)</x:f>
        <x:v>0</x:v>
      </x:c>
      <x:c r="N47" s="63" t="n">
        <x:f>L47/B47</x:f>
        <x:v>0</x:v>
      </x:c>
      <x:c r="O47" s="53" t="n">
        <x:f>Economy!L47</x:f>
        <x:v>0</x:v>
      </x:c>
      <x:c r="P47" s="53" t="n">
        <x:f>O47*gw_wage_share</x:f>
        <x:v>0</x:v>
      </x:c>
      <x:c r="Q47" s="53" t="n">
        <x:f>P47*gw_levy</x:f>
        <x:v>0</x:v>
      </x:c>
      <x:c r="R47" s="53" t="n">
        <x:f>P47*gw_remit</x:f>
        <x:v>0</x:v>
      </x:c>
      <x:c r="S47" s="63" t="n">
        <x:f>IF(union_resp&gt;=1,MIN(1,MAX(0,($A47-resp_start)/(resp_full-resp_start))),0)</x:f>
        <x:v>0</x:v>
      </x:c>
      <x:c r="T47" s="67" t="n">
        <x:f>Economy!R46</x:f>
        <x:v>1.581318935044794</x:v>
      </x:c>
      <x:c r="U47" s="67" t="n">
        <x:f>MAX(0,T47-gap_base)</x:f>
        <x:v>0.08131893504479404</x:v>
      </x:c>
      <x:c r="V47" s="68" t="n">
        <x:v>47</x:v>
      </x:c>
      <x:c r="W47" s="47" t="n">
        <x:f>V47*1000000*lf_rate*union_skill_share</x:f>
        <x:v>2368800</x:v>
      </x:c>
      <x:c r="X47" s="45" t="n">
        <x:v>74000</x:v>
      </x:c>
      <x:c r="Y47" s="47" t="n">
        <x:f>IF(AND(mig_endo=1,$A47&gt;=talent_start),talent_rate_u*W47*U47*(1-(1-bd_keep)*S47),0)</x:f>
        <x:v>1926.2829333410812</x:v>
      </x:c>
      <x:c r="Z47" s="47" t="n">
        <x:f>IF(AND(mig_endo=1,$A47&gt;=talent_start),X47*MIN(0.5,talent_share_o*U47)*(1-eu_comp*S47),0)</x:f>
        <x:v>1624.7523221949848</x:v>
      </x:c>
      <x:c r="AA47" s="45" t="n">
        <x:v>10000</x:v>
      </x:c>
      <x:c r="AB47" s="47" t="n">
        <x:f>IF(AND(mig_endo=1,$A47&gt;=talent_start),AA47*MIN(0.5,talent_share_a*U47),0)</x:f>
        <x:v>162.6378700895881</x:v>
      </x:c>
      <x:c r="AC47" s="47" t="n">
        <x:f>entry_cap*People!B47</x:f>
        <x:v>13070.73788135594</x:v>
      </x:c>
      <x:c r="AD47" s="47" t="n">
        <x:f>MIN(AC47,Y47+Z47+AB47)</x:f>
        <x:v>3713.673125625654</x:v>
      </x:c>
      <x:c r="AE47" s="47" t="n">
        <x:f>IF(Y47+Z47+AB47&gt;0,AD47*Y47/(Y47+Z47+AB47),0)</x:f>
        <x:v>1926.2829333410812</x:v>
      </x:c>
      <x:c r="AF47" s="47" t="n">
        <x:f>IF(Y47+Z47+AB47&gt;0,AD47*AB47/(Y47+Z47+AB47),0)</x:f>
        <x:v>162.6378700895881</x:v>
      </x:c>
      <x:c r="AG47" s="47" t="n">
        <x:f>AD47*family_mult</x:f>
        <x:v>8170.080876376439</x:v>
      </x:c>
      <x:c r="AH47" s="47" t="n">
        <x:f>AH46*(1+Paths!C47)+AG47</x:f>
        <x:v>19854.235824473406</x:v>
      </x:c>
      <x:c r="AI47" s="47" t="n">
        <x:f>IF(AND(mig_endo=1,$A47&gt;=talent_start),chain_rate*AH46,0)</x:f>
        <x:v>171.99443005049508</x:v>
      </x:c>
      <x:c r="AJ47" s="47" t="n">
        <x:f>IF(AND(mig_endo=1,$A47&gt;=talent_start),IF(H46&gt;0,H46*job_fill,H46*job_return)*job_family,0)</x:f>
        <x:v>2258.2628036389865</x:v>
      </x:c>
      <x:c r="AK47" s="47" t="n">
        <x:f>K47*gw_conv_family</x:f>
        <x:v>0</x:v>
      </x:c>
      <x:c r="AL47" s="47" t="n">
        <x:f>AG47+AI47+AJ47+AK47+AR47</x:f>
        <x:v>19545.420964993267</x:v>
      </x:c>
      <x:c r="AM47" s="47" t="n">
        <x:f>AM46*(1-skill_ret)+AD47</x:f>
        <x:v>8218.279117184933</x:v>
      </x:c>
      <x:c r="AN47" s="64" t="n">
        <x:f>AM47/B47</x:f>
        <x:v>0.004383052453782889</x:v>
      </x:c>
      <x:c r="AO47" s="64" t="n">
        <x:f>(skill_rel-1+skill_spill)*AM46/B46-AT47</x:f>
        <x:v>0.002612654183771162</x:v>
      </x:c>
      <x:c r="AP47" s="64" t="n">
        <x:f>talent_champ*AM46/(skill_base_share*B46)</x:f>
        <x:v>0.005168766319756915</x:v>
      </x:c>
      <x:c r="AQ47" s="45" t="n">
        <x:v>440000</x:v>
      </x:c>
      <x:c r="AR47" s="47" t="n">
        <x:f>IF(AND(div_on=1,$A47&gt;=div_start),AQ47*MIN(div_max,div_rate*U47)*(1-div_comp*S47),0)</x:f>
        <x:v>8945.082854927345</x:v>
      </x:c>
      <x:c r="AS47" s="47" t="n">
        <x:f>AS46*(1-div_assim)+AR47</x:f>
        <x:v>21028.109580091193</x:v>
      </x:c>
      <x:c r="AT47" s="64" t="n">
        <x:f>(1-div_rel)*AS46/Economy!B46</x:f>
        <x:v>0.0007470439240708331</x:v>
      </x:c>
      <x:c r="AU47" s="47" t="n">
        <x:f>AU46*(1-skill_ret)+AE47</x:f>
        <x:v>4310.033054917755</x:v>
      </x:c>
      <x:c r="AV47" s="47" t="n">
        <x:f>AV46*(1+union_nat)+AR47</x:f>
        <x:v>24554.903903159116</x:v>
      </x:c>
      <x:c r="AW47" s="47" t="n">
        <x:f>AW46*(1+union_nat)+AE47*family_mult</x:f>
        <x:v>10289.369110930573</x:v>
      </x:c>
      <x:c r="AX47" s="67" t="n">
        <x:f>V47-(AV47+AW47)/1000000</x:f>
        <x:v>46.96515572698591</x:v>
      </x:c>
      <x:c r="AY47" s="47" t="n">
        <x:f>L47*gw_union</x:f>
        <x:v>0</x:v>
      </x:c>
      <x:c r="AZ47" s="46" t="n">
        <x:v>1.102</x:v>
      </x:c>
      <x:c r="BA47" s="47" t="n">
        <x:f>Economy!Q47*AZ47/lf_rate</x:f>
        <x:v>540.504761904762</x:v>
      </x:c>
      <x:c r="BB47" s="64" t="n">
        <x:f>bd_growth*AU46/W46</x:f>
        <x:v>0.00003163654140224922</x:v>
      </x:c>
      <x:c r="BC47" s="64" t="n">
        <x:f>tg_k*MIN(1,Economy!O46/BK46)</x:f>
        <x:v>0.000402514280215831</x:v>
      </x:c>
      <x:c r="BD47" s="64" t="n">
        <x:f>emu_g*S47</x:f>
        <x:v>0</x:v>
      </x:c>
      <x:c r="BE47" s="65" t="n">
        <x:f>BE46*(1-BB47-BC47+BD47)</x:f>
        <x:v>0.9904129794883649</x:v>
      </x:c>
      <x:c r="BF47" s="46" t="n">
        <x:v>1</x:v>
      </x:c>
      <x:c r="BG47" s="53" t="n">
        <x:f>AU47*BA47*BE47*(skill_rel-1+skill_spill)/1000000</x:f>
        <x:v>2.9994373896952897</x:v>
      </x:c>
      <x:c r="BH47" s="53" t="n">
        <x:f>union_disp*(Champions!AP47+Champions!AZ47)*(1-IF(union_resp=2,mkt_cut*S47,0))</x:f>
        <x:v>17.047219208438033</x:v>
      </x:c>
      <x:c r="BI47" s="53" t="n">
        <x:f>AY47*BA47*BE47/1000000</x:f>
        <x:v>0</x:v>
      </x:c>
      <x:c r="BJ47" s="47" t="n">
        <x:f>V47*Economy!Q47*AZ47</x:f>
        <x:v>10669.564</x:v>
      </x:c>
      <x:c r="BK47" s="47" t="n">
        <x:f>MAX(0.3*BJ47,AX47*Economy!Q47*AZ47*BE47*BF47-BG47-BH47-BI47)</x:f>
        <x:v>10539.393780363365</x:v>
      </x:c>
      <x:c r="BL47" s="63" t="n">
        <x:f>1-BK47/BJ47</x:f>
        <x:v>0.012200144226758969</x:v>
      </x:c>
      <x:c r="BM47" s="47" t="n">
        <x:f>MAX(0,BH47-BH46)*1000000/BA47</x:f>
        <x:v>2487.7347126402087</x:v>
      </x:c>
      <x:c r="BN47" s="47" t="n">
        <x:f>BN46*(1-IF(AND($A47&gt;=1930,$A47&lt;=1932),0,union_reabsorb))+BM47</x:f>
        <x:v>9620.918390970159</x:v>
      </x:c>
      <x:c r="BO47" s="59" t="n">
        <x:v>0.04</x:v>
      </x:c>
      <x:c r="BP47" s="63" t="n">
        <x:f>BO47+BN47/(AX47*1000000*lf_rate)</x:f>
        <x:v>0.04048774348121168</x:v>
      </x:c>
    </x:row>
    <x:row r="48">
      <x:c r="A48" s="58" t="n">
        <x:v>1888</x:v>
      </x:c>
      <x:c r="B48" s="47" t="n">
        <x:f>Economy!B48*lf_rate</x:f>
        <x:v>1960289.9624874534</x:v>
      </x:c>
      <x:c r="C48" s="47" t="n">
        <x:f>Economy!O48*1000000/(B48+L48)</x:f>
        <x:v>812.5042259839339</x:v>
      </x:c>
      <x:c r="D48" s="47" t="n">
        <x:f>Champions!AP48*1000000/(C48*champ_prem)</x:f>
        <x:v>35758.09503438637</x:v>
      </x:c>
      <x:c r="E48" s="47" t="n">
        <x:f>D48*job_mult</x:f>
        <x:v>25030.66652407046</x:v>
      </x:c>
      <x:c r="F48" s="47" t="n">
        <x:f>D48+E48</x:f>
        <x:v>60788.761558456834</x:v>
      </x:c>
      <x:c r="G48" s="63" t="n">
        <x:f>F48/B48</x:f>
        <x:v>0.031010086630918973</x:v>
      </x:c>
      <x:c r="H48" s="47" t="n">
        <x:f>F48-F47</x:f>
        <x:v>3114.927689738317</x:v>
      </x:c>
      <x:c r="I48" s="63" t="n">
        <x:f>MAX(0.005,pac_u_base*IF(Paths!AC48=1,pac_u_war,1)+(okun*(1-Economy!G48)*(B48+L48)-MAX(0,L47-L48))/B48)</x:f>
        <x:v>0.015</x:v>
      </x:c>
      <x:c r="J48" s="47" t="n">
        <x:f>IF(AND(gw_on=1,$A48&gt;=gw_start),MIN(gw_cap*B47,gw_cover*F47+gw_gen*B47),0)</x:f>
        <x:v>0</x:v>
      </x:c>
      <x:c r="K48" s="47" t="n">
        <x:f>L47*gw_conv</x:f>
        <x:v>0</x:v>
      </x:c>
      <x:c r="L48" s="47" t="n">
        <x:f>MAX(0,L47-K48+gw_adj*(J48-L47))*MAX(0,1-gw_slump*(1-Economy!G48))</x:f>
        <x:v>0</x:v>
      </x:c>
      <x:c r="M48" s="47" t="n">
        <x:f>MAX(0,L48-L47+L47/gw_term)</x:f>
        <x:v>0</x:v>
      </x:c>
      <x:c r="N48" s="63" t="n">
        <x:f>L48/B48</x:f>
        <x:v>0</x:v>
      </x:c>
      <x:c r="O48" s="53" t="n">
        <x:f>Economy!L48</x:f>
        <x:v>0</x:v>
      </x:c>
      <x:c r="P48" s="53" t="n">
        <x:f>O48*gw_wage_share</x:f>
        <x:v>0</x:v>
      </x:c>
      <x:c r="Q48" s="53" t="n">
        <x:f>P48*gw_levy</x:f>
        <x:v>0</x:v>
      </x:c>
      <x:c r="R48" s="53" t="n">
        <x:f>P48*gw_remit</x:f>
        <x:v>0</x:v>
      </x:c>
      <x:c r="S48" s="63" t="n">
        <x:f>IF(union_resp&gt;=1,MIN(1,MAX(0,($A48-resp_start)/(resp_full-resp_start))),0)</x:f>
        <x:v>0</x:v>
      </x:c>
      <x:c r="T48" s="67" t="n">
        <x:f>Economy!R47</x:f>
        <x:v>1.6141996643689744</x:v>
      </x:c>
      <x:c r="U48" s="67" t="n">
        <x:f>MAX(0,T48-gap_base)</x:f>
        <x:v>0.11419966436897444</x:v>
      </x:c>
      <x:c r="V48" s="68" t="n">
        <x:v>48</x:v>
      </x:c>
      <x:c r="W48" s="47" t="n">
        <x:f>V48*1000000*lf_rate*union_skill_share</x:f>
        <x:v>2419200</x:v>
      </x:c>
      <x:c r="X48" s="45" t="n">
        <x:v>76000</x:v>
      </x:c>
      <x:c r="Y48" s="47" t="n">
        <x:f>IF(AND(mig_endo=1,$A48&gt;=talent_start),talent_rate_u*W48*U48*(1-(1-bd_keep)*S48),0)</x:f>
        <x:v>2762.71828041423</x:v>
      </x:c>
      <x:c r="Z48" s="47" t="n">
        <x:f>IF(AND(mig_endo=1,$A48&gt;=talent_start),X48*MIN(0.5,talent_share_o*U48)*(1-eu_comp*S48),0)</x:f>
        <x:v>2343.3771128513554</x:v>
      </x:c>
      <x:c r="AA48" s="45" t="n">
        <x:v>10000</x:v>
      </x:c>
      <x:c r="AB48" s="47" t="n">
        <x:f>IF(AND(mig_endo=1,$A48&gt;=talent_start),AA48*MIN(0.5,talent_share_a*U48),0)</x:f>
        <x:v>228.3993287379489</x:v>
      </x:c>
      <x:c r="AC48" s="47" t="n">
        <x:f>entry_cap*People!B48</x:f>
        <x:v>13715.158163996684</x:v>
      </x:c>
      <x:c r="AD48" s="47" t="n">
        <x:f>MIN(AC48,Y48+Z48+AB48)</x:f>
        <x:v>5334.494722003534</x:v>
      </x:c>
      <x:c r="AE48" s="47" t="n">
        <x:f>IF(Y48+Z48+AB48&gt;0,AD48*Y48/(Y48+Z48+AB48),0)</x:f>
        <x:v>2762.71828041423</x:v>
      </x:c>
      <x:c r="AF48" s="47" t="n">
        <x:f>IF(Y48+Z48+AB48&gt;0,AD48*AB48/(Y48+Z48+AB48),0)</x:f>
        <x:v>228.3993287379489</x:v>
      </x:c>
      <x:c r="AG48" s="47" t="n">
        <x:f>AD48*family_mult</x:f>
        <x:v>11735.888388407775</x:v>
      </x:c>
      <x:c r="AH48" s="47" t="n">
        <x:f>AH47*(1+Paths!C48)+AG48</x:f>
        <x:v>31967.35469354617</x:v>
      </x:c>
      <x:c r="AI48" s="47" t="n">
        <x:f>IF(AND(mig_endo=1,$A48&gt;=talent_start),chain_rate*AH47,0)</x:f>
        <x:v>297.8135373671011</x:v>
      </x:c>
      <x:c r="AJ48" s="47" t="n">
        <x:f>IF(AND(mig_endo=1,$A48&gt;=talent_start),IF(H47&gt;0,H47*job_fill,H47*job_return)*job_family,0)</x:f>
        <x:v>2356.5069368355284</x:v>
      </x:c>
      <x:c r="AK48" s="47" t="n">
        <x:f>K48*gw_conv_family</x:f>
        <x:v>0</x:v>
      </x:c>
      <x:c r="AL48" s="47" t="n">
        <x:f>AG48+AI48+AJ48+AK48+AR48</x:f>
        <x:v>30092.66271334439</x:v>
      </x:c>
      <x:c r="AM48" s="47" t="n">
        <x:f>AM47*(1-skill_ret)+AD48</x:f>
        <x:v>13347.316861258843</x:v>
      </x:c>
      <x:c r="AN48" s="64" t="n">
        <x:f>AM48/B48</x:f>
        <x:v>0.006808848240146142</x:v>
      </x:c>
      <x:c r="AO48" s="64" t="n">
        <x:f>(skill_rel-1+skill_spill)*AM47/B47-AT48</x:f>
        <x:v>0.004520402044035195</x:v>
      </x:c>
      <x:c r="AP48" s="64" t="n">
        <x:f>talent_champ*AM47/(skill_base_share*B47)</x:f>
        <x:v>0.008766104907565778</x:v>
      </x:c>
      <x:c r="AQ48" s="45" t="n">
        <x:v>550000</x:v>
      </x:c>
      <x:c r="AR48" s="47" t="n">
        <x:f>IF(AND(div_on=1,$A48&gt;=div_start),AQ48*MIN(div_max,div_rate*U48)*(1-div_comp*S48),0)</x:f>
        <x:v>15702.453850733986</x:v>
      </x:c>
      <x:c r="AS48" s="47" t="n">
        <x:f>AS47*(1-div_assim)+AR48</x:f>
        <x:v>35679.15795182062</x:v>
      </x:c>
      <x:c r="AT48" s="64" t="n">
        <x:f>(1-div_rel)*AS47/Economy!B47</x:f>
        <x:v>0.0011775661458825598</x:v>
      </x:c>
      <x:c r="AU48" s="47" t="n">
        <x:f>AU47*(1-skill_ret)+AE48</x:f>
        <x:v>6965.000508959041</x:v>
      </x:c>
      <x:c r="AV48" s="47" t="n">
        <x:f>AV47*(1+union_nat)+AR48</x:f>
        <x:v>40576.571504634165</x:v>
      </x:c>
      <x:c r="AW48" s="47" t="n">
        <x:f>AW47*(1+union_nat)+AE48*family_mult</x:f>
        <x:v>16501.111126283977</x:v>
      </x:c>
      <x:c r="AX48" s="67" t="n">
        <x:f>V48-(AV48+AW48)/1000000</x:f>
        <x:v>47.94292231736908</x:v>
      </x:c>
      <x:c r="AY48" s="47" t="n">
        <x:f>L48*gw_union</x:f>
        <x:v>0</x:v>
      </x:c>
      <x:c r="AZ48" s="46" t="n">
        <x:v>1.101</x:v>
      </x:c>
      <x:c r="BA48" s="47" t="n">
        <x:f>Economy!Q48*AZ48/lf_rate</x:f>
        <x:v>542.6357142857142</x:v>
      </x:c>
      <x:c r="BB48" s="64" t="n">
        <x:f>bd_growth*AU47/W47</x:f>
        <x:v>0.00005458501842601007</x:v>
      </x:c>
      <x:c r="BC48" s="64" t="n">
        <x:f>tg_k*MIN(1,Economy!O47/BK47)</x:f>
        <x:v>0.00042255673207118686</x:v>
      </x:c>
      <x:c r="BD48" s="64" t="n">
        <x:f>emu_g*S48</x:f>
        <x:v>0</x:v>
      </x:c>
      <x:c r="BE48" s="65" t="n">
        <x:f>BE47*(1-BB48-BC48+BD48)</x:f>
        <x:v>0.9899404121056167</x:v>
      </x:c>
      <x:c r="BF48" s="46" t="n">
        <x:v>1</x:v>
      </x:c>
      <x:c r="BG48" s="53" t="n">
        <x:f>AU48*BA48*BE48*(skill_rel-1+skill_spill)/1000000</x:f>
        <x:v>4.863869706763429</x:v>
      </x:c>
      <x:c r="BH48" s="53" t="n">
        <x:f>union_disp*(Champions!AP48+Champions!AZ48)*(1-IF(union_resp=2,mkt_cut*S48,0))</x:f>
        <x:v>18.622529429337163</x:v>
      </x:c>
      <x:c r="BI48" s="53" t="n">
        <x:f>AY48*BA48*BE48/1000000</x:f>
        <x:v>0</x:v>
      </x:c>
      <x:c r="BJ48" s="47" t="n">
        <x:f>V48*Economy!Q48*AZ48</x:f>
        <x:v>10939.536</x:v>
      </x:c>
      <x:c r="BK48" s="47" t="n">
        <x:f>MAX(0.3*BJ48,AX48*Economy!Q48*AZ48*BE48*BF48-BG48-BH48-BI48)</x:f>
        <x:v>10793.124832710286</x:v>
      </x:c>
      <x:c r="BL48" s="63" t="n">
        <x:f>1-BK48/BJ48</x:f>
        <x:v>0.01338367251496908</x:v>
      </x:c>
      <x:c r="BM48" s="47" t="n">
        <x:f>MAX(0,BH48-BH47)*1000000/BA48</x:f>
        <x:v>2903.07139656805</x:v>
      </x:c>
      <x:c r="BN48" s="47" t="n">
        <x:f>BN47*(1-IF(AND($A48&gt;=1930,$A48&lt;=1932),0,union_reabsorb))+BM48</x:f>
        <x:v>10118.760189795668</x:v>
      </x:c>
      <x:c r="BO48" s="59" t="n">
        <x:v>0.04</x:v>
      </x:c>
      <x:c r="BP48" s="63" t="n">
        <x:f>BO48+BN48/(AX48*1000000*lf_rate)</x:f>
        <x:v>0.040502520184453834</x:v>
      </x:c>
    </x:row>
    <x:row r="49">
      <x:c r="A49" s="58" t="n">
        <x:v>1889</x:v>
      </x:c>
      <x:c r="B49" s="47" t="n">
        <x:f>Economy!B49*lf_rate</x:f>
        <x:v>2042991.627919508</x:v>
      </x:c>
      <x:c r="C49" s="47" t="n">
        <x:f>Economy!O49*1000000/(B49+L49)</x:f>
        <x:v>832.4183194828028</x:v>
      </x:c>
      <x:c r="D49" s="47" t="n">
        <x:f>Champions!AP49*1000000/(C49*champ_prem)</x:f>
        <x:v>37963.15162798663</x:v>
      </x:c>
      <x:c r="E49" s="47" t="n">
        <x:f>D49*job_mult</x:f>
        <x:v>26574.20613959064</x:v>
      </x:c>
      <x:c r="F49" s="47" t="n">
        <x:f>D49+E49</x:f>
        <x:v>64537.35776757727</x:v>
      </x:c>
      <x:c r="G49" s="63" t="n">
        <x:f>F49/B49</x:f>
        <x:v>0.0315896339885148</x:v>
      </x:c>
      <x:c r="H49" s="47" t="n">
        <x:f>F49-F48</x:f>
        <x:v>3748.5962091204347</x:v>
      </x:c>
      <x:c r="I49" s="63" t="n">
        <x:f>MAX(0.005,pac_u_base*IF(Paths!AC49=1,pac_u_war,1)+(okun*(1-Economy!G49)*(B49+L49)-MAX(0,L48-L49))/B49)</x:f>
        <x:v>0.015</x:v>
      </x:c>
      <x:c r="J49" s="47" t="n">
        <x:f>IF(AND(gw_on=1,$A49&gt;=gw_start),MIN(gw_cap*B48,gw_cover*F48+gw_gen*B48),0)</x:f>
        <x:v>0</x:v>
      </x:c>
      <x:c r="K49" s="47" t="n">
        <x:f>L48*gw_conv</x:f>
        <x:v>0</x:v>
      </x:c>
      <x:c r="L49" s="47" t="n">
        <x:f>MAX(0,L48-K49+gw_adj*(J49-L48))*MAX(0,1-gw_slump*(1-Economy!G49))</x:f>
        <x:v>0</x:v>
      </x:c>
      <x:c r="M49" s="47" t="n">
        <x:f>MAX(0,L49-L48+L48/gw_term)</x:f>
        <x:v>0</x:v>
      </x:c>
      <x:c r="N49" s="63" t="n">
        <x:f>L49/B49</x:f>
        <x:v>0</x:v>
      </x:c>
      <x:c r="O49" s="53" t="n">
        <x:f>Economy!L49</x:f>
        <x:v>0</x:v>
      </x:c>
      <x:c r="P49" s="53" t="n">
        <x:f>O49*gw_wage_share</x:f>
        <x:v>0</x:v>
      </x:c>
      <x:c r="Q49" s="53" t="n">
        <x:f>P49*gw_levy</x:f>
        <x:v>0</x:v>
      </x:c>
      <x:c r="R49" s="53" t="n">
        <x:f>P49*gw_remit</x:f>
        <x:v>0</x:v>
      </x:c>
      <x:c r="S49" s="63" t="n">
        <x:f>IF(union_resp&gt;=1,MIN(1,MAX(0,($A49-resp_start)/(resp_full-resp_start))),0)</x:f>
        <x:v>0</x:v>
      </x:c>
      <x:c r="T49" s="67" t="n">
        <x:f>Economy!R48</x:f>
        <x:v>1.6485592990978368</x:v>
      </x:c>
      <x:c r="U49" s="67" t="n">
        <x:f>MAX(0,T49-gap_base)</x:f>
        <x:v>0.14855929909783683</x:v>
      </x:c>
      <x:c r="V49" s="68" t="n">
        <x:v>49</x:v>
      </x:c>
      <x:c r="W49" s="47" t="n">
        <x:f>V49*1000000*lf_rate*union_skill_share</x:f>
        <x:v>2469600</x:v>
      </x:c>
      <x:c r="X49" s="45" t="n">
        <x:v>78000</x:v>
      </x:c>
      <x:c r="Y49" s="47" t="n">
        <x:f>IF(AND(mig_endo=1,$A49&gt;=talent_start),talent_rate_u*W49*U49*(1-(1-bd_keep)*S49),0)</x:f>
        <x:v>3668.8204505201784</x:v>
      </x:c>
      <x:c r="Z49" s="47" t="n">
        <x:f>IF(AND(mig_endo=1,$A49&gt;=talent_start),X49*MIN(0.5,talent_share_o*U49)*(1-eu_comp*S49),0)</x:f>
        <x:v>3128.658839000444</x:v>
      </x:c>
      <x:c r="AA49" s="45" t="n">
        <x:v>11000</x:v>
      </x:c>
      <x:c r="AB49" s="47" t="n">
        <x:f>IF(AND(mig_endo=1,$A49&gt;=talent_start),AA49*MIN(0.5,talent_share_a*U49),0)</x:f>
        <x:v>326.830458015241</x:v>
      </x:c>
      <x:c r="AC49" s="47" t="n">
        <x:f>entry_cap*People!B49</x:f>
        <x:v>14288.984157252655</x:v>
      </x:c>
      <x:c r="AD49" s="47" t="n">
        <x:f>MIN(AC49,Y49+Z49+AB49)</x:f>
        <x:v>7124.309747535864</x:v>
      </x:c>
      <x:c r="AE49" s="47" t="n">
        <x:f>IF(Y49+Z49+AB49&gt;0,AD49*Y49/(Y49+Z49+AB49),0)</x:f>
        <x:v>3668.8204505201784</x:v>
      </x:c>
      <x:c r="AF49" s="47" t="n">
        <x:f>IF(Y49+Z49+AB49&gt;0,AD49*AB49/(Y49+Z49+AB49),0)</x:f>
        <x:v>326.830458015241</x:v>
      </x:c>
      <x:c r="AG49" s="47" t="n">
        <x:f>AD49*family_mult</x:f>
        <x:v>15673.481444578902</x:v>
      </x:c>
      <x:c r="AH49" s="47" t="n">
        <x:f>AH48*(1+Paths!C49)+AG49</x:f>
        <x:v>48248.21587730244</x:v>
      </x:c>
      <x:c r="AI49" s="47" t="n">
        <x:f>IF(AND(mig_endo=1,$A49&gt;=talent_start),chain_rate*AH48,0)</x:f>
        <x:v>479.51032040319257</x:v>
      </x:c>
      <x:c r="AJ49" s="47" t="n">
        <x:f>IF(AND(mig_endo=1,$A49&gt;=talent_start),IF(H48&gt;0,H48*job_fill,H48*job_return)*job_family,0)</x:f>
        <x:v>1962.4044445351394</x:v>
      </x:c>
      <x:c r="AK49" s="47" t="n">
        <x:f>K49*gw_conv_family</x:f>
        <x:v>0</x:v>
      </x:c>
      <x:c r="AL49" s="47" t="n">
        <x:f>AG49+AI49+AJ49+AK49+AR49</x:f>
        <x:v>37725.223690431696</x:v>
      </x:c>
      <x:c r="AM49" s="47" t="n">
        <x:f>AM48*(1-skill_ret)+AD49</x:f>
        <x:v>20137.943687263236</x:v>
      </x:c>
      <x:c r="AN49" s="64" t="n">
        <x:f>AM49/B49</x:f>
        <x:v>0.009857085761908298</x:v>
      </x:c>
      <x:c r="AO49" s="64" t="n">
        <x:f>(skill_rel-1+skill_spill)*AM48/B48-AT49</x:f>
        <x:v>0.006940401978813076</x:v>
      </x:c>
      <x:c r="AP49" s="64" t="n">
        <x:f>talent_champ*AM48/(skill_base_share*B48)</x:f>
        <x:v>0.013617696480292285</x:v>
      </x:c>
      <x:c r="AQ49" s="45" t="n">
        <x:v>528000</x:v>
      </x:c>
      <x:c r="AR49" s="47" t="n">
        <x:f>IF(AND(div_on=1,$A49&gt;=div_start),AQ49*MIN(div_max,div_rate*U49)*(1-div_comp*S49),0)</x:f>
        <x:v>19609.82748091446</x:v>
      </x:c>
      <x:c r="AS49" s="47" t="n">
        <x:f>AS48*(1-div_assim)+AR49</x:f>
        <x:v>53505.02753514405</x:v>
      </x:c>
      <x:c r="AT49" s="64" t="n">
        <x:f>(1-div_rel)*AS48/Economy!B48</x:f>
        <x:v>0.0019111007333769087</x:v>
      </x:c>
      <x:c r="AU49" s="47" t="n">
        <x:f>AU48*(1-skill_ret)+AE49</x:f>
        <x:v>10459.695946755244</x:v>
      </x:c>
      <x:c r="AV49" s="47" t="n">
        <x:f>AV48*(1+union_nat)+AR49</x:f>
        <x:v>60713.894415108865</x:v>
      </x:c>
      <x:c r="AW49" s="47" t="n">
        <x:f>AW48*(1+union_nat)+AE49*family_mult</x:f>
        <x:v>24787.03056207006</x:v>
      </x:c>
      <x:c r="AX49" s="67" t="n">
        <x:f>V49-(AV49+AW49)/1000000</x:f>
        <x:v>48.914499075022825</x:v>
      </x:c>
      <x:c r="AY49" s="47" t="n">
        <x:f>L49*gw_union</x:f>
        <x:v>0</x:v>
      </x:c>
      <x:c r="AZ49" s="46" t="n">
        <x:v>1.1</x:v>
      </x:c>
      <x:c r="BA49" s="47" t="n">
        <x:f>Economy!Q49*AZ49/lf_rate</x:f>
        <x:v>542.1428571428572</x:v>
      </x:c>
      <x:c r="BB49" s="64" t="n">
        <x:f>bd_growth*AU48/W48</x:f>
        <x:v>0.00008637153408927383</x:v>
      </x:c>
      <x:c r="BC49" s="64" t="n">
        <x:f>tg_k*MIN(1,Economy!O48/BK48)</x:f>
        <x:v>0.0004427106801863013</x:v>
      </x:c>
      <x:c r="BD49" s="64" t="n">
        <x:f>emu_g*S49</x:f>
        <x:v>0</x:v>
      </x:c>
      <x:c r="BE49" s="65" t="n">
        <x:f>BE48*(1-BB49-BC49+BD49)</x:f>
        <x:v>0.9894166522403789</x:v>
      </x:c>
      <x:c r="BF49" s="46" t="n">
        <x:v>1</x:v>
      </x:c>
      <x:c r="BG49" s="53" t="n">
        <x:f>AU49*BA49*BE49*(skill_rel-1+skill_spill)/1000000</x:f>
        <x:v>7.293825487410378</x:v>
      </x:c>
      <x:c r="BH49" s="53" t="n">
        <x:f>union_disp*(Champions!AP49+Champions!AZ49)*(1-IF(union_resp=2,mkt_cut*S49,0))</x:f>
        <x:v>20.18657365534289</x:v>
      </x:c>
      <x:c r="BI49" s="53" t="n">
        <x:f>AY49*BA49*BE49/1000000</x:f>
        <x:v>0</x:v>
      </x:c>
      <x:c r="BJ49" s="47" t="n">
        <x:f>V49*Economy!Q49*AZ49</x:f>
        <x:v>11157.300000000001</x:v>
      </x:c>
      <x:c r="BK49" s="47" t="n">
        <x:f>MAX(0.3*BJ49,AX49*Economy!Q49*AZ49*BE49*BF49-BG49-BH49-BI49)</x:f>
        <x:v>10992.475496828916</x:v>
      </x:c>
      <x:c r="BL49" s="63" t="n">
        <x:f>1-BK49/BJ49</x:f>
        <x:v>0.014772794777507592</x:v>
      </x:c>
      <x:c r="BM49" s="47" t="n">
        <x:f>MAX(0,BH49-BH48)*1000000/BA49</x:f>
        <x:v>2884.930061143633</x:v>
      </x:c>
      <x:c r="BN49" s="47" t="n">
        <x:f>BN48*(1-IF(AND($A49&gt;=1930,$A49&lt;=1932),0,union_reabsorb))+BM49</x:f>
        <x:v>10474.000203490385</x:v>
      </x:c>
      <x:c r="BO49" s="59" t="n">
        <x:v>0.04</x:v>
      </x:c>
      <x:c r="BP49" s="63" t="n">
        <x:f>BO49+BN49/(AX49*1000000*lf_rate)</x:f>
        <x:v>0.040509830340577486</x:v>
      </x:c>
    </x:row>
    <x:row r="50">
      <x:c r="A50" s="58" t="n">
        <x:v>1890</x:v>
      </x:c>
      <x:c r="B50" s="47" t="n">
        <x:f>Economy!B50*lf_rate</x:f>
        <x:v>2131512.977761313</x:v>
      </x:c>
      <x:c r="C50" s="47" t="n">
        <x:f>Economy!O50*1000000/(B50+L50)</x:f>
        <x:v>836.4671132724333</x:v>
      </x:c>
      <x:c r="D50" s="47" t="n">
        <x:f>Champions!AP50*1000000/(C50*champ_prem)</x:f>
        <x:v>42290.53589198174</x:v>
      </x:c>
      <x:c r="E50" s="47" t="n">
        <x:f>D50*job_mult</x:f>
        <x:v>29603.375124387214</x:v>
      </x:c>
      <x:c r="F50" s="47" t="n">
        <x:f>D50+E50</x:f>
        <x:v>71893.91101636895</x:v>
      </x:c>
      <x:c r="G50" s="63" t="n">
        <x:f>F50/B50</x:f>
        <x:v>0.03372905150775941</x:v>
      </x:c>
      <x:c r="H50" s="47" t="n">
        <x:f>F50-F49</x:f>
        <x:v>7356.553248791679</x:v>
      </x:c>
      <x:c r="I50" s="63" t="n">
        <x:f>MAX(0.005,pac_u_base*IF(Paths!AC50=1,pac_u_war,1)+(okun*(1-Economy!G50)*(B50+L50)-MAX(0,L49-L50))/B50)</x:f>
        <x:v>0.015</x:v>
      </x:c>
      <x:c r="J50" s="47" t="n">
        <x:f>IF(AND(gw_on=1,$A50&gt;=gw_start),MIN(gw_cap*B49,gw_cover*F49+gw_gen*B49),0)</x:f>
        <x:v>202161.744894107</x:v>
      </x:c>
      <x:c r="K50" s="47" t="n">
        <x:f>L49*gw_conv</x:f>
        <x:v>0</x:v>
      </x:c>
      <x:c r="L50" s="47" t="n">
        <x:f>MAX(0,L49-K50+gw_adj*(J50-L49))*MAX(0,1-gw_slump*(1-Economy!G50))</x:f>
        <x:v>80864.6979576428</x:v>
      </x:c>
      <x:c r="M50" s="47" t="n">
        <x:f>MAX(0,L50-L49+L49/gw_term)</x:f>
        <x:v>80864.6979576428</x:v>
      </x:c>
      <x:c r="N50" s="63" t="n">
        <x:f>L50/B50</x:f>
        <x:v>0.03793769909042423</x:v>
      </x:c>
      <x:c r="O50" s="53" t="n">
        <x:f>Economy!L50</x:f>
        <x:v>39.15863062759101</x:v>
      </x:c>
      <x:c r="P50" s="53" t="n">
        <x:f>O50*gw_wage_share</x:f>
        <x:v>25.453109907934156</x:v>
      </x:c>
      <x:c r="Q50" s="53" t="n">
        <x:f>P50*gw_levy</x:f>
        <x:v>6.363277476983539</x:v>
      </x:c>
      <x:c r="R50" s="53" t="n">
        <x:f>P50*gw_remit</x:f>
        <x:v>6.363277476983539</x:v>
      </x:c>
      <x:c r="S50" s="63" t="n">
        <x:f>IF(union_resp&gt;=1,MIN(1,MAX(0,($A50-resp_start)/(resp_full-resp_start))),0)</x:f>
        <x:v>0</x:v>
      </x:c>
      <x:c r="T50" s="67" t="n">
        <x:f>Economy!R49</x:f>
        <x:v>1.688964706196991</x:v>
      </x:c>
      <x:c r="U50" s="67" t="n">
        <x:f>MAX(0,T50-gap_base)</x:f>
        <x:v>0.18896470619699102</x:v>
      </x:c>
      <x:c r="V50" s="68" t="n">
        <x:v>50</x:v>
      </x:c>
      <x:c r="W50" s="47" t="n">
        <x:f>V50*1000000*lf_rate*union_skill_share</x:f>
        <x:v>2520000</x:v>
      </x:c>
      <x:c r="X50" s="45" t="n">
        <x:v>80000</x:v>
      </x:c>
      <x:c r="Y50" s="47" t="n">
        <x:f>IF(AND(mig_endo=1,$A50&gt;=talent_start),talent_rate_u*W50*U50*(1-(1-bd_keep)*S50),0)</x:f>
        <x:v>4761.9105961641735</x:v>
      </x:c>
      <x:c r="Z50" s="47" t="n">
        <x:f>IF(AND(mig_endo=1,$A50&gt;=talent_start),X50*MIN(0.5,talent_share_o*U50)*(1-eu_comp*S50),0)</x:f>
        <x:v>4081.6376538550066</x:v>
      </x:c>
      <x:c r="AA50" s="45" t="n">
        <x:v>12000</x:v>
      </x:c>
      <x:c r="AB50" s="47" t="n">
        <x:f>IF(AND(mig_endo=1,$A50&gt;=talent_start),AA50*MIN(0.5,talent_share_a*U50),0)</x:f>
        <x:v>453.5152948727785</x:v>
      </x:c>
      <x:c r="AC50" s="47" t="n">
        <x:f>entry_cap*People!B50</x:f>
        <x:v>14896.610527311748</x:v>
      </x:c>
      <x:c r="AD50" s="47" t="n">
        <x:f>MIN(AC50,Y50+Z50+AB50)</x:f>
        <x:v>9297.063544891958</x:v>
      </x:c>
      <x:c r="AE50" s="47" t="n">
        <x:f>IF(Y50+Z50+AB50&gt;0,AD50*Y50/(Y50+Z50+AB50),0)</x:f>
        <x:v>4761.9105961641735</x:v>
      </x:c>
      <x:c r="AF50" s="47" t="n">
        <x:f>IF(Y50+Z50+AB50&gt;0,AD50*AB50/(Y50+Z50+AB50),0)</x:f>
        <x:v>453.5152948727785</x:v>
      </x:c>
      <x:c r="AG50" s="47" t="n">
        <x:f>AD50*family_mult</x:f>
        <x:v>20453.53979876231</x:v>
      </x:c>
      <x:c r="AH50" s="47" t="n">
        <x:f>AH49*(1+Paths!C50)+AG50</x:f>
        <x:v>69618.47177773349</x:v>
      </x:c>
      <x:c r="AI50" s="47" t="n">
        <x:f>IF(AND(mig_endo=1,$A50&gt;=talent_start),chain_rate*AH49,0)</x:f>
        <x:v>723.7232381595365</x:v>
      </x:c>
      <x:c r="AJ50" s="47" t="n">
        <x:f>IF(AND(mig_endo=1,$A50&gt;=talent_start),IF(H49&gt;0,H49*job_fill,H49*job_return)*job_family,0)</x:f>
        <x:v>2361.6156117458736</x:v>
      </x:c>
      <x:c r="AK50" s="47" t="n">
        <x:f>K50*gw_conv_family</x:f>
        <x:v>0</x:v>
      </x:c>
      <x:c r="AL50" s="47" t="n">
        <x:f>AG50+AI50+AJ50+AK50+AR50</x:f>
        <x:v>47442.91398258708</x:v>
      </x:c>
      <x:c r="AM50" s="47" t="n">
        <x:f>AM49*(1-skill_ret)+AD50</x:f>
        <x:v>28931.558639973613</x:v>
      </x:c>
      <x:c r="AN50" s="64" t="n">
        <x:f>AM50/B50</x:f>
        <x:v>0.01357325005375284</x:v>
      </x:c>
      <x:c r="AO50" s="64" t="n">
        <x:f>(skill_rel-1+skill_spill)*AM49/B49-AT50</x:f>
        <x:v>0.010064308938549493</x:v>
      </x:c>
      <x:c r="AP50" s="64" t="n">
        <x:f>talent_champ*AM49/(skill_base_share*B49)</x:f>
        <x:v>0.019714171523816597</x:v>
      </x:c>
      <x:c r="AQ50" s="45" t="n">
        <x:v>506000</x:v>
      </x:c>
      <x:c r="AR50" s="47" t="n">
        <x:f>IF(AND(div_on=1,$A50&gt;=div_start),AQ50*MIN(div_max,div_rate*U50)*(1-div_comp*S50),0)</x:f>
        <x:v>23904.035333919364</x:v>
      </x:c>
      <x:c r="AS50" s="47" t="n">
        <x:f>AS49*(1-div_assim)+AR50</x:f>
        <x:v>74733.81149230621</x:v>
      </x:c>
      <x:c r="AT50" s="64" t="n">
        <x:f>(1-div_rel)*AS49/Economy!B49</x:f>
        <x:v>0.0027499025519312948</x:v>
      </x:c>
      <x:c r="AU50" s="47" t="n">
        <x:f>AU49*(1-skill_ret)+AE50</x:f>
        <x:v>14960.114144250536</x:v>
      </x:c>
      <x:c r="AV50" s="47" t="n">
        <x:f>AV49*(1+union_nat)+AR50</x:f>
        <x:v>85407.21037642464</x:v>
      </x:c>
      <x:c r="AW50" s="47" t="n">
        <x:f>AW49*(1+union_nat)+AE50*family_mult</x:f>
        <x:v>35585.46527093815</x:v>
      </x:c>
      <x:c r="AX50" s="67" t="n">
        <x:f>V50-(AV50+AW50)/1000000</x:f>
        <x:v>49.879007324352635</x:v>
      </x:c>
      <x:c r="AY50" s="47" t="n">
        <x:f>L50*gw_union</x:f>
        <x:v>16172.93959152856</x:v>
      </x:c>
      <x:c r="AZ50" s="46" t="n">
        <x:v>1.1</x:v>
      </x:c>
      <x:c r="BA50" s="47" t="n">
        <x:f>Economy!Q50*AZ50/lf_rate</x:f>
        <x:v>544.7619047619048</x:v>
      </x:c>
      <x:c r="BB50" s="64" t="n">
        <x:f>bd_growth*AU49/W49</x:f>
        <x:v>0.0001270614182064534</x:v>
      </x:c>
      <x:c r="BC50" s="64" t="n">
        <x:f>tg_k*MIN(1,Economy!O49/BK49)</x:f>
        <x:v>0.00046412393408221407</x:v>
      </x:c>
      <x:c r="BD50" s="64" t="n">
        <x:f>emu_g*S50</x:f>
        <x:v>0</x:v>
      </x:c>
      <x:c r="BE50" s="65" t="n">
        <x:f>BE49*(1-BB50-BC50+BD50)</x:f>
        <x:v>0.9888317236082638</x:v>
      </x:c>
      <x:c r="BF50" s="46" t="n">
        <x:v>1</x:v>
      </x:c>
      <x:c r="BG50" s="53" t="n">
        <x:f>AU50*BA50*BE50*(skill_rel-1+skill_spill)/1000000</x:f>
        <x:v>10.476286822921</x:v>
      </x:c>
      <x:c r="BH50" s="53" t="n">
        <x:f>union_disp*(Champions!AP50+Champions!AZ50)*(1-IF(union_resp=2,mkt_cut*S50,0))</x:f>
        <x:v>22.679046453291306</x:v>
      </x:c>
      <x:c r="BI50" s="53" t="n">
        <x:f>AY50*BA50*BE50/1000000</x:f>
        <x:v>8.712004379774486</x:v>
      </x:c>
      <x:c r="BJ50" s="47" t="n">
        <x:f>V50*Economy!Q50*AZ50</x:f>
        <x:v>11440.000000000002</x:v>
      </x:c>
      <x:c r="BK50" s="47" t="n">
        <x:f>MAX(0.3*BJ50,AX50*Economy!Q50*AZ50*BE50*BF50-BG50-BH50-BI50)</x:f>
        <x:v>11242.993629016753</x:v>
      </x:c>
      <x:c r="BL50" s="63" t="n">
        <x:f>1-BK50/BJ50</x:f>
        <x:v>0.017220836624409874</x:v>
      </x:c>
      <x:c r="BM50" s="47" t="n">
        <x:f>MAX(0,BH50-BH49)*1000000/BA50</x:f>
        <x:v>4575.343422807407</x:v>
      </x:c>
      <x:c r="BN50" s="47" t="n">
        <x:f>BN49*(1-IF(AND($A50&gt;=1930,$A50&lt;=1932),0,union_reabsorb))+BM50</x:f>
        <x:v>12430.843575425195</x:v>
      </x:c>
      <x:c r="BO50" s="59" t="n">
        <x:v>0.04</x:v>
      </x:c>
      <x:c r="BP50" s="63" t="n">
        <x:f>BO50+BN50/(AX50*1000000*lf_rate)</x:f>
        <x:v>0.040593380826841455</x:v>
      </x:c>
    </x:row>
    <x:row r="51">
      <x:c r="A51" s="58" t="n">
        <x:v>1891</x:v>
      </x:c>
      <x:c r="B51" s="47" t="n">
        <x:f>Economy!B51*lf_rate</x:f>
        <x:v>2227474.555239604</x:v>
      </x:c>
      <x:c r="C51" s="47" t="n">
        <x:f>Economy!O51*1000000/(B51+L51)</x:f>
        <x:v>843.0536489657221</x:v>
      </x:c>
      <x:c r="D51" s="47" t="n">
        <x:f>Champions!AP51*1000000/(C51*champ_prem)</x:f>
        <x:v>49268.894607580194</x:v>
      </x:c>
      <x:c r="E51" s="47" t="n">
        <x:f>D51*job_mult</x:f>
        <x:v>34488.226225306134</x:v>
      </x:c>
      <x:c r="F51" s="47" t="n">
        <x:f>D51+E51</x:f>
        <x:v>83757.12083288633</x:v>
      </x:c>
      <x:c r="G51" s="63" t="n">
        <x:f>F51/B51</x:f>
        <x:v>0.037601830573493034</x:v>
      </x:c>
      <x:c r="H51" s="47" t="n">
        <x:f>F51-F50</x:f>
        <x:v>11863.209816517381</x:v>
      </x:c>
      <x:c r="I51" s="63" t="n">
        <x:f>MAX(0.005,pac_u_base*IF(Paths!AC51=1,pac_u_war,1)+(okun*(1-Economy!G51)*(B51+L51)-MAX(0,L50-L51))/B51)</x:f>
        <x:v>0.015</x:v>
      </x:c>
      <x:c r="J51" s="47" t="n">
        <x:f>IF(AND(gw_on=1,$A51&gt;=gw_start),MIN(gw_cap*B50,gw_cover*F50+gw_gen*B50),0)</x:f>
        <x:v>213657.3848307264</x:v>
      </x:c>
      <x:c r="K51" s="47" t="n">
        <x:f>L50*gw_conv</x:f>
        <x:v>2425.940938729284</x:v>
      </x:c>
      <x:c r="L51" s="47" t="n">
        <x:f>MAX(0,L50-K51+gw_adj*(J51-L50))*MAX(0,1-gw_slump*(1-Economy!G51))</x:f>
        <x:v>131555.83176814695</x:v>
      </x:c>
      <x:c r="M51" s="47" t="n">
        <x:f>MAX(0,L51-L50+L50/gw_term)</x:f>
        <x:v>77646.03312971842</x:v>
      </x:c>
      <x:c r="N51" s="63" t="n">
        <x:f>L51/B51</x:f>
        <x:v>0.05906053178416479</x:v>
      </x:c>
      <x:c r="O51" s="53" t="n">
        <x:f>Economy!L51</x:f>
        <x:v>64.63355054454362</x:v>
      </x:c>
      <x:c r="P51" s="53" t="n">
        <x:f>O51*gw_wage_share</x:f>
        <x:v>42.01180785395336</x:v>
      </x:c>
      <x:c r="Q51" s="53" t="n">
        <x:f>P51*gw_levy</x:f>
        <x:v>10.50295196348834</x:v>
      </x:c>
      <x:c r="R51" s="53" t="n">
        <x:f>P51*gw_remit</x:f>
        <x:v>10.50295196348834</x:v>
      </x:c>
      <x:c r="S51" s="63" t="n">
        <x:f>IF(union_resp&gt;=1,MIN(1,MAX(0,($A51-resp_start)/(resp_full-resp_start))),0)</x:f>
        <x:v>0</x:v>
      </x:c>
      <x:c r="T51" s="67" t="n">
        <x:f>Economy!R50</x:f>
        <x:v>1.725602211586191</x:v>
      </x:c>
      <x:c r="U51" s="67" t="n">
        <x:f>MAX(0,T51-gap_base)</x:f>
        <x:v>0.2256022115861911</x:v>
      </x:c>
      <x:c r="V51" s="68" t="n">
        <x:v>50.94</x:v>
      </x:c>
      <x:c r="W51" s="47" t="n">
        <x:f>V51*1000000*lf_rate*union_skill_share</x:f>
        <x:v>2567376</x:v>
      </x:c>
      <x:c r="X51" s="45" t="n">
        <x:v>82000</x:v>
      </x:c>
      <x:c r="Y51" s="47" t="n">
        <x:f>IF(AND(mig_endo=1,$A51&gt;=talent_start),talent_rate_u*W51*U51*(1-(1-bd_keep)*S51),0)</x:f>
        <x:v>5792.05703573309</x:v>
      </x:c>
      <x:c r="Z51" s="47" t="n">
        <x:f>IF(AND(mig_endo=1,$A51&gt;=talent_start),X51*MIN(0.5,talent_share_o*U51)*(1-eu_comp*S51),0)</x:f>
        <x:v>4994.832964518271</x:v>
      </x:c>
      <x:c r="AA51" s="45" t="n">
        <x:v>12000</x:v>
      </x:c>
      <x:c r="AB51" s="47" t="n">
        <x:f>IF(AND(mig_endo=1,$A51&gt;=talent_start),AA51*MIN(0.5,talent_share_a*U51),0)</x:f>
        <x:v>541.4453078068586</x:v>
      </x:c>
      <x:c r="AC51" s="47" t="n">
        <x:f>entry_cap*People!B51</x:f>
        <x:v>15553.574869278435</x:v>
      </x:c>
      <x:c r="AD51" s="47" t="n">
        <x:f>MIN(AC51,Y51+Z51+AB51)</x:f>
        <x:v>11328.33530805822</x:v>
      </x:c>
      <x:c r="AE51" s="47" t="n">
        <x:f>IF(Y51+Z51+AB51&gt;0,AD51*Y51/(Y51+Z51+AB51),0)</x:f>
        <x:v>5792.05703573309</x:v>
      </x:c>
      <x:c r="AF51" s="47" t="n">
        <x:f>IF(Y51+Z51+AB51&gt;0,AD51*AB51/(Y51+Z51+AB51),0)</x:f>
        <x:v>541.4453078068586</x:v>
      </x:c>
      <x:c r="AG51" s="47" t="n">
        <x:f>AD51*family_mult</x:f>
        <x:v>24922.337677728086</x:v>
      </x:c>
      <x:c r="AH51" s="47" t="n">
        <x:f>AH50*(1+Paths!C51)+AG51</x:f>
        <x:v>95863.56041923849</x:v>
      </x:c>
      <x:c r="AI51" s="47" t="n">
        <x:f>IF(AND(mig_endo=1,$A51&gt;=talent_start),chain_rate*AH50,0)</x:f>
        <x:v>1044.2770766660024</x:v>
      </x:c>
      <x:c r="AJ51" s="47" t="n">
        <x:f>IF(AND(mig_endo=1,$A51&gt;=talent_start),IF(H50&gt;0,H50*job_fill,H50*job_return)*job_family,0)</x:f>
        <x:v>4634.628546738758</x:v>
      </x:c>
      <x:c r="AK51" s="47" t="n">
        <x:f>K51*gw_conv_family</x:f>
        <x:v>4366.693689712712</x:v>
      </x:c>
      <x:c r="AL51" s="47" t="n">
        <x:f>AG51+AI51+AJ51+AK51+AR51</x:f>
        <x:v>62265.80459277468</x:v>
      </x:c>
      <x:c r="AM51" s="47" t="n">
        <x:f>AM50*(1-skill_ret)+AD51</x:f>
        <x:v>39536.60498203249</x:v>
      </x:c>
      <x:c r="AN51" s="64" t="n">
        <x:f>AM51/B51</x:f>
        <x:v>0.017749520365578156</x:v>
      </x:c>
      <x:c r="AO51" s="64" t="n">
        <x:f>(skill_rel-1+skill_spill)*AM50/B50-AT51</x:f>
        <x:v>0.013963778938157851</x:v>
      </x:c>
      <x:c r="AP51" s="64" t="n">
        <x:f>talent_champ*AM50/(skill_base_share*B50)</x:f>
        <x:v>0.027146500107505675</x:v>
      </x:c>
      <x:c r="AQ51" s="45" t="n">
        <x:v>484000</x:v>
      </x:c>
      <x:c r="AR51" s="47" t="n">
        <x:f>IF(AND(div_on=1,$A51&gt;=div_start),AQ51*MIN(div_max,div_rate*U51)*(1-div_comp*S51),0)</x:f>
        <x:v>27297.867601929123</x:v>
      </x:c>
      <x:c r="AS51" s="47" t="n">
        <x:f>AS50*(1-div_assim)+AR51</x:f>
        <x:v>98294.98851962</x:v>
      </x:c>
      <x:c r="AT51" s="64" t="n">
        <x:f>(1-div_rel)*AS50/Economy!B50</x:f>
        <x:v>0.003681446131720839</x:v>
      </x:c>
      <x:c r="AU51" s="47" t="n">
        <x:f>AU50*(1-skill_ret)+AE51</x:f>
        <x:v>20378.168326377363</x:v>
      </x:c>
      <x:c r="AV51" s="47" t="n">
        <x:f>AV50*(1+union_nat)+AR51</x:f>
        <x:v>113815.37171324727</x:v>
      </x:c>
      <x:c r="AW51" s="47" t="n">
        <x:f>AW50*(1+union_nat)+AE51*family_mult</x:f>
        <x:v>48790.60179807314</x:v>
      </x:c>
      <x:c r="AX51" s="67" t="n">
        <x:f>V51-(AV51+AW51)/1000000</x:f>
        <x:v>50.77739402648868</x:v>
      </x:c>
      <x:c r="AY51" s="47" t="n">
        <x:f>L51*gw_union</x:f>
        <x:v>26311.166353629393</x:v>
      </x:c>
      <x:c r="AZ51" s="46" t="n">
        <x:v>1.099</x:v>
      </x:c>
      <x:c r="BA51" s="47" t="n">
        <x:f>Economy!Q51*AZ51/lf_rate</x:f>
        <x:v>539.0333333333334</x:v>
      </x:c>
      <x:c r="BB51" s="64" t="n">
        <x:f>bd_growth*AU50/W50</x:f>
        <x:v>0.00017809659695536352</x:v>
      </x:c>
      <x:c r="BC51" s="64" t="n">
        <x:f>tg_k*MIN(1,Economy!O50/BK50)</x:f>
        <x:v>0.0004937958418212281</x:v>
      </x:c>
      <x:c r="BD51" s="64" t="n">
        <x:f>emu_g*S51</x:f>
        <x:v>0</x:v>
      </x:c>
      <x:c r="BE51" s="65" t="n">
        <x:f>BE50*(1-BB51-BC51+BD51)</x:f>
        <x:v>0.988167335049949</x:v>
      </x:c>
      <x:c r="BF51" s="46" t="n">
        <x:v>1</x:v>
      </x:c>
      <x:c r="BG51" s="53" t="n">
        <x:f>AU51*BA51*BE51*(skill_rel-1+skill_spill)/1000000</x:f>
        <x:v>14.110896735073872</x:v>
      </x:c>
      <x:c r="BH51" s="53" t="n">
        <x:f>union_disp*(Champions!AP51+Champions!AZ51)*(1-IF(union_resp=2,mkt_cut*S51,0))</x:f>
        <x:v>26.774253774115245</x:v>
      </x:c>
      <x:c r="BI51" s="53" t="n">
        <x:f>AY51*BA51*BE51/1000000</x:f>
        <x:v>14.014777800403332</x:v>
      </x:c>
      <x:c r="BJ51" s="47" t="n">
        <x:f>V51*Economy!Q51*AZ51</x:f>
        <x:v>11532.510359999998</x:v>
      </x:c>
      <x:c r="BK51" s="47" t="n">
        <x:f>MAX(0.3*BJ51,AX51*Economy!Q51*AZ51*BE51*BF51-BG51-BH51-BI51)</x:f>
        <x:v>11304.77267989362</x:v>
      </x:c>
      <x:c r="BL51" s="63" t="n">
        <x:f>1-BK51/BJ51</x:f>
        <x:v>0.019747450728184623</x:v>
      </x:c>
      <x:c r="BM51" s="47" t="n">
        <x:f>MAX(0,BH51-BH50)*1000000/BA51</x:f>
        <x:v>7597.317396865878</x:v>
      </x:c>
      <x:c r="BN51" s="47" t="n">
        <x:f>BN50*(1-IF(AND($A51&gt;=1930,$A51&lt;=1932),0,union_reabsorb))+BM51</x:f>
        <x:v>16920.450078434773</x:v>
      </x:c>
      <x:c r="BO51" s="59" t="n">
        <x:v>0.066</x:v>
      </x:c>
      <x:c r="BP51" s="63" t="n">
        <x:f>BO51+BN51/(AX51*1000000*lf_rate)</x:f>
        <x:v>0.06679340002915508</x:v>
      </x:c>
    </x:row>
    <x:row r="52">
      <x:c r="A52" s="58" t="n">
        <x:v>1892</x:v>
      </x:c>
      <x:c r="B52" s="47" t="n">
        <x:f>Economy!B52*lf_rate</x:f>
        <x:v>2331926.182841108</x:v>
      </x:c>
      <x:c r="C52" s="47" t="n">
        <x:f>Economy!O52*1000000/(B52+L52)</x:f>
        <x:v>853.3501889806313</x:v>
      </x:c>
      <x:c r="D52" s="47" t="n">
        <x:f>Champions!AP52*1000000/(C52*champ_prem)</x:f>
        <x:v>56224.46779310465</x:v>
      </x:c>
      <x:c r="E52" s="47" t="n">
        <x:f>D52*job_mult</x:f>
        <x:v>39357.12745517326</x:v>
      </x:c>
      <x:c r="F52" s="47" t="n">
        <x:f>D52+E52</x:f>
        <x:v>95581.59524827791</x:v>
      </x:c>
      <x:c r="G52" s="63" t="n">
        <x:f>F52/B52</x:f>
        <x:v>0.04098825938470566</x:v>
      </x:c>
      <x:c r="H52" s="47" t="n">
        <x:f>F52-F51</x:f>
        <x:v>11824.474415391582</x:v>
      </x:c>
      <x:c r="I52" s="63" t="n">
        <x:f>MAX(0.005,pac_u_base*IF(Paths!AC52=1,pac_u_war,1)+(okun*(1-Economy!G52)*(B52+L52)-MAX(0,L51-L52))/B52)</x:f>
        <x:v>0.015</x:v>
      </x:c>
      <x:c r="J52" s="47" t="n">
        <x:f>IF(AND(gw_on=1,$A52&gt;=gw_start),MIN(gw_cap*B51,gw_cover*F51+gw_gen*B51),0)</x:f>
        <x:v>228452.2369189001</x:v>
      </x:c>
      <x:c r="K52" s="47" t="n">
        <x:f>L51*gw_conv</x:f>
        <x:v>3946.6749530444085</x:v>
      </x:c>
      <x:c r="L52" s="47" t="n">
        <x:f>MAX(0,L51-K52+gw_adj*(J52-L51))*MAX(0,1-gw_slump*(1-Economy!G52))</x:f>
        <x:v>166367.7188754038</x:v>
      </x:c>
      <x:c r="M52" s="47" t="n">
        <x:f>MAX(0,L52-L51+L51/gw_term)</x:f>
        <x:v>78663.8310299725</x:v>
      </x:c>
      <x:c r="N52" s="63" t="n">
        <x:f>L52/B52</x:f>
        <x:v>0.07134347566384339</x:v>
      </x:c>
      <x:c r="O52" s="53" t="n">
        <x:f>Economy!L52</x:f>
        <x:v>83.01333985543556</x:v>
      </x:c>
      <x:c r="P52" s="53" t="n">
        <x:f>O52*gw_wage_share</x:f>
        <x:v>53.95867090603311</x:v>
      </x:c>
      <x:c r="Q52" s="53" t="n">
        <x:f>P52*gw_levy</x:f>
        <x:v>13.489667726508278</x:v>
      </x:c>
      <x:c r="R52" s="53" t="n">
        <x:f>P52*gw_remit</x:f>
        <x:v>13.489667726508278</x:v>
      </x:c>
      <x:c r="S52" s="63" t="n">
        <x:f>IF(union_resp&gt;=1,MIN(1,MAX(0,($A52-resp_start)/(resp_full-resp_start))),0)</x:f>
        <x:v>0</x:v>
      </x:c>
      <x:c r="T52" s="67" t="n">
        <x:f>Economy!R51</x:f>
        <x:v>1.7763013703494037</x:v>
      </x:c>
      <x:c r="U52" s="67" t="n">
        <x:f>MAX(0,T52-gap_base)</x:f>
        <x:v>0.2763013703494037</x:v>
      </x:c>
      <x:c r="V52" s="68" t="n">
        <x:v>51.88</x:v>
      </x:c>
      <x:c r="W52" s="47" t="n">
        <x:f>V52*1000000*lf_rate*union_skill_share</x:f>
        <x:v>2614752</x:v>
      </x:c>
      <x:c r="X52" s="45" t="n">
        <x:v>84000</x:v>
      </x:c>
      <x:c r="Y52" s="47" t="n">
        <x:f>IF(AND(mig_endo=1,$A52&gt;=talent_start),talent_rate_u*W52*U52*(1-(1-bd_keep)*S52),0)</x:f>
        <x:v>7224.595607238441</x:v>
      </x:c>
      <x:c r="Z52" s="47" t="n">
        <x:f>IF(AND(mig_endo=1,$A52&gt;=talent_start),X52*MIN(0.5,talent_share_o*U52)*(1-eu_comp*S52),0)</x:f>
        <x:v>6266.515079524477</x:v>
      </x:c>
      <x:c r="AA52" s="45" t="n">
        <x:v>13000</x:v>
      </x:c>
      <x:c r="AB52" s="47" t="n">
        <x:f>IF(AND(mig_endo=1,$A52&gt;=talent_start),AA52*MIN(0.5,talent_share_a*U52),0)</x:f>
        <x:v>718.3835629084497</x:v>
      </x:c>
      <x:c r="AC52" s="47" t="n">
        <x:f>entry_cap*People!B52</x:f>
        <x:v>16267.490205573047</x:v>
      </x:c>
      <x:c r="AD52" s="47" t="n">
        <x:f>MIN(AC52,Y52+Z52+AB52)</x:f>
        <x:v>14209.494249671367</x:v>
      </x:c>
      <x:c r="AE52" s="47" t="n">
        <x:f>IF(Y52+Z52+AB52&gt;0,AD52*Y52/(Y52+Z52+AB52),0)</x:f>
        <x:v>7224.595607238441</x:v>
      </x:c>
      <x:c r="AF52" s="47" t="n">
        <x:f>IF(Y52+Z52+AB52&gt;0,AD52*AB52/(Y52+Z52+AB52),0)</x:f>
        <x:v>718.3835629084497</x:v>
      </x:c>
      <x:c r="AG52" s="47" t="n">
        <x:f>AD52*family_mult</x:f>
        <x:v>31260.887349277007</x:v>
      </x:c>
      <x:c r="AH52" s="47" t="n">
        <x:f>AH51*(1+Paths!C52)+AG52</x:f>
        <x:v>128945.85541648102</x:v>
      </x:c>
      <x:c r="AI52" s="47" t="n">
        <x:f>IF(AND(mig_endo=1,$A52&gt;=talent_start),chain_rate*AH51,0)</x:f>
        <x:v>1437.9534062885773</x:v>
      </x:c>
      <x:c r="AJ52" s="47" t="n">
        <x:f>IF(AND(mig_endo=1,$A52&gt;=talent_start),IF(H51&gt;0,H51*job_fill,H51*job_return)*job_family,0)</x:f>
        <x:v>7473.822184405951</x:v>
      </x:c>
      <x:c r="AK52" s="47" t="n">
        <x:f>K52*gw_conv_family</x:f>
        <x:v>7104.014915479936</x:v>
      </x:c>
      <x:c r="AL52" s="47" t="n">
        <x:f>AG52+AI52+AJ52+AK52+AR52</x:f>
        <x:v>79189.48613080759</x:v>
      </x:c>
      <x:c r="AM52" s="47" t="n">
        <x:f>AM51*(1-skill_ret)+AD52</x:f>
        <x:v>52757.68410715305</x:v>
      </x:c>
      <x:c r="AN52" s="64" t="n">
        <x:f>AM52/B52</x:f>
        <x:v>0.022624079825235115</x:v>
      </x:c>
      <x:c r="AO52" s="64" t="n">
        <x:f>(skill_rel-1+skill_spill)*AM51/B51-AT52</x:f>
        <x:v>0.018440889744603</x:v>
      </x:c>
      <x:c r="AP52" s="64" t="n">
        <x:f>talent_champ*AM51/(skill_base_share*B51)</x:f>
        <x:v>0.03549904073115631</x:v>
      </x:c>
      <x:c r="AQ52" s="45" t="n">
        <x:v>462000</x:v>
      </x:c>
      <x:c r="AR52" s="47" t="n">
        <x:f>IF(AND(div_on=1,$A52&gt;=div_start),AQ52*MIN(div_max,div_rate*U52)*(1-div_comp*S52),0)</x:f>
        <x:v>31912.80827535613</x:v>
      </x:c>
      <x:c r="AS52" s="47" t="n">
        <x:f>AS51*(1-div_assim)+AR52</x:f>
        <x:v>125293.04736899513</x:v>
      </x:c>
      <x:c r="AT52" s="64" t="n">
        <x:f>(1-div_rel)*AS51/Economy!B51</x:f>
        <x:v>0.0046334867306486015</x:v>
      </x:c>
      <x:c r="AU52" s="47" t="n">
        <x:f>AU51*(1-skill_ret)+AE52</x:f>
        <x:v>27093.30972545637</x:v>
      </x:c>
      <x:c r="AV52" s="47" t="n">
        <x:f>AV51*(1+union_nat)+AR52</x:f>
        <x:v>147207.77982087558</x:v>
      </x:c>
      <x:c r="AW52" s="47" t="n">
        <x:f>AW51*(1+union_nat)+AE52*family_mult</x:f>
        <x:v>65318.98995737266</x:v>
      </x:c>
      <x:c r="AX52" s="67" t="n">
        <x:f>V52-(AV52+AW52)/1000000</x:f>
        <x:v>51.66747323022175</x:v>
      </x:c>
      <x:c r="AY52" s="47" t="n">
        <x:f>L52*gw_union</x:f>
        <x:v>33273.54377508076</x:v>
      </x:c>
      <x:c r="AZ52" s="46" t="n">
        <x:v>1.098</x:v>
      </x:c>
      <x:c r="BA52" s="47" t="n">
        <x:f>Economy!Q52*AZ52/lf_rate</x:f>
        <x:v>535.9285714285716</x:v>
      </x:c>
      <x:c r="BB52" s="64" t="n">
        <x:f>bd_growth*AU51/W51</x:f>
        <x:v>0.00023812057516753326</x:v>
      </x:c>
      <x:c r="BC52" s="64" t="n">
        <x:f>tg_k*MIN(1,Economy!O51/BK51)</x:f>
        <x:v>0.0005277742150424078</x:v>
      </x:c>
      <x:c r="BD52" s="64" t="n">
        <x:f>emu_g*S52</x:f>
        <x:v>0</x:v>
      </x:c>
      <x:c r="BE52" s="65" t="n">
        <x:f>BE51*(1-BB52-BC52+BD52)</x:f>
        <x:v>0.9874105028361786</x:v>
      </x:c>
      <x:c r="BF52" s="46" t="n">
        <x:v>1</x:v>
      </x:c>
      <x:c r="BG52" s="53" t="n">
        <x:f>AU52*BA52*BE52*(skill_rel-1+skill_spill)/1000000</x:f>
        <x:v>18.63846177161963</x:v>
      </x:c>
      <x:c r="BH52" s="53" t="n">
        <x:f>union_disp*(Champions!AP52+Champions!AZ52)*(1-IF(union_resp=2,mkt_cut*S52,0))</x:f>
        <x:v>31.03296266237491</x:v>
      </x:c>
      <x:c r="BI52" s="53" t="n">
        <x:f>AY52*BA52*BE52/1000000</x:f>
        <x:v>17.607743811819716</x:v>
      </x:c>
      <x:c r="BJ52" s="47" t="n">
        <x:f>V52*Economy!Q52*AZ52</x:f>
        <x:v>11677.6692</x:v>
      </x:c>
      <x:c r="BK52" s="47" t="n">
        <x:f>MAX(0.3*BJ52,AX52*Economy!Q52*AZ52*BE52*BF52-BG52-BH52-BI52)</x:f>
        <x:v>11416.138649838027</x:v>
      </x:c>
      <x:c r="BL52" s="63" t="n">
        <x:f>1-BK52/BJ52</x:f>
        <x:v>0.022395783412153314</x:v>
      </x:c>
      <x:c r="BM52" s="47" t="n">
        <x:f>MAX(0,BH52-BH51)*1000000/BA52</x:f>
        <x:v>7946.41136020729</x:v>
      </x:c>
      <x:c r="BN52" s="47" t="n">
        <x:f>BN51*(1-IF(AND($A52&gt;=1930,$A52&lt;=1932),0,union_reabsorb))+BM52</x:f>
        <x:v>20636.74891903337</x:v>
      </x:c>
      <x:c r="BO52" s="59" t="n">
        <x:v>0.091</x:v>
      </x:c>
      <x:c r="BP52" s="63" t="n">
        <x:f>BO52+BN52/(AX52*1000000*lf_rate)</x:f>
        <x:v>0.09195098740855685</x:v>
      </x:c>
    </x:row>
    <x:row r="53">
      <x:c r="A53" s="58" t="n">
        <x:v>1893</x:v>
      </x:c>
      <x:c r="B53" s="47" t="n">
        <x:f>Economy!B53*lf_rate</x:f>
        <x:v>2444250.2706904174</x:v>
      </x:c>
      <x:c r="C53" s="47" t="n">
        <x:f>Economy!O53*1000000/(B53+L53)</x:f>
        <x:v>827.6292781339154</x:v>
      </x:c>
      <x:c r="D53" s="47" t="n">
        <x:f>Champions!AP53*1000000/(C53*champ_prem)</x:f>
        <x:v>66440.72519244709</x:v>
      </x:c>
      <x:c r="E53" s="47" t="n">
        <x:f>D53*job_mult</x:f>
        <x:v>46508.50763471296</x:v>
      </x:c>
      <x:c r="F53" s="47" t="n">
        <x:f>D53+E53</x:f>
        <x:v>112949.23282716004</x:v>
      </x:c>
      <x:c r="G53" s="63" t="n">
        <x:f>F53/B53</x:f>
        <x:v>0.04621017503058544</x:v>
      </x:c>
      <x:c r="H53" s="47" t="n">
        <x:f>F53-F52</x:f>
        <x:v>17367.63757888213</x:v>
      </x:c>
      <x:c r="I53" s="63" t="n">
        <x:f>MAX(0.005,pac_u_base*IF(Paths!AC53=1,pac_u_war,1)+(okun*(1-Economy!G53)*(B53+L53)-MAX(0,L52-L53))/B53)</x:f>
        <x:v>0.04181036652582563</x:v>
      </x:c>
      <x:c r="J53" s="47" t="n">
        <x:f>IF(AND(gw_on=1,$A53&gt;=gw_start),MIN(gw_cap*B52,gw_cover*F52+gw_gen*B52),0)</x:f>
        <x:v>243903.05177625542</x:v>
      </x:c>
      <x:c r="K53" s="47" t="n">
        <x:f>L52*gw_conv</x:f>
        <x:v>4991.031566262114</x:v>
      </x:c>
      <x:c r="L53" s="47" t="n">
        <x:f>MAX(0,L52-K53+gw_adj*(J53-L52))*MAX(0,1-gw_slump*(1-Economy!G53))</x:f>
        <x:v>176999.55483192374</x:v>
      </x:c>
      <x:c r="M53" s="47" t="n">
        <x:f>MAX(0,L53-L52+L52/gw_term)</x:f>
        <x:v>66087.74224832121</x:v>
      </x:c>
      <x:c r="N53" s="63" t="n">
        <x:f>L53/B53</x:f>
        <x:v>0.072414661033024</x:v>
      </x:c>
      <x:c r="O53" s="53" t="n">
        <x:f>Economy!L53</x:f>
        <x:v>85.34255657427217</x:v>
      </x:c>
      <x:c r="P53" s="53" t="n">
        <x:f>O53*gw_wage_share</x:f>
        <x:v>55.47266177327691</x:v>
      </x:c>
      <x:c r="Q53" s="53" t="n">
        <x:f>P53*gw_levy</x:f>
        <x:v>13.868165443319228</x:v>
      </x:c>
      <x:c r="R53" s="53" t="n">
        <x:f>P53*gw_remit</x:f>
        <x:v>13.868165443319228</x:v>
      </x:c>
      <x:c r="S53" s="63" t="n">
        <x:f>IF(union_resp&gt;=1,MIN(1,MAX(0,($A53-resp_start)/(resp_full-resp_start))),0)</x:f>
        <x:v>0</x:v>
      </x:c>
      <x:c r="T53" s="67" t="n">
        <x:f>Economy!R52</x:f>
        <x:v>1.818566944322384</x:v>
      </x:c>
      <x:c r="U53" s="67" t="n">
        <x:f>MAX(0,T53-gap_base)</x:f>
        <x:v>0.31856694432238397</x:v>
      </x:c>
      <x:c r="V53" s="68" t="n">
        <x:v>52.82</x:v>
      </x:c>
      <x:c r="W53" s="47" t="n">
        <x:f>V53*1000000*lf_rate*union_skill_share</x:f>
        <x:v>2662128</x:v>
      </x:c>
      <x:c r="X53" s="45" t="n">
        <x:v>86000</x:v>
      </x:c>
      <x:c r="Y53" s="47" t="n">
        <x:f>IF(AND(mig_endo=1,$A53&gt;=talent_start),talent_rate_u*W53*U53*(1-(1-bd_keep)*S53),0)</x:f>
        <x:v>8480.659823550594</x:v>
      </x:c>
      <x:c r="Z53" s="47" t="n">
        <x:f>IF(AND(mig_endo=1,$A53&gt;=talent_start),X53*MIN(0.5,talent_share_o*U53)*(1-eu_comp*S53),0)</x:f>
        <x:v>7397.1244471657565</x:v>
      </x:c>
      <x:c r="AA53" s="45" t="n">
        <x:v>14000</x:v>
      </x:c>
      <x:c r="AB53" s="47" t="n">
        <x:f>IF(AND(mig_endo=1,$A53&gt;=talent_start),AA53*MIN(0.5,talent_share_a*U53),0)</x:f>
        <x:v>891.9874441026751</x:v>
      </x:c>
      <x:c r="AC53" s="47" t="n">
        <x:f>entry_cap*People!B53</x:f>
        <x:v>17045.74097787136</x:v>
      </x:c>
      <x:c r="AD53" s="47" t="n">
        <x:f>MIN(AC53,Y53+Z53+AB53)</x:f>
        <x:v>16769.771714819028</x:v>
      </x:c>
      <x:c r="AE53" s="47" t="n">
        <x:f>IF(Y53+Z53+AB53&gt;0,AD53*Y53/(Y53+Z53+AB53),0)</x:f>
        <x:v>8480.659823550594</x:v>
      </x:c>
      <x:c r="AF53" s="47" t="n">
        <x:f>IF(Y53+Z53+AB53&gt;0,AD53*AB53/(Y53+Z53+AB53),0)</x:f>
        <x:v>891.9874441026751</x:v>
      </x:c>
      <x:c r="AG53" s="47" t="n">
        <x:f>AD53*family_mult</x:f>
        <x:v>36893.49777260186</x:v>
      </x:c>
      <x:c r="AH53" s="47" t="n">
        <x:f>AH52*(1+Paths!C53)+AG53</x:f>
        <x:v>168289.32444199602</x:v>
      </x:c>
      <x:c r="AI53" s="47" t="n">
        <x:f>IF(AND(mig_endo=1,$A53&gt;=talent_start),chain_rate*AH52,0)</x:f>
        <x:v>1934.1878312472152</x:v>
      </x:c>
      <x:c r="AJ53" s="47" t="n">
        <x:f>IF(AND(mig_endo=1,$A53&gt;=talent_start),IF(H52&gt;0,H52*job_fill,H52*job_return)*job_family,0)</x:f>
        <x:v>7449.418881696696</x:v>
      </x:c>
      <x:c r="AK53" s="47" t="n">
        <x:f>K53*gw_conv_family</x:f>
        <x:v>8983.856819271807</x:v>
      </x:c>
      <x:c r="AL53" s="47" t="n">
        <x:f>AG53+AI53+AJ53+AK53+AR53</x:f>
        <x:v>90303.32518027982</x:v>
      </x:c>
      <x:c r="AM53" s="47" t="n">
        <x:f>AM52*(1-skill_ret)+AD53</x:f>
        <x:v>68208.51371929326</x:v>
      </x:c>
      <x:c r="AN53" s="64" t="n">
        <x:f>AM53/B53</x:f>
        <x:v>0.02790569956652871</x:v>
      </x:c>
      <x:c r="AO53" s="64" t="n">
        <x:f>(skill_rel-1+skill_spill)*AM52/B52-AT53</x:f>
        <x:v>0.023769714398944715</x:v>
      </x:c>
      <x:c r="AP53" s="64" t="n">
        <x:f>talent_champ*AM52/(skill_base_share*B52)</x:f>
        <x:v>0.045248159650470236</x:v>
      </x:c>
      <x:c r="AQ53" s="45" t="n">
        <x:v>440000</x:v>
      </x:c>
      <x:c r="AR53" s="47" t="n">
        <x:f>IF(AND(div_on=1,$A53&gt;=div_start),AQ53*MIN(div_max,div_rate*U53)*(1-div_comp*S53),0)</x:f>
        <x:v>35042.36387546224</x:v>
      </x:c>
      <x:c r="AS53" s="47" t="n">
        <x:f>AS52*(1-div_assim)+AR53</x:f>
        <x:v>154070.7588760076</x:v>
      </x:c>
      <x:c r="AT53" s="64" t="n">
        <x:f>(1-div_rel)*AS52/Economy!B52</x:f>
        <x:v>0.005641589373860935</x:v>
      </x:c>
      <x:c r="AU53" s="47" t="n">
        <x:f>AU52*(1-skill_ret)+AE53</x:f>
        <x:v>34896.636805870556</x:v>
      </x:c>
      <x:c r="AV53" s="47" t="n">
        <x:f>AV52*(1+union_nat)+AR53</x:f>
        <x:v>184163.84483400919</x:v>
      </x:c>
      <x:c r="AW53" s="47" t="n">
        <x:f>AW52*(1+union_nat)+AE53*family_mult</x:f>
        <x:v>84825.5884386298</x:v>
      </x:c>
      <x:c r="AX53" s="67" t="n">
        <x:f>V53-(AV53+AW53)/1000000</x:f>
        <x:v>52.55101056672736</x:v>
      </x:c>
      <x:c r="AY53" s="47" t="n">
        <x:f>L53*gw_union</x:f>
        <x:v>35399.91096638475</x:v>
      </x:c>
      <x:c r="AZ53" s="46" t="n">
        <x:v>1.097</x:v>
      </x:c>
      <x:c r="BA53" s="47" t="n">
        <x:f>Economy!Q53*AZ53/lf_rate</x:f>
        <x:v>530.2166666666667</x:v>
      </x:c>
      <x:c r="BB53" s="64" t="n">
        <x:f>bd_growth*AU52/W52</x:f>
        <x:v>0.0003108513892574481</x:v>
      </x:c>
      <x:c r="BC53" s="64" t="n">
        <x:f>tg_k*MIN(1,Economy!O52/BK52)</x:f>
        <x:v>0.0005602383534092394</x:v>
      </x:c>
      <x:c r="BD53" s="64" t="n">
        <x:f>emu_g*S53</x:f>
        <x:v>0</x:v>
      </x:c>
      <x:c r="BE53" s="65" t="n">
        <x:f>BE52*(1-BB53-BC53+BD53)</x:f>
        <x:v>0.9865503796753566</x:v>
      </x:c>
      <x:c r="BF53" s="46" t="n">
        <x:v>1</x:v>
      </x:c>
      <x:c r="BG53" s="53" t="n">
        <x:f>AU53*BA53*BE53*(skill_rel-1+skill_spill)/1000000</x:f>
        <x:v>23.73010003006318</x:v>
      </x:c>
      <x:c r="BH53" s="53" t="n">
        <x:f>union_disp*(Champions!AP53+Champions!AZ53)*(1-IF(union_resp=2,mkt_cut*S53,0))</x:f>
        <x:v>35.669153958937336</x:v>
      </x:c>
      <x:c r="BI53" s="53" t="n">
        <x:f>AY53*BA53*BE53/1000000</x:f>
        <x:v>18.517178492692114</x:v>
      </x:c>
      <x:c r="BJ53" s="47" t="n">
        <x:f>V53*Economy!Q53*AZ53</x:f>
        <x:v>11762.538620000001</x:v>
      </x:c>
      <x:c r="BK53" s="47" t="n">
        <x:f>MAX(0.3*BJ53,AX53*Economy!Q53*AZ53*BE53*BF53-BG53-BH53-BI53)</x:f>
        <x:v>11467.324635920455</x:v>
      </x:c>
      <x:c r="BL53" s="63" t="n">
        <x:f>1-BK53/BJ53</x:f>
        <x:v>0.02509781209794204</x:v>
      </x:c>
      <x:c r="BM53" s="47" t="n">
        <x:f>MAX(0,BH53-BH52)*1000000/BA53</x:f>
        <x:v>8743.956174951925</x:v>
      </x:c>
      <x:c r="BN53" s="47" t="n">
        <x:f>BN52*(1-IF(AND($A53&gt;=1930,$A53&lt;=1932),0,union_reabsorb))+BM53</x:f>
        <x:v>24221.517864226953</x:v>
      </x:c>
      <x:c r="BO53" s="59" t="n">
        <x:v>0.117</x:v>
      </x:c>
      <x:c r="BP53" s="63" t="n">
        <x:f>BO53+BN53/(AX53*1000000*lf_rate)</x:f>
        <x:v>0.11809741525438192</x:v>
      </x:c>
    </x:row>
    <x:row r="54">
      <x:c r="A54" s="58" t="n">
        <x:v>1894</x:v>
      </x:c>
      <x:c r="B54" s="47" t="n">
        <x:f>Economy!B54*lf_rate</x:f>
        <x:v>2559935.899150719</x:v>
      </x:c>
      <x:c r="C54" s="47" t="n">
        <x:f>Economy!O54*1000000/(B54+L54)</x:f>
        <x:v>834.0024793104858</x:v>
      </x:c>
      <x:c r="D54" s="47" t="n">
        <x:f>Champions!AP54*1000000/(C54*champ_prem)</x:f>
        <x:v>74467.61551587358</x:v>
      </x:c>
      <x:c r="E54" s="47" t="n">
        <x:f>D54*job_mult</x:f>
        <x:v>52127.3308611115</x:v>
      </x:c>
      <x:c r="F54" s="47" t="n">
        <x:f>D54+E54</x:f>
        <x:v>126594.94637698508</x:v>
      </x:c>
      <x:c r="G54" s="63" t="n">
        <x:f>F54/B54</x:f>
        <x:v>0.04945238918637926</x:v>
      </x:c>
      <x:c r="H54" s="47" t="n">
        <x:f>F54-F53</x:f>
        <x:v>13645.713549825043</x:v>
      </x:c>
      <x:c r="I54" s="63" t="n">
        <x:f>MAX(0.005,pac_u_base*IF(Paths!AC54=1,pac_u_war,1)+(okun*(1-Economy!G54)*(B54+L54)-MAX(0,L53-L54))/B54)</x:f>
        <x:v>0.04718462971741231</x:v>
      </x:c>
      <x:c r="J54" s="47" t="n">
        <x:f>IF(AND(gw_on=1,$A54&gt;=gw_start),MIN(gw_cap*B53,gw_cover*F53+gw_gen*B53),0)</x:f>
        <x:v>263309.56135152944</x:v>
      </x:c>
      <x:c r="K54" s="47" t="n">
        <x:f>L53*gw_conv</x:f>
        <x:v>5309.986644957712</x:v>
      </x:c>
      <x:c r="L54" s="47" t="n">
        <x:f>MAX(0,L53-K54+gw_adj*(J54-L53))*MAX(0,1-gw_slump*(1-Economy!G54))</x:f>
        <x:v>186417.0679985067</x:v>
      </x:c>
      <x:c r="M54" s="47" t="n">
        <x:f>MAX(0,L54-L53+L53/gw_term)</x:f>
        <x:v>68417.36477722423</x:v>
      </x:c>
      <x:c r="N54" s="63" t="n">
        <x:f>L54/B54</x:f>
        <x:v>0.07282099058040953</x:v>
      </x:c>
      <x:c r="O54" s="53" t="n">
        <x:f>Economy!L54</x:f>
        <x:v>90.43658839997296</x:v>
      </x:c>
      <x:c r="P54" s="53" t="n">
        <x:f>O54*gw_wage_share</x:f>
        <x:v>58.783782459982426</x:v>
      </x:c>
      <x:c r="Q54" s="53" t="n">
        <x:f>P54*gw_levy</x:f>
        <x:v>14.695945614995606</x:v>
      </x:c>
      <x:c r="R54" s="53" t="n">
        <x:f>P54*gw_remit</x:f>
        <x:v>14.695945614995606</x:v>
      </x:c>
      <x:c r="S54" s="63" t="n">
        <x:f>IF(union_resp&gt;=1,MIN(1,MAX(0,($A54-resp_start)/(resp_full-resp_start))),0)</x:f>
        <x:v>0</x:v>
      </x:c>
      <x:c r="T54" s="67" t="n">
        <x:f>Economy!R53</x:f>
        <x:v>1.782132637261698</x:v>
      </x:c>
      <x:c r="U54" s="67" t="n">
        <x:f>MAX(0,T54-gap_base)</x:f>
        <x:v>0.2821326372616979</x:v>
      </x:c>
      <x:c r="V54" s="68" t="n">
        <x:v>53.76</x:v>
      </x:c>
      <x:c r="W54" s="47" t="n">
        <x:f>V54*1000000*lf_rate*union_skill_share</x:f>
        <x:v>2709504</x:v>
      </x:c>
      <x:c r="X54" s="45" t="n">
        <x:v>88000</x:v>
      </x:c>
      <x:c r="Y54" s="47" t="n">
        <x:f>IF(AND(mig_endo=1,$A54&gt;=talent_start),talent_rate_u*W54*U54*(1-(1-bd_keep)*S54),0)</x:f>
        <x:v>7644.395091911196</x:v>
      </x:c>
      <x:c r="Z54" s="47" t="n">
        <x:f>IF(AND(mig_endo=1,$A54&gt;=talent_start),X54*MIN(0.5,talent_share_o*U54)*(1-eu_comp*S54),0)</x:f>
        <x:v>6703.471461337943</x:v>
      </x:c>
      <x:c r="AA54" s="45" t="n">
        <x:v>14000</x:v>
      </x:c>
      <x:c r="AB54" s="47" t="n">
        <x:f>IF(AND(mig_endo=1,$A54&gt;=talent_start),AA54*MIN(0.5,talent_share_a*U54),0)</x:f>
        <x:v>789.9713843327542</x:v>
      </x:c>
      <x:c r="AC54" s="47" t="n">
        <x:f>entry_cap*People!B54</x:f>
        <x:v>17872.120031991755</x:v>
      </x:c>
      <x:c r="AD54" s="47" t="n">
        <x:f>MIN(AC54,Y54+Z54+AB54)</x:f>
        <x:v>15137.837937581893</x:v>
      </x:c>
      <x:c r="AE54" s="47" t="n">
        <x:f>IF(Y54+Z54+AB54&gt;0,AD54*Y54/(Y54+Z54+AB54),0)</x:f>
        <x:v>7644.395091911196</x:v>
      </x:c>
      <x:c r="AF54" s="47" t="n">
        <x:f>IF(Y54+Z54+AB54&gt;0,AD54*AB54/(Y54+Z54+AB54),0)</x:f>
        <x:v>789.9713843327542</x:v>
      </x:c>
      <x:c r="AG54" s="47" t="n">
        <x:f>AD54*family_mult</x:f>
        <x:v>33303.24346268017</x:v>
      </x:c>
      <x:c r="AH54" s="47" t="n">
        <x:f>AH53*(1+Paths!C54)+AG54</x:f>
        <x:v>204790.0650690741</x:v>
      </x:c>
      <x:c r="AI54" s="47" t="n">
        <x:f>IF(AND(mig_endo=1,$A54&gt;=talent_start),chain_rate*AH53,0)</x:f>
        <x:v>2524.3398666299404</x:v>
      </x:c>
      <x:c r="AJ54" s="47" t="n">
        <x:f>IF(AND(mig_endo=1,$A54&gt;=talent_start),IF(H53&gt;0,H53*job_fill,H53*job_return)*job_family,0)</x:f>
        <x:v>10941.611674695743</x:v>
      </x:c>
      <x:c r="AK54" s="47" t="n">
        <x:f>K54*gw_conv_family</x:f>
        <x:v>9557.975960923883</x:v>
      </x:c>
      <x:c r="AL54" s="47" t="n">
        <x:f>AG54+AI54+AJ54+AK54+AR54</x:f>
        <x:v>85034.16680630749</x:v>
      </x:c>
      <x:c r="AM54" s="47" t="n">
        <x:f>AM53*(1-skill_ret)+AD54</x:f>
        <x:v>81641.13881389282</x:v>
      </x:c>
      <x:c r="AN54" s="64" t="n">
        <x:f>AM54/B54</x:f>
        <x:v>0.03189186840224319</x:v>
      </x:c>
      <x:c r="AO54" s="64" t="n">
        <x:f>(skill_rel-1+skill_spill)*AM53/B53-AT54</x:f>
        <x:v>0.02965884427727749</x:v>
      </x:c>
      <x:c r="AP54" s="64" t="n">
        <x:f>talent_champ*AM53/(skill_base_share*B53)</x:f>
        <x:v>0.05581139913305742</x:v>
      </x:c>
      <x:c r="AQ54" s="45" t="n">
        <x:v>407000</x:v>
      </x:c>
      <x:c r="AR54" s="47" t="n">
        <x:f>IF(AND(div_on=1,$A54&gt;=div_start),AQ54*MIN(div_max,div_rate*U54)*(1-div_comp*S54),0)</x:f>
        <x:v>28706.99584137776</x:v>
      </x:c>
      <x:c r="AS54" s="47" t="n">
        <x:f>AS53*(1-div_assim)+AR54</x:f>
        <x:v>175074.21677358498</x:v>
      </x:c>
      <x:c r="AT54" s="64" t="n">
        <x:f>(1-div_rel)*AS53/Economy!B53</x:f>
        <x:v>0.006618565159209832</x:v>
      </x:c>
      <x:c r="AU54" s="47" t="n">
        <x:f>AU53*(1-skill_ret)+AE54</x:f>
        <x:v>41668.61597763499</x:v>
      </x:c>
      <x:c r="AV54" s="47" t="n">
        <x:f>AV53*(1+union_nat)+AR54</x:f>
        <x:v>215264.97065822905</x:v>
      </x:c>
      <x:c r="AW54" s="47" t="n">
        <x:f>AW53*(1+union_nat)+AE54*family_mult</x:f>
        <x:v>102745.99029053662</x:v>
      </x:c>
      <x:c r="AX54" s="67" t="n">
        <x:f>V54-(AV54+AW54)/1000000</x:f>
        <x:v>53.44198903905123</x:v>
      </x:c>
      <x:c r="AY54" s="47" t="n">
        <x:f>L54*gw_union</x:f>
        <x:v>37283.41359970134</x:v>
      </x:c>
      <x:c r="AZ54" s="46" t="n">
        <x:v>1.097</x:v>
      </x:c>
      <x:c r="BA54" s="47" t="n">
        <x:f>Economy!Q54*AZ54/lf_rate</x:f>
        <x:v>527.6047619047619</x:v>
      </x:c>
      <x:c r="BB54" s="64" t="n">
        <x:f>bd_growth*AU53/W53</x:f>
        <x:v>0.00039325648660624757</x:v>
      </x:c>
      <x:c r="BC54" s="64" t="n">
        <x:f>tg_k*MIN(1,Economy!O53/BK53)</x:f>
        <x:v>0.0005675490586819615</x:v>
      </x:c>
      <x:c r="BD54" s="64" t="n">
        <x:f>emu_g*S54</x:f>
        <x:v>0</x:v>
      </x:c>
      <x:c r="BE54" s="65" t="n">
        <x:f>BE53*(1-BB54-BC54+BD54)</x:f>
        <x:v>0.9856024965998583</x:v>
      </x:c>
      <x:c r="BF54" s="46" t="n">
        <x:v>1</x:v>
      </x:c>
      <x:c r="BG54" s="53" t="n">
        <x:f>AU54*BA54*BE54*(skill_rel-1+skill_spill)/1000000</x:f>
        <x:v>28.168448660795725</x:v>
      </x:c>
      <x:c r="BH54" s="53" t="n">
        <x:f>union_disp*(Champions!AP54+Champions!AZ54)*(1-IF(union_resp=2,mkt_cut*S54,0))</x:f>
        <x:v>40.35997307826118</x:v>
      </x:c>
      <x:c r="BI54" s="53" t="n">
        <x:f>AY54*BA54*BE54/1000000</x:f>
        <x:v>19.38769461125386</x:v>
      </x:c>
      <x:c r="BJ54" s="47" t="n">
        <x:f>V54*Economy!Q54*AZ54</x:f>
        <x:v>11912.89344</x:v>
      </x:c>
      <x:c r="BK54" s="47" t="n">
        <x:f>MAX(0.3*BJ54,AX54*Economy!Q54*AZ54*BE54*BF54-BG54-BH54-BI54)</x:f>
        <x:v>11584.006661248264</x:v>
      </x:c>
      <x:c r="BL54" s="63" t="n">
        <x:f>1-BK54/BJ54</x:f>
        <x:v>0.027607632050785424</x:v>
      </x:c>
      <x:c r="BM54" s="47" t="n">
        <x:f>MAX(0,BH54-BH53)*1000000/BA54</x:f>
        <x:v>8890.782377302696</x:v>
      </x:c>
      <x:c r="BN54" s="47" t="n">
        <x:f>BN53*(1-IF(AND($A54&gt;=1930,$A54&lt;=1932),0,union_reabsorb))+BM54</x:f>
        <x:v>27056.920775472914</x:v>
      </x:c>
      <x:c r="BO54" s="59" t="n">
        <x:v>0.184</x:v>
      </x:c>
      <x:c r="BP54" s="63" t="n">
        <x:f>BO54+BN54/(AX54*1000000*lf_rate)</x:f>
        <x:v>0.18520544240773912</x:v>
      </x:c>
    </x:row>
    <x:row r="55">
      <x:c r="A55" s="58" t="n">
        <x:v>1895</x:v>
      </x:c>
      <x:c r="B55" s="47" t="n">
        <x:f>Economy!B55*lf_rate</x:f>
        <x:v>2677130.3649620134</x:v>
      </x:c>
      <x:c r="C55" s="47" t="n">
        <x:f>Economy!O55*1000000/(B55+L55)</x:f>
        <x:v>870.797236467157</x:v>
      </x:c>
      <x:c r="D55" s="47" t="n">
        <x:f>Champions!AP55*1000000/(C55*champ_prem)</x:f>
        <x:v>79655.28776056848</x:v>
      </x:c>
      <x:c r="E55" s="47" t="n">
        <x:f>D55*job_mult</x:f>
        <x:v>55758.70143239793</x:v>
      </x:c>
      <x:c r="F55" s="47" t="n">
        <x:f>D55+E55</x:f>
        <x:v>135413.9891929664</x:v>
      </x:c>
      <x:c r="G55" s="63" t="n">
        <x:f>F55/B55</x:f>
        <x:v>0.05058176880933769</x:v>
      </x:c>
      <x:c r="H55" s="47" t="n">
        <x:f>F55-F54</x:f>
        <x:v>8819.042815981316</x:v>
      </x:c>
      <x:c r="I55" s="63" t="n">
        <x:f>MAX(0.005,pac_u_base*IF(Paths!AC55=1,pac_u_war,1)+(okun*(1-Economy!G55)*(B55+L55)-MAX(0,L54-L55))/B55)</x:f>
        <x:v>0.031165806087080142</x:v>
      </x:c>
      <x:c r="J55" s="47" t="n">
        <x:f>IF(AND(gw_on=1,$A55&gt;=gw_start),MIN(gw_cap*B54,gw_cover*F54+gw_gen*B54),0)</x:f>
        <x:v>280751.83975824853</x:v>
      </x:c>
      <x:c r="K55" s="47" t="n">
        <x:f>L54*gw_conv</x:f>
        <x:v>5592.5120399552015</x:v>
      </x:c>
      <x:c r="L55" s="47" t="n">
        <x:f>MAX(0,L54-K55+gw_adj*(J55-L54))*MAX(0,1-gw_slump*(1-Economy!G55))</x:f>
        <x:v>208067.65835865072</x:v>
      </x:c>
      <x:c r="M55" s="47" t="n">
        <x:f>MAX(0,L55-L54+L54/gw_term)</x:f>
        <x:v>83789.6130263129</x:v>
      </x:c>
      <x:c r="N55" s="63" t="n">
        <x:f>L55/B55</x:f>
        <x:v>0.07772040580534188</x:v>
      </x:c>
      <x:c r="O55" s="53" t="n">
        <x:f>Economy!L55</x:f>
        <x:v>105.67531555429237</x:v>
      </x:c>
      <x:c r="P55" s="53" t="n">
        <x:f>O55*gw_wage_share</x:f>
        <x:v>68.68895511029004</x:v>
      </x:c>
      <x:c r="Q55" s="53" t="n">
        <x:f>P55*gw_levy</x:f>
        <x:v>17.17223877757251</x:v>
      </x:c>
      <x:c r="R55" s="53" t="n">
        <x:f>P55*gw_remit</x:f>
        <x:v>17.17223877757251</x:v>
      </x:c>
      <x:c r="S55" s="63" t="n">
        <x:f>IF(union_resp&gt;=1,MIN(1,MAX(0,($A55-resp_start)/(resp_full-resp_start))),0)</x:f>
        <x:v>0</x:v>
      </x:c>
      <x:c r="T55" s="67" t="n">
        <x:f>Economy!R54</x:f>
        <x:v>1.8051312527020602</x:v>
      </x:c>
      <x:c r="U55" s="67" t="n">
        <x:f>MAX(0,T55-gap_base)</x:f>
        <x:v>0.3051312527020602</x:v>
      </x:c>
      <x:c r="V55" s="68" t="n">
        <x:v>54.7</x:v>
      </x:c>
      <x:c r="W55" s="47" t="n">
        <x:f>V55*1000000*lf_rate*union_skill_share</x:f>
        <x:v>2756880</x:v>
      </x:c>
      <x:c r="X55" s="45" t="n">
        <x:v>90000</x:v>
      </x:c>
      <x:c r="Y55" s="47" t="n">
        <x:f>IF(AND(mig_endo=1,$A55&gt;=talent_start),talent_rate_u*W55*U55*(1-(1-bd_keep)*S55),0)</x:f>
        <x:v>8412.102479492558</x:v>
      </x:c>
      <x:c r="Z55" s="47" t="n">
        <x:f>IF(AND(mig_endo=1,$A55&gt;=talent_start),X55*MIN(0.5,talent_share_o*U55)*(1-eu_comp*S55),0)</x:f>
        <x:v>7414.689440660064</x:v>
      </x:c>
      <x:c r="AA55" s="45" t="n">
        <x:v>15000</x:v>
      </x:c>
      <x:c r="AB55" s="47" t="n">
        <x:f>IF(AND(mig_endo=1,$A55&gt;=talent_start),AA55*MIN(0.5,talent_share_a*U55),0)</x:f>
        <x:v>915.3937581061807</x:v>
      </x:c>
      <x:c r="AC55" s="47" t="n">
        <x:f>entry_cap*People!B55</x:f>
        <x:v>18698.39281301852</x:v>
      </x:c>
      <x:c r="AD55" s="47" t="n">
        <x:f>MIN(AC55,Y55+Z55+AB55)</x:f>
        <x:v>16742.185678258804</x:v>
      </x:c>
      <x:c r="AE55" s="47" t="n">
        <x:f>IF(Y55+Z55+AB55&gt;0,AD55*Y55/(Y55+Z55+AB55),0)</x:f>
        <x:v>8412.102479492558</x:v>
      </x:c>
      <x:c r="AF55" s="47" t="n">
        <x:f>IF(Y55+Z55+AB55&gt;0,AD55*AB55/(Y55+Z55+AB55),0)</x:f>
        <x:v>915.3937581061807</x:v>
      </x:c>
      <x:c r="AG55" s="47" t="n">
        <x:f>AD55*family_mult</x:f>
        <x:v>36832.80849216937</x:v>
      </x:c>
      <x:c r="AH55" s="47" t="n">
        <x:f>AH54*(1+Paths!C55)+AG55</x:f>
        <x:v>245513.88479755586</x:v>
      </x:c>
      <x:c r="AI55" s="47" t="n">
        <x:f>IF(AND(mig_endo=1,$A55&gt;=talent_start),chain_rate*AH54,0)</x:f>
        <x:v>3071.850976036111</x:v>
      </x:c>
      <x:c r="AJ55" s="47" t="n">
        <x:f>IF(AND(mig_endo=1,$A55&gt;=talent_start),IF(H54&gt;0,H54*job_fill,H54*job_return)*job_family,0)</x:f>
        <x:v>8596.799536389777</x:v>
      </x:c>
      <x:c r="AK55" s="47" t="n">
        <x:f>K55*gw_conv_family</x:f>
        <x:v>10066.521671919363</x:v>
      </x:c>
      <x:c r="AL55" s="47" t="n">
        <x:f>AG55+AI55+AJ55+AK55+AR55</x:f>
        <x:v>87021.46999098174</x:v>
      </x:c>
      <x:c r="AM55" s="47" t="n">
        <x:f>AM54*(1-skill_ret)+AD55</x:f>
        <x:v>96342.2960218043</x:v>
      </x:c>
      <x:c r="AN55" s="64" t="n">
        <x:f>AM55/B55</x:f>
        <x:v>0.03598715149726051</x:v>
      </x:c>
      <x:c r="AO55" s="64" t="n">
        <x:f>(skill_rel-1+skill_spill)*AM54/B54-AT55</x:f>
        <x:v>0.03427847069371788</x:v>
      </x:c>
      <x:c r="AP55" s="64" t="n">
        <x:f>talent_champ*AM54/(skill_base_share*B54)</x:f>
        <x:v>0.06378373680448637</x:v>
      </x:c>
      <x:c r="AQ55" s="45" t="n">
        <x:v>373000</x:v>
      </x:c>
      <x:c r="AR55" s="47" t="n">
        <x:f>IF(AND(div_on=1,$A55&gt;=div_start),AQ55*MIN(div_max,div_rate*U55)*(1-div_comp*S55),0)</x:f>
        <x:v>28453.489314467115</x:v>
      </x:c>
      <x:c r="AS55" s="47" t="n">
        <x:f>AS54*(1-div_assim)+AR55</x:f>
        <x:v>194773.99524937285</x:v>
      </x:c>
      <x:c r="AT55" s="64" t="n">
        <x:f>(1-div_rel)*AS54/Economy!B54</x:f>
        <x:v>0.0071809582291982674</x:v>
      </x:c>
      <x:c r="AU55" s="47" t="n">
        <x:f>AU54*(1-skill_ret)+AE55</x:f>
        <x:v>49039.00305768667</x:v>
      </x:c>
      <x:c r="AV55" s="47" t="n">
        <x:f>AV54*(1+union_nat)+AR55</x:f>
        <x:v>246516.90459125314</x:v>
      </x:c>
      <x:c r="AW55" s="47" t="n">
        <x:f>AW54*(1+union_nat)+AE55*family_mult</x:f>
        <x:v>122588.31361919722</x:v>
      </x:c>
      <x:c r="AX55" s="67" t="n">
        <x:f>V55-(AV55+AW55)/1000000</x:f>
        <x:v>54.33089478178955</x:v>
      </x:c>
      <x:c r="AY55" s="47" t="n">
        <x:f>L55*gw_union</x:f>
        <x:v>41613.53167173015</x:v>
      </x:c>
      <x:c r="AZ55" s="46" t="n">
        <x:v>1.096</x:v>
      </x:c>
      <x:c r="BA55" s="47" t="n">
        <x:f>Economy!Q55*AZ55/lf_rate</x:f>
        <x:v>521.9047619047619</x:v>
      </x:c>
      <x:c r="BB55" s="64" t="n">
        <x:f>bd_growth*AU54/W54</x:f>
        <x:v>0.00046136063254715605</x:v>
      </x:c>
      <x:c r="BC55" s="64" t="n">
        <x:f>tg_k*MIN(1,Economy!O54/BK54)</x:f>
        <x:v>0.0005931795234527295</x:v>
      </x:c>
      <x:c r="BD55" s="64" t="n">
        <x:f>emu_g*S55</x:f>
        <x:v>0</x:v>
      </x:c>
      <x:c r="BE55" s="65" t="n">
        <x:f>BE54*(1-BB55-BC55+BD55)</x:f>
        <x:v>0.98456313918934</x:v>
      </x:c>
      <x:c r="BF55" s="46" t="n">
        <x:v>1</x:v>
      </x:c>
      <x:c r="BG55" s="53" t="n">
        <x:f>AU55*BA55*BE55*(skill_rel-1+skill_spill)/1000000</x:f>
        <x:v>32.75818389587593</x:v>
      </x:c>
      <x:c r="BH55" s="53" t="n">
        <x:f>union_disp*(Champions!AP55+Champions!AZ55)*(1-IF(union_resp=2,mkt_cut*S55,0))</x:f>
        <x:v>45.042561410726464</x:v>
      </x:c>
      <x:c r="BI55" s="53" t="n">
        <x:f>AY55*BA55*BE55/1000000</x:f>
        <x:v>21.383037959771016</x:v>
      </x:c>
      <x:c r="BJ55" s="47" t="n">
        <x:f>V55*Economy!Q55*AZ55</x:f>
        <x:v>11990.240000000002</x:v>
      </x:c>
      <x:c r="BK55" s="47" t="n">
        <x:f>MAX(0.3*BJ55,AX55*Economy!Q55*AZ55*BE55*BF55-BG55-BH55-BI55)</x:f>
        <x:v>11626.305650367949</x:v>
      </x:c>
      <x:c r="BL55" s="63" t="n">
        <x:f>1-BK55/BJ55</x:f>
        <x:v>0.030352549209361368</x:v>
      </x:c>
      <x:c r="BM55" s="47" t="n">
        <x:f>MAX(0,BH55-BH54)*1000000/BA55</x:f>
        <x:v>8972.112680818524</x:v>
      </x:c>
      <x:c r="BN55" s="47" t="n">
        <x:f>BN54*(1-IF(AND($A55&gt;=1930,$A55&lt;=1932),0,union_reabsorb))+BM55</x:f>
        <x:v>29264.803262423207</x:v>
      </x:c>
      <x:c r="BO55" s="59" t="n">
        <x:v>0.137</x:v>
      </x:c>
      <x:c r="BP55" s="63" t="n">
        <x:f>BO55+BN55/(AX55*1000000*lf_rate)</x:f>
        <x:v>0.13828247663296583</x:v>
      </x:c>
    </x:row>
    <x:row r="56">
      <x:c r="A56" s="58" t="n">
        <x:v>1896</x:v>
      </x:c>
      <x:c r="B56" s="47" t="n">
        <x:f>Economy!B56*lf_rate</x:f>
        <x:v>2799316.1137762805</x:v>
      </x:c>
      <x:c r="C56" s="47" t="n">
        <x:f>Economy!O56*1000000/(B56+L56)</x:f>
        <x:v>887.5350839125118</x:v>
      </x:c>
      <x:c r="D56" s="47" t="n">
        <x:f>Champions!AP56*1000000/(C56*champ_prem)</x:f>
        <x:v>86953.99404230171</x:v>
      </x:c>
      <x:c r="E56" s="47" t="n">
        <x:f>D56*job_mult</x:f>
        <x:v>60867.79582961119</x:v>
      </x:c>
      <x:c r="F56" s="47" t="n">
        <x:f>D56+E56</x:f>
        <x:v>147821.78987191292</x:v>
      </x:c>
      <x:c r="G56" s="63" t="n">
        <x:f>F56/B56</x:f>
        <x:v>0.0528063940847685</x:v>
      </x:c>
      <x:c r="H56" s="47" t="n">
        <x:f>F56-F55</x:f>
        <x:v>12407.800678946514</x:v>
      </x:c>
      <x:c r="I56" s="63" t="n">
        <x:f>MAX(0.005,pac_u_base*IF(Paths!AC56=1,pac_u_war,1)+(okun*(1-Economy!G56)*(B56+L56)-MAX(0,L55-L56))/B56)</x:f>
        <x:v>0.0258187341836902</x:v>
      </x:c>
      <x:c r="J56" s="47" t="n">
        <x:f>IF(AND(gw_on=1,$A56&gt;=gw_start),MIN(gw_cap*B55,gw_cover*F55+gw_gen*B55),0)</x:f>
        <x:v>295418.8227127409</x:v>
      </x:c>
      <x:c r="K56" s="47" t="n">
        <x:f>L55*gw_conv</x:f>
        <x:v>6242.029750759521</x:v>
      </x:c>
      <x:c r="L56" s="47" t="n">
        <x:f>MAX(0,L55-K56+gw_adj*(J56-L55))*MAX(0,1-gw_slump*(1-Economy!G56))</x:f>
        <x:v>229189.5793303424</x:v>
      </x:c>
      <x:c r="M56" s="47" t="n">
        <x:f>MAX(0,L56-L55+L55/gw_term)</x:f>
        <x:v>90477.80709124194</x:v>
      </x:c>
      <x:c r="N56" s="63" t="n">
        <x:f>L56/B56</x:f>
        <x:v>0.08187341836901922</x:v>
      </x:c>
      <x:c r="O56" s="53" t="n">
        <x:f>Economy!L56</x:f>
        <x:v>118.52855340130353</x:v>
      </x:c>
      <x:c r="P56" s="53" t="n">
        <x:f>O56*gw_wage_share</x:f>
        <x:v>77.04355971084729</x:v>
      </x:c>
      <x:c r="Q56" s="53" t="n">
        <x:f>P56*gw_levy</x:f>
        <x:v>19.260889927711823</x:v>
      </x:c>
      <x:c r="R56" s="53" t="n">
        <x:f>P56*gw_remit</x:f>
        <x:v>19.260889927711823</x:v>
      </x:c>
      <x:c r="S56" s="63" t="n">
        <x:f>IF(union_resp&gt;=1,MIN(1,MAX(0,($A56-resp_start)/(resp_full-resp_start))),0)</x:f>
        <x:v>0</x:v>
      </x:c>
      <x:c r="T56" s="67" t="n">
        <x:f>Economy!R55</x:f>
        <x:v>1.9085011151425575</x:v>
      </x:c>
      <x:c r="U56" s="67" t="n">
        <x:f>MAX(0,T56-gap_base)</x:f>
        <x:v>0.4085011151425575</x:v>
      </x:c>
      <x:c r="V56" s="68" t="n">
        <x:v>55.64</x:v>
      </x:c>
      <x:c r="W56" s="47" t="n">
        <x:f>V56*1000000*lf_rate*union_skill_share</x:f>
        <x:v>2804256</x:v>
      </x:c>
      <x:c r="X56" s="45" t="n">
        <x:v>92000</x:v>
      </x:c>
      <x:c r="Y56" s="47" t="n">
        <x:f>IF(AND(mig_endo=1,$A56&gt;=talent_start),talent_rate_u*W56*U56*(1-(1-bd_keep)*S56),0)</x:f>
        <x:v>11455.417031452078</x:v>
      </x:c>
      <x:c r="Z56" s="47" t="n">
        <x:f>IF(AND(mig_endo=1,$A56&gt;=talent_start),X56*MIN(0.5,talent_share_o*U56)*(1-eu_comp*S56),0)</x:f>
        <x:v>10147.16770014113</x:v>
      </x:c>
      <x:c r="AA56" s="45" t="n">
        <x:v>16000</x:v>
      </x:c>
      <x:c r="AB56" s="47" t="n">
        <x:f>IF(AND(mig_endo=1,$A56&gt;=talent_start),AA56*MIN(0.5,talent_share_a*U56),0)</x:f>
        <x:v>1307.203568456184</x:v>
      </x:c>
      <x:c r="AC56" s="47" t="n">
        <x:f>entry_cap*People!B56</x:f>
        <x:v>19546.326686438817</x:v>
      </x:c>
      <x:c r="AD56" s="47" t="n">
        <x:f>MIN(AC56,Y56+Z56+AB56)</x:f>
        <x:v>19546.326686438817</x:v>
      </x:c>
      <x:c r="AE56" s="47" t="n">
        <x:f>IF(Y56+Z56+AB56&gt;0,AD56*Y56/(Y56+Z56+AB56),0)</x:f>
        <x:v>9773.609458699133</x:v>
      </x:c>
      <x:c r="AF56" s="47" t="n">
        <x:f>IF(Y56+Z56+AB56&gt;0,AD56*AB56/(Y56+Z56+AB56),0)</x:f>
        <x:v>1115.2886993140862</x:v>
      </x:c>
      <x:c r="AG56" s="47" t="n">
        <x:f>AD56*family_mult</x:f>
        <x:v>43001.9187101654</x:v>
      </x:c>
      <x:c r="AH56" s="47" t="n">
        <x:f>AH55*(1+Paths!C56)+AG56</x:f>
        <x:v>293180.5673188748</x:v>
      </x:c>
      <x:c r="AI56" s="47" t="n">
        <x:f>IF(AND(mig_endo=1,$A56&gt;=talent_start),chain_rate*AH55,0)</x:f>
        <x:v>3682.7082719633377</x:v>
      </x:c>
      <x:c r="AJ56" s="47" t="n">
        <x:f>IF(AND(mig_endo=1,$A56&gt;=talent_start),IF(H55&gt;0,H55*job_fill,H55*job_return)*job_family,0)</x:f>
        <x:v>5555.996974068229</x:v>
      </x:c>
      <x:c r="AK56" s="47" t="n">
        <x:f>K56*gw_conv_family</x:f>
        <x:v>11235.653551367139</x:v>
      </x:c>
      <x:c r="AL56" s="47" t="n">
        <x:f>AG56+AI56+AJ56+AK56+AR56</x:f>
        <x:v>98198.8722946815</x:v>
      </x:c>
      <x:c r="AM56" s="47" t="n">
        <x:f>AM55*(1-skill_ret)+AD56</x:f>
        <x:v>113480.06530769801</x:v>
      </x:c>
      <x:c r="AN56" s="64" t="n">
        <x:f>AM56/B56</x:f>
        <x:v>0.040538496080963604</x:v>
      </x:c>
      <x:c r="AO56" s="64" t="n">
        <x:f>(skill_rel-1+skill_spill)*AM55/B55-AT56</x:f>
        <x:v>0.039144046438189944</x:v>
      </x:c>
      <x:c r="AP56" s="64" t="n">
        <x:f>talent_champ*AM55/(skill_base_share*B55)</x:f>
        <x:v>0.07197430299452102</x:v>
      </x:c>
      <x:c r="AQ56" s="45" t="n">
        <x:v>340000</x:v>
      </x:c>
      <x:c r="AR56" s="47" t="n">
        <x:f>IF(AND(div_on=1,$A56&gt;=div_start),AQ56*MIN(div_max,div_rate*U56)*(1-div_comp*S56),0)</x:f>
        <x:v>34722.594787117385</x:v>
      </x:c>
      <x:c r="AS56" s="47" t="n">
        <x:f>AS55*(1-div_assim)+AR56</x:f>
        <x:v>219757.89027402157</x:v>
      </x:c>
      <x:c r="AT56" s="64" t="n">
        <x:f>(1-div_rel)*AS55/Economy!B55</x:f>
        <x:v>0.007639250508248723</x:v>
      </x:c>
      <x:c r="AU56" s="47" t="n">
        <x:f>AU55*(1-skill_ret)+AE56</x:f>
        <x:v>57586.63743994363</x:v>
      </x:c>
      <x:c r="AV56" s="47" t="n">
        <x:f>AV55*(1+union_nat)+AR56</x:f>
        <x:v>284444.2191380568</x:v>
      </x:c>
      <x:c r="AW56" s="47" t="n">
        <x:f>AW55*(1+union_nat)+AE56*family_mult</x:f>
        <x:v>145683.90250538487</x:v>
      </x:c>
      <x:c r="AX56" s="67" t="n">
        <x:f>V56-(AV56+AW56)/1000000</x:f>
        <x:v>55.20987187835656</x:v>
      </x:c>
      <x:c r="AY56" s="47" t="n">
        <x:f>L56*gw_union</x:f>
        <x:v>45837.915866068484</x:v>
      </x:c>
      <x:c r="AZ56" s="46" t="n">
        <x:v>1.095</x:v>
      </x:c>
      <x:c r="BA56" s="47" t="n">
        <x:f>Economy!Q56*AZ56/lf_rate</x:f>
        <x:v>544.8928571428571</x:v>
      </x:c>
      <x:c r="BB56" s="64" t="n">
        <x:f>bd_growth*AU55/W55</x:f>
        <x:v>0.0005336358824941963</x:v>
      </x:c>
      <x:c r="BC56" s="64" t="n">
        <x:f>tg_k*MIN(1,Economy!O55/BK55)</x:f>
        <x:v>0.0006482942753071245</x:v>
      </x:c>
      <x:c r="BD56" s="64" t="n">
        <x:f>emu_g*S56</x:f>
        <x:v>0</x:v>
      </x:c>
      <x:c r="BE56" s="65" t="n">
        <x:f>BE55*(1-BB56-BC56+BD56)</x:f>
        <x:v>0.9833994543228726</x:v>
      </x:c>
      <x:c r="BF56" s="46" t="n">
        <x:v>1</x:v>
      </x:c>
      <x:c r="BG56" s="53" t="n">
        <x:f>AU56*BA56*BE56*(skill_rel-1+skill_spill)/1000000</x:f>
        <x:v>40.11494031788614</x:v>
      </x:c>
      <x:c r="BH56" s="53" t="n">
        <x:f>union_disp*(Champions!AP56+Champions!AZ56)*(1-IF(union_resp=2,mkt_cut*S56,0))</x:f>
        <x:v>50.152240848121004</x:v>
      </x:c>
      <x:c r="BI56" s="53" t="n">
        <x:f>AY56*BA56*BE56/1000000</x:f>
        <x:v>24.56212521366034</x:v>
      </x:c>
      <x:c r="BJ56" s="47" t="n">
        <x:f>V56*Economy!Q56*AZ56</x:f>
        <x:v>12733.4922</x:v>
      </x:c>
      <x:c r="BK56" s="47" t="n">
        <x:f>MAX(0.3*BJ56,AX56*Economy!Q56*AZ56*BE56*BF56-BG56-BH56-BI56)</x:f>
        <x:v>12310.477110884207</x:v>
      </x:c>
      <x:c r="BL56" s="63" t="n">
        <x:f>1-BK56/BJ56</x:f>
        <x:v>0.03322066582141492</x:v>
      </x:c>
      <x:c r="BM56" s="47" t="n">
        <x:f>MAX(0,BH56-BH55)*1000000/BA56</x:f>
        <x:v>9377.402126699031</x:v>
      </x:c>
      <x:c r="BN56" s="47" t="n">
        <x:f>BN55*(1-IF(AND($A56&gt;=1930,$A56&lt;=1932),0,union_reabsorb))+BM56</x:f>
        <x:v>31326.00457351644</x:v>
      </x:c>
      <x:c r="BO56" s="59" t="n">
        <x:v>0.145</x:v>
      </x:c>
      <x:c r="BP56" s="63" t="n">
        <x:f>BO56+BN56/(AX56*1000000*lf_rate)</x:f>
        <x:v>0.14635094907192273</x:v>
      </x:c>
    </x:row>
    <x:row r="57">
      <x:c r="A57" s="58" t="n">
        <x:v>1897</x:v>
      </x:c>
      <x:c r="B57" s="47" t="n">
        <x:f>Economy!B57*lf_rate</x:f>
        <x:v>2926489.348351802</x:v>
      </x:c>
      <x:c r="C57" s="47" t="n">
        <x:f>Economy!O57*1000000/(B57+L57)</x:f>
        <x:v>952.9993921035632</x:v>
      </x:c>
      <x:c r="D57" s="47" t="n">
        <x:f>Champions!AP57*1000000/(C57*champ_prem)</x:f>
        <x:v>90253.79798419632</x:v>
      </x:c>
      <x:c r="E57" s="47" t="n">
        <x:f>D57*job_mult</x:f>
        <x:v>63177.658588937426</x:v>
      </x:c>
      <x:c r="F57" s="47" t="n">
        <x:f>D57+E57</x:f>
        <x:v>153431.45657313376</x:v>
      </x:c>
      <x:c r="G57" s="63" t="n">
        <x:f>F57/B57</x:f>
        <x:v>0.052428503339520545</x:v>
      </x:c>
      <x:c r="H57" s="47" t="n">
        <x:f>F57-F56</x:f>
        <x:v>5609.666701220849</x:v>
      </x:c>
      <x:c r="I57" s="63" t="n">
        <x:f>MAX(0.005,pac_u_base*IF(Paths!AC57=1,pac_u_war,1)+(okun*(1-Economy!G57)*(B57+L57)-MAX(0,L56-L57))/B57)</x:f>
        <x:v>0.015</x:v>
      </x:c>
      <x:c r="J57" s="47" t="n">
        <x:f>IF(AND(gw_on=1,$A57&gt;=gw_start),MIN(gw_cap*B56,gw_cover*F56+gw_gen*B56),0)</x:f>
        <x:v>312638.3630252502</x:v>
      </x:c>
      <x:c r="K57" s="47" t="n">
        <x:f>L56*gw_conv</x:f>
        <x:v>6875.687379910272</x:v>
      </x:c>
      <x:c r="L57" s="47" t="n">
        <x:f>MAX(0,L56-K57+gw_adj*(J57-L56))*MAX(0,1-gw_slump*(1-Economy!G57))</x:f>
        <x:v>255693.40542839526</x:v>
      </x:c>
      <x:c r="M57" s="47" t="n">
        <x:f>MAX(0,L57-L56+L56/gw_term)</x:f>
        <x:v>102900.35254150031</x:v>
      </x:c>
      <x:c r="N57" s="63" t="n">
        <x:f>L57/B57</x:f>
        <x:v>0.08737206085250292</x:v>
      </x:c>
      <x:c r="O57" s="53" t="n">
        <x:f>Economy!L57</x:f>
        <x:v>142.40799892110948</x:v>
      </x:c>
      <x:c r="P57" s="53" t="n">
        <x:f>O57*gw_wage_share</x:f>
        <x:v>92.56519929872117</x:v>
      </x:c>
      <x:c r="Q57" s="53" t="n">
        <x:f>P57*gw_levy</x:f>
        <x:v>23.141299824680292</x:v>
      </x:c>
      <x:c r="R57" s="53" t="n">
        <x:f>P57*gw_remit</x:f>
        <x:v>23.141299824680292</x:v>
      </x:c>
      <x:c r="S57" s="63" t="n">
        <x:f>IF(union_resp&gt;=1,MIN(1,MAX(0,($A57-resp_start)/(resp_full-resp_start))),0)</x:f>
        <x:v>0</x:v>
      </x:c>
      <x:c r="T57" s="67" t="n">
        <x:f>Economy!R56</x:f>
        <x:v>1.8654430686069376</x:v>
      </x:c>
      <x:c r="U57" s="67" t="n">
        <x:f>MAX(0,T57-gap_base)</x:f>
        <x:v>0.36544306860693765</x:v>
      </x:c>
      <x:c r="V57" s="68" t="n">
        <x:v>56.58</x:v>
      </x:c>
      <x:c r="W57" s="47" t="n">
        <x:f>V57*1000000*lf_rate*union_skill_share</x:f>
        <x:v>2851632</x:v>
      </x:c>
      <x:c r="X57" s="45" t="n">
        <x:v>94000</x:v>
      </x:c>
      <x:c r="Y57" s="47" t="n">
        <x:f>IF(AND(mig_endo=1,$A57&gt;=talent_start),talent_rate_u*W57*U57*(1-(1-bd_keep)*S57),0)</x:f>
        <x:v>10421.091486177389</x:v>
      </x:c>
      <x:c r="Z57" s="47" t="n">
        <x:f>IF(AND(mig_endo=1,$A57&gt;=talent_start),X57*MIN(0.5,talent_share_o*U57)*(1-eu_comp*S57),0)</x:f>
        <x:v>9274.94508124408</x:v>
      </x:c>
      <x:c r="AA57" s="45" t="n">
        <x:v>18000</x:v>
      </x:c>
      <x:c r="AB57" s="47" t="n">
        <x:f>IF(AND(mig_endo=1,$A57&gt;=talent_start),AA57*MIN(0.5,talent_share_a*U57),0)</x:f>
        <x:v>1315.5950469849756</x:v>
      </x:c>
      <x:c r="AC57" s="47" t="n">
        <x:f>entry_cap*People!B57</x:f>
        <x:v>20443.903510365195</x:v>
      </x:c>
      <x:c r="AD57" s="47" t="n">
        <x:f>MIN(AC57,Y57+Z57+AB57)</x:f>
        <x:v>20443.903510365195</x:v>
      </x:c>
      <x:c r="AE57" s="47" t="n">
        <x:f>IF(Y57+Z57+AB57&gt;0,AD57*Y57/(Y57+Z57+AB57),0)</x:f>
        <x:v>10139.516660382738</x:v>
      </x:c>
      <x:c r="AF57" s="47" t="n">
        <x:f>IF(Y57+Z57+AB57&gt;0,AD57*AB57/(Y57+Z57+AB57),0)</x:f>
        <x:v>1280.0480558984418</x:v>
      </x:c>
      <x:c r="AG57" s="47" t="n">
        <x:f>AD57*family_mult</x:f>
        <x:v>44976.58772280343</x:v>
      </x:c>
      <x:c r="AH57" s="47" t="n">
        <x:f>AH56*(1+Paths!C57)+AG57</x:f>
        <x:v>343727.58582073683</x:v>
      </x:c>
      <x:c r="AI57" s="47" t="n">
        <x:f>IF(AND(mig_endo=1,$A57&gt;=talent_start),chain_rate*AH56,0)</x:f>
        <x:v>4397.708509783122</x:v>
      </x:c>
      <x:c r="AJ57" s="47" t="n">
        <x:f>IF(AND(mig_endo=1,$A57&gt;=talent_start),IF(H56&gt;0,H56*job_fill,H56*job_return)*job_family,0)</x:f>
        <x:v>7816.914427736304</x:v>
      </x:c>
      <x:c r="AK57" s="47" t="n">
        <x:f>K57*gw_conv_family</x:f>
        <x:v>12376.23728383849</x:v>
      </x:c>
      <x:c r="AL57" s="47" t="n">
        <x:f>AG57+AI57+AJ57+AK57+AR57</x:f>
        <x:v>99716.5011042337</x:v>
      </x:c>
      <x:c r="AM57" s="47" t="n">
        <x:f>AM56*(1-skill_ret)+AD57</x:f>
        <x:v>131086.96718537074</x:v>
      </x:c>
      <x:c r="AN57" s="64" t="n">
        <x:f>AM57/B57</x:f>
        <x:v>0.04479324937888425</x:v>
      </x:c>
      <x:c r="AO57" s="64" t="n">
        <x:f>(skill_rel-1+skill_spill)*AM56/B56-AT57</x:f>
        <x:v>0.044457110723859126</x:v>
      </x:c>
      <x:c r="AP57" s="64" t="n">
        <x:f>talent_champ*AM56/(skill_base_share*B56)</x:f>
        <x:v>0.0810769921619272</x:v>
      </x:c>
      <x:c r="AQ57" s="45" t="n">
        <x:v>330000</x:v>
      </x:c>
      <x:c r="AR57" s="47" t="n">
        <x:f>IF(AND(div_on=1,$A57&gt;=div_start),AQ57*MIN(div_max,div_rate*U57)*(1-div_comp*S57),0)</x:f>
        <x:v>30149.053160072355</x:v>
      </x:c>
      <x:c r="AS57" s="47" t="n">
        <x:f>AS56*(1-div_assim)+AR57</x:f>
        <x:v>238919.04892039284</x:v>
      </x:c>
      <x:c r="AT57" s="64" t="n">
        <x:f>(1-div_rel)*AS56/Economy!B56</x:f>
        <x:v>0.008242934181393552</x:v>
      </x:c>
      <x:c r="AU57" s="47" t="n">
        <x:f>AU56*(1-skill_ret)+AE57</x:f>
        <x:v>66286.48816432778</x:v>
      </x:c>
      <x:c r="AV57" s="47" t="n">
        <x:f>AV56*(1+union_nat)+AR57</x:f>
        <x:v>318291.04714692384</x:v>
      </x:c>
      <x:c r="AW57" s="47" t="n">
        <x:f>AW56*(1+union_nat)+AE57*family_mult</x:f>
        <x:v>169884.7298907969</x:v>
      </x:c>
      <x:c r="AX57" s="67" t="n">
        <x:f>V57-(AV57+AW57)/1000000</x:f>
        <x:v>56.09182422296228</x:v>
      </x:c>
      <x:c r="AY57" s="47" t="n">
        <x:f>L57*gw_union</x:f>
        <x:v>51138.681085679054</x:v>
      </x:c>
      <x:c r="AZ57" s="46" t="n">
        <x:v>1.094</x:v>
      </x:c>
      <x:c r="BA57" s="47" t="n">
        <x:f>Economy!Q57*AZ57/lf_rate</x:f>
        <x:v>567.8380952380953</x:v>
      </x:c>
      <x:c r="BB57" s="64" t="n">
        <x:f>bd_growth*AU56/W56</x:f>
        <x:v>0.0006160632706850975</x:v>
      </x:c>
      <x:c r="BC57" s="64" t="n">
        <x:f>tg_k*MIN(1,Economy!O56/BK56)</x:f>
        <x:v>0.0006550286467982019</x:v>
      </x:c>
      <x:c r="BD57" s="64" t="n">
        <x:f>emu_g*S57</x:f>
        <x:v>0</x:v>
      </x:c>
      <x:c r="BE57" s="65" t="n">
        <x:f>BE56*(1-BB57-BC57+BD57)</x:f>
        <x:v>0.9821494632248252</x:v>
      </x:c>
      <x:c r="BF57" s="46" t="n">
        <x:v>1</x:v>
      </x:c>
      <x:c r="BG57" s="53" t="n">
        <x:f>AU57*BA57*BE57*(skill_rel-1+skill_spill)/1000000</x:f>
        <x:v>48.05852882582808</x:v>
      </x:c>
      <x:c r="BH57" s="53" t="n">
        <x:f>union_disp*(Champions!AP57+Champions!AZ57)*(1-IF(union_resp=2,mkt_cut*S57,0))</x:f>
        <x:v>55.841959648978396</x:v>
      </x:c>
      <x:c r="BI57" s="53" t="n">
        <x:f>AY57*BA57*BE57/1000000</x:f>
        <x:v>28.52013860453604</x:v>
      </x:c>
      <x:c r="BJ57" s="47" t="n">
        <x:f>V57*Economy!Q57*AZ57</x:f>
        <x:v>13493.877360000002</x:v>
      </x:c>
      <x:c r="BK57" s="47" t="n">
        <x:f>MAX(0.3*BJ57,AX57*Economy!Q57*AZ57*BE57*BF57-BG57-BH57-BI57)</x:f>
        <x:v>13006.236028354495</x:v>
      </x:c>
      <x:c r="BL57" s="63" t="n">
        <x:f>1-BK57/BJ57</x:f>
        <x:v>0.036137969735150155</x:v>
      </x:c>
      <x:c r="BM57" s="47" t="n">
        <x:f>MAX(0,BH57-BH56)*1000000/BA57</x:f>
        <x:v>10019.966692216529</x:v>
      </x:c>
      <x:c r="BN57" s="47" t="n">
        <x:f>BN56*(1-IF(AND($A57&gt;=1930,$A57&lt;=1932),0,union_reabsorb))+BM57</x:f>
        <x:v>33514.47012235386</x:v>
      </x:c>
      <x:c r="BO57" s="59" t="n">
        <x:v>0.145</x:v>
      </x:c>
      <x:c r="BP57" s="63" t="n">
        <x:f>BO57+BN57/(AX57*1000000*lf_rate)</x:f>
        <x:v>0.1464226022872244</x:v>
      </x:c>
    </x:row>
    <x:row r="58">
      <x:c r="A58" s="58" t="n">
        <x:v>1898</x:v>
      </x:c>
      <x:c r="B58" s="47" t="n">
        <x:f>Economy!B58*lf_rate</x:f>
        <x:v>3057204.8265996613</x:v>
      </x:c>
      <x:c r="C58" s="47" t="n">
        <x:f>Economy!O58*1000000/(B58+L58)</x:f>
        <x:v>1001.5613781647824</x:v>
      </x:c>
      <x:c r="D58" s="47" t="n">
        <x:f>Champions!AP58*1000000/(C58*champ_prem)</x:f>
        <x:v>93526.91976705477</x:v>
      </x:c>
      <x:c r="E58" s="47" t="n">
        <x:f>D58*job_mult</x:f>
        <x:v>65468.84383693834</x:v>
      </x:c>
      <x:c r="F58" s="47" t="n">
        <x:f>D58+E58</x:f>
        <x:v>158995.7636039931</x:v>
      </x:c>
      <x:c r="G58" s="63" t="n">
        <x:f>F58/B58</x:f>
        <x:v>0.052006905857477075</x:v>
      </x:c>
      <x:c r="H58" s="47" t="n">
        <x:f>F58-F57</x:f>
        <x:v>5564.307030859345</x:v>
      </x:c>
      <x:c r="I58" s="63" t="n">
        <x:f>MAX(0.005,pac_u_base*IF(Paths!AC58=1,pac_u_war,1)+(okun*(1-Economy!G58)*(B58+L58)-MAX(0,L57-L58))/B58)</x:f>
        <x:v>0.015</x:v>
      </x:c>
      <x:c r="J58" s="47" t="n">
        <x:f>IF(AND(gw_on=1,$A58&gt;=gw_start),MIN(gw_cap*B57,gw_cover*F57+gw_gen*B57),0)</x:f>
        <x:v>326178.0218120244</x:v>
      </x:c>
      <x:c r="K58" s="47" t="n">
        <x:f>L57*gw_conv</x:f>
        <x:v>7670.802162851857</x:v>
      </x:c>
      <x:c r="L58" s="47" t="n">
        <x:f>MAX(0,L57-K58+gw_adj*(J58-L57))*MAX(0,1-gw_slump*(1-Economy!G58))</x:f>
        <x:v>276216.4498189951</x:v>
      </x:c>
      <x:c r="M58" s="47" t="n">
        <x:f>MAX(0,L58-L57+L57/gw_term)</x:f>
        <x:v>105754.17953339824</x:v>
      </x:c>
      <x:c r="N58" s="63" t="n">
        <x:f>L58/B58</x:f>
        <x:v>0.09034934375862982</x:v>
      </x:c>
      <x:c r="O58" s="53" t="n">
        <x:f>Economy!L58</x:f>
        <x:v>161.9409976145679</x:v>
      </x:c>
      <x:c r="P58" s="53" t="n">
        <x:f>O58*gw_wage_share</x:f>
        <x:v>105.26164844946913</x:v>
      </x:c>
      <x:c r="Q58" s="53" t="n">
        <x:f>P58*gw_levy</x:f>
        <x:v>26.315412112367284</x:v>
      </x:c>
      <x:c r="R58" s="53" t="n">
        <x:f>P58*gw_remit</x:f>
        <x:v>26.315412112367284</x:v>
      </x:c>
      <x:c r="S58" s="63" t="n">
        <x:f>IF(union_resp&gt;=1,MIN(1,MAX(0,($A58-resp_start)/(resp_full-resp_start))),0)</x:f>
        <x:v>0</x:v>
      </x:c>
      <x:c r="T58" s="67" t="n">
        <x:f>Economy!R57</x:f>
        <x:v>1.9258038751480995</x:v>
      </x:c>
      <x:c r="U58" s="67" t="n">
        <x:f>MAX(0,T58-gap_base)</x:f>
        <x:v>0.4258038751480995</x:v>
      </x:c>
      <x:c r="V58" s="68" t="n">
        <x:v>57.52</x:v>
      </x:c>
      <x:c r="W58" s="47" t="n">
        <x:f>V58*1000000*lf_rate*union_skill_share</x:f>
        <x:v>2899008</x:v>
      </x:c>
      <x:c r="X58" s="45" t="n">
        <x:v>96000</x:v>
      </x:c>
      <x:c r="Y58" s="47" t="n">
        <x:f>IF(AND(mig_endo=1,$A58&gt;=talent_start),talent_rate_u*W58*U58*(1-(1-bd_keep)*S58),0)</x:f>
        <x:v>12344.088404853417</x:v>
      </x:c>
      <x:c r="Z58" s="47" t="n">
        <x:f>IF(AND(mig_endo=1,$A58&gt;=talent_start),X58*MIN(0.5,talent_share_o*U58)*(1-eu_comp*S58),0)</x:f>
        <x:v>11036.83644383874</x:v>
      </x:c>
      <x:c r="AA58" s="45" t="n">
        <x:v>20000</x:v>
      </x:c>
      <x:c r="AB58" s="47" t="n">
        <x:f>IF(AND(mig_endo=1,$A58&gt;=talent_start),AA58*MIN(0.5,talent_share_a*U58),0)</x:f>
        <x:v>1703.215500592398</x:v>
      </x:c>
      <x:c r="AC58" s="47" t="n">
        <x:f>entry_cap*People!B58</x:f>
        <x:v>21363.087180374834</x:v>
      </x:c>
      <x:c r="AD58" s="47" t="n">
        <x:f>MIN(AC58,Y58+Z58+AB58)</x:f>
        <x:v>21363.087180374834</x:v>
      </x:c>
      <x:c r="AE58" s="47" t="n">
        <x:f>IF(Y58+Z58+AB58&gt;0,AD58*Y58/(Y58+Z58+AB58),0)</x:f>
        <x:v>10512.9310027425</x:v>
      </x:c>
      <x:c r="AF58" s="47" t="n">
        <x:f>IF(Y58+Z58+AB58&gt;0,AD58*AB58/(Y58+Z58+AB58),0)</x:f>
        <x:v>1450.5556387209</x:v>
      </x:c>
      <x:c r="AG58" s="47" t="n">
        <x:f>AD58*family_mult</x:f>
        <x:v>46998.79179682464</x:v>
      </x:c>
      <x:c r="AH58" s="47" t="n">
        <x:f>AH57*(1+Paths!C58)+AG58</x:f>
        <x:v>397257.20174815546</x:v>
      </x:c>
      <x:c r="AI58" s="47" t="n">
        <x:f>IF(AND(mig_endo=1,$A58&gt;=talent_start),chain_rate*AH57,0)</x:f>
        <x:v>5155.913787311052</x:v>
      </x:c>
      <x:c r="AJ58" s="47" t="n">
        <x:f>IF(AND(mig_endo=1,$A58&gt;=talent_start),IF(H57&gt;0,H57*job_fill,H57*job_return)*job_family,0)</x:f>
        <x:v>3534.0900217691346</x:v>
      </x:c>
      <x:c r="AK58" s="47" t="n">
        <x:f>K58*gw_conv_family</x:f>
        <x:v>13807.443893133342</x:v>
      </x:c>
      <x:c r="AL58" s="47" t="n">
        <x:f>AG58+AI58+AJ58+AK58+AR58</x:f>
        <x:v>103560.54951088614</x:v>
      </x:c>
      <x:c r="AM58" s="47" t="n">
        <x:f>AM57*(1-skill_ret)+AD58</x:f>
        <x:v>149172.88018611132</x:v>
      </x:c>
      <x:c r="AN58" s="64" t="n">
        <x:f>AM58/B58</x:f>
        <x:v>0.04879387827999311</x:v>
      </x:c>
      <x:c r="AO58" s="64" t="n">
        <x:f>(skill_rel-1+skill_spill)*AM57/B57-AT58</x:f>
        <x:v>0.04965900774119973</x:v>
      </x:c>
      <x:c r="AP58" s="64" t="n">
        <x:f>talent_champ*AM57/(skill_base_share*B57)</x:f>
        <x:v>0.0895864987577685</x:v>
      </x:c>
      <x:c r="AQ58" s="45" t="n">
        <x:v>320000</x:v>
      </x:c>
      <x:c r="AR58" s="47" t="n">
        <x:f>IF(AND(div_on=1,$A58&gt;=div_start),AQ58*MIN(div_max,div_rate*U58)*(1-div_comp*S58),0)</x:f>
        <x:v>34064.310011847956</x:v>
      </x:c>
      <x:c r="AS58" s="47" t="n">
        <x:f>AS57*(1-div_assim)+AR58</x:f>
        <x:v>261037.40648622115</x:v>
      </x:c>
      <x:c r="AT58" s="64" t="n">
        <x:f>(1-div_rel)*AS57/Economy!B57</x:f>
        <x:v>0.008572216451349791</x:v>
      </x:c>
      <x:c r="AU58" s="47" t="n">
        <x:f>AU57*(1-skill_ret)+AE58</x:f>
        <x:v>75142.25696296208</x:v>
      </x:c>
      <x:c r="AV58" s="47" t="n">
        <x:f>AV57*(1+union_nat)+AR58</x:f>
        <x:v>356493.14077168173</x:v>
      </x:c>
      <x:c r="AW58" s="47" t="n">
        <x:f>AW57*(1+union_nat)+AE58*family_mult</x:f>
        <x:v>195221.67958541075</x:v>
      </x:c>
      <x:c r="AX58" s="67" t="n">
        <x:f>V58-(AV58+AW58)/1000000</x:f>
        <x:v>56.96828517964291</x:v>
      </x:c>
      <x:c r="AY58" s="47" t="n">
        <x:f>L58*gw_union</x:f>
        <x:v>55243.28996379902</x:v>
      </x:c>
      <x:c r="AZ58" s="46" t="n">
        <x:v>1.094</x:v>
      </x:c>
      <x:c r="BA58" s="47" t="n">
        <x:f>Economy!Q58*AZ58/lf_rate</x:f>
        <x:v>593.8857142857144</x:v>
      </x:c>
      <x:c r="BB58" s="64" t="n">
        <x:f>bd_growth*AU57/W57</x:f>
        <x:v>0.0006973531805400673</x:v>
      </x:c>
      <x:c r="BC58" s="64" t="n">
        <x:f>tg_k*MIN(1,Economy!O57/BK57)</x:f>
        <x:v>0.0006994994301126752</x:v>
      </x:c>
      <x:c r="BD58" s="64" t="n">
        <x:f>emu_g*S58</x:f>
        <x:v>0</x:v>
      </x:c>
      <x:c r="BE58" s="65" t="n">
        <x:f>BE57*(1-BB58-BC58+BD58)</x:f>
        <x:v>0.9807775451830684</x:v>
      </x:c>
      <x:c r="BF58" s="46" t="n">
        <x:v>1</x:v>
      </x:c>
      <x:c r="BG58" s="53" t="n">
        <x:f>AU58*BA58*BE58*(skill_rel-1+skill_spill)/1000000</x:f>
        <x:v>56.89852136039961</x:v>
      </x:c>
      <x:c r="BH58" s="53" t="n">
        <x:f>union_disp*(Champions!AP58+Champions!AZ58)*(1-IF(union_resp=2,mkt_cut*S58,0))</x:f>
        <x:v>60.973355215895594</x:v>
      </x:c>
      <x:c r="BI58" s="53" t="n">
        <x:f>AY58*BA58*BE58/1000000</x:f>
        <x:v>32.177546563685446</x:v>
      </x:c>
      <x:c r="BJ58" s="47" t="n">
        <x:f>V58*Economy!Q58*AZ58</x:f>
        <x:v>14347.328640000003</x:v>
      </x:c>
      <x:c r="BK58" s="47" t="n">
        <x:f>MAX(0.3*BJ58,AX58*Economy!Q58*AZ58*BE58*BF58-BG58-BH58-BI58)</x:f>
        <x:v>13786.518313746275</x:v>
      </x:c>
      <x:c r="BL58" s="63" t="n">
        <x:f>1-BK58/BJ58</x:f>
        <x:v>0.03908813552163304</x:v>
      </x:c>
      <x:c r="BM58" s="47" t="n">
        <x:f>MAX(0,BH58-BH57)*1000000/BA58</x:f>
        <x:v>8640.375485524004</x:v>
      </x:c>
      <x:c r="BN58" s="47" t="n">
        <x:f>BN57*(1-IF(AND($A58&gt;=1930,$A58&lt;=1932),0,union_reabsorb))+BM58</x:f>
        <x:v>33776.2280772894</x:v>
      </x:c>
      <x:c r="BO58" s="59" t="n">
        <x:v>0.124</x:v>
      </x:c>
      <x:c r="BP58" s="63" t="n">
        <x:f>BO58+BN58/(AX58*1000000*lf_rate)</x:f>
        <x:v>0.12541165545718322</x:v>
      </x:c>
    </x:row>
    <x:row r="59">
      <x:c r="A59" s="58" t="n">
        <x:v>1899</x:v>
      </x:c>
      <x:c r="B59" s="47" t="n">
        <x:f>Economy!B59*lf_rate</x:f>
        <x:v>3192021.5966865625</x:v>
      </x:c>
      <x:c r="C59" s="47" t="n">
        <x:f>Economy!O59*1000000/(B59+L59)</x:f>
        <x:v>1051.753862442466</x:v>
      </x:c>
      <x:c r="D59" s="47" t="n">
        <x:f>Champions!AP59*1000000/(C59*champ_prem)</x:f>
        <x:v>96874.816126781</x:v>
      </x:c>
      <x:c r="E59" s="47" t="n">
        <x:f>D59*job_mult</x:f>
        <x:v>67812.3712887467</x:v>
      </x:c>
      <x:c r="F59" s="47" t="n">
        <x:f>D59+E59</x:f>
        <x:v>164687.1874155277</x:v>
      </x:c>
      <x:c r="G59" s="63" t="n">
        <x:f>F59/B59</x:f>
        <x:v>0.0515933813187477</x:v>
      </x:c>
      <x:c r="H59" s="47" t="n">
        <x:f>F59-F58</x:f>
        <x:v>5691.423811534594</x:v>
      </x:c>
      <x:c r="I59" s="63" t="n">
        <x:f>MAX(0.005,pac_u_base*IF(Paths!AC59=1,pac_u_war,1)+(okun*(1-Economy!G59)*(B59+L59)-MAX(0,L58-L59))/B59)</x:f>
        <x:v>0.015</x:v>
      </x:c>
      <x:c r="J59" s="47" t="n">
        <x:f>IF(AND(gw_on=1,$A59&gt;=gw_start),MIN(gw_cap*B58,gw_cover*F58+gw_gen*B58),0)</x:f>
        <x:v>339973.8442903688</x:v>
      </x:c>
      <x:c r="K59" s="47" t="n">
        <x:f>L58*gw_conv</x:f>
        <x:v>8286.493494569851</x:v>
      </x:c>
      <x:c r="L59" s="47" t="n">
        <x:f>MAX(0,L58-K59+gw_adj*(J59-L58))*MAX(0,1-gw_slump*(1-Economy!G59))</x:f>
        <x:v>293432.9141129747</x:v>
      </x:c>
      <x:c r="M59" s="47" t="n">
        <x:f>MAX(0,L59-L58+L58/gw_term)</x:f>
        <x:v>109288.61423364466</x:v>
      </x:c>
      <x:c r="N59" s="63" t="n">
        <x:f>L59/B59</x:f>
        <x:v>0.09192698270511986</x:v>
      </x:c>
      <x:c r="O59" s="53" t="n">
        <x:f>Economy!L59</x:f>
        <x:v>180.73924508732728</x:v>
      </x:c>
      <x:c r="P59" s="53" t="n">
        <x:f>O59*gw_wage_share</x:f>
        <x:v>117.48050930676273</x:v>
      </x:c>
      <x:c r="Q59" s="53" t="n">
        <x:f>P59*gw_levy</x:f>
        <x:v>29.37012732669068</x:v>
      </x:c>
      <x:c r="R59" s="53" t="n">
        <x:f>P59*gw_remit</x:f>
        <x:v>29.37012732669068</x:v>
      </x:c>
      <x:c r="S59" s="63" t="n">
        <x:f>IF(union_resp&gt;=1,MIN(1,MAX(0,($A59-resp_start)/(resp_full-resp_start))),0)</x:f>
        <x:v>0</x:v>
      </x:c>
      <x:c r="T59" s="67" t="n">
        <x:f>Economy!R58</x:f>
        <x:v>1.938128716396934</x:v>
      </x:c>
      <x:c r="U59" s="67" t="n">
        <x:f>MAX(0,T59-gap_base)</x:f>
        <x:v>0.43812871639693407</x:v>
      </x:c>
      <x:c r="V59" s="68" t="n">
        <x:v>58.46</x:v>
      </x:c>
      <x:c r="W59" s="47" t="n">
        <x:f>V59*1000000*lf_rate*union_skill_share</x:f>
        <x:v>2946384</x:v>
      </x:c>
      <x:c r="X59" s="45" t="n">
        <x:v>98000</x:v>
      </x:c>
      <x:c r="Y59" s="47" t="n">
        <x:f>IF(AND(mig_endo=1,$A59&gt;=talent_start),talent_rate_u*W59*U59*(1-(1-bd_keep)*S59),0)</x:f>
        <x:v>12908.954399324643</x:v>
      </x:c>
      <x:c r="Z59" s="47" t="n">
        <x:f>IF(AND(mig_endo=1,$A59&gt;=talent_start),X59*MIN(0.5,talent_share_o*U59)*(1-eu_comp*S59),0)</x:f>
        <x:v>11592.885835862877</x:v>
      </x:c>
      <x:c r="AA59" s="45" t="n">
        <x:v>21000</x:v>
      </x:c>
      <x:c r="AB59" s="47" t="n">
        <x:f>IF(AND(mig_endo=1,$A59&gt;=talent_start),AA59*MIN(0.5,talent_share_a*U59),0)</x:f>
        <x:v>1840.1406088671233</x:v>
      </x:c>
      <x:c r="AC59" s="47" t="n">
        <x:f>entry_cap*People!B59</x:f>
        <x:v>22311.267485334614</x:v>
      </x:c>
      <x:c r="AD59" s="47" t="n">
        <x:f>MIN(AC59,Y59+Z59+AB59)</x:f>
        <x:v>22311.267485334614</x:v>
      </x:c>
      <x:c r="AE59" s="47" t="n">
        <x:f>IF(Y59+Z59+AB59&gt;0,AD59*Y59/(Y59+Z59+AB59),0)</x:f>
        <x:v>10933.693113831408</x:v>
      </x:c>
      <x:c r="AF59" s="47" t="n">
        <x:f>IF(Y59+Z59+AB59&gt;0,AD59*AB59/(Y59+Z59+AB59),0)</x:f>
        <x:v>1558.5718317127678</x:v>
      </x:c>
      <x:c r="AG59" s="47" t="n">
        <x:f>AD59*family_mult</x:f>
        <x:v>49084.78846773616</x:v>
      </x:c>
      <x:c r="AH59" s="47" t="n">
        <x:f>AH58*(1+Paths!C59)+AG59</x:f>
        <x:v>453889.8770491065</x:v>
      </x:c>
      <x:c r="AI59" s="47" t="n">
        <x:f>IF(AND(mig_endo=1,$A59&gt;=talent_start),chain_rate*AH58,0)</x:f>
        <x:v>5958.858026222331</x:v>
      </x:c>
      <x:c r="AJ59" s="47" t="n">
        <x:f>IF(AND(mig_endo=1,$A59&gt;=talent_start),IF(H58&gt;0,H58*job_fill,H58*job_return)*job_family,0)</x:f>
        <x:v>3505.513429441387</x:v>
      </x:c>
      <x:c r="AK59" s="47" t="n">
        <x:f>K59*gw_conv_family</x:f>
        <x:v>14915.688290225733</x:v>
      </x:c>
      <x:c r="AL59" s="47" t="n">
        <x:f>AG59+AI59+AJ59+AK59+AR59</x:f>
        <x:v>107419.82373438799</x:v>
      </x:c>
      <x:c r="AM59" s="47" t="n">
        <x:f>AM58*(1-skill_ret)+AD59</x:f>
        <x:v>167754.82566679316</x:v>
      </x:c>
      <x:c r="AN59" s="64" t="n">
        <x:f>AM59/B59</x:f>
        <x:v>0.052554414368915586</x:v>
      </x:c>
      <x:c r="AO59" s="64" t="n">
        <x:f>(skill_rel-1+skill_spill)*AM58/B58-AT59</x:f>
        <x:v>0.05446668640324524</x:v>
      </x:c>
      <x:c r="AP59" s="64" t="n">
        <x:f>talent_champ*AM58/(skill_base_share*B58)</x:f>
        <x:v>0.09758775655998622</x:v>
      </x:c>
      <x:c r="AQ59" s="45" t="n">
        <x:v>310000</x:v>
      </x:c>
      <x:c r="AR59" s="47" t="n">
        <x:f>IF(AND(div_on=1,$A59&gt;=div_start),AQ59*MIN(div_max,div_rate*U59)*(1-div_comp*S59),0)</x:f>
        <x:v>33954.97552076239</x:v>
      </x:c>
      <x:c r="AS59" s="47" t="n">
        <x:f>AS58*(1-div_assim)+AR59</x:f>
        <x:v>281940.5116826725</x:v>
      </x:c>
      <x:c r="AT59" s="64" t="n">
        <x:f>(1-div_rel)*AS58/Economy!B58</x:f>
        <x:v>0.008965355360745804</x:v>
      </x:c>
      <x:c r="AU59" s="47" t="n">
        <x:f>AU58*(1-skill_ret)+AE59</x:f>
        <x:v>84197.39365271945</x:v>
      </x:c>
      <x:c r="AV59" s="47" t="n">
        <x:f>AV58*(1+union_nat)+AR59</x:f>
        <x:v>395082.52712247596</x:v>
      </x:c>
      <x:c r="AW59" s="47" t="n">
        <x:f>AW58*(1+union_nat)+AE59*family_mult</x:f>
        <x:v>221813.68627045015</x:v>
      </x:c>
      <x:c r="AX59" s="67" t="n">
        <x:f>V59-(AV59+AW59)/1000000</x:f>
        <x:v>57.843103786607074</x:v>
      </x:c>
      <x:c r="AY59" s="47" t="n">
        <x:f>L59*gw_union</x:f>
        <x:v>58686.582822594944</x:v>
      </x:c>
      <x:c r="AZ59" s="46" t="n">
        <x:v>1.093</x:v>
      </x:c>
      <x:c r="BA59" s="47" t="n">
        <x:f>Economy!Q59*AZ59/lf_rate</x:f>
        <x:v>616.7642857142857</x:v>
      </x:c>
      <x:c r="BB59" s="64" t="n">
        <x:f>bd_growth*AU58/W58</x:f>
        <x:v>0.0007775996854402826</x:v>
      </x:c>
      <x:c r="BC59" s="64" t="n">
        <x:f>tg_k*MIN(1,Economy!O58/BK58)</x:f>
        <x:v>0.0007264980029696394</x:v>
      </x:c>
      <x:c r="BD59" s="64" t="n">
        <x:f>emu_g*S59</x:f>
        <x:v>0</x:v>
      </x:c>
      <x:c r="BE59" s="65" t="n">
        <x:f>BE58*(1-BB59-BC59+BD59)</x:f>
        <x:v>0.9793023599445141</x:v>
      </x:c>
      <x:c r="BF59" s="46" t="n">
        <x:v>1</x:v>
      </x:c>
      <x:c r="BG59" s="53" t="n">
        <x:f>AU59*BA59*BE59*(skill_rel-1+skill_spill)/1000000</x:f>
        <x:v>66.11165344960874</x:v>
      </x:c>
      <x:c r="BH59" s="53" t="n">
        <x:f>union_disp*(Champions!AP59+Champions!AZ59)*(1-IF(union_resp=2,mkt_cut*S59,0))</x:f>
        <x:v>66.37742822386888</x:v>
      </x:c>
      <x:c r="BI59" s="53" t="n">
        <x:f>AY59*BA59*BE59/1000000</x:f>
        <x:v>35.44662093709544</x:v>
      </x:c>
      <x:c r="BJ59" s="47" t="n">
        <x:f>V59*Economy!Q59*AZ59</x:f>
        <x:v>15143.53686</x:v>
      </x:c>
      <x:c r="BK59" s="47" t="n">
        <x:f>MAX(0.3*BJ59,AX59*Economy!Q59*AZ59*BE59*BF59-BG59-BH59-BI59)</x:f>
        <x:v>14505.671782386862</x:v>
      </x:c>
      <x:c r="BL59" s="63" t="n">
        <x:f>1-BK59/BJ59</x:f>
        <x:v>0.0421212748058869</x:v>
      </x:c>
      <x:c r="BM59" s="47" t="n">
        <x:f>MAX(0,BH59-BH58)*1000000/BA59</x:f>
        <x:v>8761.974603822475</x:v>
      </x:c>
      <x:c r="BN59" s="47" t="n">
        <x:f>BN58*(1-IF(AND($A59&gt;=1930,$A59&lt;=1932),0,union_reabsorb))+BM59</x:f>
        <x:v>34094.145661789524</x:v>
      </x:c>
      <x:c r="BO59" s="59" t="n">
        <x:v>0.065</x:v>
      </x:c>
      <x:c r="BP59" s="63" t="n">
        <x:f>BO59+BN59/(AX59*1000000*lf_rate)</x:f>
        <x:v>0.0664033917956659</x:v>
      </x:c>
    </x:row>
    <x:row r="60">
      <x:c r="A60" s="58" t="n">
        <x:v>1900</x:v>
      </x:c>
      <x:c r="B60" s="47" t="n">
        <x:f>Economy!B60*lf_rate</x:f>
        <x:v>3341349.790013016</x:v>
      </x:c>
      <x:c r="C60" s="47" t="n">
        <x:f>Economy!O60*1000000/(B60+L60)</x:f>
        <x:v>1104.2981016915346</x:v>
      </x:c>
      <x:c r="D60" s="47" t="n">
        <x:f>Champions!AP60*1000000/(C60*champ_prem)</x:f>
        <x:v>101826.66090177087</x:v>
      </x:c>
      <x:c r="E60" s="47" t="n">
        <x:f>D60*job_mult</x:f>
        <x:v>71278.6626312396</x:v>
      </x:c>
      <x:c r="F60" s="47" t="n">
        <x:f>D60+E60</x:f>
        <x:v>173105.32353301047</x:v>
      </x:c>
      <x:c r="G60" s="63" t="n">
        <x:f>F60/B60</x:f>
        <x:v>0.05180700447777308</x:v>
      </x:c>
      <x:c r="H60" s="47" t="n">
        <x:f>F60-F59</x:f>
        <x:v>8418.136117482762</x:v>
      </x:c>
      <x:c r="I60" s="63" t="n">
        <x:f>MAX(0.005,pac_u_base*IF(Paths!AC60=1,pac_u_war,1)+(okun*(1-Economy!G60)*(B60+L60)-MAX(0,L59-L60))/B60)</x:f>
        <x:v>0.015</x:v>
      </x:c>
      <x:c r="J60" s="47" t="n">
        <x:f>IF(AND(gw_on=1,$A60&gt;=gw_start),MIN(gw_cap*B59,gw_cover*F59+gw_gen*B59),0)</x:f>
        <x:v>354174.04018424166</x:v>
      </x:c>
      <x:c r="K60" s="47" t="n">
        <x:f>L59*gw_conv</x:f>
        <x:v>8802.98742338924</x:v>
      </x:c>
      <x:c r="L60" s="47" t="n">
        <x:f>MAX(0,L59-K60+gw_adj*(J60-L59))*MAX(0,1-gw_slump*(1-Economy!G60))</x:f>
        <x:v>308926.37711809226</x:v>
      </x:c>
      <x:c r="M60" s="47" t="n">
        <x:f>MAX(0,L60-L59+L59/gw_term)</x:f>
        <x:v>113304.43437610911</x:v>
      </x:c>
      <x:c r="N60" s="63" t="n">
        <x:f>L60/B60</x:f>
        <x:v>0.09245556332995859</x:v>
      </x:c>
      <x:c r="O60" s="53" t="n">
        <x:f>Economy!L60</x:f>
        <x:v>199.77261992999115</x:v>
      </x:c>
      <x:c r="P60" s="53" t="n">
        <x:f>O60*gw_wage_share</x:f>
        <x:v>129.85220295449426</x:v>
      </x:c>
      <x:c r="Q60" s="53" t="n">
        <x:f>P60*gw_levy</x:f>
        <x:v>32.463050738623565</x:v>
      </x:c>
      <x:c r="R60" s="53" t="n">
        <x:f>P60*gw_remit</x:f>
        <x:v>32.463050738623565</x:v>
      </x:c>
      <x:c r="S60" s="63" t="n">
        <x:f>IF(union_resp&gt;=1,MIN(1,MAX(0,($A60-resp_start)/(resp_full-resp_start))),0)</x:f>
        <x:v>0</x:v>
      </x:c>
      <x:c r="T60" s="67" t="n">
        <x:f>Economy!R59</x:f>
        <x:v>1.9595503960998772</x:v>
      </x:c>
      <x:c r="U60" s="67" t="n">
        <x:f>MAX(0,T60-gap_base)</x:f>
        <x:v>0.45955039609987725</x:v>
      </x:c>
      <x:c r="V60" s="68" t="n">
        <x:v>59.4</x:v>
      </x:c>
      <x:c r="W60" s="47" t="n">
        <x:f>V60*1000000*lf_rate*union_skill_share</x:f>
        <x:v>2993760</x:v>
      </x:c>
      <x:c r="X60" s="45" t="n">
        <x:v>100000</x:v>
      </x:c>
      <x:c r="Y60" s="47" t="n">
        <x:f>IF(AND(mig_endo=1,$A60&gt;=talent_start),talent_rate_u*W60*U60*(1-(1-bd_keep)*S60),0)</x:f>
        <x:v>13757.835938279686</x:v>
      </x:c>
      <x:c r="Z60" s="47" t="n">
        <x:f>IF(AND(mig_endo=1,$A60&gt;=talent_start),X60*MIN(0.5,talent_share_o*U60)*(1-eu_comp*S60),0)</x:f>
        <x:v>12407.860694696687</x:v>
      </x:c>
      <x:c r="AA60" s="45" t="n">
        <x:v>22000</x:v>
      </x:c>
      <x:c r="AB60" s="47" t="n">
        <x:f>IF(AND(mig_endo=1,$A60&gt;=talent_start),AA60*MIN(0.5,talent_share_a*U60),0)</x:f>
        <x:v>2022.02174283946</x:v>
      </x:c>
      <x:c r="AC60" s="47" t="n">
        <x:f>entry_cap*People!B60</x:f>
        <x:v>23289.041038759136</x:v>
      </x:c>
      <x:c r="AD60" s="47" t="n">
        <x:f>MIN(AC60,Y60+Z60+AB60)</x:f>
        <x:v>23289.041038759136</x:v>
      </x:c>
      <x:c r="AE60" s="47" t="n">
        <x:f>IF(Y60+Z60+AB60&gt;0,AD60*Y60/(Y60+Z60+AB60),0)</x:f>
        <x:v>11366.8939606694</x:v>
      </x:c>
      <x:c r="AF60" s="47" t="n">
        <x:f>IF(Y60+Z60+AB60&gt;0,AD60*AB60/(Y60+Z60+AB60),0)</x:f>
        <x:v>1670.6193357832747</x:v>
      </x:c>
      <x:c r="AG60" s="47" t="n">
        <x:f>AD60*family_mult</x:f>
        <x:v>51235.89028527011</x:v>
      </x:c>
      <x:c r="AH60" s="47" t="n">
        <x:f>AH59*(1+Paths!C60)+AG60</x:f>
        <x:v>513749.67499830964</x:v>
      </x:c>
      <x:c r="AI60" s="47" t="n">
        <x:f>IF(AND(mig_endo=1,$A60&gt;=talent_start),chain_rate*AH59,0)</x:f>
        <x:v>6808.348155736598</x:v>
      </x:c>
      <x:c r="AJ60" s="47" t="n">
        <x:f>IF(AND(mig_endo=1,$A60&gt;=talent_start),IF(H59&gt;0,H59*job_fill,H59*job_return)*job_family,0)</x:f>
        <x:v>3585.5970012667945</x:v>
      </x:c>
      <x:c r="AK60" s="47" t="n">
        <x:f>K60*gw_conv_family</x:f>
        <x:v>15845.377362100633</x:v>
      </x:c>
      <x:c r="AL60" s="47" t="n">
        <x:f>AG60+AI60+AJ60+AK60+AR60</x:f>
        <x:v>128944.85716756039</x:v>
      </x:c>
      <x:c r="AM60" s="47" t="n">
        <x:f>AM59*(1-skill_ret)+AD60</x:f>
        <x:v>186849.99606388246</x:v>
      </x:c>
      <x:c r="AN60" s="64" t="n">
        <x:f>AM60/B60</x:f>
        <x:v>0.0559205135069545</x:v>
      </x:c>
      <x:c r="AO60" s="64" t="n">
        <x:f>(skill_rel-1+skill_spill)*AM59/B59-AT60</x:f>
        <x:v>0.059046442491428375</x:v>
      </x:c>
      <x:c r="AP60" s="64" t="n">
        <x:f>talent_champ*AM59/(skill_base_share*B59)</x:f>
        <x:v>0.10510882873783119</x:v>
      </x:c>
      <x:c r="AQ60" s="45" t="n">
        <x:v>448000</x:v>
      </x:c>
      <x:c r="AR60" s="47" t="n">
        <x:f>IF(AND(div_on=1,$A60&gt;=div_start),AQ60*MIN(div_max,div_rate*U60)*(1-div_comp*S60),0)</x:f>
        <x:v>51469.64436318625</x:v>
      </x:c>
      <x:c r="AS60" s="47" t="n">
        <x:f>AS59*(1-div_assim)+AR60</x:f>
        <x:v>319313.1304617251</x:v>
      </x:c>
      <x:c r="AT60" s="64" t="n">
        <x:f>(1-div_rel)*AS59/Economy!B59</x:f>
        <x:v>0.009274296188161887</x:v>
      </x:c>
      <x:c r="AU60" s="47" t="n">
        <x:f>AU59*(1-skill_ret)+AE60</x:f>
        <x:v>93459.35277207087</x:v>
      </x:c>
      <x:c r="AV60" s="47" t="n">
        <x:f>AV59*(1+union_nat)+AR60</x:f>
        <x:v>451688.2443382544</x:v>
      </x:c>
      <x:c r="AW60" s="47" t="n">
        <x:f>AW59*(1+union_nat)+AE60*family_mult</x:f>
        <x:v>249704.43090543867</x:v>
      </x:c>
      <x:c r="AX60" s="67" t="n">
        <x:f>V60-(AV60+AW60)/1000000</x:f>
        <x:v>58.6986073247563</x:v>
      </x:c>
      <x:c r="AY60" s="47" t="n">
        <x:f>L60*gw_union</x:f>
        <x:v>61785.275423618456</x:v>
      </x:c>
      <x:c r="AZ60" s="46" t="n">
        <x:v>1.092</x:v>
      </x:c>
      <x:c r="BA60" s="47" t="n">
        <x:f>Economy!Q60*AZ60/lf_rate</x:f>
        <x:v>639.6</x:v>
      </x:c>
      <x:c r="BB60" s="64" t="n">
        <x:f>bd_growth*AU59/W59</x:f>
        <x:v>0.0008572955220981322</x:v>
      </x:c>
      <x:c r="BC60" s="64" t="n">
        <x:f>tg_k*MIN(1,Economy!O59/BK59)</x:f>
        <x:v>0.0007581531484571603</x:v>
      </x:c>
      <x:c r="BD60" s="64" t="n">
        <x:f>emu_g*S60</x:f>
        <x:v>0</x:v>
      </x:c>
      <x:c r="BE60" s="65" t="n">
        <x:f>BE59*(1-BB60-BC60+BD60)</x:f>
        <x:v>0.9777203472490701</x:v>
      </x:c>
      <x:c r="BF60" s="46" t="n">
        <x:v>1</x:v>
      </x:c>
      <x:c r="BG60" s="53" t="n">
        <x:f>AU60*BA60*BE60*(skill_rel-1+skill_spill)/1000000</x:f>
        <x:v>75.9782401262175</x:v>
      </x:c>
      <x:c r="BH60" s="53" t="n">
        <x:f>union_disp*(Champions!AP60+Champions!AZ60)*(1-IF(union_resp=2,mkt_cut*S60,0))</x:f>
        <x:v>73.06082166361493</x:v>
      </x:c>
      <x:c r="BI60" s="53" t="n">
        <x:f>AY60*BA60*BE60/1000000</x:f>
        <x:v>38.63741791454137</x:v>
      </x:c>
      <x:c r="BJ60" s="47" t="n">
        <x:f>V60*Economy!Q60*AZ60</x:f>
        <x:v>15956.740800000001</x:v>
      </x:c>
      <x:c r="BK60" s="47" t="n">
        <x:f>MAX(0.3*BJ60,AX60*Economy!Q60*AZ60*BE60*BF60-BG60-BH60-BI60)</x:f>
        <x:v>15229.335013673297</x:v>
      </x:c>
      <x:c r="BL60" s="63" t="n">
        <x:f>1-BK60/BJ60</x:f>
        <x:v>0.04558611281864677</x:v>
      </x:c>
      <x:c r="BM60" s="47" t="n">
        <x:f>MAX(0,BH60-BH59)*1000000/BA60</x:f>
        <x:v>10449.333082779947</x:v>
      </x:c>
      <x:c r="BN60" s="47" t="n">
        <x:f>BN59*(1-IF(AND($A60&gt;=1930,$A60&lt;=1932),0,union_reabsorb))+BM60</x:f>
        <x:v>36019.94232912209</x:v>
      </x:c>
      <x:c r="BO60" s="59" t="n">
        <x:v>0.05</x:v>
      </x:c>
      <x:c r="BP60" s="63" t="n">
        <x:f>BO60+BN60/(AX60*1000000*lf_rate)</x:f>
        <x:v>0.051461052848763594</x:v>
      </x:c>
    </x:row>
    <x:row r="61">
      <x:c r="A61" s="58" t="n">
        <x:v>1901</x:v>
      </x:c>
      <x:c r="B61" s="47" t="n">
        <x:f>Economy!B61*lf_rate</x:f>
        <x:v>3509930.121682226</x:v>
      </x:c>
      <x:c r="C61" s="47" t="n">
        <x:f>Economy!O61*1000000/(B61+L61)</x:f>
        <x:v>1149.7148560789585</x:v>
      </x:c>
      <x:c r="D61" s="47" t="n">
        <x:f>Champions!AP61*1000000/(C61*champ_prem)</x:f>
        <x:v>112163.9434218497</x:v>
      </x:c>
      <x:c r="E61" s="47" t="n">
        <x:f>D61*job_mult</x:f>
        <x:v>78514.76039529478</x:v>
      </x:c>
      <x:c r="F61" s="47" t="n">
        <x:f>D61+E61</x:f>
        <x:v>190678.7038171445</x:v>
      </x:c>
      <x:c r="G61" s="63" t="n">
        <x:f>F61/B61</x:f>
        <x:v>0.054325498573104564</x:v>
      </x:c>
      <x:c r="H61" s="47" t="n">
        <x:f>F61-F60</x:f>
        <x:v>17573.380284134037</x:v>
      </x:c>
      <x:c r="I61" s="63" t="n">
        <x:f>MAX(0.005,pac_u_base*IF(Paths!AC61=1,pac_u_war,1)+(okun*(1-Economy!G61)*(B61+L61)-MAX(0,L60-L61))/B61)</x:f>
        <x:v>0.015</x:v>
      </x:c>
      <x:c r="J61" s="47" t="n">
        <x:f>IF(AND(gw_on=1,$A61&gt;=gw_start),MIN(gw_cap*B60,gw_cover*F60+gw_gen*B60),0)</x:f>
        <x:v>371171.1773208476</x:v>
      </x:c>
      <x:c r="K61" s="47" t="n">
        <x:f>L60*gw_conv</x:f>
        <x:v>9267.791313542768</x:v>
      </x:c>
      <x:c r="L61" s="47" t="n">
        <x:f>MAX(0,L60-K61+gw_adj*(J61-L60))*MAX(0,1-gw_slump*(1-Economy!G61))</x:f>
        <x:v>324556.5058856516</x:v>
      </x:c>
      <x:c r="M61" s="47" t="n">
        <x:f>MAX(0,L61-L60+L60/gw_term)</x:f>
        <x:v>118605.58780692345</x:v>
      </x:c>
      <x:c r="N61" s="63" t="n">
        <x:f>L61/B61</x:f>
        <x:v>0.09246808188024536</x:v>
      </x:c>
      <x:c r="O61" s="53" t="n">
        <x:f>Economy!L61</x:f>
        <x:v>218.15752439595377</x:v>
      </x:c>
      <x:c r="P61" s="53" t="n">
        <x:f>O61*gw_wage_share</x:f>
        <x:v>141.80239085736994</x:v>
      </x:c>
      <x:c r="Q61" s="53" t="n">
        <x:f>P61*gw_levy</x:f>
        <x:v>35.450597714342486</x:v>
      </x:c>
      <x:c r="R61" s="53" t="n">
        <x:f>P61*gw_remit</x:f>
        <x:v>35.450597714342486</x:v>
      </x:c>
      <x:c r="S61" s="63" t="n">
        <x:f>IF(union_resp&gt;=1,MIN(1,MAX(0,($A61-resp_start)/(resp_full-resp_start))),0)</x:f>
        <x:v>0</x:v>
      </x:c>
      <x:c r="T61" s="67" t="n">
        <x:f>Economy!R60</x:f>
        <x:v>1.9827102319410213</x:v>
      </x:c>
      <x:c r="U61" s="67" t="n">
        <x:f>MAX(0,T61-gap_base)</x:f>
        <x:v>0.48271023194102125</x:v>
      </x:c>
      <x:c r="V61" s="68" t="n">
        <x:v>60.68</x:v>
      </x:c>
      <x:c r="W61" s="47" t="n">
        <x:f>V61*1000000*lf_rate*union_skill_share</x:f>
        <x:v>3058272</x:v>
      </x:c>
      <x:c r="X61" s="45" t="n">
        <x:v>105000</x:v>
      </x:c>
      <x:c r="Y61" s="47" t="n">
        <x:f>IF(AND(mig_endo=1,$A61&gt;=talent_start),talent_rate_u*W61*U61*(1-(1-bd_keep)*S61),0)</x:f>
        <x:v>14762.59186458731</x:v>
      </x:c>
      <x:c r="Z61" s="47" t="n">
        <x:f>IF(AND(mig_endo=1,$A61&gt;=talent_start),X61*MIN(0.5,talent_share_o*U61)*(1-eu_comp*S61),0)</x:f>
        <x:v>13684.835075527953</x:v>
      </x:c>
      <x:c r="AA61" s="45" t="n">
        <x:v>24000</x:v>
      </x:c>
      <x:c r="AB61" s="47" t="n">
        <x:f>IF(AND(mig_endo=1,$A61&gt;=talent_start),AA61*MIN(0.5,talent_share_a*U61),0)</x:f>
        <x:v>2317.009113316902</x:v>
      </x:c>
      <x:c r="AC61" s="47" t="n">
        <x:f>entry_cap*People!B61</x:f>
        <x:v>24444.527389998242</x:v>
      </x:c>
      <x:c r="AD61" s="47" t="n">
        <x:f>MIN(AC61,Y61+Z61+AB61)</x:f>
        <x:v>24444.527389998242</x:v>
      </x:c>
      <x:c r="AE61" s="47" t="n">
        <x:f>IF(Y61+Z61+AB61&gt;0,AD61*Y61/(Y61+Z61+AB61),0)</x:f>
        <x:v>11729.926742506</x:v>
      </x:c>
      <x:c r="AF61" s="47" t="n">
        <x:f>IF(Y61+Z61+AB61&gt;0,AD61*AB61/(Y61+Z61+AB61),0)</x:f>
        <x:v>1841.0281480531753</x:v>
      </x:c>
      <x:c r="AG61" s="47" t="n">
        <x:f>AD61*family_mult</x:f>
        <x:v>53777.960257996136</x:v>
      </x:c>
      <x:c r="AH61" s="47" t="n">
        <x:f>AH60*(1+Paths!C61)+AG61</x:f>
        <x:v>577288.8790812736</x:v>
      </x:c>
      <x:c r="AI61" s="47" t="n">
        <x:f>IF(AND(mig_endo=1,$A61&gt;=talent_start),chain_rate*AH60,0)</x:f>
        <x:v>7706.245124974645</x:v>
      </x:c>
      <x:c r="AJ61" s="47" t="n">
        <x:f>IF(AND(mig_endo=1,$A61&gt;=talent_start),IF(H60&gt;0,H60*job_fill,H60*job_return)*job_family,0)</x:f>
        <x:v>5303.42575401414</x:v>
      </x:c>
      <x:c r="AK61" s="47" t="n">
        <x:f>K61*gw_conv_family</x:f>
        <x:v>16682.024364376983</x:v>
      </x:c>
      <x:c r="AL61" s="47" t="n">
        <x:f>AG61+AI61+AJ61+AK61+AR61</x:f>
        <x:v>154066.02692273626</x:v>
      </x:c>
      <x:c r="AM61" s="47" t="n">
        <x:f>AM60*(1-skill_ret)+AD61</x:f>
        <x:v>206623.27355228364</x:v>
      </x:c>
      <x:c r="AN61" s="64" t="n">
        <x:f>AM61/B61</x:f>
        <x:v>0.0588682014709894</x:v>
      </x:c>
      <x:c r="AO61" s="64" t="n">
        <x:f>(skill_rel-1+skill_spill)*AM60/B60-AT61</x:f>
        <x:v>0.06266243564513205</x:v>
      </x:c>
      <x:c r="AP61" s="64" t="n">
        <x:f>talent_champ*AM60/(skill_base_share*B60)</x:f>
        <x:v>0.111841027013909</x:v>
      </x:c>
      <x:c r="AQ61" s="45" t="n">
        <x:v>585000</x:v>
      </x:c>
      <x:c r="AR61" s="47" t="n">
        <x:f>IF(AND(div_on=1,$A61&gt;=div_start),AQ61*MIN(div_max,div_rate*U61)*(1-div_comp*S61),0)</x:f>
        <x:v>70596.37142137435</x:v>
      </x:c>
      <x:c r="AS61" s="47" t="n">
        <x:f>AS60*(1-div_assim)+AR61</x:f>
        <x:v>373943.8453600132</x:v>
      </x:c>
      <x:c r="AT61" s="64" t="n">
        <x:f>(1-div_rel)*AS60/Economy!B60</x:f>
        <x:v>0.010034231913908818</x:v>
      </x:c>
      <x:c r="AU61" s="47" t="n">
        <x:f>AU60*(1-skill_ret)+AE61</x:f>
        <x:v>102852.79569527508</x:v>
      </x:c>
      <x:c r="AV61" s="47" t="n">
        <x:f>AV60*(1+union_nat)+AR61</x:f>
        <x:v>528156.562936026</x:v>
      </x:c>
      <x:c r="AW61" s="47" t="n">
        <x:f>AW60*(1+union_nat)+AE61*family_mult</x:f>
        <x:v>278756.4273407225</x:v>
      </x:c>
      <x:c r="AX61" s="67" t="n">
        <x:f>V61-(AV61+AW61)/1000000</x:f>
        <x:v>59.87308700972325</x:v>
      </x:c>
      <x:c r="AY61" s="47" t="n">
        <x:f>L61*gw_union</x:f>
        <x:v>64911.30117713033</x:v>
      </x:c>
      <x:c r="AZ61" s="46" t="n">
        <x:v>1.089</x:v>
      </x:c>
      <x:c r="BA61" s="47" t="n">
        <x:f>Economy!Q61*AZ61/lf_rate</x:f>
        <x:v>661.1785714285714</x:v>
      </x:c>
      <x:c r="BB61" s="64" t="n">
        <x:f>bd_growth*AU60/W60</x:f>
        <x:v>0.0009365415341116609</x:v>
      </x:c>
      <x:c r="BC61" s="64" t="n">
        <x:f>tg_k*MIN(1,Economy!O60/BK60)</x:f>
        <x:v>0.0007940582510779892</x:v>
      </x:c>
      <x:c r="BD61" s="64" t="n">
        <x:f>emu_g*S61</x:f>
        <x:v>0</x:v>
      </x:c>
      <x:c r="BE61" s="65" t="n">
        <x:f>BE60*(1-BB61-BC61+BD61)</x:f>
        <x:v>0.9760283046261452</x:v>
      </x:c>
      <x:c r="BF61" s="46" t="n">
        <x:v>1</x:v>
      </x:c>
      <x:c r="BG61" s="53" t="n">
        <x:f>AU61*BA61*BE61*(skill_rel-1+skill_spill)/1000000</x:f>
        <x:v>86.28605934812988</x:v>
      </x:c>
      <x:c r="BH61" s="53" t="n">
        <x:f>union_disp*(Champions!AP61+Champions!AZ61)*(1-IF(union_resp=2,mkt_cut*S61,0))</x:f>
        <x:v>95.19079050372542</x:v>
      </x:c>
      <x:c r="BI61" s="53" t="n">
        <x:f>AY61*BA61*BE61/1000000</x:f>
        <x:v>41.88914508555185</x:v>
      </x:c>
      <x:c r="BJ61" s="47" t="n">
        <x:f>V61*Economy!Q61*AZ61</x:f>
        <x:v>16850.5326</x:v>
      </x:c>
      <x:c r="BK61" s="47" t="n">
        <x:f>MAX(0.3*BJ61,AX61*Economy!Q61*AZ61*BE61*BF61-BG61-BH61-BI61)</x:f>
        <x:v>16004.526542342323</x:v>
      </x:c>
      <x:c r="BL61" s="63" t="n">
        <x:f>1-BK61/BJ61</x:f>
        <x:v>0.050206487696280666</x:v>
      </x:c>
      <x:c r="BM61" s="47" t="n">
        <x:f>MAX(0,BH61-BH60)*1000000/BA61</x:f>
        <x:v>33470.4870914003</x:v>
      </x:c>
      <x:c r="BN61" s="47" t="n">
        <x:f>BN60*(1-IF(AND($A61&gt;=1930,$A61&lt;=1932),0,union_reabsorb))+BM61</x:f>
        <x:v>60485.44383824186</x:v>
      </x:c>
      <x:c r="BO61" s="59" t="n">
        <x:v>0.045</x:v>
      </x:c>
      <x:c r="BP61" s="63" t="n">
        <x:f>BO61+BN61/(AX61*1000000*lf_rate)</x:f>
        <x:v>0.04740530376354632</x:v>
      </x:c>
    </x:row>
    <x:row r="62">
      <x:c r="A62" s="58" t="n">
        <x:v>1902</x:v>
      </x:c>
      <x:c r="B62" s="47" t="n">
        <x:f>Economy!B62*lf_rate</x:f>
        <x:v>3692958.0269091795</x:v>
      </x:c>
      <x:c r="C62" s="47" t="n">
        <x:f>Economy!O62*1000000/(B62+L62)</x:f>
        <x:v>1196.2434174109778</x:v>
      </x:c>
      <x:c r="D62" s="47" t="n">
        <x:f>Champions!AP62*1000000/(C62*champ_prem)</x:f>
        <x:v>122103.56056481511</x:v>
      </x:c>
      <x:c r="E62" s="47" t="n">
        <x:f>D62*job_mult</x:f>
        <x:v>85472.49239537057</x:v>
      </x:c>
      <x:c r="F62" s="47" t="n">
        <x:f>D62+E62</x:f>
        <x:v>207576.05296018568</x:v>
      </x:c>
      <x:c r="G62" s="63" t="n">
        <x:f>F62/B62</x:f>
        <x:v>0.05620861419156622</x:v>
      </x:c>
      <x:c r="H62" s="47" t="n">
        <x:f>F62-F61</x:f>
        <x:v>16897.34914304118</x:v>
      </x:c>
      <x:c r="I62" s="63" t="n">
        <x:f>MAX(0.005,pac_u_base*IF(Paths!AC62=1,pac_u_war,1)+(okun*(1-Economy!G62)*(B62+L62)-MAX(0,L61-L62))/B62)</x:f>
        <x:v>0.015</x:v>
      </x:c>
      <x:c r="J62" s="47" t="n">
        <x:f>IF(AND(gw_on=1,$A62&gt;=gw_start),MIN(gw_cap*B61,gw_cover*F61+gw_gen*B61),0)</x:f>
        <x:v>395201.6320248648</x:v>
      </x:c>
      <x:c r="K62" s="47" t="n">
        <x:f>L61*gw_conv</x:f>
        <x:v>9736.695176569548</x:v>
      </x:c>
      <x:c r="L62" s="47" t="n">
        <x:f>MAX(0,L61-K62+gw_adj*(J62-L61))*MAX(0,1-gw_slump*(1-Economy!G62))</x:f>
        <x:v>343077.8611647673</x:v>
      </x:c>
      <x:c r="M62" s="47" t="n">
        <x:f>MAX(0,L62-L61+L61/gw_term)</x:f>
        <x:v>126706.85724099954</x:v>
      </x:c>
      <x:c r="N62" s="63" t="n">
        <x:f>L62/B62</x:f>
        <x:v>0.0929005579443063</x:v>
      </x:c>
      <x:c r="O62" s="53" t="n">
        <x:f>Economy!L62</x:f>
        <x:v>239.75054225199182</x:v>
      </x:c>
      <x:c r="P62" s="53" t="n">
        <x:f>O62*gw_wage_share</x:f>
        <x:v>155.8378524637947</x:v>
      </x:c>
      <x:c r="Q62" s="53" t="n">
        <x:f>P62*gw_levy</x:f>
        <x:v>38.95946311594867</x:v>
      </x:c>
      <x:c r="R62" s="53" t="n">
        <x:f>P62*gw_remit</x:f>
        <x:v>38.95946311594867</x:v>
      </x:c>
      <x:c r="S62" s="63" t="n">
        <x:f>IF(union_resp&gt;=1,MIN(1,MAX(0,($A62-resp_start)/(resp_full-resp_start))),0)</x:f>
        <x:v>0</x:v>
      </x:c>
      <x:c r="T62" s="67" t="n">
        <x:f>Economy!R61</x:f>
        <x:v>1.9914103984923432</x:v>
      </x:c>
      <x:c r="U62" s="67" t="n">
        <x:f>MAX(0,T62-gap_base)</x:f>
        <x:v>0.49141039849234325</x:v>
      </x:c>
      <x:c r="V62" s="68" t="n">
        <x:v>61.97</x:v>
      </x:c>
      <x:c r="W62" s="47" t="n">
        <x:f>V62*1000000*lf_rate*union_skill_share</x:f>
        <x:v>3123288</x:v>
      </x:c>
      <x:c r="X62" s="45" t="n">
        <x:v>109000</x:v>
      </x:c>
      <x:c r="Y62" s="47" t="n">
        <x:f>IF(AND(mig_endo=1,$A62&gt;=talent_start),talent_rate_u*W62*U62*(1-(1-bd_keep)*S62),0)</x:f>
        <x:v>15348.162006863538</x:v>
      </x:c>
      <x:c r="Z62" s="47" t="n">
        <x:f>IF(AND(mig_endo=1,$A62&gt;=talent_start),X62*MIN(0.5,talent_share_o*U62)*(1-eu_comp*S62),0)</x:f>
        <x:v>14462.208027629664</x:v>
      </x:c>
      <x:c r="AA62" s="45" t="n">
        <x:v>26000</x:v>
      </x:c>
      <x:c r="AB62" s="47" t="n">
        <x:f>IF(AND(mig_endo=1,$A62&gt;=talent_start),AA62*MIN(0.5,talent_share_a*U62),0)</x:f>
        <x:v>2555.334072160185</x:v>
      </x:c>
      <x:c r="AC62" s="47" t="n">
        <x:f>entry_cap*People!B62</x:f>
        <x:v>25697.33149117642</x:v>
      </x:c>
      <x:c r="AD62" s="47" t="n">
        <x:f>MIN(AC62,Y62+Z62+AB62)</x:f>
        <x:v>25697.33149117642</x:v>
      </x:c>
      <x:c r="AE62" s="47" t="n">
        <x:f>IF(Y62+Z62+AB62&gt;0,AD62*Y62/(Y62+Z62+AB62),0)</x:f>
        <x:v>12185.948606925998</x:v>
      </x:c>
      <x:c r="AF62" s="47" t="n">
        <x:f>IF(Y62+Z62+AB62&gt;0,AD62*AB62/(Y62+Z62+AB62),0)</x:f>
        <x:v>2028.853335203644</x:v>
      </x:c>
      <x:c r="AG62" s="47" t="n">
        <x:f>AD62*family_mult</x:f>
        <x:v>56534.12928058813</x:v>
      </x:c>
      <x:c r="AH62" s="47" t="n">
        <x:f>AH61*(1+Paths!C62)+AG62</x:f>
        <x:v>644791.4970644058</x:v>
      </x:c>
      <x:c r="AI62" s="47" t="n">
        <x:f>IF(AND(mig_endo=1,$A62&gt;=talent_start),chain_rate*AH61,0)</x:f>
        <x:v>8659.333186219103</x:v>
      </x:c>
      <x:c r="AJ62" s="47" t="n">
        <x:f>IF(AND(mig_endo=1,$A62&gt;=talent_start),IF(H61&gt;0,H61*job_fill,H61*job_return)*job_family,0)</x:f>
        <x:v>11071.229579004443</x:v>
      </x:c>
      <x:c r="AK62" s="47" t="n">
        <x:f>K62*gw_conv_family</x:f>
        <x:v>17526.05131782519</x:v>
      </x:c>
      <x:c r="AL62" s="47" t="n">
        <x:f>AG62+AI62+AJ62+AK62+AR62</x:f>
        <x:v>182490.32029150482</x:v>
      </x:c>
      <x:c r="AM62" s="47" t="n">
        <x:f>AM61*(1-skill_ret)+AD62</x:f>
        <x:v>227155.02320465297</x:v>
      </x:c>
      <x:c r="AN62" s="64" t="n">
        <x:f>AM62/B62</x:f>
        <x:v>0.06151031816485884</x:v>
      </x:c>
      <x:c r="AO62" s="64" t="n">
        <x:f>(skill_rel-1+skill_spill)*AM61/B61-AT62</x:f>
        <x:v>0.06534208485758891</x:v>
      </x:c>
      <x:c r="AP62" s="64" t="n">
        <x:f>talent_champ*AM61/(skill_base_share*B61)</x:f>
        <x:v>0.11773640294197882</x:v>
      </x:c>
      <x:c r="AQ62" s="45" t="n">
        <x:v>722000</x:v>
      </x:c>
      <x:c r="AR62" s="47" t="n">
        <x:f>IF(AND(div_on=1,$A62&gt;=div_start),AQ62*MIN(div_max,div_rate*U62)*(1-div_comp*S62),0)</x:f>
        <x:v>88699.57692786795</x:v>
      </x:c>
      <x:c r="AS62" s="47" t="n">
        <x:f>AS61*(1-div_assim)+AR62</x:f>
        <x:v>443946.23001988046</x:v>
      </x:c>
      <x:c r="AT62" s="64" t="n">
        <x:f>(1-div_rel)*AS61/Economy!B61</x:f>
        <x:v>0.011186577054697324</x:v>
      </x:c>
      <x:c r="AU62" s="47" t="n">
        <x:f>AU61*(1-skill_ret)+AE62</x:f>
        <x:v>112467.4244098192</x:v>
      </x:c>
      <x:c r="AV62" s="47" t="n">
        <x:f>AV61*(1+union_nat)+AR62</x:f>
        <x:v>623722.1751820622</x:v>
      </x:c>
      <x:c r="AW62" s="47" t="n">
        <x:f>AW61*(1+union_nat)+AE62*family_mult</x:f>
        <x:v>309189.3478313891</x:v>
      </x:c>
      <x:c r="AX62" s="67" t="n">
        <x:f>V62-(AV62+AW62)/1000000</x:f>
        <x:v>61.03708847698655</x:v>
      </x:c>
      <x:c r="AY62" s="47" t="n">
        <x:f>L62*gw_union</x:f>
        <x:v>68615.57223295346</x:v>
      </x:c>
      <x:c r="AZ62" s="46" t="n">
        <x:v>1.086</x:v>
      </x:c>
      <x:c r="BA62" s="47" t="n">
        <x:f>Economy!Q62*AZ62/lf_rate</x:f>
        <x:v>682.6285714285715</x:v>
      </x:c>
      <x:c r="BB62" s="64" t="n">
        <x:f>bd_growth*AU61/W61</x:f>
        <x:v>0.0010089304910937459</x:v>
      </x:c>
      <x:c r="BC62" s="64" t="n">
        <x:f>tg_k*MIN(1,Economy!O61/BK61)</x:f>
        <x:v>0.0008263723821171564</x:v>
      </x:c>
      <x:c r="BD62" s="64" t="n">
        <x:f>emu_g*S62</x:f>
        <x:v>0</x:v>
      </x:c>
      <x:c r="BE62" s="65" t="n">
        <x:f>BE61*(1-BB62-BC62+BD62)</x:f>
        <x:v>0.9742369970743296</x:v>
      </x:c>
      <x:c r="BF62" s="46" t="n">
        <x:v>1</x:v>
      </x:c>
      <x:c r="BG62" s="53" t="n">
        <x:f>AU62*BA62*BE62*(skill_rel-1+skill_spill)/1000000</x:f>
        <x:v>97.23423051931748</x:v>
      </x:c>
      <x:c r="BH62" s="53" t="n">
        <x:f>union_disp*(Champions!AP62+Champions!AZ62)*(1-IF(union_resp=2,mkt_cut*S62,0))</x:f>
        <x:v>107.56228505260636</x:v>
      </x:c>
      <x:c r="BI62" s="53" t="n">
        <x:f>AY62*BA62*BE62/1000000</x:f>
        <x:v>45.63223804393227</x:v>
      </x:c>
      <x:c r="BJ62" s="47" t="n">
        <x:f>V62*Economy!Q62*AZ62</x:f>
        <x:v>17767.04688</x:v>
      </x:c>
      <x:c r="BK62" s="47" t="n">
        <x:f>MAX(0.3*BJ62,AX62*Economy!Q62*AZ62*BE62*BF62-BG62-BH62-BI62)</x:f>
        <x:v>16798.306996957035</x:v>
      </x:c>
      <x:c r="BL62" s="63" t="n">
        <x:f>1-BK62/BJ62</x:f>
        <x:v>0.05452453013637604</x:v>
      </x:c>
      <x:c r="BM62" s="47" t="n">
        <x:f>MAX(0,BH62-BH61)*1000000/BA62</x:f>
        <x:v>18123.317813947455</x:v>
      </x:c>
      <x:c r="BN62" s="47" t="n">
        <x:f>BN61*(1-IF(AND($A62&gt;=1930,$A62&lt;=1932),0,union_reabsorb))+BM62</x:f>
        <x:v>63487.40069262885</x:v>
      </x:c>
      <x:c r="BO62" s="59" t="n">
        <x:v>0.039</x:v>
      </x:c>
      <x:c r="BP62" s="63" t="n">
        <x:f>BO62+BN62/(AX62*1000000*lf_rate)</x:f>
        <x:v>0.041476534867756445</x:v>
      </x:c>
    </x:row>
    <x:row r="63">
      <x:c r="A63" s="58" t="n">
        <x:v>1903</x:v>
      </x:c>
      <x:c r="B63" s="47" t="n">
        <x:f>Economy!B63*lf_rate</x:f>
        <x:v>3890424.695492017</x:v>
      </x:c>
      <x:c r="C63" s="47" t="n">
        <x:f>Economy!O63*1000000/(B63+L63)</x:f>
        <x:v>1244.2264869819555</x:v>
      </x:c>
      <x:c r="D63" s="47" t="n">
        <x:f>Champions!AP63*1000000/(C63*champ_prem)</x:f>
        <x:v>131356.9561699381</x:v>
      </x:c>
      <x:c r="E63" s="47" t="n">
        <x:f>D63*job_mult</x:f>
        <x:v>91949.86931895665</x:v>
      </x:c>
      <x:c r="F63" s="47" t="n">
        <x:f>D63+E63</x:f>
        <x:v>223306.82548889474</x:v>
      </x:c>
      <x:c r="G63" s="63" t="n">
        <x:f>F63/B63</x:f>
        <x:v>0.0573990869808247</x:v>
      </x:c>
      <x:c r="H63" s="47" t="n">
        <x:f>F63-F62</x:f>
        <x:v>15730.772528709058</x:v>
      </x:c>
      <x:c r="I63" s="63" t="n">
        <x:f>MAX(0.005,pac_u_base*IF(Paths!AC63=1,pac_u_war,1)+(okun*(1-Economy!G63)*(B63+L63)-MAX(0,L62-L63))/B63)</x:f>
        <x:v>0.015</x:v>
      </x:c>
      <x:c r="J63" s="47" t="n">
        <x:f>IF(AND(gw_on=1,$A63&gt;=gw_start),MIN(gw_cap*B62,gw_cover*F62+gw_gen*B62),0)</x:f>
        <x:v>419982.27392884577</x:v>
      </x:c>
      <x:c r="K63" s="47" t="n">
        <x:f>L62*gw_conv</x:f>
        <x:v>10292.335834943018</x:v>
      </x:c>
      <x:c r="L63" s="47" t="n">
        <x:f>MAX(0,L62-K63+gw_adj*(J63-L62))*MAX(0,1-gw_slump*(1-Economy!G63))</x:f>
        <x:v>363547.2904354557</x:v>
      </x:c>
      <x:c r="M63" s="47" t="n">
        <x:f>MAX(0,L63-L62+L62/gw_term)</x:f>
        <x:v>134828.71632561082</x:v>
      </x:c>
      <x:c r="N63" s="63" t="n">
        <x:f>L63/B63</x:f>
        <x:v>0.09344668484567038</x:v>
      </x:c>
      <x:c r="O63" s="53" t="n">
        <x:f>Economy!L63</x:f>
        <x:v>264.2442259452574</x:v>
      </x:c>
      <x:c r="P63" s="53" t="n">
        <x:f>O63*gw_wage_share</x:f>
        <x:v>171.75874686441733</x:v>
      </x:c>
      <x:c r="Q63" s="53" t="n">
        <x:f>P63*gw_levy</x:f>
        <x:v>42.93968671610433</x:v>
      </x:c>
      <x:c r="R63" s="53" t="n">
        <x:f>P63*gw_remit</x:f>
        <x:v>42.93968671610433</x:v>
      </x:c>
      <x:c r="S63" s="63" t="n">
        <x:f>IF(union_resp&gt;=1,MIN(1,MAX(0,($A63-resp_start)/(resp_full-resp_start))),0)</x:f>
        <x:v>0</x:v>
      </x:c>
      <x:c r="T63" s="67" t="n">
        <x:f>Economy!R62</x:f>
        <x:v>2.001807918686281</x:v>
      </x:c>
      <x:c r="U63" s="67" t="n">
        <x:f>MAX(0,T63-gap_base)</x:f>
        <x:v>0.5018079186862812</x:v>
      </x:c>
      <x:c r="V63" s="68" t="n">
        <x:v>63.25</x:v>
      </x:c>
      <x:c r="W63" s="47" t="n">
        <x:f>V63*1000000*lf_rate*union_skill_share</x:f>
        <x:v>3187800</x:v>
      </x:c>
      <x:c r="X63" s="45" t="n">
        <x:v>114000</x:v>
      </x:c>
      <x:c r="Y63" s="47" t="n">
        <x:f>IF(AND(mig_endo=1,$A63&gt;=talent_start),talent_rate_u*W63*U63*(1-(1-bd_keep)*S63),0)</x:f>
        <x:v>15996.63283188127</x:v>
      </x:c>
      <x:c r="Z63" s="47" t="n">
        <x:f>IF(AND(mig_endo=1,$A63&gt;=talent_start),X63*MIN(0.5,talent_share_o*U63)*(1-eu_comp*S63),0)</x:f>
        <x:v>15445.647737163734</x:v>
      </x:c>
      <x:c r="AA63" s="45" t="n">
        <x:v>27000</x:v>
      </x:c>
      <x:c r="AB63" s="47" t="n">
        <x:f>IF(AND(mig_endo=1,$A63&gt;=talent_start),AA63*MIN(0.5,talent_share_a*U63),0)</x:f>
        <x:v>2709.762760905918</x:v>
      </x:c>
      <x:c r="AC63" s="47" t="n">
        <x:f>entry_cap*People!B63</x:f>
        <x:v>27059.21175038328</x:v>
      </x:c>
      <x:c r="AD63" s="47" t="n">
        <x:f>MIN(AC63,Y63+Z63+AB63)</x:f>
        <x:v>27059.21175038328</x:v>
      </x:c>
      <x:c r="AE63" s="47" t="n">
        <x:f>IF(Y63+Z63+AB63&gt;0,AD63*Y63/(Y63+Z63+AB63),0)</x:f>
        <x:v>12674.38878866141</x:v>
      </x:c>
      <x:c r="AF63" s="47" t="n">
        <x:f>IF(Y63+Z63+AB63&gt;0,AD63*AB63/(Y63+Z63+AB63),0)</x:f>
        <x:v>2146.9885017495326</x:v>
      </x:c>
      <x:c r="AG63" s="47" t="n">
        <x:f>AD63*family_mult</x:f>
        <x:v>59530.26585084322</x:v>
      </x:c>
      <x:c r="AH63" s="47" t="n">
        <x:f>AH62*(1+Paths!C63)+AG63</x:f>
        <x:v>716572.8013594728</x:v>
      </x:c>
      <x:c r="AI63" s="47" t="n">
        <x:f>IF(AND(mig_endo=1,$A63&gt;=talent_start),chain_rate*AH62,0)</x:f>
        <x:v>9671.872455966088</x:v>
      </x:c>
      <x:c r="AJ63" s="47" t="n">
        <x:f>IF(AND(mig_endo=1,$A63&gt;=talent_start),IF(H62&gt;0,H62*job_fill,H62*job_return)*job_family,0)</x:f>
        <x:v>10645.329960115943</x:v>
      </x:c>
      <x:c r="AK63" s="47" t="n">
        <x:f>K63*gw_conv_family</x:f>
        <x:v>18526.20450289743</x:v>
      </x:c>
      <x:c r="AL63" s="47" t="n">
        <x:f>AG63+AI63+AJ63+AK63+AR63</x:f>
        <x:v>206262.37528737314</x:v>
      </x:c>
      <x:c r="AM63" s="47" t="n">
        <x:f>AM62*(1-skill_ret)+AD63</x:f>
        <x:v>248535.35937491994</x:v>
      </x:c>
      <x:c r="AN63" s="64" t="n">
        <x:f>AM63/B63</x:f>
        <x:v>0.06388386328693299</x:v>
      </x:c>
      <x:c r="AO63" s="64" t="n">
        <x:f>(skill_rel-1+skill_spill)*AM62/B62-AT63</x:f>
        <x:v>0.06734091592752275</x:v>
      </x:c>
      <x:c r="AP63" s="64" t="n">
        <x:f>talent_champ*AM62/(skill_base_share*B62)</x:f>
        <x:v>0.12302063632971769</x:v>
      </x:c>
      <x:c r="AQ63" s="45" t="n">
        <x:v>860000</x:v>
      </x:c>
      <x:c r="AR63" s="47" t="n">
        <x:f>IF(AND(div_on=1,$A63&gt;=div_start),AQ63*MIN(div_max,div_rate*U63)*(1-div_comp*S63),0)</x:f>
        <x:v>107888.70251755045</x:v>
      </x:c>
      <x:c r="AS63" s="47" t="n">
        <x:f>AS62*(1-div_assim)+AR63</x:f>
        <x:v>529637.6210364369</x:v>
      </x:c>
      <x:c r="AT63" s="64" t="n">
        <x:f>(1-div_rel)*AS62/Economy!B62</x:f>
        <x:v>0.012622497686793728</x:v>
      </x:c>
      <x:c r="AU63" s="47" t="n">
        <x:f>AU62*(1-skill_ret)+AE63</x:f>
        <x:v>122330.12758823513</x:v>
      </x:c>
      <x:c r="AV63" s="47" t="n">
        <x:f>AV62*(1+union_nat)+AR63</x:f>
        <x:v>739719.2659769794</x:v>
      </x:c>
      <x:c r="AW63" s="47" t="n">
        <x:f>AW62*(1+union_nat)+AE63*family_mult</x:f>
        <x:v>341092.4646882522</x:v>
      </x:c>
      <x:c r="AX63" s="67" t="n">
        <x:f>V63-(AV63+AW63)/1000000</x:f>
        <x:v>62.16918826933477</x:v>
      </x:c>
      <x:c r="AY63" s="47" t="n">
        <x:f>L63*gw_union</x:f>
        <x:v>72709.45808709114</x:v>
      </x:c>
      <x:c r="AZ63" s="46" t="n">
        <x:v>1.083</x:v>
      </x:c>
      <x:c r="BA63" s="47" t="n">
        <x:f>Economy!Q63*AZ63/lf_rate</x:f>
        <x:v>701.3714285714285</x:v>
      </x:c>
      <x:c r="BB63" s="64" t="n">
        <x:f>bd_growth*AU62/W62</x:f>
        <x:v>0.0010802790944333587</x:v>
      </x:c>
      <x:c r="BC63" s="64" t="n">
        <x:f>tg_k*MIN(1,Economy!O62/BK62)</x:f>
        <x:v>0.0008622442781437775</x:v>
      </x:c>
      <x:c r="BD63" s="64" t="n">
        <x:f>emu_g*S63</x:f>
        <x:v>0</x:v>
      </x:c>
      <x:c r="BE63" s="65" t="n">
        <x:f>BE62*(1-BB63-BC63+BD63)</x:f>
        <x:v>0.9723445189370835</x:v>
      </x:c>
      <x:c r="BF63" s="46" t="n">
        <x:v>1</x:v>
      </x:c>
      <x:c r="BG63" s="53" t="n">
        <x:f>AU63*BA63*BE63*(skill_rel-1+skill_spill)/1000000</x:f>
        <x:v>108.4538620061616</x:v>
      </x:c>
      <x:c r="BH63" s="53" t="n">
        <x:f>union_disp*(Champions!AP63+Champions!AZ63)*(1-IF(union_resp=2,mkt_cut*S63,0))</x:f>
        <x:v>120.38895643549091</x:v>
      </x:c>
      <x:c r="BI63" s="53" t="n">
        <x:f>AY63*BA63*BE63/1000000</x:f>
        <x:v>49.586008271142404</x:v>
      </x:c>
      <x:c r="BJ63" s="47" t="n">
        <x:f>V63*Economy!Q63*AZ63</x:f>
        <x:v>18631.932</x:v>
      </x:c>
      <x:c r="BK63" s="47" t="n">
        <x:f>MAX(0.3*BJ63,AX63*Economy!Q63*AZ63*BE63*BF63-BG63-BH63-BI63)</x:f>
        <x:v>17528.65191947029</x:v>
      </x:c>
      <x:c r="BL63" s="63" t="n">
        <x:f>1-BK63/BJ63</x:f>
        <x:v>0.05921447547842662</x:v>
      </x:c>
      <x:c r="BM63" s="47" t="n">
        <x:f>MAX(0,BH63-BH62)*1000000/BA63</x:f>
        <x:v>18287.986736229406</x:v>
      </x:c>
      <x:c r="BN63" s="47" t="n">
        <x:f>BN62*(1-IF(AND($A63&gt;=1930,$A63&lt;=1932),0,union_reabsorb))+BM63</x:f>
        <x:v>65903.53725570104</x:v>
      </x:c>
      <x:c r="BO63" s="59" t="n">
        <x:v>0.034</x:v>
      </x:c>
      <x:c r="BP63" s="63" t="n">
        <x:f>BO63+BN63/(AX63*1000000*lf_rate)</x:f>
        <x:v>0.036523970286733556</x:v>
      </x:c>
    </x:row>
    <x:row r="64">
      <x:c r="A64" s="58" t="n">
        <x:v>1904</x:v>
      </x:c>
      <x:c r="B64" s="47" t="n">
        <x:f>Economy!B64*lf_rate</x:f>
        <x:v>4100320.0527800787</x:v>
      </x:c>
      <x:c r="C64" s="47" t="n">
        <x:f>Economy!O64*1000000/(B64+L64)</x:f>
        <x:v>1293.1210167377944</x:v>
      </x:c>
      <x:c r="D64" s="47" t="n">
        <x:f>Champions!AP64*1000000/(C64*champ_prem)</x:f>
        <x:v>141082.03045199026</x:v>
      </x:c>
      <x:c r="E64" s="47" t="n">
        <x:f>D64*job_mult</x:f>
        <x:v>98757.42131639317</x:v>
      </x:c>
      <x:c r="F64" s="47" t="n">
        <x:f>D64+E64</x:f>
        <x:v>239839.45176838344</x:v>
      </x:c>
      <x:c r="G64" s="63" t="n">
        <x:f>F64/B64</x:f>
        <x:v>0.05849286121110685</x:v>
      </x:c>
      <x:c r="H64" s="47" t="n">
        <x:f>F64-F63</x:f>
        <x:v>16532.6262794887</x:v>
      </x:c>
      <x:c r="I64" s="63" t="n">
        <x:f>MAX(0.005,pac_u_base*IF(Paths!AC64=1,pac_u_war,1)+(okun*(1-Economy!G64)*(B64+L64)-MAX(0,L63-L64))/B64)</x:f>
        <x:v>0.015</x:v>
      </x:c>
      <x:c r="J64" s="47" t="n">
        <x:f>IF(AND(gw_on=1,$A64&gt;=gw_start),MIN(gw_cap*B63,gw_cover*F63+gw_gen*B63),0)</x:f>
        <x:v>445218.0709326982</x:v>
      </x:c>
      <x:c r="K64" s="47" t="n">
        <x:f>L63*gw_conv</x:f>
        <x:v>10906.41871306367</x:v>
      </x:c>
      <x:c r="L64" s="47" t="n">
        <x:f>MAX(0,L63-K64+gw_adj*(J64-L63))*MAX(0,1-gw_slump*(1-Economy!G64))</x:f>
        <x:v>385309.18392128905</x:v>
      </x:c>
      <x:c r="M64" s="47" t="n">
        <x:f>MAX(0,L64-L63+L63/gw_term)</x:f>
        <x:v>142944.32363098528</x:v>
      </x:c>
      <x:c r="N64" s="63" t="n">
        <x:f>L64/B64</x:f>
        <x:v>0.093970514243161</x:v>
      </x:c>
      <x:c r="O64" s="53" t="n">
        <x:f>Economy!L64</x:f>
        <x:v>291.11196824094486</x:v>
      </x:c>
      <x:c r="P64" s="53" t="n">
        <x:f>O64*gw_wage_share</x:f>
        <x:v>189.22277935661415</x:v>
      </x:c>
      <x:c r="Q64" s="53" t="n">
        <x:f>P64*gw_levy</x:f>
        <x:v>47.30569483915354</x:v>
      </x:c>
      <x:c r="R64" s="53" t="n">
        <x:f>P64*gw_remit</x:f>
        <x:v>47.30569483915354</x:v>
      </x:c>
      <x:c r="S64" s="63" t="n">
        <x:f>IF(union_resp&gt;=1,MIN(1,MAX(0,($A64-resp_start)/(resp_full-resp_start))),0)</x:f>
        <x:v>0.14285714285714285</x:v>
      </x:c>
      <x:c r="T64" s="67" t="n">
        <x:f>Economy!R63</x:f>
        <x:v>2.0214286069328242</x:v>
      </x:c>
      <x:c r="U64" s="67" t="n">
        <x:f>MAX(0,T64-gap_base)</x:f>
        <x:v>0.5214286069328242</x:v>
      </x:c>
      <x:c r="V64" s="68" t="n">
        <x:v>64.54000000000001</x:v>
      </x:c>
      <x:c r="W64" s="47" t="n">
        <x:f>V64*1000000*lf_rate*union_skill_share</x:f>
        <x:v>3252816.0000000005</x:v>
      </x:c>
      <x:c r="X64" s="45" t="n">
        <x:v>118000</x:v>
      </x:c>
      <x:c r="Y64" s="47" t="n">
        <x:f>IF(AND(mig_endo=1,$A64&gt;=talent_start),talent_rate_u*W64*U64*(1-(1-bd_keep)*S64),0)</x:f>
        <x:v>15344.961372843689</x:v>
      </x:c>
      <x:c r="Z64" s="47" t="n">
        <x:f>IF(AND(mig_endo=1,$A64&gt;=talent_start),X64*MIN(0.5,talent_share_o*U64)*(1-eu_comp*S64),0)</x:f>
        <x:v>15900.741899013507</x:v>
      </x:c>
      <x:c r="AA64" s="45" t="n">
        <x:v>28000</x:v>
      </x:c>
      <x:c r="AB64" s="47" t="n">
        <x:f>IF(AND(mig_endo=1,$A64&gt;=talent_start),AA64*MIN(0.5,talent_share_a*U64),0)</x:f>
        <x:v>2920.000198823816</x:v>
      </x:c>
      <x:c r="AC64" s="47" t="n">
        <x:f>entry_cap*People!B64</x:f>
        <x:v>28518.283899502683</x:v>
      </x:c>
      <x:c r="AD64" s="47" t="n">
        <x:f>MIN(AC64,Y64+Z64+AB64)</x:f>
        <x:v>28518.283899502683</x:v>
      </x:c>
      <x:c r="AE64" s="47" t="n">
        <x:f>IF(Y64+Z64+AB64&gt;0,AD64*Y64/(Y64+Z64+AB64),0)</x:f>
        <x:v>12808.516155190293</x:v>
      </x:c>
      <x:c r="AF64" s="47" t="n">
        <x:f>IF(Y64+Z64+AB64&gt;0,AD64*AB64/(Y64+Z64+AB64),0)</x:f>
        <x:v>2437.3387987787864</x:v>
      </x:c>
      <x:c r="AG64" s="47" t="n">
        <x:f>AD64*family_mult</x:f>
        <x:v>62740.22457890591</x:v>
      </x:c>
      <x:c r="AH64" s="47" t="n">
        <x:f>AH63*(1+Paths!C64)+AG64</x:f>
        <x:v>792927.9091642087</x:v>
      </x:c>
      <x:c r="AI64" s="47" t="n">
        <x:f>IF(AND(mig_endo=1,$A64&gt;=talent_start),chain_rate*AH63,0)</x:f>
        <x:v>10748.592020392092</x:v>
      </x:c>
      <x:c r="AJ64" s="47" t="n">
        <x:f>IF(AND(mig_endo=1,$A64&gt;=talent_start),IF(H63&gt;0,H63*job_fill,H63*job_return)*job_family,0)</x:f>
        <x:v>9910.386693086706</x:v>
      </x:c>
      <x:c r="AK64" s="47" t="n">
        <x:f>K64*gw_conv_family</x:f>
        <x:v>19631.553683514605</x:v>
      </x:c>
      <x:c r="AL64" s="47" t="n">
        <x:f>AG64+AI64+AJ64+AK64+AR64</x:f>
        <x:v>223808.5203017395</x:v>
      </x:c>
      <x:c r="AM64" s="47" t="n">
        <x:f>AM63*(1-skill_ret)+AD64</x:f>
        <x:v>270840.2592900496</x:v>
      </x:c>
      <x:c r="AN64" s="64" t="n">
        <x:f>AM64/B64</x:f>
        <x:v>0.06605344358580395</x:v>
      </x:c>
      <x:c r="AO64" s="64" t="n">
        <x:f>(skill_rel-1+skill_spill)*AM63/B63-AT64</x:f>
        <x:v>0.06875445174109499</x:v>
      </x:c>
      <x:c r="AP64" s="64" t="n">
        <x:f>talent_champ*AM63/(skill_base_share*B63)</x:f>
        <x:v>0.127767726573866</x:v>
      </x:c>
      <x:c r="AQ64" s="45" t="n">
        <x:v>968000</x:v>
      </x:c>
      <x:c r="AR64" s="47" t="n">
        <x:f>IF(AND(div_on=1,$A64&gt;=div_start),AQ64*MIN(div_max,div_rate*U64)*(1-div_comp*S64),0)</x:f>
        <x:v>120777.76332584018</x:v>
      </x:c>
      <x:c r="AS64" s="47" t="n">
        <x:f>AS63*(1-div_assim)+AR64</x:f>
        <x:v>623933.5033104552</x:v>
      </x:c>
      <x:c r="AT64" s="64" t="n">
        <x:f>(1-div_rel)*AS63/Economy!B63</x:f>
        <x:v>0.014294570531917903</x:v>
      </x:c>
      <x:c r="AU64" s="47" t="n">
        <x:f>AU63*(1-skill_ret)+AE64</x:f>
        <x:v>132080.39055371954</x:v>
      </x:c>
      <x:c r="AV64" s="47" t="n">
        <x:f>AV63*(1+union_nat)+AR64</x:f>
        <x:v>870113.3797605203</x:v>
      </x:c>
      <x:c r="AW64" s="47" t="n">
        <x:f>AW63*(1+union_nat)+AE64*family_mult</x:f>
        <x:v>373705.40227061807</x:v>
      </x:c>
      <x:c r="AX64" s="67" t="n">
        <x:f>V64-(AV64+AW64)/1000000</x:f>
        <x:v>63.296181217968865</x:v>
      </x:c>
      <x:c r="AY64" s="47" t="n">
        <x:f>L64*gw_union</x:f>
        <x:v>77061.83678425782</x:v>
      </x:c>
      <x:c r="AZ64" s="46" t="n">
        <x:v>1.079</x:v>
      </x:c>
      <x:c r="BA64" s="47" t="n">
        <x:f>Economy!Q64*AZ64/lf_rate</x:f>
        <x:v>721.902380952381</x:v>
      </x:c>
      <x:c r="BB64" s="64" t="n">
        <x:f>bd_growth*AU63/W63</x:f>
        <x:v>0.0011512340258633081</x:v>
      </x:c>
      <x:c r="BC64" s="64" t="n">
        <x:f>tg_k*MIN(1,Economy!O63/BK63)</x:f>
        <x:v>0.0009058719365448171</x:v>
      </x:c>
      <x:c r="BD64" s="64" t="n">
        <x:f>emu_g*S64</x:f>
        <x:v>0.00021428571428571427</x:v>
      </x:c>
      <x:c r="BE64" s="65" t="n">
        <x:f>BE63*(1-BB64-BC64+BD64)</x:f>
        <x:v>0.9705526627694355</x:v>
      </x:c>
      <x:c r="BF64" s="46" t="n">
        <x:v>1</x:v>
      </x:c>
      <x:c r="BG64" s="53" t="n">
        <x:f>AU64*BA64*BE64*(skill_rel-1+skill_spill)/1000000</x:f>
        <x:v>120.30378085666581</x:v>
      </x:c>
      <x:c r="BH64" s="53" t="n">
        <x:f>union_disp*(Champions!AP64+Champions!AZ64)*(1-IF(union_resp=2,mkt_cut*S64,0))</x:f>
        <x:v>128.6861322113057</x:v>
      </x:c>
      <x:c r="BI64" s="53" t="n">
        <x:f>AY64*BA64*BE64/1000000</x:f>
        <x:v>53.99293500222142</x:v>
      </x:c>
      <x:c r="BJ64" s="47" t="n">
        <x:f>V64*Economy!Q64*AZ64</x:f>
        <x:v>19568.463460000003</x:v>
      </x:c>
      <x:c r="BK64" s="47" t="n">
        <x:f>MAX(0.3*BJ64,AX64*Economy!Q64*AZ64*BE64*BF64-BG64-BH64-BI64)</x:f>
        <x:v>18323.22217404106</x:v>
      </x:c>
      <x:c r="BL64" s="63" t="n">
        <x:f>1-BK64/BJ64</x:f>
        <x:v>0.06363510801470673</x:v>
      </x:c>
      <x:c r="BM64" s="47" t="n">
        <x:f>MAX(0,BH64-BH63)*1000000/BA64</x:f>
        <x:v>11493.48720095453</x:v>
      </x:c>
      <x:c r="BN64" s="47" t="n">
        <x:f>BN63*(1-IF(AND($A64&gt;=1930,$A64&lt;=1932),0,union_reabsorb))+BM64</x:f>
        <x:v>60921.14014273031</x:v>
      </x:c>
      <x:c r="BO64" s="59" t="n">
        <x:v>0.028</x:v>
      </x:c>
      <x:c r="BP64" s="63" t="n">
        <x:f>BO64+BN64/(AX64*1000000*lf_rate)</x:f>
        <x:v>0.03029161271473341</x:v>
      </x:c>
    </x:row>
    <x:row r="65">
      <x:c r="A65" s="58" t="n">
        <x:v>1905</x:v>
      </x:c>
      <x:c r="B65" s="47" t="n">
        <x:f>Economy!B65*lf_rate</x:f>
        <x:v>4321390.029824936</x:v>
      </x:c>
      <x:c r="C65" s="47" t="n">
        <x:f>Economy!O65*1000000/(B65+L65)</x:f>
        <x:v>1340.0540200924545</x:v>
      </x:c>
      <x:c r="D65" s="47" t="n">
        <x:f>Champions!AP65*1000000/(C65*champ_prem)</x:f>
        <x:v>148611.92217027303</x:v>
      </x:c>
      <x:c r="E65" s="47" t="n">
        <x:f>D65*job_mult</x:f>
        <x:v>104028.34551919112</x:v>
      </x:c>
      <x:c r="F65" s="47" t="n">
        <x:f>D65+E65</x:f>
        <x:v>252640.26768946415</x:v>
      </x:c>
      <x:c r="G65" s="63" t="n">
        <x:f>F65/B65</x:f>
        <x:v>0.05846273211763273</x:v>
      </x:c>
      <x:c r="H65" s="47" t="n">
        <x:f>F65-F64</x:f>
        <x:v>12800.815921080706</x:v>
      </x:c>
      <x:c r="I65" s="63" t="n">
        <x:f>MAX(0.005,pac_u_base*IF(Paths!AC65=1,pac_u_war,1)+(okun*(1-Economy!G65)*(B65+L65)-MAX(0,L64-L65))/B65)</x:f>
        <x:v>0.015</x:v>
      </x:c>
      <x:c r="J65" s="47" t="n">
        <x:f>IF(AND(gw_on=1,$A65&gt;=gw_start),MIN(gw_cap*B64,gw_cover*F64+gw_gen*B64),0)</x:f>
        <x:v>471929.27528343635</x:v>
      </x:c>
      <x:c r="K65" s="47" t="n">
        <x:f>L64*gw_conv</x:f>
        <x:v>11559.27551763867</x:v>
      </x:c>
      <x:c r="L65" s="47" t="n">
        <x:f>MAX(0,L64-K65+gw_adj*(J65-L64))*MAX(0,1-gw_slump*(1-Economy!G65))</x:f>
        <x:v>408397.94494850934</x:v>
      </x:c>
      <x:c r="M65" s="47" t="n">
        <x:f>MAX(0,L65-L64+L64/gw_term)</x:f>
        <x:v>151525.15566765</x:v>
      </x:c>
      <x:c r="N65" s="63" t="n">
        <x:f>L65/B65</x:f>
        <x:v>0.0945061524486032</x:v>
      </x:c>
      <x:c r="O65" s="53" t="n">
        <x:f>Economy!L65</x:f>
        <x:v>320.0866527953906</x:v>
      </x:c>
      <x:c r="P65" s="53" t="n">
        <x:f>O65*gw_wage_share</x:f>
        <x:v>208.05632431700388</x:v>
      </x:c>
      <x:c r="Q65" s="53" t="n">
        <x:f>P65*gw_levy</x:f>
        <x:v>52.01408107925097</x:v>
      </x:c>
      <x:c r="R65" s="53" t="n">
        <x:f>P65*gw_remit</x:f>
        <x:v>52.01408107925097</x:v>
      </x:c>
      <x:c r="S65" s="63" t="n">
        <x:f>IF(union_resp&gt;=1,MIN(1,MAX(0,($A65-resp_start)/(resp_full-resp_start))),0)</x:f>
        <x:v>0.2857142857142857</x:v>
      </x:c>
      <x:c r="T65" s="67" t="n">
        <x:f>Economy!R64</x:f>
        <x:v>2.034121047976378</x:v>
      </x:c>
      <x:c r="U65" s="67" t="n">
        <x:f>MAX(0,T65-gap_base)</x:f>
        <x:v>0.5341210479763778</x:v>
      </x:c>
      <x:c r="V65" s="68" t="n">
        <x:v>65.81999999999999</x:v>
      </x:c>
      <x:c r="W65" s="47" t="n">
        <x:f>V65*1000000*lf_rate*union_skill_share</x:f>
        <x:v>3317327.9999999995</x:v>
      </x:c>
      <x:c r="X65" s="45" t="n">
        <x:v>123000</x:v>
      </x:c>
      <x:c r="Y65" s="47" t="n">
        <x:f>IF(AND(mig_endo=1,$A65&gt;=talent_start),talent_rate_u*W65*U65*(1-(1-bd_keep)*S65),0)</x:f>
        <x:v>14341.898249470383</x:v>
      </x:c>
      <x:c r="Z65" s="47" t="n">
        <x:f>IF(AND(mig_endo=1,$A65&gt;=talent_start),X65*MIN(0.5,talent_share_o*U65)*(1-eu_comp*S65),0)</x:f>
        <x:v>16217.746288727323</x:v>
      </x:c>
      <x:c r="AA65" s="45" t="n">
        <x:v>30000</x:v>
      </x:c>
      <x:c r="AB65" s="47" t="n">
        <x:f>IF(AND(mig_endo=1,$A65&gt;=talent_start),AA65*MIN(0.5,talent_share_a*U65),0)</x:f>
        <x:v>3204.726287858267</x:v>
      </x:c>
      <x:c r="AC65" s="47" t="n">
        <x:f>entry_cap*People!B65</x:f>
        <x:v>30057.71685449845</x:v>
      </x:c>
      <x:c r="AD65" s="47" t="n">
        <x:f>MIN(AC65,Y65+Z65+AB65)</x:f>
        <x:v>30057.71685449845</x:v>
      </x:c>
      <x:c r="AE65" s="47" t="n">
        <x:f>IF(Y65+Z65+AB65&gt;0,AD65*Y65/(Y65+Z65+AB65),0)</x:f>
        <x:v>12767.444089493876</x:v>
      </x:c>
      <x:c r="AF65" s="47" t="n">
        <x:f>IF(Y65+Z65+AB65&gt;0,AD65*AB65/(Y65+Z65+AB65),0)</x:f>
        <x:v>2852.9113085760896</x:v>
      </x:c>
      <x:c r="AG65" s="47" t="n">
        <x:f>AD65*family_mult</x:f>
        <x:v>66126.97707989659</x:v>
      </x:c>
      <x:c r="AH65" s="47" t="n">
        <x:f>AH64*(1+Paths!C65)+AG65</x:f>
        <x:v>874120.5165182252</x:v>
      </x:c>
      <x:c r="AI65" s="47" t="n">
        <x:f>IF(AND(mig_endo=1,$A65&gt;=talent_start),chain_rate*AH64,0)</x:f>
        <x:v>11893.91863746313</x:v>
      </x:c>
      <x:c r="AJ65" s="47" t="n">
        <x:f>IF(AND(mig_endo=1,$A65&gt;=talent_start),IF(H64&gt;0,H64*job_fill,H64*job_return)*job_family,0)</x:f>
        <x:v>10415.554556077881</x:v>
      </x:c>
      <x:c r="AK65" s="47" t="n">
        <x:f>K65*gw_conv_family</x:f>
        <x:v>20806.695931749608</x:v>
      </x:c>
      <x:c r="AL65" s="47" t="n">
        <x:f>AG65+AI65+AJ65+AK65+AR65</x:f>
        <x:v>240484.3179936686</x:v>
      </x:c>
      <x:c r="AM65" s="47" t="n">
        <x:f>AM64*(1-skill_ret)+AD65</x:f>
        <x:v>294126.9696622968</x:v>
      </x:c>
      <x:c r="AN65" s="64" t="n">
        <x:f>AM65/B65</x:f>
        <x:v>0.06806304629582631</x:v>
      </x:c>
      <x:c r="AO65" s="64" t="n">
        <x:f>(skill_rel-1+skill_spill)*AM64/B64-AT65</x:f>
        <x:v>0.069891939053675</x:v>
      </x:c>
      <x:c r="AP65" s="64" t="n">
        <x:f>talent_champ*AM64/(skill_base_share*B64)</x:f>
        <x:v>0.1321068871716079</x:v>
      </x:c>
      <x:c r="AQ65" s="45" t="n">
        <x:v>1075000</x:v>
      </x:c>
      <x:c r="AR65" s="47" t="n">
        <x:f>IF(AND(div_on=1,$A65&gt;=div_start),AQ65*MIN(div_max,div_rate*U65)*(1-div_comp*S65),0)</x:f>
        <x:v>131241.1717884814</x:v>
      </x:c>
      <x:c r="AS65" s="47" t="n">
        <x:f>AS64*(1-div_assim)+AR65</x:f>
        <x:v>723977.9999334138</x:v>
      </x:c>
      <x:c r="AT65" s="64" t="n">
        <x:f>(1-div_rel)*AS64/Economy!B64</x:f>
        <x:v>0.015977537607870143</x:v>
      </x:c>
      <x:c r="AU65" s="47" t="n">
        <x:f>AU64*(1-skill_ret)+AE65</x:f>
        <x:v>141545.82487937043</x:v>
      </x:c>
      <x:c r="AV65" s="47" t="n">
        <x:f>AV64*(1+union_nat)+AR65</x:f>
        <x:v>1012666.0254858884</x:v>
      </x:c>
      <x:c r="AW65" s="47" t="n">
        <x:f>AW64*(1+union_nat)+AE65*family_mult</x:f>
        <x:v>406651.94949702255</x:v>
      </x:c>
      <x:c r="AX65" s="67" t="n">
        <x:f>V65-(AV65+AW65)/1000000</x:f>
        <x:v>64.40068202501708</x:v>
      </x:c>
      <x:c r="AY65" s="47" t="n">
        <x:f>L65*gw_union</x:f>
        <x:v>81679.58898970188</x:v>
      </x:c>
      <x:c r="AZ65" s="46" t="n">
        <x:v>1.076</x:v>
      </x:c>
      <x:c r="BA65" s="47" t="n">
        <x:f>Economy!Q65*AZ65/lf_rate</x:f>
        <x:v>742.9523809523811</x:v>
      </x:c>
      <x:c r="BB65" s="64" t="n">
        <x:f>bd_growth*AU64/W64</x:f>
        <x:v>0.0012181481266113994</x:v>
      </x:c>
      <x:c r="BC65" s="64" t="n">
        <x:f>tg_k*MIN(1,Economy!O64/BK64)</x:f>
        <x:v>0.0009496901883593977</x:v>
      </x:c>
      <x:c r="BD65" s="64" t="n">
        <x:f>emu_g*S65</x:f>
        <x:v>0.00042857142857142855</x:v>
      </x:c>
      <x:c r="BE65" s="65" t="n">
        <x:f>BE64*(1-BB65-BC65+BD65)</x:f>
        <x:v>0.968864612661574</x:v>
      </x:c>
      <x:c r="BF65" s="46" t="n">
        <x:v>1</x:v>
      </x:c>
      <x:c r="BG65" s="53" t="n">
        <x:f>AU65*BA65*BE65*(skill_rel-1+skill_spill)/1000000</x:f>
        <x:v>132.45382019338692</x:v>
      </x:c>
      <x:c r="BH65" s="53" t="n">
        <x:f>union_disp*(Champions!AP65+Champions!AZ65)*(1-IF(union_resp=2,mkt_cut*S65,0))</x:f>
        <x:v>134.85523547069977</x:v>
      </x:c>
      <x:c r="BI65" s="53" t="n">
        <x:f>AY65*BA65*BE65/1000000</x:f>
        <x:v>58.7946238651894</x:v>
      </x:c>
      <x:c r="BJ65" s="47" t="n">
        <x:f>V65*Economy!Q65*AZ65</x:f>
        <x:v>20538.4728</x:v>
      </x:c>
      <x:c r="BK65" s="47" t="n">
        <x:f>MAX(0.3*BJ65,AX65*Economy!Q65*AZ65*BE65*BF65-BG65-BH65-BI65)</x:f>
        <x:v>19143.801197881057</x:v>
      </x:c>
      <x:c r="BL65" s="63" t="n">
        <x:f>1-BK65/BJ65</x:f>
        <x:v>0.0679053216711879</x:v>
      </x:c>
      <x:c r="BM65" s="47" t="n">
        <x:f>MAX(0,BH65-BH64)*1000000/BA65</x:f>
        <x:v>8303.497528988291</x:v>
      </x:c>
      <x:c r="BN65" s="47" t="n">
        <x:f>BN64*(1-IF(AND($A65&gt;=1930,$A65&lt;=1932),0,union_reabsorb))+BM65</x:f>
        <x:v>53994.35263603603</x:v>
      </x:c>
      <x:c r="BO65" s="59" t="n">
        <x:v>0.023</x:v>
      </x:c>
      <x:c r="BP65" s="63" t="n">
        <x:f>BO65+BN65/(AX65*1000000*lf_rate)</x:f>
        <x:v>0.024996220822891484</x:v>
      </x:c>
    </x:row>
    <x:row r="66">
      <x:c r="A66" s="58" t="n">
        <x:v>1906</x:v>
      </x:c>
      <x:c r="B66" s="47" t="n">
        <x:f>Economy!B66*lf_rate</x:f>
        <x:v>4552741.560341443</x:v>
      </x:c>
      <x:c r="C66" s="47" t="n">
        <x:f>Economy!O66*1000000/(B66+L66)</x:f>
        <x:v>1407.8098201667099</x:v>
      </x:c>
      <x:c r="D66" s="47" t="n">
        <x:f>Champions!AP66*1000000/(C66*champ_prem)</x:f>
        <x:v>152748.66903804697</x:v>
      </x:c>
      <x:c r="E66" s="47" t="n">
        <x:f>D66*job_mult</x:f>
        <x:v>106924.06832663287</x:v>
      </x:c>
      <x:c r="F66" s="47" t="n">
        <x:f>D66+E66</x:f>
        <x:v>259672.73736467984</x:v>
      </x:c>
      <x:c r="G66" s="63" t="n">
        <x:f>F66/B66</x:f>
        <x:v>0.05703656443551896</x:v>
      </x:c>
      <x:c r="H66" s="47" t="n">
        <x:f>F66-F65</x:f>
        <x:v>7032.469675215689</x:v>
      </x:c>
      <x:c r="I66" s="63" t="n">
        <x:f>MAX(0.005,pac_u_base*IF(Paths!AC66=1,pac_u_war,1)+(okun*(1-Economy!G66)*(B66+L66)-MAX(0,L65-L66))/B66)</x:f>
        <x:v>0.015</x:v>
      </x:c>
      <x:c r="J66" s="47" t="n">
        <x:f>IF(AND(gw_on=1,$A66&gt;=gw_start),MIN(gw_cap*B65,gw_cover*F65+gw_gen*B65),0)</x:f>
        <x:v>497295.36299967335</x:v>
      </x:c>
      <x:c r="K66" s="47" t="n">
        <x:f>L65*gw_conv</x:f>
        <x:v>12251.93834845528</x:v>
      </x:c>
      <x:c r="L66" s="47" t="n">
        <x:f>MAX(0,L65-K66+gw_adj*(J66-L65))*MAX(0,1-gw_slump*(1-Economy!G66))</x:f>
        <x:v>431704.97382051963</x:v>
      </x:c>
      <x:c r="M66" s="47" t="n">
        <x:f>MAX(0,L66-L65+L65/gw_term)</x:f>
        <x:v>159439.67718818007</x:v>
      </x:c>
      <x:c r="N66" s="63" t="n">
        <x:f>L66/B66</x:f>
        <x:v>0.09482307925867485</x:v>
      </x:c>
      <x:c r="O66" s="53" t="n">
        <x:f>Economy!L66</x:f>
        <x:v>355.92379346984364</x:v>
      </x:c>
      <x:c r="P66" s="53" t="n">
        <x:f>O66*gw_wage_share</x:f>
        <x:v>231.35046575539837</x:v>
      </x:c>
      <x:c r="Q66" s="53" t="n">
        <x:f>P66*gw_levy</x:f>
        <x:v>57.837616438849594</x:v>
      </x:c>
      <x:c r="R66" s="53" t="n">
        <x:f>P66*gw_remit</x:f>
        <x:v>57.837616438849594</x:v>
      </x:c>
      <x:c r="S66" s="63" t="n">
        <x:f>IF(union_resp&gt;=1,MIN(1,MAX(0,($A66-resp_start)/(resp_full-resp_start))),0)</x:f>
        <x:v>0.42857142857142855</x:v>
      </x:c>
      <x:c r="T66" s="67" t="n">
        <x:f>Economy!R65</x:f>
        <x:v>2.0430869951270565</x:v>
      </x:c>
      <x:c r="U66" s="67" t="n">
        <x:f>MAX(0,T66-gap_base)</x:f>
        <x:v>0.5430869951270565</x:v>
      </x:c>
      <x:c r="V66" s="68" t="n">
        <x:v>67.11</x:v>
      </x:c>
      <x:c r="W66" s="47" t="n">
        <x:f>V66*1000000*lf_rate*union_skill_share</x:f>
        <x:v>3382344</x:v>
      </x:c>
      <x:c r="X66" s="45" t="n">
        <x:v>128000</x:v>
      </x:c>
      <x:c r="Y66" s="47" t="n">
        <x:f>IF(AND(mig_endo=1,$A66&gt;=talent_start),talent_rate_u*W66*U66*(1-(1-bd_keep)*S66),0)</x:f>
        <x:v>13118.140414558142</x:v>
      </x:c>
      <x:c r="Z66" s="47" t="n">
        <x:f>IF(AND(mig_endo=1,$A66&gt;=talent_start),X66*MIN(0.5,talent_share_o*U66)*(1-eu_comp*S66),0)</x:f>
        <x:v>16355.918280672222</x:v>
      </x:c>
      <x:c r="AA66" s="45" t="n">
        <x:v>32000</x:v>
      </x:c>
      <x:c r="AB66" s="47" t="n">
        <x:f>IF(AND(mig_endo=1,$A66&gt;=talent_start),AA66*MIN(0.5,talent_share_a*U66),0)</x:f>
        <x:v>3475.7567688131617</x:v>
      </x:c>
      <x:c r="AC66" s="47" t="n">
        <x:f>entry_cap*People!B66</x:f>
        <x:v>31676.426428714927</x:v>
      </x:c>
      <x:c r="AD66" s="47" t="n">
        <x:f>MIN(AC66,Y66+Z66+AB66)</x:f>
        <x:v>31676.426428714927</x:v>
      </x:c>
      <x:c r="AE66" s="47" t="n">
        <x:f>IF(Y66+Z66+AB66&gt;0,AD66*Y66/(Y66+Z66+AB66),0)</x:f>
        <x:v>12611.172592962052</x:v>
      </x:c>
      <x:c r="AF66" s="47" t="n">
        <x:f>IF(Y66+Z66+AB66&gt;0,AD66*AB66/(Y66+Z66+AB66),0)</x:f>
        <x:v>3341.4315686096675</x:v>
      </x:c>
      <x:c r="AG66" s="47" t="n">
        <x:f>AD66*family_mult</x:f>
        <x:v>69688.13814317285</x:v>
      </x:c>
      <x:c r="AH66" s="47" t="n">
        <x:f>AH65*(1+Paths!C66)+AG66</x:f>
        <x:v>960416.9444752443</x:v>
      </x:c>
      <x:c r="AI66" s="47" t="n">
        <x:f>IF(AND(mig_endo=1,$A66&gt;=talent_start),chain_rate*AH65,0)</x:f>
        <x:v>13111.807747773377</x:v>
      </x:c>
      <x:c r="AJ66" s="47" t="n">
        <x:f>IF(AND(mig_endo=1,$A66&gt;=talent_start),IF(H65&gt;0,H65*job_fill,H65*job_return)*job_family,0)</x:f>
        <x:v>8064.514030280844</x:v>
      </x:c>
      <x:c r="AK66" s="47" t="n">
        <x:f>K66*gw_conv_family</x:f>
        <x:v>22053.489027219504</x:v>
      </x:c>
      <x:c r="AL66" s="47" t="n">
        <x:f>AG66+AI66+AJ66+AK66+AR66</x:f>
        <x:v>252766.72938648594</x:v>
      </x:c>
      <x:c r="AM66" s="47" t="n">
        <x:f>AM65*(1-skill_ret)+AD66</x:f>
        <x:v>318450.22184945433</x:v>
      </x:c>
      <x:c r="AN66" s="64" t="n">
        <x:f>AM66/B66</x:f>
        <x:v>0.06994691388227436</x:v>
      </x:c>
      <x:c r="AO66" s="64" t="n">
        <x:f>(skill_rel-1+skill_spill)*AM65/B65-AT66</x:f>
        <x:v>0.07089093288355365</x:v>
      </x:c>
      <x:c r="AP66" s="64" t="n">
        <x:f>talent_champ*AM65/(skill_base_share*B65)</x:f>
        <x:v>0.13612609259165262</x:v>
      </x:c>
      <x:c r="AQ66" s="45" t="n">
        <x:v>1182000</x:v>
      </x:c>
      <x:c r="AR66" s="47" t="n">
        <x:f>IF(AND(div_on=1,$A66&gt;=div_start),AQ66*MIN(div_max,div_rate*U66)*(1-div_comp*S66),0)</x:f>
        <x:v>139848.78043803936</x:v>
      </x:c>
      <x:c r="AS66" s="47" t="n">
        <x:f>AS65*(1-div_assim)+AR66</x:f>
        <x:v>827627.8803747824</x:v>
      </x:c>
      <x:c r="AT66" s="64" t="n">
        <x:f>(1-div_rel)*AS65/Economy!B65</x:f>
        <x:v>0.017591027301020547</x:v>
      </x:c>
      <x:c r="AU66" s="47" t="n">
        <x:f>AU65*(1-skill_ret)+AE66</x:f>
        <x:v>150618.3518503482</x:v>
      </x:c>
      <x:c r="AV66" s="47" t="n">
        <x:f>AV65*(1+union_nat)+AR66</x:f>
        <x:v>1165679.4642552442</x:v>
      </x:c>
      <x:c r="AW66" s="47" t="n">
        <x:f>AW65*(1+union_nat)+AE66*family_mult</x:f>
        <x:v>439683.0045450003</x:v>
      </x:c>
      <x:c r="AX66" s="67" t="n">
        <x:f>V66-(AV66+AW66)/1000000</x:f>
        <x:v>65.50463753119975</x:v>
      </x:c>
      <x:c r="AY66" s="47" t="n">
        <x:f>L66*gw_union</x:f>
        <x:v>86340.99476410393</x:v>
      </x:c>
      <x:c r="AZ66" s="46" t="n">
        <x:v>1.073</x:v>
      </x:c>
      <x:c r="BA66" s="47" t="n">
        <x:f>Economy!Q66*AZ66/lf_rate</x:f>
        <x:v>779.202380952381</x:v>
      </x:c>
      <x:c r="BB66" s="64" t="n">
        <x:f>bd_growth*AU65/W65</x:f>
        <x:v>0.0012800587540276731</x:v>
      </x:c>
      <x:c r="BC66" s="64" t="n">
        <x:f>tg_k*MIN(1,Economy!O65/BK65)</x:f>
        <x:v>0.0009932465330576533</x:v>
      </x:c>
      <x:c r="BD66" s="64" t="n">
        <x:f>emu_g*S66</x:f>
        <x:v>0.0006428571428571428</x:v>
      </x:c>
      <x:c r="BE66" s="65" t="n">
        <x:f>BE65*(1-BB66-BC66+BD66)</x:f>
        <x:v>0.9672849291518516</x:v>
      </x:c>
      <x:c r="BF66" s="46" t="n">
        <x:v>1</x:v>
      </x:c>
      <x:c r="BG66" s="53" t="n">
        <x:f>AU66*BA66*BE66*(skill_rel-1+skill_spill)/1000000</x:f>
        <x:v>147.57946631534725</x:v>
      </x:c>
      <x:c r="BH66" s="53" t="n">
        <x:f>union_disp*(Champions!AP66+Champions!AZ66)*(1-IF(union_resp=2,mkt_cut*S66,0))</x:f>
        <x:v>139.15426934116346</x:v>
      </x:c>
      <x:c r="BI66" s="53" t="n">
        <x:f>AY66*BA66*BE66/1000000</x:f>
        <x:v>65.07613331660448</x:v>
      </x:c>
      <x:c r="BJ66" s="47" t="n">
        <x:f>V66*Economy!Q66*AZ66</x:f>
        <x:v>21962.754149999997</x:v>
      </x:c>
      <x:c r="BK66" s="47" t="n">
        <x:f>MAX(0.3*BJ66,AX66*Economy!Q66*AZ66*BE66*BF66-BG66-BH66-BI66)</x:f>
        <x:v>20384.24008415471</x:v>
      </x:c>
      <x:c r="BL66" s="63" t="n">
        <x:f>1-BK66/BJ66</x:f>
        <x:v>0.07187231870212818</x:v>
      </x:c>
      <x:c r="BM66" s="47" t="n">
        <x:f>MAX(0,BH66-BH65)*1000000/BA66</x:f>
        <x:v>5517.223734877695</x:v>
      </x:c>
      <x:c r="BN66" s="47" t="n">
        <x:f>BN65*(1-IF(AND($A66&gt;=1930,$A66&lt;=1932),0,union_reabsorb))+BM66</x:f>
        <x:v>46012.98821190472</x:v>
      </x:c>
      <x:c r="BO66" s="59" t="n">
        <x:v>0.017</x:v>
      </x:c>
      <x:c r="BP66" s="63" t="n">
        <x:f>BO66+BN66/(AX66*1000000*lf_rate)</x:f>
        <x:v>0.018672472941869005</x:v>
      </x:c>
    </x:row>
    <x:row r="67">
      <x:c r="A67" s="58" t="n">
        <x:v>1907</x:v>
      </x:c>
      <x:c r="B67" s="47" t="n">
        <x:f>Economy!B67*lf_rate</x:f>
        <x:v>4793334.890286618</x:v>
      </x:c>
      <x:c r="C67" s="47" t="n">
        <x:f>Economy!O67*1000000/(B67+L67)</x:f>
        <x:v>1459.7254543782994</x:v>
      </x:c>
      <x:c r="D67" s="47" t="n">
        <x:f>Champions!AP67*1000000/(C67*champ_prem)</x:f>
        <x:v>161055.37526819558</x:v>
      </x:c>
      <x:c r="E67" s="47" t="n">
        <x:f>D67*job_mult</x:f>
        <x:v>112738.7626877369</x:v>
      </x:c>
      <x:c r="F67" s="47" t="n">
        <x:f>D67+E67</x:f>
        <x:v>273794.13795593247</x:v>
      </x:c>
      <x:c r="G67" s="63" t="n">
        <x:f>F67/B67</x:f>
        <x:v>0.05711975987965258</x:v>
      </x:c>
      <x:c r="H67" s="47" t="n">
        <x:f>F67-F66</x:f>
        <x:v>14121.400591252634</x:v>
      </x:c>
      <x:c r="I67" s="63" t="n">
        <x:f>MAX(0.005,pac_u_base*IF(Paths!AC67=1,pac_u_war,1)+(okun*(1-Economy!G67)*(B67+L67)-MAX(0,L66-L67))/B67)</x:f>
        <x:v>0.023193436439753256</x:v>
      </x:c>
      <x:c r="J67" s="47" t="n">
        <x:f>IF(AND(gw_on=1,$A67&gt;=gw_start),MIN(gw_cap*B66,gw_cover*F66+gw_gen*B66),0)</x:f>
        <x:v>520022.96724612336</x:v>
      </x:c>
      <x:c r="K67" s="47" t="n">
        <x:f>L66*gw_conv</x:f>
        <x:v>12951.149214615589</x:v>
      </x:c>
      <x:c r="L67" s="47" t="n">
        <x:f>MAX(0,L66-K67+gw_adj*(J67-L66))*MAX(0,1-gw_slump*(1-Economy!G67))</x:f>
        <x:v>443183.0774487181</x:v>
      </x:c>
      <x:c r="M67" s="47" t="n">
        <x:f>MAX(0,L67-L66+L66/gw_term)</x:f>
        <x:v>155379.76156837164</x:v>
      </x:c>
      <x:c r="N67" s="63" t="n">
        <x:f>L67/B67</x:f>
        <x:v>0.09245819196709995</x:v>
      </x:c>
      <x:c r="O67" s="53" t="n">
        <x:f>Economy!L67</x:f>
        <x:v>378.7940242533803</x:v>
      </x:c>
      <x:c r="P67" s="53" t="n">
        <x:f>O67*gw_wage_share</x:f>
        <x:v>246.2161157646972</x:v>
      </x:c>
      <x:c r="Q67" s="53" t="n">
        <x:f>P67*gw_levy</x:f>
        <x:v>61.5540289411743</x:v>
      </x:c>
      <x:c r="R67" s="53" t="n">
        <x:f>P67*gw_remit</x:f>
        <x:v>61.5540289411743</x:v>
      </x:c>
      <x:c r="S67" s="63" t="n">
        <x:f>IF(union_resp&gt;=1,MIN(1,MAX(0,($A67-resp_start)/(resp_full-resp_start))),0)</x:f>
        <x:v>0.5714285714285714</x:v>
      </x:c>
      <x:c r="T67" s="67" t="n">
        <x:f>Economy!R66</x:f>
        <x:v>2.041159022163471</x:v>
      </x:c>
      <x:c r="U67" s="67" t="n">
        <x:f>MAX(0,T67-gap_base)</x:f>
        <x:v>0.541159022163471</x:v>
      </x:c>
      <x:c r="V67" s="68" t="n">
        <x:v>68.39</x:v>
      </x:c>
      <x:c r="W67" s="47" t="n">
        <x:f>V67*1000000*lf_rate*union_skill_share</x:f>
        <x:v>3446856</x:v>
      </x:c>
      <x:c r="X67" s="45" t="n">
        <x:v>132000</x:v>
      </x:c>
      <x:c r="Y67" s="47" t="n">
        <x:f>IF(AND(mig_endo=1,$A67&gt;=talent_start),talent_rate_u*W67*U67*(1-(1-bd_keep)*S67),0)</x:f>
        <x:v>11543.525096946578</x:v>
      </x:c>
      <x:c r="Z67" s="47" t="n">
        <x:f>IF(AND(mig_endo=1,$A67&gt;=talent_start),X67*MIN(0.5,talent_share_o*U67)*(1-eu_comp*S67),0)</x:f>
        <x:v>15980.580541350775</x:v>
      </x:c>
      <x:c r="AA67" s="45" t="n">
        <x:v>35000</x:v>
      </x:c>
      <x:c r="AB67" s="47" t="n">
        <x:f>IF(AND(mig_endo=1,$A67&gt;=talent_start),AA67*MIN(0.5,talent_share_a*U67),0)</x:f>
        <x:v>3788.1131551442973</x:v>
      </x:c>
      <x:c r="AC67" s="47" t="n">
        <x:f>entry_cap*People!B67</x:f>
        <x:v>33362.73871901997</x:v>
      </x:c>
      <x:c r="AD67" s="47" t="n">
        <x:f>MIN(AC67,Y67+Z67+AB67)</x:f>
        <x:v>31312.21879344165</x:v>
      </x:c>
      <x:c r="AE67" s="47" t="n">
        <x:f>IF(Y67+Z67+AB67&gt;0,AD67*Y67/(Y67+Z67+AB67),0)</x:f>
        <x:v>11543.525096946578</x:v>
      </x:c>
      <x:c r="AF67" s="47" t="n">
        <x:f>IF(Y67+Z67+AB67&gt;0,AD67*AB67/(Y67+Z67+AB67),0)</x:f>
        <x:v>3788.1131551442973</x:v>
      </x:c>
      <x:c r="AG67" s="47" t="n">
        <x:f>AD67*family_mult</x:f>
        <x:v>68886.88134557163</x:v>
      </x:c>
      <x:c r="AH67" s="47" t="n">
        <x:f>AH66*(1+Paths!C67)+AG67</x:f>
        <x:v>1047551.7477658454</x:v>
      </x:c>
      <x:c r="AI67" s="47" t="n">
        <x:f>IF(AND(mig_endo=1,$A67&gt;=talent_start),chain_rate*AH66,0)</x:f>
        <x:v>14406.254167128664</x:v>
      </x:c>
      <x:c r="AJ67" s="47" t="n">
        <x:f>IF(AND(mig_endo=1,$A67&gt;=talent_start),IF(H66&gt;0,H66*job_fill,H66*job_return)*job_family,0)</x:f>
        <x:v>4430.455895385884</x:v>
      </x:c>
      <x:c r="AK67" s="47" t="n">
        <x:f>K67*gw_conv_family</x:f>
        <x:v>23312.06858630806</x:v>
      </x:c>
      <x:c r="AL67" s="47" t="n">
        <x:f>AG67+AI67+AJ67+AK67+AR67</x:f>
        <x:v>255641.08155964746</x:v>
      </x:c>
      <x:c r="AM67" s="47" t="n">
        <x:f>AM66*(1-skill_ret)+AD67</x:f>
        <x:v>341801.18509665964</x:v>
      </x:c>
      <x:c r="AN67" s="64" t="n">
        <x:f>AM67/B67</x:f>
        <x:v>0.07130759542574368</x:v>
      </x:c>
      <x:c r="AO67" s="64" t="n">
        <x:f>(skill_rel-1+skill_spill)*AM66/B66-AT67</x:f>
        <x:v>0.0718433841740861</x:v>
      </x:c>
      <x:c r="AP67" s="64" t="n">
        <x:f>talent_champ*AM66/(skill_base_share*B66)</x:f>
        <x:v>0.13989382776454876</x:v>
      </x:c>
      <x:c r="AQ67" s="45" t="n">
        <x:v>1290000</x:v>
      </x:c>
      <x:c r="AR67" s="47" t="n">
        <x:f>IF(AND(div_on=1,$A67&gt;=div_start),AQ67*MIN(div_max,div_rate*U67)*(1-div_comp*S67),0)</x:f>
        <x:v>144605.42156525323</x:v>
      </x:c>
      <x:c r="AS67" s="47" t="n">
        <x:f>AS66*(1-div_assim)+AR67</x:f>
        <x:v>930851.9079212965</x:v>
      </x:c>
      <x:c r="AT67" s="64" t="n">
        <x:f>(1-div_rel)*AS66/Economy!B66</x:f>
        <x:v>0.019087603872870573</x:v>
      </x:c>
      <x:c r="AU67" s="47" t="n">
        <x:f>AU66*(1-skill_ret)+AE67</x:f>
        <x:v>158396.41815103608</x:v>
      </x:c>
      <x:c r="AV67" s="47" t="n">
        <x:f>AV66*(1+union_nat)+AR67</x:f>
        <x:v>1325438.7188558155</x:v>
      </x:c>
      <x:c r="AW67" s="47" t="n">
        <x:f>AW66*(1+union_nat)+AE67*family_mult</x:f>
        <x:v>470794.6388173678</x:v>
      </x:c>
      <x:c r="AX67" s="67" t="n">
        <x:f>V67-(AV67+AW67)/1000000</x:f>
        <x:v>66.59376664232681</x:v>
      </x:c>
      <x:c r="AY67" s="47" t="n">
        <x:f>L67*gw_union</x:f>
        <x:v>88636.61548974362</x:v>
      </x:c>
      <x:c r="AZ67" s="46" t="n">
        <x:v>1.07</x:v>
      </x:c>
      <x:c r="BA67" s="47" t="n">
        <x:f>Economy!Q67*AZ67/lf_rate</x:f>
        <x:v>812.6904761904764</x:v>
      </x:c>
      <x:c r="BB67" s="64" t="n">
        <x:f>bd_growth*AU66/W66</x:f>
        <x:v>0.0013359228261556025</x:v>
      </x:c>
      <x:c r="BC67" s="64" t="n">
        <x:f>tg_k*MIN(1,Economy!O66/BK66)</x:f>
        <x:v>0.0010327320640729372</x:v>
      </x:c>
      <x:c r="BD67" s="64" t="n">
        <x:f>emu_g*S67</x:f>
        <x:v>0.0008571428571428571</x:v>
      </x:c>
      <x:c r="BE67" s="65" t="n">
        <x:f>BE66*(1-BB67-BC67+BD67)</x:f>
        <x:v>0.9658228663420162</x:v>
      </x:c>
      <x:c r="BF67" s="46" t="n">
        <x:v>1</x:v>
      </x:c>
      <x:c r="BG67" s="53" t="n">
        <x:f>AU67*BA67*BE67*(skill_rel-1+skill_spill)/1000000</x:f>
        <x:v>161.62605121871093</x:v>
      </x:c>
      <x:c r="BH67" s="53" t="n">
        <x:f>union_disp*(Champions!AP67+Champions!AZ67)*(1-IF(union_resp=2,mkt_cut*S67,0))</x:f>
        <x:v>144.5443425795228</x:v>
      </x:c>
      <x:c r="BI67" s="53" t="n">
        <x:f>AY67*BA67*BE67/1000000</x:f>
        <x:v>69.57221305024034</x:v>
      </x:c>
      <x:c r="BJ67" s="47" t="n">
        <x:f>V67*Economy!Q67*AZ67</x:f>
        <x:v>23343.5587</x:v>
      </x:c>
      <x:c r="BK67" s="47" t="n">
        <x:f>MAX(0.3*BJ67,AX67*Economy!Q67*AZ67*BE67*BF67-BG67-BH67-BI67)</x:f>
        <x:v>21577.846120842765</x:v>
      </x:c>
      <x:c r="BL67" s="63" t="n">
        <x:f>1-BK67/BJ67</x:f>
        <x:v>0.07564024842352923</x:v>
      </x:c>
      <x:c r="BM67" s="47" t="n">
        <x:f>MAX(0,BH67-BH66)*1000000/BA67</x:f>
        <x:v>6632.38144936257</x:v>
      </x:c>
      <x:c r="BN67" s="47" t="n">
        <x:f>BN66*(1-IF(AND($A67&gt;=1930,$A67&lt;=1932),0,union_reabsorb))+BM67</x:f>
        <x:v>41142.12260829111</x:v>
      </x:c>
      <x:c r="BO67" s="59" t="n">
        <x:v>0.028</x:v>
      </x:c>
      <x:c r="BP67" s="63" t="n">
        <x:f>BO67+BN67/(AX67*1000000*lf_rate)</x:f>
        <x:v>0.029470970027987334</x:v>
      </x:c>
    </x:row>
    <x:row r="68">
      <x:c r="A68" s="58" t="n">
        <x:v>1908</x:v>
      </x:c>
      <x:c r="B68" s="47" t="n">
        <x:f>Economy!B68*lf_rate</x:f>
        <x:v>5027295.533239602</x:v>
      </x:c>
      <x:c r="C68" s="47" t="n">
        <x:f>Economy!O68*1000000/(B68+L68)</x:f>
        <x:v>1483.6824285769926</x:v>
      </x:c>
      <x:c r="D68" s="47" t="n">
        <x:f>Champions!AP68*1000000/(C68*champ_prem)</x:f>
        <x:v>172007.91531610955</x:v>
      </x:c>
      <x:c r="E68" s="47" t="n">
        <x:f>D68*job_mult</x:f>
        <x:v>120405.54072127667</x:v>
      </x:c>
      <x:c r="F68" s="47" t="n">
        <x:f>D68+E68</x:f>
        <x:v>292413.4560373862</x:v>
      </x:c>
      <x:c r="G68" s="63" t="n">
        <x:f>F68/B68</x:f>
        <x:v>0.0581651613882652</x:v>
      </x:c>
      <x:c r="H68" s="47" t="n">
        <x:f>F68-F67</x:f>
        <x:v>18619.318081453734</x:v>
      </x:c>
      <x:c r="I68" s="63" t="n">
        <x:f>MAX(0.005,pac_u_base*IF(Paths!AC68=1,pac_u_war,1)+(okun*(1-Economy!G68)*(B68+L68)-MAX(0,L67-L68))/B68)</x:f>
        <x:v>0.040326422318196324</x:v>
      </x:c>
      <x:c r="J68" s="47" t="n">
        <x:f>IF(AND(gw_on=1,$A68&gt;=gw_start),MIN(gw_cap*B67,gw_cover*F67+gw_gen*B67),0)</x:f>
        <x:v>547743.2739964889</x:v>
      </x:c>
      <x:c r="K68" s="47" t="n">
        <x:f>L67*gw_conv</x:f>
        <x:v>13295.492323461542</x:v>
      </x:c>
      <x:c r="L68" s="47" t="n">
        <x:f>MAX(0,L67-K68+gw_adj*(J68-L67))*MAX(0,1-gw_slump*(1-Economy!G68))</x:f>
        <x:v>433974.73064481566</x:v>
      </x:c>
      <x:c r="M68" s="47" t="n">
        <x:f>MAX(0,L68-L67+L67/gw_term)</x:f>
        <x:v>138519.3456790036</x:v>
      </x:c>
      <x:c r="N68" s="63" t="n">
        <x:f>L68/B68</x:f>
        <x:v>0.08632369586698263</x:v>
      </x:c>
      <x:c r="O68" s="53" t="n">
        <x:f>Economy!L68</x:f>
        <x:v>375.99212183983394</x:v>
      </x:c>
      <x:c r="P68" s="53" t="n">
        <x:f>O68*gw_wage_share</x:f>
        <x:v>244.39487919589206</x:v>
      </x:c>
      <x:c r="Q68" s="53" t="n">
        <x:f>P68*gw_levy</x:f>
        <x:v>61.098719798973015</x:v>
      </x:c>
      <x:c r="R68" s="53" t="n">
        <x:f>P68*gw_remit</x:f>
        <x:v>61.098719798973015</x:v>
      </x:c>
      <x:c r="S68" s="63" t="n">
        <x:f>IF(union_resp&gt;=1,MIN(1,MAX(0,($A68-resp_start)/(resp_full-resp_start))),0)</x:f>
        <x:v>0.7142857142857143</x:v>
      </x:c>
      <x:c r="T68" s="67" t="n">
        <x:f>Economy!R67</x:f>
        <x:v>2.0211060910026686</x:v>
      </x:c>
      <x:c r="U68" s="67" t="n">
        <x:f>MAX(0,T68-gap_base)</x:f>
        <x:v>0.5211060910026686</x:v>
      </x:c>
      <x:c r="V68" s="68" t="n">
        <x:v>69.68000000000001</x:v>
      </x:c>
      <x:c r="W68" s="47" t="n">
        <x:f>V68*1000000*lf_rate*union_skill_share</x:f>
        <x:v>3511872</x:v>
      </x:c>
      <x:c r="X68" s="45" t="n">
        <x:v>137000</x:v>
      </x:c>
      <x:c r="Y68" s="47" t="n">
        <x:f>IF(AND(mig_endo=1,$A68&gt;=talent_start),talent_rate_u*W68*U68*(1-(1-bd_keep)*S68),0)</x:f>
        <x:v>9581.660238470882</x:v>
      </x:c>
      <x:c r="Z68" s="47" t="n">
        <x:f>IF(AND(mig_endo=1,$A68&gt;=talent_start),X68*MIN(0.5,talent_share_o*U68)*(1-eu_comp*S68),0)</x:f>
        <x:v>15145.204097719705</x:v>
      </x:c>
      <x:c r="AA68" s="45" t="n">
        <x:v>38000</x:v>
      </x:c>
      <x:c r="AB68" s="47" t="n">
        <x:f>IF(AND(mig_endo=1,$A68&gt;=talent_start),AA68*MIN(0.5,talent_share_a*U68),0)</x:f>
        <x:v>3960.4062916202815</x:v>
      </x:c>
      <x:c r="AC68" s="47" t="n">
        <x:f>entry_cap*People!B68</x:f>
        <x:v>35113.47399936029</x:v>
      </x:c>
      <x:c r="AD68" s="47" t="n">
        <x:f>MIN(AC68,Y68+Z68+AB68)</x:f>
        <x:v>28687.270627810867</x:v>
      </x:c>
      <x:c r="AE68" s="47" t="n">
        <x:f>IF(Y68+Z68+AB68&gt;0,AD68*Y68/(Y68+Z68+AB68),0)</x:f>
        <x:v>9581.660238470882</x:v>
      </x:c>
      <x:c r="AF68" s="47" t="n">
        <x:f>IF(Y68+Z68+AB68&gt;0,AD68*AB68/(Y68+Z68+AB68),0)</x:f>
        <x:v>3960.4062916202815</x:v>
      </x:c>
      <x:c r="AG68" s="47" t="n">
        <x:f>AD68*family_mult</x:f>
        <x:v>63111.995381183915</x:v>
      </x:c>
      <x:c r="AH68" s="47" t="n">
        <x:f>AH67*(1+Paths!C68)+AG68</x:f>
        <x:v>1130567.2263545804</x:v>
      </x:c>
      <x:c r="AI68" s="47" t="n">
        <x:f>IF(AND(mig_endo=1,$A68&gt;=talent_start),chain_rate*AH67,0)</x:f>
        <x:v>15713.27621648768</x:v>
      </x:c>
      <x:c r="AJ68" s="47" t="n">
        <x:f>IF(AND(mig_endo=1,$A68&gt;=talent_start),IF(H67&gt;0,H67*job_fill,H67*job_return)*job_family,0)</x:f>
        <x:v>8896.48237248916</x:v>
      </x:c>
      <x:c r="AK68" s="47" t="n">
        <x:f>K68*gw_conv_family</x:f>
        <x:v>23931.886182230777</x:v>
      </x:c>
      <x:c r="AL68" s="47" t="n">
        <x:f>AG68+AI68+AJ68+AK68+AR68</x:f>
        <x:v>191494.53766672898</x:v>
      </x:c>
      <x:c r="AM68" s="47" t="n">
        <x:f>AM67*(1-skill_ret)+AD68</x:f>
        <x:v>361943.426097054</x:v>
      </x:c>
      <x:c r="AN68" s="64" t="n">
        <x:f>AM68/B68</x:f>
        <x:v>0.07199565327002304</x:v>
      </x:c>
      <x:c r="AO68" s="64" t="n">
        <x:f>(skill_rel-1+skill_spill)*AM67/B67-AT68</x:f>
        <x:v>0.07230917476604609</x:v>
      </x:c>
      <x:c r="AP68" s="64" t="n">
        <x:f>talent_champ*AM67/(skill_base_share*B67)</x:f>
        <x:v>0.14261519085148738</x:v>
      </x:c>
      <x:c r="AQ68" s="45" t="n">
        <x:v>780000</x:v>
      </x:c>
      <x:c r="AR68" s="47" t="n">
        <x:f>IF(AND(div_on=1,$A68&gt;=div_start),AQ68*MIN(div_max,div_rate*U68)*(1-div_comp*S68),0)</x:f>
        <x:v>79840.89751433744</x:v>
      </x:c>
      <x:c r="AS68" s="47" t="n">
        <x:f>AS67*(1-div_assim)+AR68</x:f>
        <x:v>964150.2100395691</x:v>
      </x:c>
      <x:c r="AT68" s="64" t="n">
        <x:f>(1-div_rel)*AS67/Economy!B67</x:f>
        <x:v>0.0203906992874207</x:v>
      </x:c>
      <x:c r="AU68" s="47" t="n">
        <x:f>AU67*(1-skill_ret)+AE68</x:f>
        <x:v>164018.16793573106</x:v>
      </x:c>
      <x:c r="AV68" s="47" t="n">
        <x:f>AV67*(1+union_nat)+AR68</x:f>
        <x:v>1422510.3197152785</x:v>
      </x:c>
      <x:c r="AW68" s="47" t="n">
        <x:f>AW67*(1+union_nat)+AE68*family_mult</x:f>
        <x:v>497994.6216466295</x:v>
      </x:c>
      <x:c r="AX68" s="67" t="n">
        <x:f>V68-(AV68+AW68)/1000000</x:f>
        <x:v>67.7594950586381</x:v>
      </x:c>
      <x:c r="AY68" s="47" t="n">
        <x:f>L68*gw_union</x:f>
        <x:v>86794.94612896314</x:v>
      </x:c>
      <x:c r="AZ68" s="46" t="n">
        <x:v>1.067</x:v>
      </x:c>
      <x:c r="BA68" s="47" t="n">
        <x:f>Economy!Q68*AZ68/lf_rate</x:f>
        <x:v>848.5190476190476</x:v>
      </x:c>
      <x:c r="BB68" s="64" t="n">
        <x:f>bd_growth*AU67/W67</x:f>
        <x:v>0.0013786164970428362</x:v>
      </x:c>
      <x:c r="BC68" s="64" t="n">
        <x:f>tg_k*MIN(1,Economy!O67/BK67)</x:f>
        <x:v>0.001062739792517444</x:v>
      </x:c>
      <x:c r="BD68" s="64" t="n">
        <x:f>emu_g*S68</x:f>
        <x:v>0.0010714285714285715</x:v>
      </x:c>
      <x:c r="BE68" s="65" t="n">
        <x:f>BE67*(1-BB68-BC68+BD68)</x:f>
        <x:v>0.9644997588266089</x:v>
      </x:c>
      <x:c r="BF68" s="46" t="n">
        <x:v>1</x:v>
      </x:c>
      <x:c r="BG68" s="53" t="n">
        <x:f>AU68*BA68*BE68*(skill_rel-1+skill_spill)/1000000</x:f>
        <x:v>174.5014452048309</x:v>
      </x:c>
      <x:c r="BH68" s="53" t="n">
        <x:f>union_disp*(Champions!AP68+Champions!AZ68)*(1-IF(union_resp=2,mkt_cut*S68,0))</x:f>
        <x:v>148.5121397544153</x:v>
      </x:c>
      <x:c r="BI68" s="53" t="n">
        <x:f>AY68*BA68*BE68/1000000</x:f>
        <x:v>71.03267290728175</x:v>
      </x:c>
      <x:c r="BJ68" s="47" t="n">
        <x:f>V68*Economy!Q68*AZ68</x:f>
        <x:v>24832.41904</x:v>
      </x:c>
      <x:c r="BK68" s="47" t="n">
        <x:f>MAX(0.3*BJ68,AX68*Economy!Q68*AZ68*BE68*BF68-BG68-BH68-BI68)</x:f>
        <x:v>22896.6874850721</x:v>
      </x:c>
      <x:c r="BL68" s="63" t="n">
        <x:f>1-BK68/BJ68</x:f>
        <x:v>0.0779517916401874</x:v>
      </x:c>
      <x:c r="BM68" s="47" t="n">
        <x:f>MAX(0,BH68-BH67)*1000000/BA68</x:f>
        <x:v>4676.143907465804</x:v>
      </x:c>
      <x:c r="BN68" s="47" t="n">
        <x:f>BN67*(1-IF(AND($A68&gt;=1930,$A68&lt;=1932),0,union_reabsorb))+BM68</x:f>
        <x:v>35532.73586368414</x:v>
      </x:c>
      <x:c r="BO68" s="59" t="n">
        <x:v>0.08</x:v>
      </x:c>
      <x:c r="BP68" s="63" t="n">
        <x:f>BO68+BN68/(AX68*1000000*lf_rate)</x:f>
        <x:v>0.081248559364015</x:v>
      </x:c>
    </x:row>
    <x:row r="69">
      <x:c r="A69" s="58" t="n">
        <x:v>1909</x:v>
      </x:c>
      <x:c r="B69" s="47" t="n">
        <x:f>Economy!B69*lf_rate</x:f>
        <x:v>5250049.792046044</x:v>
      </x:c>
      <x:c r="C69" s="47" t="n">
        <x:f>Economy!O69*1000000/(B69+L69)</x:f>
        <x:v>1630.3737544267979</x:v>
      </x:c>
      <x:c r="D69" s="47" t="n">
        <x:f>Champions!AP69*1000000/(C69*champ_prem)</x:f>
        <x:v>168409.086516022</x:v>
      </x:c>
      <x:c r="E69" s="47" t="n">
        <x:f>D69*job_mult</x:f>
        <x:v>117886.3605612154</x:v>
      </x:c>
      <x:c r="F69" s="47" t="n">
        <x:f>D69+E69</x:f>
        <x:v>286295.4470772374</x:v>
      </x:c>
      <x:c r="G69" s="63" t="n">
        <x:f>F69/B69</x:f>
        <x:v>0.05453194891808115</x:v>
      </x:c>
      <x:c r="H69" s="47" t="n">
        <x:f>F69-F68</x:f>
        <x:v>-6118.008960148785</x:v>
      </x:c>
      <x:c r="I69" s="63" t="n">
        <x:f>MAX(0.005,pac_u_base*IF(Paths!AC69=1,pac_u_war,1)+(okun*(1-Economy!G69)*(B69+L69)-MAX(0,L68-L69))/B69)</x:f>
        <x:v>0.015</x:v>
      </x:c>
      <x:c r="J69" s="47" t="n">
        <x:f>IF(AND(gw_on=1,$A69&gt;=gw_start),MIN(gw_cap*B68,gw_cover*F68+gw_gen*B68),0)</x:f>
        <x:v>577631.7162815998</x:v>
      </x:c>
      <x:c r="K69" s="47" t="n">
        <x:f>L68*gw_conv</x:f>
        <x:v>13019.24191934447</x:v>
      </x:c>
      <x:c r="L69" s="47" t="n">
        <x:f>MAX(0,L68-K69+gw_adj*(J69-L68))*MAX(0,1-gw_slump*(1-Economy!G69))</x:f>
        <x:v>478418.2829801849</x:v>
      </x:c>
      <x:c r="M69" s="47" t="n">
        <x:f>MAX(0,L69-L68+L68/gw_term)</x:f>
        <x:v>189101.7958836411</x:v>
      </x:c>
      <x:c r="N69" s="63" t="n">
        <x:f>L69/B69</x:f>
        <x:v>0.09112642773502844</x:v>
      </x:c>
      <x:c r="O69" s="53" t="n">
        <x:f>Economy!L69</x:f>
        <x:v>458.35124541799587</x:v>
      </x:c>
      <x:c r="P69" s="53" t="n">
        <x:f>O69*gw_wage_share</x:f>
        <x:v>297.9283095216973</x:v>
      </x:c>
      <x:c r="Q69" s="53" t="n">
        <x:f>P69*gw_levy</x:f>
        <x:v>74.48207738042433</x:v>
      </x:c>
      <x:c r="R69" s="53" t="n">
        <x:f>P69*gw_remit</x:f>
        <x:v>74.48207738042433</x:v>
      </x:c>
      <x:c r="S69" s="63" t="n">
        <x:f>IF(union_resp&gt;=1,MIN(1,MAX(0,($A69-resp_start)/(resp_full-resp_start))),0)</x:f>
        <x:v>0.8571428571428571</x:v>
      </x:c>
      <x:c r="T69" s="67" t="n">
        <x:f>Economy!R68</x:f>
        <x:v>1.9558520140828906</x:v>
      </x:c>
      <x:c r="U69" s="67" t="n">
        <x:f>MAX(0,T69-gap_base)</x:f>
        <x:v>0.45585201408289056</x:v>
      </x:c>
      <x:c r="V69" s="68" t="n">
        <x:v>70.95999999999999</x:v>
      </x:c>
      <x:c r="W69" s="47" t="n">
        <x:f>V69*1000000*lf_rate*union_skill_share</x:f>
        <x:v>3576384</x:v>
      </x:c>
      <x:c r="X69" s="45" t="n">
        <x:v>142000</x:v>
      </x:c>
      <x:c r="Y69" s="47" t="n">
        <x:f>IF(AND(mig_endo=1,$A69&gt;=talent_start),talent_rate_u*W69*U69*(1-(1-bd_keep)*S69),0)</x:f>
        <x:v>6982.349921289152</x:v>
      </x:c>
      <x:c r="Z69" s="47" t="n">
        <x:f>IF(AND(mig_endo=1,$A69&gt;=talent_start),X69*MIN(0.5,talent_share_o*U69)*(1-eu_comp*S69),0)</x:f>
        <x:v>12983.186334811104</x:v>
      </x:c>
      <x:c r="AA69" s="45" t="n">
        <x:v>40000</x:v>
      </x:c>
      <x:c r="AB69" s="47" t="n">
        <x:f>IF(AND(mig_endo=1,$A69&gt;=talent_start),AA69*MIN(0.5,talent_share_a*U69),0)</x:f>
        <x:v>3646.816112663125</x:v>
      </x:c>
      <x:c r="AC69" s="47" t="n">
        <x:f>entry_cap*People!B69</x:f>
        <x:v>36705.03361834832</x:v>
      </x:c>
      <x:c r="AD69" s="47" t="n">
        <x:f>MIN(AC69,Y69+Z69+AB69)</x:f>
        <x:v>23612.35236876338</x:v>
      </x:c>
      <x:c r="AE69" s="47" t="n">
        <x:f>IF(Y69+Z69+AB69&gt;0,AD69*Y69/(Y69+Z69+AB69),0)</x:f>
        <x:v>6982.349921289153</x:v>
      </x:c>
      <x:c r="AF69" s="47" t="n">
        <x:f>IF(Y69+Z69+AB69&gt;0,AD69*AB69/(Y69+Z69+AB69),0)</x:f>
        <x:v>3646.8161126631244</x:v>
      </x:c>
      <x:c r="AG69" s="47" t="n">
        <x:f>AD69*family_mult</x:f>
        <x:v>51947.175211279435</x:v>
      </x:c>
      <x:c r="AH69" s="47" t="n">
        <x:f>AH68*(1+Paths!C69)+AG69</x:f>
        <x:v>1203995.1788665967</x:v>
      </x:c>
      <x:c r="AI69" s="47" t="n">
        <x:f>IF(AND(mig_endo=1,$A69&gt;=talent_start),chain_rate*AH68,0)</x:f>
        <x:v>16958.508395318706</x:v>
      </x:c>
      <x:c r="AJ69" s="47" t="n">
        <x:f>IF(AND(mig_endo=1,$A69&gt;=talent_start),IF(H68&gt;0,H68*job_fill,H68*job_return)*job_family,0)</x:f>
        <x:v>11730.170391315853</x:v>
      </x:c>
      <x:c r="AK69" s="47" t="n">
        <x:f>K69*gw_conv_family</x:f>
        <x:v>23434.635454820047</x:v>
      </x:c>
      <x:c r="AL69" s="47" t="n">
        <x:f>AG69+AI69+AJ69+AK69+AR69</x:f>
        <x:v>181109.47983274257</x:v>
      </x:c>
      <x:c r="AM69" s="47" t="n">
        <x:f>AM68*(1-skill_ret)+AD69</x:f>
        <x:v>376507.192813391</x:v>
      </x:c>
      <x:c r="AN69" s="64" t="n">
        <x:f>AM69/B69</x:f>
        <x:v>0.07171497561486155</x:v>
      </x:c>
      <x:c r="AO69" s="64" t="n">
        <x:f>(skill_rel-1+skill_spill)*AM68/B68-AT69</x:f>
        <x:v>0.07345712608903332</x:v>
      </x:c>
      <x:c r="AP69" s="64" t="n">
        <x:f>talent_champ*AM68/(skill_base_share*B68)</x:f>
        <x:v>0.1439913065400461</x:v>
      </x:c>
      <x:c r="AQ69" s="45" t="n">
        <x:v>910000</x:v>
      </x:c>
      <x:c r="AR69" s="47" t="n">
        <x:f>IF(AND(div_on=1,$A69&gt;=div_start),AQ69*MIN(div_max,div_rate*U69)*(1-div_comp*S69),0)</x:f>
        <x:v>77038.99038000852</x:v>
      </x:c>
      <x:c r="AS69" s="47" t="n">
        <x:f>AS68*(1-div_assim)+AR69</x:f>
        <x:v>992981.6899175991</x:v>
      </x:c>
      <x:c r="AT69" s="64" t="n">
        <x:f>(1-div_rel)*AS68/Economy!B68</x:f>
        <x:v>0.020137223161996634</x:v>
      </x:c>
      <x:c r="AU69" s="47" t="n">
        <x:f>AU68*(1-skill_ret)+AE69</x:f>
        <x:v>166900.06365862695</x:v>
      </x:c>
      <x:c r="AV69" s="47" t="n">
        <x:f>AV68*(1+union_nat)+AR69</x:f>
        <x:v>1518041.9442515855</x:v>
      </x:c>
      <x:c r="AW69" s="47" t="n">
        <x:f>AW68*(1+union_nat)+AE69*family_mult</x:f>
        <x:v>519829.72155487176</x:v>
      </x:c>
      <x:c r="AX69" s="67" t="n">
        <x:f>V69-(AV69+AW69)/1000000</x:f>
        <x:v>68.92212833419353</x:v>
      </x:c>
      <x:c r="AY69" s="47" t="n">
        <x:f>L69*gw_union</x:f>
        <x:v>95683.65659603698</x:v>
      </x:c>
      <x:c r="AZ69" s="46" t="n">
        <x:v>1.064</x:v>
      </x:c>
      <x:c r="BA69" s="47" t="n">
        <x:f>Economy!Q69*AZ69/lf_rate</x:f>
        <x:v>881.6000000000001</x:v>
      </x:c>
      <x:c r="BB69" s="64" t="n">
        <x:f>bd_growth*AU68/W68</x:f>
        <x:v>0.0014011174205870636</x:v>
      </x:c>
      <x:c r="BC69" s="64" t="n">
        <x:f>tg_k*MIN(1,Economy!O68/BK68)</x:f>
        <x:v>0.0010616545384809185</x:v>
      </x:c>
      <x:c r="BD69" s="64" t="n">
        <x:f>emu_g*S69</x:f>
        <x:v>0.0012857142857142856</x:v>
      </x:c>
      <x:c r="BE69" s="65" t="n">
        <x:f>BE68*(1-BB69-BC69+BD69)</x:f>
        <x:v>0.9633644869845343</x:v>
      </x:c>
      <x:c r="BF69" s="46" t="n">
        <x:v>1</x:v>
      </x:c>
      <x:c r="BG69" s="53" t="n">
        <x:f>AU69*BA69*BE69*(skill_rel-1+skill_spill)/1000000</x:f>
        <x:v>184.27315380552577</x:v>
      </x:c>
      <x:c r="BH69" s="53" t="n">
        <x:f>union_disp*(Champions!AP69+Champions!AZ69)*(1-IF(union_resp=2,mkt_cut*S69,0))</x:f>
        <x:v>150.95403885430525</x:v>
      </x:c>
      <x:c r="BI69" s="53" t="n">
        <x:f>AY69*BA69*BE69/1000000</x:f>
        <x:v>81.26433351831118</x:v>
      </x:c>
      <x:c r="BJ69" s="47" t="n">
        <x:f>V69*Economy!Q69*AZ69</x:f>
        <x:v>26274.50112</x:v>
      </x:c>
      <x:c r="BK69" s="47" t="n">
        <x:f>MAX(0.3*BJ69,AX69*Economy!Q69*AZ69*BE69*BF69-BG69-BH69-BI69)</x:f>
        <x:v>24168.506891085148</x:v>
      </x:c>
      <x:c r="BL69" s="63" t="n">
        <x:f>1-BK69/BJ69</x:f>
        <x:v>0.08015353818884818</x:v>
      </x:c>
      <x:c r="BM69" s="47" t="n">
        <x:f>MAX(0,BH69-BH68)*1000000/BA69</x:f>
        <x:v>2769.849251236333</x:v>
      </x:c>
      <x:c r="BN69" s="47" t="n">
        <x:f>BN68*(1-IF(AND($A69&gt;=1930,$A69&lt;=1932),0,union_reabsorb))+BM69</x:f>
        <x:v>29419.401148999437</x:v>
      </x:c>
      <x:c r="BO69" s="59" t="n">
        <x:v>0.051</x:v>
      </x:c>
      <x:c r="BP69" s="63" t="n">
        <x:f>BO69+BN69/(AX69*1000000*lf_rate)</x:f>
        <x:v>0.05201630920148402</x:v>
      </x:c>
    </x:row>
    <x:row r="70">
      <x:c r="A70" s="58" t="n">
        <x:v>1910</x:v>
      </x:c>
      <x:c r="B70" s="47" t="n">
        <x:f>Economy!B70*lf_rate</x:f>
        <x:v>5479674.38726849</x:v>
      </x:c>
      <x:c r="C70" s="47" t="n">
        <x:f>Economy!O70*1000000/(B70+L70)</x:f>
        <x:v>1707.87931999822</x:v>
      </x:c>
      <x:c r="D70" s="47" t="n">
        <x:f>Champions!AP70*1000000/(C70*champ_prem)</x:f>
        <x:v>176023.67814202618</x:v>
      </x:c>
      <x:c r="E70" s="47" t="n">
        <x:f>D70*job_mult</x:f>
        <x:v>123216.57469941831</x:v>
      </x:c>
      <x:c r="F70" s="47" t="n">
        <x:f>D70+E70</x:f>
        <x:v>299240.2528414445</x:v>
      </x:c>
      <x:c r="G70" s="63" t="n">
        <x:f>F70/B70</x:f>
        <x:v>0.05460913034115698</x:v>
      </x:c>
      <x:c r="H70" s="47" t="n">
        <x:f>F70-F69</x:f>
        <x:v>12944.805764207093</x:v>
      </x:c>
      <x:c r="I70" s="63" t="n">
        <x:f>MAX(0.005,pac_u_base*IF(Paths!AC70=1,pac_u_war,1)+(okun*(1-Economy!G70)*(B70+L70)-MAX(0,L69-L70))/B70)</x:f>
        <x:v>0.015</x:v>
      </x:c>
      <x:c r="J70" s="47" t="n">
        <x:f>IF(AND(gw_on=1,$A70&gt;=gw_start),MIN(gw_cap*B69,gw_cover*F69+gw_gen*B69),0)</x:f>
        <x:v>591781.251610026</x:v>
      </x:c>
      <x:c r="K70" s="47" t="n">
        <x:f>L69*gw_conv</x:f>
        <x:v>14352.548489405546</x:v>
      </x:c>
      <x:c r="L70" s="47" t="n">
        <x:f>MAX(0,L69-K70+gw_adj*(J70-L69))*MAX(0,1-gw_slump*(1-Economy!G70))</x:f>
        <x:v>509410.92194271577</x:v>
      </x:c>
      <x:c r="M70" s="47" t="n">
        <x:f>MAX(0,L70-L69+L69/gw_term)</x:f>
        <x:v>190465.39995592585</x:v>
      </x:c>
      <x:c r="N70" s="63" t="n">
        <x:f>L70/B70</x:f>
        <x:v>0.0929637211886685</x:v>
      </x:c>
      <x:c r="O70" s="53" t="n">
        <x:f>Economy!L70</x:f>
        <x:v>511.9969856887931</x:v>
      </x:c>
      <x:c r="P70" s="53" t="n">
        <x:f>O70*gw_wage_share</x:f>
        <x:v>332.7980406977155</x:v>
      </x:c>
      <x:c r="Q70" s="53" t="n">
        <x:f>P70*gw_levy</x:f>
        <x:v>83.19951017442888</x:v>
      </x:c>
      <x:c r="R70" s="53" t="n">
        <x:f>P70*gw_remit</x:f>
        <x:v>83.19951017442888</x:v>
      </x:c>
      <x:c r="S70" s="63" t="n">
        <x:f>IF(union_resp&gt;=1,MIN(1,MAX(0,($A70-resp_start)/(resp_full-resp_start))),0)</x:f>
        <x:v>1</x:v>
      </x:c>
      <x:c r="T70" s="67" t="n">
        <x:f>Economy!R69</x:f>
        <x:v>2.0678579151580223</x:v>
      </x:c>
      <x:c r="U70" s="67" t="n">
        <x:f>MAX(0,T70-gap_base)</x:f>
        <x:v>0.5678579151580223</x:v>
      </x:c>
      <x:c r="V70" s="68" t="n">
        <x:v>72.25</x:v>
      </x:c>
      <x:c r="W70" s="47" t="n">
        <x:f>V70*1000000*lf_rate*union_skill_share</x:f>
        <x:v>3641400</x:v>
      </x:c>
      <x:c r="X70" s="45" t="n">
        <x:v>146000</x:v>
      </x:c>
      <x:c r="Y70" s="47" t="n">
        <x:f>IF(AND(mig_endo=1,$A70&gt;=talent_start),talent_rate_u*W70*U70*(1-(1-bd_keep)*S70),0)</x:f>
        <x:v>6885.766714813886</x:v>
      </x:c>
      <x:c r="Z70" s="47" t="n">
        <x:f>IF(AND(mig_endo=1,$A70&gt;=talent_start),X70*MIN(0.5,talent_share_o*U70)*(1-eu_comp*S70),0)</x:f>
        <x:v>15669.471310870465</x:v>
      </x:c>
      <x:c r="AA70" s="45" t="n">
        <x:v>42000</x:v>
      </x:c>
      <x:c r="AB70" s="47" t="n">
        <x:f>IF(AND(mig_endo=1,$A70&gt;=talent_start),AA70*MIN(0.5,talent_share_a*U70),0)</x:f>
        <x:v>4770.006487327388</x:v>
      </x:c>
      <x:c r="AC70" s="47" t="n">
        <x:f>entry_cap*People!B70</x:f>
        <x:v>38295.677696595165</x:v>
      </x:c>
      <x:c r="AD70" s="47" t="n">
        <x:f>MIN(AC70,Y70+Z70+AB70)</x:f>
        <x:v>27325.24451301174</x:v>
      </x:c>
      <x:c r="AE70" s="47" t="n">
        <x:f>IF(Y70+Z70+AB70&gt;0,AD70*Y70/(Y70+Z70+AB70),0)</x:f>
        <x:v>6885.766714813885</x:v>
      </x:c>
      <x:c r="AF70" s="47" t="n">
        <x:f>IF(Y70+Z70+AB70&gt;0,AD70*AB70/(Y70+Z70+AB70),0)</x:f>
        <x:v>4770.006487327388</x:v>
      </x:c>
      <x:c r="AG70" s="47" t="n">
        <x:f>AD70*family_mult</x:f>
        <x:v>60115.53792862583</x:v>
      </x:c>
      <x:c r="AH70" s="47" t="n">
        <x:f>AH69*(1+Paths!C70)+AG70</x:f>
        <x:v>1286986.6251936879</x:v>
      </x:c>
      <x:c r="AI70" s="47" t="n">
        <x:f>IF(AND(mig_endo=1,$A70&gt;=talent_start),chain_rate*AH69,0)</x:f>
        <x:v>18059.92768299895</x:v>
      </x:c>
      <x:c r="AJ70" s="47" t="n">
        <x:f>IF(AND(mig_endo=1,$A70&gt;=talent_start),IF(H69&gt;0,H69*job_fill,H69*job_return)*job_family,0)</x:f>
        <x:v>-3303.7248384803443</x:v>
      </x:c>
      <x:c r="AK70" s="47" t="n">
        <x:f>K70*gw_conv_family</x:f>
        <x:v>25834.587280929984</x:v>
      </x:c>
      <x:c r="AL70" s="47" t="n">
        <x:f>AG70+AI70+AJ70+AK70+AR70</x:f>
        <x:v>204056.4686128345</x:v>
      </x:c>
      <x:c r="AM70" s="47" t="n">
        <x:f>AM69*(1-skill_ret)+AD70</x:f>
        <x:v>394419.757506068</x:v>
      </x:c>
      <x:c r="AN70" s="64" t="n">
        <x:f>AM70/B70</x:f>
        <x:v>0.07197868516101345</x:v>
      </x:c>
      <x:c r="AO70" s="64" t="n">
        <x:f>(skill_rel-1+skill_spill)*AM69/B69-AT70</x:f>
        <x:v>0.07337002285190558</x:v>
      </x:c>
      <x:c r="AP70" s="64" t="n">
        <x:f>talent_champ*AM69/(skill_base_share*B69)</x:f>
        <x:v>0.14342995122972307</x:v>
      </x:c>
      <x:c r="AQ70" s="45" t="n">
        <x:v>1040000</x:v>
      </x:c>
      <x:c r="AR70" s="47" t="n">
        <x:f>IF(AND(div_on=1,$A70&gt;=div_start),AQ70*MIN(div_max,div_rate*U70)*(1-div_comp*S70),0)</x:f>
        <x:v>103350.14055876006</x:v>
      </x:c>
      <x:c r="AS70" s="47" t="n">
        <x:f>AS69*(1-div_assim)+AR70</x:f>
        <x:v>1046682.7459804792</x:v>
      </x:c>
      <x:c r="AT70" s="64" t="n">
        <x:f>(1-div_rel)*AS69/Economy!B69</x:f>
        <x:v>0.019859445447414435</x:v>
      </x:c>
      <x:c r="AU70" s="47" t="n">
        <x:f>AU69*(1-skill_ret)+AE70</x:f>
        <x:v>169613.32878197517</x:v>
      </x:c>
      <x:c r="AV70" s="47" t="n">
        <x:f>AV69*(1+union_nat)+AR70</x:f>
        <x:v>1641126.6300856161</x:v>
      </x:c>
      <x:c r="AW70" s="47" t="n">
        <x:f>AW69*(1+union_nat)+AE70*family_mult</x:f>
        <x:v>541736.1947076756</x:v>
      </x:c>
      <x:c r="AX70" s="67" t="n">
        <x:f>V70-(AV70+AW70)/1000000</x:f>
        <x:v>70.06713717520671</x:v>
      </x:c>
      <x:c r="AY70" s="47" t="n">
        <x:f>L70*gw_union</x:f>
        <x:v>101882.18438854316</x:v>
      </x:c>
      <x:c r="AZ70" s="46" t="n">
        <x:v>1.06</x:v>
      </x:c>
      <x:c r="BA70" s="47" t="n">
        <x:f>Economy!Q70*AZ70/lf_rate</x:f>
        <x:v>916.1428571428572</x:v>
      </x:c>
      <x:c r="BB70" s="64" t="n">
        <x:f>bd_growth*AU69/W69</x:f>
        <x:v>0.0014000179817823836</x:v>
      </x:c>
      <x:c r="BC70" s="64" t="n">
        <x:f>tg_k*MIN(1,Economy!O69/BK69)</x:f>
        <x:v>0.0011593033915603082</x:v>
      </x:c>
      <x:c r="BD70" s="64" t="n">
        <x:f>emu_g*S70</x:f>
        <x:v>0.0015</x:v>
      </x:c>
      <x:c r="BE70" s="65" t="n">
        <x:f>BE69*(1-BB70-BC70+BD70)</x:f>
        <x:v>0.9623439743931521</x:v>
      </x:c>
      <x:c r="BF70" s="46" t="n">
        <x:v>1</x:v>
      </x:c>
      <x:c r="BG70" s="53" t="n">
        <x:f>AU70*BA70*BE70*(skill_rel-1+skill_spill)/1000000</x:f>
        <x:v>194.4002688265339</x:v>
      </x:c>
      <x:c r="BH70" s="53" t="n">
        <x:f>union_disp*(Champions!AP70+Champions!AZ70)*(1-IF(union_resp=2,mkt_cut*S70,0))</x:f>
        <x:v>154.631470028858</x:v>
      </x:c>
      <x:c r="BI70" s="53" t="n">
        <x:f>AY70*BA70*BE70/1000000</x:f>
        <x:v>89.82387344926663</x:v>
      </x:c>
      <x:c r="BJ70" s="47" t="n">
        <x:f>V70*Economy!Q70*AZ70</x:f>
        <x:v>27800.355000000003</x:v>
      </x:c>
      <x:c r="BK70" s="47" t="n">
        <x:f>MAX(0.3*BJ70,AX70*Economy!Q70*AZ70*BE70*BF70-BG70-BH70-BI70)</x:f>
        <x:v>25506.354672959726</x:v>
      </x:c>
      <x:c r="BL70" s="63" t="n">
        <x:f>1-BK70/BJ70</x:f>
        <x:v>0.08251694365198847</x:v>
      </x:c>
      <x:c r="BM70" s="47" t="n">
        <x:f>MAX(0,BH70-BH69)*1000000/BA70</x:f>
        <x:v>4014.0368348462744</x:v>
      </x:c>
      <x:c r="BN70" s="47" t="n">
        <x:f>BN69*(1-IF(AND($A70&gt;=1930,$A70&lt;=1932),0,union_reabsorb))+BM70</x:f>
        <x:v>26078.587696595852</x:v>
      </x:c>
      <x:c r="BO70" s="59" t="n">
        <x:v>0.059</x:v>
      </x:c>
      <x:c r="BP70" s="63" t="n">
        <x:f>BO70+BN70/(AX70*1000000*lf_rate)</x:f>
        <x:v>0.05988617685795869</x:v>
      </x:c>
    </x:row>
    <x:row r="71">
      <x:c r="A71" s="58" t="n">
        <x:v>1911</x:v>
      </x:c>
      <x:c r="B71" s="47" t="n">
        <x:f>Economy!B71*lf_rate</x:f>
        <x:v>5723576.758871509</x:v>
      </x:c>
      <x:c r="C71" s="47" t="n">
        <x:f>Economy!O71*1000000/(B71+L71)</x:f>
        <x:v>1780.5493327279012</x:v>
      </x:c>
      <x:c r="D71" s="47" t="n">
        <x:f>Champions!AP71*1000000/(C71*champ_prem)</x:f>
        <x:v>184016.41416546472</x:v>
      </x:c>
      <x:c r="E71" s="47" t="n">
        <x:f>D71*job_mult</x:f>
        <x:v>128811.4899158253</x:v>
      </x:c>
      <x:c r="F71" s="47" t="n">
        <x:f>D71+E71</x:f>
        <x:v>312827.90408129</x:v>
      </x:c>
      <x:c r="G71" s="63" t="n">
        <x:f>F71/B71</x:f>
        <x:v>0.05465601620462392</x:v>
      </x:c>
      <x:c r="H71" s="47" t="n">
        <x:f>F71-F70</x:f>
        <x:v>13587.651239845494</x:v>
      </x:c>
      <x:c r="I71" s="63" t="n">
        <x:f>MAX(0.005,pac_u_base*IF(Paths!AC71=1,pac_u_war,1)+(okun*(1-Economy!G71)*(B71+L71)-MAX(0,L70-L71))/B71)</x:f>
        <x:v>0.015</x:v>
      </x:c>
      <x:c r="J71" s="47" t="n">
        <x:f>IF(AND(gw_on=1,$A71&gt;=gw_start),MIN(gw_cap*B70,gw_cover*F70+gw_gen*B70),0)</x:f>
        <x:v>617918.1026863459</x:v>
      </x:c>
      <x:c r="K71" s="47" t="n">
        <x:f>L70*gw_conv</x:f>
        <x:v>15282.327658281472</x:v>
      </x:c>
      <x:c r="L71" s="47" t="n">
        <x:f>MAX(0,L70-K71+gw_adj*(J71-L70))*MAX(0,1-gw_slump*(1-Economy!G71))</x:f>
        <x:v>537531.4665818864</x:v>
      </x:c>
      <x:c r="M71" s="47" t="n">
        <x:f>MAX(0,L71-L70+L70/gw_term)</x:f>
        <x:v>197924.18528674255</x:v>
      </x:c>
      <x:c r="N71" s="63" t="n">
        <x:f>L71/B71</x:f>
        <x:v>0.09391530667405061</x:v>
      </x:c>
      <x:c r="O71" s="53" t="n">
        <x:f>Economy!L71</x:f>
        <x:v>563.8860179349895</x:v>
      </x:c>
      <x:c r="P71" s="53" t="n">
        <x:f>O71*gw_wage_share</x:f>
        <x:v>366.52591165774317</x:v>
      </x:c>
      <x:c r="Q71" s="53" t="n">
        <x:f>P71*gw_levy</x:f>
        <x:v>91.63147791443579</x:v>
      </x:c>
      <x:c r="R71" s="53" t="n">
        <x:f>P71*gw_remit</x:f>
        <x:v>91.63147791443579</x:v>
      </x:c>
      <x:c r="S71" s="63" t="n">
        <x:f>IF(union_resp&gt;=1,MIN(1,MAX(0,($A71-resp_start)/(resp_full-resp_start))),0)</x:f>
        <x:v>1</x:v>
      </x:c>
      <x:c r="T71" s="67" t="n">
        <x:f>Economy!R70</x:f>
        <x:v>2.078601968003203</x:v>
      </x:c>
      <x:c r="U71" s="67" t="n">
        <x:f>MAX(0,T71-gap_base)</x:f>
        <x:v>0.5786019680032028</x:v>
      </x:c>
      <x:c r="V71" s="68" t="n">
        <x:v>73.53</x:v>
      </x:c>
      <x:c r="W71" s="47" t="n">
        <x:f>V71*1000000*lf_rate*union_skill_share</x:f>
        <x:v>3705912</x:v>
      </x:c>
      <x:c r="X71" s="45" t="n">
        <x:v>151000</x:v>
      </x:c>
      <x:c r="Y71" s="47" t="n">
        <x:f>IF(AND(mig_endo=1,$A71&gt;=talent_start),talent_rate_u*W71*U71*(1-(1-bd_keep)*S71),0)</x:f>
        <x:v>7140.345761567462</x:v>
      </x:c>
      <x:c r="Z71" s="47" t="n">
        <x:f>IF(AND(mig_endo=1,$A71&gt;=talent_start),X71*MIN(0.5,talent_share_o*U71)*(1-eu_comp*S71),0)</x:f>
        <x:v>16512.721564843407</x:v>
      </x:c>
      <x:c r="AA71" s="45" t="n">
        <x:v>45000</x:v>
      </x:c>
      <x:c r="AB71" s="47" t="n">
        <x:f>IF(AND(mig_endo=1,$A71&gt;=talent_start),AA71*MIN(0.5,talent_share_a*U71),0)</x:f>
        <x:v>5207.417712028826</x:v>
      </x:c>
      <x:c r="AC71" s="47" t="n">
        <x:f>entry_cap*People!B71</x:f>
        <x:v>39985.384978668975</x:v>
      </x:c>
      <x:c r="AD71" s="47" t="n">
        <x:f>MIN(AC71,Y71+Z71+AB71)</x:f>
        <x:v>28860.485038439696</x:v>
      </x:c>
      <x:c r="AE71" s="47" t="n">
        <x:f>IF(Y71+Z71+AB71&gt;0,AD71*Y71/(Y71+Z71+AB71),0)</x:f>
        <x:v>7140.345761567462</x:v>
      </x:c>
      <x:c r="AF71" s="47" t="n">
        <x:f>IF(Y71+Z71+AB71&gt;0,AD71*AB71/(Y71+Z71+AB71),0)</x:f>
        <x:v>5207.417712028825</x:v>
      </x:c>
      <x:c r="AG71" s="47" t="n">
        <x:f>AD71*family_mult</x:f>
        <x:v>63493.06708456734</x:v>
      </x:c>
      <x:c r="AH71" s="47" t="n">
        <x:f>AH70*(1+Paths!C71)+AG71</x:f>
        <x:v>1374932.4381569352</x:v>
      </x:c>
      <x:c r="AI71" s="47" t="n">
        <x:f>IF(AND(mig_endo=1,$A71&gt;=talent_start),chain_rate*AH70,0)</x:f>
        <x:v>19304.799377905318</x:v>
      </x:c>
      <x:c r="AJ71" s="47" t="n">
        <x:f>IF(AND(mig_endo=1,$A71&gt;=talent_start),IF(H70&gt;0,H70*job_fill,H70*job_return)*job_family,0)</x:f>
        <x:v>8155.227631450467</x:v>
      </x:c>
      <x:c r="AK71" s="47" t="n">
        <x:f>K71*gw_conv_family</x:f>
        <x:v>27508.18978490665</x:v>
      </x:c>
      <x:c r="AL71" s="47" t="n">
        <x:f>AG71+AI71+AJ71+AK71+AR71</x:f>
        <x:v>228323.3325534379</x:v>
      </x:c>
      <x:c r="AM71" s="47" t="n">
        <x:f>AM70*(1-skill_ret)+AD71</x:f>
        <x:v>413419.748606856</x:v>
      </x:c>
      <x:c r="AN71" s="64" t="n">
        <x:f>AM71/B71</x:f>
        <x:v>0.07223101323242637</x:v>
      </x:c>
      <x:c r="AO71" s="64" t="n">
        <x:f>(skill_rel-1+skill_spill)*AM70/B70-AT71</x:f>
        <x:v>0.07351604638514805</x:v>
      </x:c>
      <x:c r="AP71" s="64" t="n">
        <x:f>talent_champ*AM70/(skill_base_share*B70)</x:f>
        <x:v>0.1439573703220269</x:v>
      </x:c>
      <x:c r="AQ71" s="45" t="n">
        <x:v>1085000</x:v>
      </x:c>
      <x:c r="AR71" s="47" t="n">
        <x:f>IF(AND(div_on=1,$A71&gt;=div_start),AQ71*MIN(div_max,div_rate*U71)*(1-div_comp*S71),0)</x:f>
        <x:v>109862.04867460813</x:v>
      </x:c>
      <x:c r="AS71" s="47" t="n">
        <x:f>AS70*(1-div_assim)+AR71</x:f>
        <x:v>1104210.6573560634</x:v>
      </x:c>
      <x:c r="AT71" s="64" t="n">
        <x:f>(1-div_rel)*AS70/Economy!B70</x:f>
        <x:v>0.020056244324169442</x:v>
      </x:c>
      <x:c r="AU71" s="47" t="n">
        <x:f>AU70*(1-skill_ret)+AE71</x:f>
        <x:v>172513.34132399326</x:v>
      </x:c>
      <x:c r="AV71" s="47" t="n">
        <x:f>AV70*(1+union_nat)+AR71</x:f>
        <x:v>1772323.3249513372</x:v>
      </x:c>
      <x:c r="AW71" s="47" t="n">
        <x:f>AW70*(1+union_nat)+AE71*family_mult</x:f>
        <x:v>564487.5259143237</x:v>
      </x:c>
      <x:c r="AX71" s="67" t="n">
        <x:f>V71-(AV71+AW71)/1000000</x:f>
        <x:v>71.19318914913434</x:v>
      </x:c>
      <x:c r="AY71" s="47" t="n">
        <x:f>L71*gw_union</x:f>
        <x:v>107506.29331637728</x:v>
      </x:c>
      <x:c r="AZ71" s="46" t="n">
        <x:v>1.057</x:v>
      </x:c>
      <x:c r="BA71" s="47" t="n">
        <x:f>Economy!Q71*AZ71/lf_rate</x:f>
        <x:v>946.2666666666667</x:v>
      </x:c>
      <x:c r="BB71" s="64" t="n">
        <x:f>bd_growth*AU70/W70</x:f>
        <x:v>0.0013973745986321897</x:v>
      </x:c>
      <x:c r="BC71" s="64" t="n">
        <x:f>tg_k*MIN(1,Economy!O70/BK70)</x:f>
        <x:v>0.0012030690088557503</x:v>
      </x:c>
      <x:c r="BD71" s="64" t="n">
        <x:f>emu_g*S71</x:f>
        <x:v>0.0015</x:v>
      </x:c>
      <x:c r="BE71" s="65" t="n">
        <x:f>BE70*(1-BB71-BC71+BD71)</x:f>
        <x:v>0.9612849691183266</x:v>
      </x:c>
      <x:c r="BF71" s="46" t="n">
        <x:v>1</x:v>
      </x:c>
      <x:c r="BG71" s="53" t="n">
        <x:f>AU71*BA71*BE71*(skill_rel-1+skill_spill)/1000000</x:f>
        <x:v>204.00073523486654</x:v>
      </x:c>
      <x:c r="BH71" s="53" t="n">
        <x:f>union_disp*(Champions!AP71+Champions!AZ71)*(1-IF(union_resp=2,mkt_cut*S71,0))</x:f>
        <x:v>167.90760151572968</x:v>
      </x:c>
      <x:c r="BI71" s="53" t="n">
        <x:f>AY71*BA71*BE71/1000000</x:f>
        <x:v>97.79115637175073</x:v>
      </x:c>
      <x:c r="BJ71" s="47" t="n">
        <x:f>V71*Economy!Q71*AZ71</x:f>
        <x:v>29223.174959999997</x:v>
      </x:c>
      <x:c r="BK71" s="47" t="n">
        <x:f>MAX(0.3*BJ71,AX71*Economy!Q71*AZ71*BE71*BF71-BG71-BH71-BI71)</x:f>
        <x:v>26729.3314912613</x:v>
      </x:c>
      <x:c r="BL71" s="63" t="n">
        <x:f>1-BK71/BJ71</x:f>
        <x:v>0.08533786873439364</x:v>
      </x:c>
      <x:c r="BM71" s="47" t="n">
        <x:f>MAX(0,BH71-BH70)*1000000/BA71</x:f>
        <x:v>14030.010730102535</x:v>
      </x:c>
      <x:c r="BN71" s="47" t="n">
        <x:f>BN70*(1-IF(AND($A71&gt;=1930,$A71&lt;=1932),0,union_reabsorb))+BM71</x:f>
        <x:v>33588.951502549426</x:v>
      </x:c>
      <x:c r="BO71" s="59" t="n">
        <x:v>0.054</x:v>
      </x:c>
      <x:c r="BP71" s="63" t="n">
        <x:f>BO71+BN71/(AX71*1000000*lf_rate)</x:f>
        <x:v>0.05512333349593543</x:v>
      </x:c>
    </x:row>
    <x:row r="72">
      <x:c r="A72" s="58" t="n">
        <x:v>1912</x:v>
      </x:c>
      <x:c r="B72" s="47" t="n">
        <x:f>Economy!B72*lf_rate</x:f>
        <x:v>5980216.682374279</x:v>
      </x:c>
      <x:c r="C72" s="47" t="n">
        <x:f>Economy!O72*1000000/(B72+L72)</x:f>
        <x:v>1857.8370450049038</x:v>
      </x:c>
      <x:c r="D72" s="47" t="n">
        <x:f>Champions!AP72*1000000/(C72*champ_prem)</x:f>
        <x:v>198962.75441632737</x:v>
      </x:c>
      <x:c r="E72" s="47" t="n">
        <x:f>D72*job_mult</x:f>
        <x:v>139273.92809142914</x:v>
      </x:c>
      <x:c r="F72" s="47" t="n">
        <x:f>D72+E72</x:f>
        <x:v>338236.6825077565</x:v>
      </x:c>
      <x:c r="G72" s="63" t="n">
        <x:f>F72/B72</x:f>
        <x:v>0.056559268747678394</x:v>
      </x:c>
      <x:c r="H72" s="47" t="n">
        <x:f>F72-F71</x:f>
        <x:v>25408.77842646651</x:v>
      </x:c>
      <x:c r="I72" s="63" t="n">
        <x:f>MAX(0.005,pac_u_base*IF(Paths!AC72=1,pac_u_war,1)+(okun*(1-Economy!G72)*(B72+L72)-MAX(0,L71-L72))/B72)</x:f>
        <x:v>0.015</x:v>
      </x:c>
      <x:c r="J72" s="47" t="n">
        <x:f>IF(AND(gw_on=1,$A72&gt;=gw_start),MIN(gw_cap*B71,gw_cover*F71+gw_gen*B71),0)</x:f>
        <x:v>645582.8831584947</x:v>
      </x:c>
      <x:c r="K72" s="47" t="n">
        <x:f>L71*gw_conv</x:f>
        <x:v>16125.943997456592</x:v>
      </x:c>
      <x:c r="L72" s="47" t="n">
        <x:f>MAX(0,L71-K72+gw_adj*(J72-L71))*MAX(0,1-gw_slump*(1-Economy!G72))</x:f>
        <x:v>564626.0892150732</x:v>
      </x:c>
      <x:c r="M72" s="47" t="n">
        <x:f>MAX(0,L72-L71+L71/gw_term)</x:f>
        <x:v>206271.7781604822</x:v>
      </x:c>
      <x:c r="N72" s="63" t="n">
        <x:f>L72/B72</x:f>
        <x:v>0.09441565735890761</x:v>
      </x:c>
      <x:c r="O72" s="53" t="n">
        <x:f>Economy!L72</x:f>
        <x:v>617.7441632579771</x:v>
      </x:c>
      <x:c r="P72" s="53" t="n">
        <x:f>O72*gw_wage_share</x:f>
        <x:v>401.53370611768514</x:v>
      </x:c>
      <x:c r="Q72" s="53" t="n">
        <x:f>P72*gw_levy</x:f>
        <x:v>100.38342652942129</x:v>
      </x:c>
      <x:c r="R72" s="53" t="n">
        <x:f>P72*gw_remit</x:f>
        <x:v>100.38342652942129</x:v>
      </x:c>
      <x:c r="S72" s="63" t="n">
        <x:f>IF(union_resp&gt;=1,MIN(1,MAX(0,($A72-resp_start)/(resp_full-resp_start))),0)</x:f>
        <x:v>1</x:v>
      </x:c>
      <x:c r="T72" s="67" t="n">
        <x:f>Economy!R71</x:f>
        <x:v>2.093138084926897</x:v>
      </x:c>
      <x:c r="U72" s="67" t="n">
        <x:f>MAX(0,T72-gap_base)</x:f>
        <x:v>0.5931380849268968</x:v>
      </x:c>
      <x:c r="V72" s="68" t="n">
        <x:v>74.81999999999999</x:v>
      </x:c>
      <x:c r="W72" s="47" t="n">
        <x:f>V72*1000000*lf_rate*union_skill_share</x:f>
        <x:v>3770928</x:v>
      </x:c>
      <x:c r="X72" s="45" t="n">
        <x:v>155000</x:v>
      </x:c>
      <x:c r="Y72" s="47" t="n">
        <x:f>IF(AND(mig_endo=1,$A72&gt;=talent_start),talent_rate_u*W72*U72*(1-(1-bd_keep)*S72),0)</x:f>
        <x:v>7448.147771016319</x:v>
      </x:c>
      <x:c r="Z72" s="47" t="n">
        <x:f>IF(AND(mig_endo=1,$A72&gt;=talent_start),X72*MIN(0.5,talent_share_o*U72)*(1-eu_comp*S72),0)</x:f>
        <x:v>17375.98019793344</x:v>
      </x:c>
      <x:c r="AA72" s="45" t="n">
        <x:v>48000</x:v>
      </x:c>
      <x:c r="AB72" s="47" t="n">
        <x:f>IF(AND(mig_endo=1,$A72&gt;=talent_start),AA72*MIN(0.5,talent_share_a*U72),0)</x:f>
        <x:v>5694.12561529821</x:v>
      </x:c>
      <x:c r="AC72" s="47" t="n">
        <x:f>entry_cap*People!B72</x:f>
        <x:v>41779.99729092401</x:v>
      </x:c>
      <x:c r="AD72" s="47" t="n">
        <x:f>MIN(AC72,Y72+Z72+AB72)</x:f>
        <x:v>30518.25358424797</x:v>
      </x:c>
      <x:c r="AE72" s="47" t="n">
        <x:f>IF(Y72+Z72+AB72&gt;0,AD72*Y72/(Y72+Z72+AB72),0)</x:f>
        <x:v>7448.147771016319</x:v>
      </x:c>
      <x:c r="AF72" s="47" t="n">
        <x:f>IF(Y72+Z72+AB72&gt;0,AD72*AB72/(Y72+Z72+AB72),0)</x:f>
        <x:v>5694.12561529821</x:v>
      </x:c>
      <x:c r="AG72" s="47" t="n">
        <x:f>AD72*family_mult</x:f>
        <x:v>67140.15788534554</x:v>
      </x:c>
      <x:c r="AH72" s="47" t="n">
        <x:f>AH71*(1+Paths!C72)+AG72</x:f>
        <x:v>1468196.3123672623</x:v>
      </x:c>
      <x:c r="AI72" s="47" t="n">
        <x:f>IF(AND(mig_endo=1,$A72&gt;=talent_start),chain_rate*AH71,0)</x:f>
        <x:v>20623.986572354028</x:v>
      </x:c>
      <x:c r="AJ72" s="47" t="n">
        <x:f>IF(AND(mig_endo=1,$A72&gt;=talent_start),IF(H71&gt;0,H71*job_fill,H71*job_return)*job_family,0)</x:f>
        <x:v>8560.220281102662</x:v>
      </x:c>
      <x:c r="AK72" s="47" t="n">
        <x:f>K72*gw_conv_family</x:f>
        <x:v>29026.699195421865</x:v>
      </x:c>
      <x:c r="AL72" s="47" t="n">
        <x:f>AG72+AI72+AJ72+AK72+AR72</x:f>
        <x:v>242644.12022851795</x:v>
      </x:c>
      <x:c r="AM72" s="47" t="n">
        <x:f>AM71*(1-skill_ret)+AD72</x:f>
        <x:v>433602.5084759325</x:v>
      </x:c>
      <x:c r="AN72" s="64" t="n">
        <x:f>AM72/B72</x:f>
        <x:v>0.07250615345659728</x:v>
      </x:c>
      <x:c r="AO72" s="64" t="n">
        <x:f>(skill_rel-1+skill_spill)*AM71/B71-AT72</x:f>
        <x:v>0.07364338278737999</x:v>
      </x:c>
      <x:c r="AP72" s="64" t="n">
        <x:f>talent_champ*AM71/(skill_base_share*B71)</x:f>
        <x:v>0.14446202646485273</x:v>
      </x:c>
      <x:c r="AQ72" s="45" t="n">
        <x:v>1130000</x:v>
      </x:c>
      <x:c r="AR72" s="47" t="n">
        <x:f>IF(AND(div_on=1,$A72&gt;=div_start),AQ72*MIN(div_max,div_rate*U72)*(1-div_comp*S72),0)</x:f>
        <x:v>117293.05629429384</x:v>
      </x:c>
      <x:c r="AS72" s="47" t="n">
        <x:f>AS71*(1-div_assim)+AR72</x:f>
        <x:v>1166293.180782554</x:v>
      </x:c>
      <x:c r="AT72" s="64" t="n">
        <x:f>(1-div_rel)*AS71/Economy!B71</x:f>
        <x:v>0.020256934414774306</x:v>
      </x:c>
      <x:c r="AU72" s="47" t="n">
        <x:f>AU71*(1-skill_ret)+AE72</x:f>
        <x:v>175648.65556190975</x:v>
      </x:c>
      <x:c r="AV72" s="47" t="n">
        <x:f>AV71*(1+union_nat)+AR72</x:f>
        <x:v>1912656.5844699983</x:v>
      </x:c>
      <x:c r="AW72" s="47" t="n">
        <x:f>AW71*(1+union_nat)+AE72*family_mult</x:f>
        <x:v>588211.7888474459</x:v>
      </x:c>
      <x:c r="AX72" s="67" t="n">
        <x:f>V72-(AV72+AW72)/1000000</x:f>
        <x:v>72.31913162668255</x:v>
      </x:c>
      <x:c r="AY72" s="47" t="n">
        <x:f>L72*gw_union</x:f>
        <x:v>112925.21784301463</x:v>
      </x:c>
      <x:c r="AZ72" s="46" t="n">
        <x:v>1.054</x:v>
      </x:c>
      <x:c r="BA72" s="47" t="n">
        <x:f>Economy!Q72*AZ72/lf_rate</x:f>
        <x:v>978.7142857142858</x:v>
      </x:c>
      <x:c r="BB72" s="64" t="n">
        <x:f>bd_growth*AU71/W71</x:f>
        <x:v>0.0013965254004195992</x:v>
      </x:c>
      <x:c r="BC72" s="64" t="n">
        <x:f>tg_k*MIN(1,Economy!O71/BK71)</x:f>
        <x:v>0.0012512335458086112</x:v>
      </x:c>
      <x:c r="BD72" s="64" t="n">
        <x:f>emu_g*S72</x:f>
        <x:v>0.0015</x:v>
      </x:c>
      <x:c r="BE72" s="65" t="n">
        <x:f>BE71*(1-BB72-BC72+BD72)</x:f>
        <x:v>0.9601816456951463</x:v>
      </x:c>
      <x:c r="BF72" s="46" t="n">
        <x:v>1</x:v>
      </x:c>
      <x:c r="BG72" s="53" t="n">
        <x:f>AU72*BA72*BE72*(skill_rel-1+skill_spill)/1000000</x:f>
        <x:v>214.58408557336145</x:v>
      </x:c>
      <x:c r="BH72" s="53" t="n">
        <x:f>union_disp*(Champions!AP72+Champions!AZ72)*(1-IF(union_resp=2,mkt_cut*S72,0))</x:f>
        <x:v>186.73316826356447</x:v>
      </x:c>
      <x:c r="BI72" s="53" t="n">
        <x:f>AY72*BA72*BE72/1000000</x:f>
        <x:v>106.12073872258308</x:v>
      </x:c>
      <x:c r="BJ72" s="47" t="n">
        <x:f>V72*Economy!Q72*AZ72</x:f>
        <x:v>30755.509199999997</x:v>
      </x:c>
      <x:c r="BK72" s="47" t="n">
        <x:f>MAX(0.3*BJ72,AX72*Economy!Q72*AZ72*BE72*BF72-BG72-BH72-BI72)</x:f>
        <x:v>28036.364036856576</x:v>
      </x:c>
      <x:c r="BL72" s="63" t="n">
        <x:f>1-BK72/BJ72</x:f>
        <x:v>0.08841164506368904</x:v>
      </x:c>
      <x:c r="BM72" s="47" t="n">
        <x:f>MAX(0,BH72-BH71)*1000000/BA72</x:f>
        <x:v>19234.997406925042</x:v>
      </x:c>
      <x:c r="BN72" s="47" t="n">
        <x:f>BN71*(1-IF(AND($A72&gt;=1930,$A72&lt;=1932),0,union_reabsorb))+BM72</x:f>
        <x:v>44426.71103383711</x:v>
      </x:c>
      <x:c r="BO72" s="59" t="n">
        <x:v>0.048</x:v>
      </x:c>
      <x:c r="BP72" s="63" t="n">
        <x:f>BO72+BN72/(AX72*1000000*lf_rate)</x:f>
        <x:v>0.04946265422488661</x:v>
      </x:c>
    </x:row>
    <x:row r="73">
      <x:c r="A73" s="58" t="n">
        <x:v>1913</x:v>
      </x:c>
      <x:c r="B73" s="47" t="n">
        <x:f>Economy!B73*lf_rate</x:f>
        <x:v>6243081.522071844</x:v>
      </x:c>
      <x:c r="C73" s="47" t="n">
        <x:f>Economy!O73*1000000/(B73+L73)</x:f>
        <x:v>1935.8596947113126</x:v>
      </x:c>
      <x:c r="D73" s="47" t="n">
        <x:f>Champions!AP73*1000000/(C73*champ_prem)</x:f>
        <x:v>210704.3625957427</x:v>
      </x:c>
      <x:c r="E73" s="47" t="n">
        <x:f>D73*job_mult</x:f>
        <x:v>147493.05381701989</x:v>
      </x:c>
      <x:c r="F73" s="47" t="n">
        <x:f>D73+E73</x:f>
        <x:v>358197.4164127626</x:v>
      </x:c>
      <x:c r="G73" s="63" t="n">
        <x:f>F73/B73</x:f>
        <x:v>0.057375098362305275</x:v>
      </x:c>
      <x:c r="H73" s="47" t="n">
        <x:f>F73-F72</x:f>
        <x:v>19960.733905006084</x:v>
      </x:c>
      <x:c r="I73" s="63" t="n">
        <x:f>MAX(0.005,pac_u_base*IF(Paths!AC73=1,pac_u_war,1)+(okun*(1-Economy!G73)*(B73+L73)-MAX(0,L72-L73))/B73)</x:f>
        <x:v>0.015</x:v>
      </x:c>
      <x:c r="J73" s="47" t="n">
        <x:f>IF(AND(gw_on=1,$A73&gt;=gw_start),MIN(gw_cap*B72,gw_cover*F72+gw_gen*B72),0)</x:f>
        <x:v>681359.3440945962</x:v>
      </x:c>
      <x:c r="K73" s="47" t="n">
        <x:f>L72*gw_conv</x:f>
        <x:v>16938.782676452192</x:v>
      </x:c>
      <x:c r="L73" s="47" t="n">
        <x:f>MAX(0,L72-K73+gw_adj*(J73-L72))*MAX(0,1-gw_slump*(1-Economy!G73))</x:f>
        <x:v>594380.6084904302</x:v>
      </x:c>
      <x:c r="M73" s="47" t="n">
        <x:f>MAX(0,L73-L72+L72/gw_term)</x:f>
        <x:v>217963.2156803814</x:v>
      </x:c>
      <x:c r="N73" s="63" t="n">
        <x:f>L73/B73</x:f>
        <x:v>0.0952062865732334</x:v>
      </x:c>
      <x:c r="O73" s="53" t="n">
        <x:f>Economy!L73</x:f>
        <x:v>677.8970931654934</x:v>
      </x:c>
      <x:c r="P73" s="53" t="n">
        <x:f>O73*gw_wage_share</x:f>
        <x:v>440.6331105575707</x:v>
      </x:c>
      <x:c r="Q73" s="53" t="n">
        <x:f>P73*gw_levy</x:f>
        <x:v>110.15827763939268</x:v>
      </x:c>
      <x:c r="R73" s="53" t="n">
        <x:f>P73*gw_remit</x:f>
        <x:v>110.15827763939268</x:v>
      </x:c>
      <x:c r="S73" s="63" t="n">
        <x:f>IF(union_resp&gt;=1,MIN(1,MAX(0,($A73-resp_start)/(resp_full-resp_start))),0)</x:f>
        <x:v>1</x:v>
      </x:c>
      <x:c r="T73" s="67" t="n">
        <x:f>Economy!R72</x:f>
        <x:v>2.1061317248185074</x:v>
      </x:c>
      <x:c r="U73" s="67" t="n">
        <x:f>MAX(0,T73-gap_base)</x:f>
        <x:v>0.6061317248185074</x:v>
      </x:c>
      <x:c r="V73" s="68" t="n">
        <x:v>76.09999999999999</x:v>
      </x:c>
      <x:c r="W73" s="47" t="n">
        <x:f>V73*1000000*lf_rate*union_skill_share</x:f>
        <x:v>3835440</x:v>
      </x:c>
      <x:c r="X73" s="45" t="n">
        <x:v>160000</x:v>
      </x:c>
      <x:c r="Y73" s="47" t="n">
        <x:f>IF(AND(mig_endo=1,$A73&gt;=talent_start),talent_rate_u*W73*U73*(1-(1-bd_keep)*S73),0)</x:f>
        <x:v>7741.523602584193</x:v>
      </x:c>
      <x:c r="Z73" s="47" t="n">
        <x:f>IF(AND(mig_endo=1,$A73&gt;=talent_start),X73*MIN(0.5,talent_share_o*U73)*(1-eu_comp*S73),0)</x:f>
        <x:v>18329.423358511664</x:v>
      </x:c>
      <x:c r="AA73" s="45" t="n">
        <x:v>50000</x:v>
      </x:c>
      <x:c r="AB73" s="47" t="n">
        <x:f>IF(AND(mig_endo=1,$A73&gt;=talent_start),AA73*MIN(0.5,talent_share_a*U73),0)</x:f>
        <x:v>6061.317248185074</x:v>
      </x:c>
      <x:c r="AC73" s="47" t="n">
        <x:f>entry_cap*People!B73</x:f>
        <x:v>43651.66960013712</x:v>
      </x:c>
      <x:c r="AD73" s="47" t="n">
        <x:f>MIN(AC73,Y73+Z73+AB73)</x:f>
        <x:v>32132.26420928093</x:v>
      </x:c>
      <x:c r="AE73" s="47" t="n">
        <x:f>IF(Y73+Z73+AB73&gt;0,AD73*Y73/(Y73+Z73+AB73),0)</x:f>
        <x:v>7741.523602584193</x:v>
      </x:c>
      <x:c r="AF73" s="47" t="n">
        <x:f>IF(Y73+Z73+AB73&gt;0,AD73*AB73/(Y73+Z73+AB73),0)</x:f>
        <x:v>6061.317248185074</x:v>
      </x:c>
      <x:c r="AG73" s="47" t="n">
        <x:f>AD73*family_mult</x:f>
        <x:v>70690.98126041805</x:v>
      </x:c>
      <x:c r="AH73" s="47" t="n">
        <x:f>AH72*(1+Paths!C73)+AG73</x:f>
        <x:v>1563846.6309379237</x:v>
      </x:c>
      <x:c r="AI73" s="47" t="n">
        <x:f>IF(AND(mig_endo=1,$A73&gt;=talent_start),chain_rate*AH72,0)</x:f>
        <x:v>22022.944685508934</x:v>
      </x:c>
      <x:c r="AJ73" s="47" t="n">
        <x:f>IF(AND(mig_endo=1,$A73&gt;=talent_start),IF(H72&gt;0,H72*job_fill,H72*job_return)*job_family,0)</x:f>
        <x:v>16007.530408673902</x:v>
      </x:c>
      <x:c r="AK73" s="47" t="n">
        <x:f>K73*gw_conv_family</x:f>
        <x:v>30489.808817613946</x:v>
      </x:c>
      <x:c r="AL73" s="47" t="n">
        <x:f>AG73+AI73+AJ73+AK73+AR73</x:f>
        <x:v>263847.1010880204</x:v>
      </x:c>
      <x:c r="AM73" s="47" t="n">
        <x:f>AM72*(1-skill_ret)+AD73</x:f>
        <x:v>454894.7099733152</x:v>
      </x:c>
      <x:c r="AN73" s="64" t="n">
        <x:f>AM73/B73</x:f>
        <x:v>0.07286381066226294</x:v>
      </x:c>
      <x:c r="AO73" s="64" t="n">
        <x:f>(skill_rel-1+skill_spill)*AM72/B72-AT73</x:f>
        <x:v>0.07378034952094228</x:v>
      </x:c>
      <x:c r="AP73" s="64" t="n">
        <x:f>talent_champ*AM72/(skill_base_share*B72)</x:f>
        <x:v>0.14501230691319456</x:v>
      </x:c>
      <x:c r="AQ73" s="45" t="n">
        <x:v>1175000</x:v>
      </x:c>
      <x:c r="AR73" s="47" t="n">
        <x:f>IF(AND(div_on=1,$A73&gt;=div_start),AQ73*MIN(div_max,div_rate*U73)*(1-div_comp*S73),0)</x:f>
        <x:v>124635.83591580558</x:v>
      </x:c>
      <x:c r="AS73" s="47" t="n">
        <x:f>AS72*(1-div_assim)+AR73</x:f>
        <x:v>1232614.3576592319</x:v>
      </x:c>
      <x:c r="AT73" s="64" t="n">
        <x:f>(1-div_rel)*AS72/Economy!B72</x:f>
        <x:v>0.02047764997263419</x:v>
      </x:c>
      <x:c r="AU73" s="47" t="n">
        <x:f>AU72*(1-skill_ret)+AE73</x:f>
        <x:v>178998.9627754462</x:v>
      </x:c>
      <x:c r="AV73" s="47" t="n">
        <x:f>AV72*(1+union_nat)+AR73</x:f>
        <x:v>2062156.9559839135</x:v>
      </x:c>
      <x:c r="AW73" s="47" t="n">
        <x:f>AW72*(1+union_nat)+AE73*family_mult</x:f>
        <x:v>612889.8940281478</x:v>
      </x:c>
      <x:c r="AX73" s="67" t="n">
        <x:f>V73-(AV73+AW73)/1000000</x:f>
        <x:v>73.42495314998793</x:v>
      </x:c>
      <x:c r="AY73" s="47" t="n">
        <x:f>L73*gw_union</x:f>
        <x:v>118876.12169808603</x:v>
      </x:c>
      <x:c r="AZ73" s="46" t="n">
        <x:v>1.051</x:v>
      </x:c>
      <x:c r="BA73" s="47" t="n">
        <x:f>Economy!Q73*AZ73/lf_rate</x:f>
        <x:v>1008.4595238095238</x:v>
      </x:c>
      <x:c r="BB73" s="64" t="n">
        <x:f>bd_growth*AU72/W72</x:f>
        <x:v>0.0013973906865517697</x:v>
      </x:c>
      <x:c r="BC73" s="64" t="n">
        <x:f>tg_k*MIN(1,Economy!O72/BK72)</x:f>
        <x:v>0.0013010871886390183</x:v>
      </x:c>
      <x:c r="BD73" s="64" t="n">
        <x:f>emu_g*S73</x:f>
        <x:v>0.0015</x:v>
      </x:c>
      <x:c r="BE73" s="65" t="n">
        <x:f>BE72*(1-BB73-BC73+BD73)</x:f>
        <x:v>0.9590308892366164</x:v>
      </x:c>
      <x:c r="BF73" s="46" t="n">
        <x:v>1</x:v>
      </x:c>
      <x:c r="BG73" s="53" t="n">
        <x:f>AU73*BA73*BE73*(skill_rel-1+skill_spill)/1000000</x:f>
        <x:v>225.05306605452205</x:v>
      </x:c>
      <x:c r="BH73" s="53" t="n">
        <x:f>union_disp*(Champions!AP73+Champions!AZ73)*(1-IF(union_resp=2,mkt_cut*S73,0))</x:f>
        <x:v>204.35532339323873</x:v>
      </x:c>
      <x:c r="BI73" s="53" t="n">
        <x:f>AY73*BA73*BE73/1000000</x:f>
        <x:v>114.9703080956563</x:v>
      </x:c>
      <x:c r="BJ73" s="47" t="n">
        <x:f>V73*Economy!Q73*AZ73</x:f>
        <x:v>32232.383299999998</x:v>
      </x:c>
      <x:c r="BK73" s="47" t="n">
        <x:f>MAX(0.3*BJ73,AX73*Economy!Q73*AZ73*BE73*BF73-BG73-BH73-BI73)</x:f>
        <x:v>29280.86739301478</x:v>
      </x:c>
      <x:c r="BL73" s="63" t="n">
        <x:f>1-BK73/BJ73</x:f>
        <x:v>0.09156989352956768</x:v>
      </x:c>
      <x:c r="BM73" s="47" t="n">
        <x:f>MAX(0,BH73-BH72)*1000000/BA73</x:f>
        <x:v>17474.33061379141</x:v>
      </x:c>
      <x:c r="BN73" s="47" t="n">
        <x:f>BN72*(1-IF(AND($A73&gt;=1930,$A73&lt;=1932),0,union_reabsorb))+BM73</x:f>
        <x:v>50794.363889169246</x:v>
      </x:c>
      <x:c r="BO73" s="59" t="n">
        <x:v>0.043</x:v>
      </x:c>
      <x:c r="BP73" s="63" t="n">
        <x:f>BO73+BN73/(AX73*1000000*lf_rate)</x:f>
        <x:v>0.04464710982373843</x:v>
      </x:c>
    </x:row>
    <x:row r="74">
      <x:c r="A74" s="61" t="n">
        <x:v>1914</x:v>
      </x:c>
      <x:c r="B74" s="47" t="n">
        <x:f>Economy!B74*lf_rate</x:f>
        <x:v>6492717.13316533</x:v>
      </x:c>
      <x:c r="C74" s="47" t="n">
        <x:f>Economy!O74*1000000/(B74+L74)</x:f>
        <x:v>1946.4589076580637</x:v>
      </x:c>
      <x:c r="D74" s="47" t="n">
        <x:f>Champions!AP74*1000000/(C74*champ_prem)</x:f>
        <x:v>262255.0276684911</x:v>
      </x:c>
      <x:c r="E74" s="47" t="n">
        <x:f>D74*job_mult</x:f>
        <x:v>183578.51936794378</x:v>
      </x:c>
      <x:c r="F74" s="47" t="n">
        <x:f>D74+E74</x:f>
        <x:v>445833.5470364349</x:v>
      </x:c>
      <x:c r="G74" s="63" t="n">
        <x:f>F74/B74</x:f>
        <x:v>0.06866671347178836</x:v>
      </x:c>
      <x:c r="H74" s="47" t="n">
        <x:f>F74-F73</x:f>
        <x:v>87636.13062367227</x:v>
      </x:c>
      <x:c r="I74" s="63" t="n">
        <x:f>MAX(0.005,pac_u_base*IF(Paths!AC74=1,pac_u_war,1)+(okun*(1-Economy!G74)*(B74+L74)-MAX(0,L73-L74))/B74)</x:f>
        <x:v>0.02537361183858885</x:v>
      </x:c>
      <x:c r="J74" s="47" t="n">
        <x:f>IF(AND(gw_on=1,$A74&gt;=gw_start),MIN(gw_cap*B73,gw_cover*F73+gw_gen*B73),0)</x:f>
        <x:v>714364.971613405</x:v>
      </x:c>
      <x:c r="K74" s="47" t="n">
        <x:f>L73*gw_conv</x:f>
        <x:v>17831.418254712906</x:v>
      </x:c>
      <x:c r="L74" s="47" t="n">
        <x:f>MAX(0,L73-K74+gw_adj*(J74-L73))*MAX(0,1-gw_slump*(1-Economy!G74))</x:f>
        <x:v>594564.8745816315</x:v>
      </x:c>
      <x:c r="M74" s="47" t="n">
        <x:f>MAX(0,L74-L73+L73/gw_term)</x:f>
        <x:v>198311.13558801138</x:v>
      </x:c>
      <x:c r="N74" s="63" t="n">
        <x:f>L74/B74</x:f>
        <x:v>0.09157412257258915</x:v>
      </x:c>
      <x:c r="O74" s="53" t="n">
        <x:f>Economy!L74</x:f>
        <x:v>673.9579482916905</x:v>
      </x:c>
      <x:c r="P74" s="53" t="n">
        <x:f>O74*gw_wage_share</x:f>
        <x:v>438.07266638959885</x:v>
      </x:c>
      <x:c r="Q74" s="53" t="n">
        <x:f>P74*gw_levy</x:f>
        <x:v>109.51816659739971</x:v>
      </x:c>
      <x:c r="R74" s="53" t="n">
        <x:f>P74*gw_remit</x:f>
        <x:v>109.51816659739971</x:v>
      </x:c>
      <x:c r="S74" s="63" t="n">
        <x:f>IF(union_resp&gt;=1,MIN(1,MAX(0,($A74-resp_start)/(resp_full-resp_start))),0)</x:f>
        <x:v>1</x:v>
      </x:c>
      <x:c r="T74" s="67" t="n">
        <x:f>Economy!R73</x:f>
        <x:v>2.12464457942249</x:v>
      </x:c>
      <x:c r="U74" s="67" t="n">
        <x:f>MAX(0,T74-gap_base)</x:f>
        <x:v>0.62464457942249</x:v>
      </x:c>
      <x:c r="V74" s="68" t="n">
        <x:v>76.94</x:v>
      </x:c>
      <x:c r="W74" s="47" t="n">
        <x:f>V74*1000000*lf_rate*union_skill_share</x:f>
        <x:v>3877776</x:v>
      </x:c>
      <x:c r="X74" s="45" t="n">
        <x:v>60000</x:v>
      </x:c>
      <x:c r="Y74" s="47" t="n">
        <x:f>IF(AND(mig_endo=1,$A74&gt;=talent_start),talent_rate_u*W74*U74*(1-(1-bd_keep)*S74),0)</x:f>
        <x:v>8066.031756186702</x:v>
      </x:c>
      <x:c r="Z74" s="47" t="n">
        <x:f>IF(AND(mig_endo=1,$A74&gt;=talent_start),X74*MIN(0.5,talent_share_o*U74)*(1-eu_comp*S74),0)</x:f>
        <x:v>7083.469530651037</x:v>
      </x:c>
      <x:c r="AA74" s="45" t="n">
        <x:v>54000</x:v>
      </x:c>
      <x:c r="AB74" s="47" t="n">
        <x:f>IF(AND(mig_endo=1,$A74&gt;=talent_start),AA74*MIN(0.5,talent_share_a*U74),0)</x:f>
        <x:v>6746.1614577628925</x:v>
      </x:c>
      <x:c r="AC74" s="47" t="n">
        <x:f>entry_cap*People!B74</x:f>
        <x:v>45535.20928660351</x:v>
      </x:c>
      <x:c r="AD74" s="47" t="n">
        <x:f>MIN(AC74,Y74+Z74+AB74)</x:f>
        <x:v>21895.66274460063</x:v>
      </x:c>
      <x:c r="AE74" s="47" t="n">
        <x:f>IF(Y74+Z74+AB74&gt;0,AD74*Y74/(Y74+Z74+AB74),0)</x:f>
        <x:v>8066.031756186702</x:v>
      </x:c>
      <x:c r="AF74" s="47" t="n">
        <x:f>IF(Y74+Z74+AB74&gt;0,AD74*AB74/(Y74+Z74+AB74),0)</x:f>
        <x:v>6746.161457762893</x:v>
      </x:c>
      <x:c r="AG74" s="47" t="n">
        <x:f>AD74*family_mult</x:f>
        <x:v>48170.4580381214</x:v>
      </x:c>
      <x:c r="AH74" s="47" t="n">
        <x:f>AH73*(1+Paths!C74)+AG74</x:f>
        <x:v>1638602.4817019897</x:v>
      </x:c>
      <x:c r="AI74" s="47" t="n">
        <x:f>IF(AND(mig_endo=1,$A74&gt;=talent_start),chain_rate*AH73,0)</x:f>
        <x:v>23457.699464068854</x:v>
      </x:c>
      <x:c r="AJ74" s="47" t="n">
        <x:f>IF(AND(mig_endo=1,$A74&gt;=talent_start),IF(H73&gt;0,H73*job_fill,H73*job_return)*job_family,0)</x:f>
        <x:v>12575.262360153833</x:v>
      </x:c>
      <x:c r="AK74" s="47" t="n">
        <x:f>K74*gw_conv_family</x:f>
        <x:v>32096.552858483232</x:v>
      </x:c>
      <x:c r="AL74" s="47" t="n">
        <x:f>AG74+AI74+AJ74+AK74+AR74</x:f>
        <x:v>249661.59042752892</x:v>
      </x:c>
      <x:c r="AM74" s="47" t="n">
        <x:f>AM73*(1-skill_ret)+AD74</x:f>
        <x:v>465418.0049685829</x:v>
      </x:c>
      <x:c r="AN74" s="64" t="n">
        <x:f>AM74/B74</x:f>
        <x:v>0.07168308666816696</x:v>
      </x:c>
      <x:c r="AO74" s="64" t="n">
        <x:f>(skill_rel-1+skill_spill)*AM73/B73-AT74</x:f>
        <x:v>0.07399208448231033</x:v>
      </x:c>
      <x:c r="AP74" s="64" t="n">
        <x:f>talent_champ*AM73/(skill_base_share*B73)</x:f>
        <x:v>0.1457276213245259</x:v>
      </x:c>
      <x:c r="AQ74" s="45" t="n">
        <x:v>1220000</x:v>
      </x:c>
      <x:c r="AR74" s="47" t="n">
        <x:f>IF(AND(div_on=1,$A74&gt;=div_start),AQ74*MIN(div_max,div_rate*U74)*(1-div_comp*S74),0)</x:f>
        <x:v>133361.6177067016</x:v>
      </x:c>
      <x:c r="AS74" s="47" t="n">
        <x:f>AS73*(1-div_assim)+AR74</x:f>
        <x:v>1304345.2574829718</x:v>
      </x:c>
      <x:c r="AT74" s="64" t="n">
        <x:f>(1-div_rel)*AS73/Economy!B73</x:f>
        <x:v>0.020730869378631504</x:v>
      </x:c>
      <x:c r="AU74" s="47" t="n">
        <x:f>AU73*(1-skill_ret)+AE74</x:f>
        <x:v>182590.02046224676</x:v>
      </x:c>
      <x:c r="AV74" s="47" t="n">
        <x:f>AV73*(1+union_nat)+AR74</x:f>
        <x:v>2222326.6141184056</x:v>
      </x:c>
      <x:c r="AW74" s="47" t="n">
        <x:f>AW73*(1+union_nat)+AE74*family_mult</x:f>
        <x:v>638602.7325141244</x:v>
      </x:c>
      <x:c r="AX74" s="67" t="n">
        <x:f>V74-(AV74+AW74)/1000000</x:f>
        <x:v>74.07907065336747</x:v>
      </x:c>
      <x:c r="AY74" s="47" t="n">
        <x:f>L74*gw_union</x:f>
        <x:v>118912.9749163263</x:v>
      </x:c>
      <x:c r="AZ74" s="46" t="n">
        <x:v>1.052</x:v>
      </x:c>
      <x:c r="BA74" s="47" t="n">
        <x:f>Economy!Q74*AZ74/lf_rate</x:f>
        <x:v>951.8095238095239</x:v>
      </x:c>
      <x:c r="BB74" s="64" t="n">
        <x:f>bd_growth*AU73/W73</x:f>
        <x:v>0.0014000920059402276</x:v>
      </x:c>
      <x:c r="BC74" s="64" t="n">
        <x:f>tg_k*MIN(1,Economy!O73/BK73)</x:f>
        <x:v>0.0013561450050309746</x:v>
      </x:c>
      <x:c r="BD74" s="64" t="n">
        <x:f>emu_g*S74</x:f>
        <x:v>0.0015</x:v>
      </x:c>
      <x:c r="BE74" s="65" t="n">
        <x:f>BE73*(1-BB74-BC74+BD74)</x:f>
        <x:v>0.9578261191388926</x:v>
      </x:c>
      <x:c r="BF74" s="46" t="n">
        <x:v>1</x:v>
      </x:c>
      <x:c r="BG74" s="53" t="n">
        <x:f>AU74*BA74*BE74*(skill_rel-1+skill_spill)/1000000</x:f>
        <x:v>216.39992771234083</x:v>
      </x:c>
      <x:c r="BH74" s="53" t="n">
        <x:f>union_disp*(Champions!AP74+Champions!AZ74)*(1-IF(union_resp=2,mkt_cut*S74,0))</x:f>
        <x:v>249.20715813951392</x:v>
      </x:c>
      <x:c r="BI74" s="53" t="n">
        <x:f>AY74*BA74*BE74/1000000</x:f>
        <x:v>108.40915667371209</x:v>
      </x:c>
      <x:c r="BJ74" s="47" t="n">
        <x:f>V74*Economy!Q74*AZ74</x:f>
        <x:v>30757.5344</x:v>
      </x:c>
      <x:c r="BK74" s="47" t="n">
        <x:f>MAX(0.3*BJ74,AX74*Economy!Q74*AZ74*BE74*BF74-BG74-BH74-BI74)</x:f>
        <x:v>27790.902090305954</x:v>
      </x:c>
      <x:c r="BL74" s="63" t="n">
        <x:f>1-BK74/BJ74</x:f>
        <x:v>0.09645221463831144</x:v>
      </x:c>
      <x:c r="BM74" s="47" t="n">
        <x:f>MAX(0,BH74-BH73)*1000000/BA74</x:f>
        <x:v>47122.700103651136</x:v>
      </x:c>
      <x:c r="BN74" s="47" t="n">
        <x:f>BN73*(1-IF(AND($A74&gt;=1930,$A74&lt;=1932),0,union_reabsorb))+BM74</x:f>
        <x:v>85218.47302052806</x:v>
      </x:c>
      <x:c r="BO74" s="59" t="n">
        <x:v>0.079</x:v>
      </x:c>
      <x:c r="BP74" s="63" t="n">
        <x:f>BO74+BN74/(AX74*1000000*lf_rate)</x:f>
        <x:v>0.08173898044953577</x:v>
      </x:c>
    </x:row>
    <x:row r="75">
      <x:c r="A75" s="61" t="n">
        <x:v>1915</x:v>
      </x:c>
      <x:c r="B75" s="47" t="n">
        <x:f>Economy!B75*lf_rate</x:f>
        <x:v>6722997.856070733</x:v>
      </x:c>
      <x:c r="C75" s="47" t="n">
        <x:f>Economy!O75*1000000/(B75+L75)</x:f>
        <x:v>2093.090190803142</x:v>
      </x:c>
      <x:c r="D75" s="47" t="n">
        <x:f>Champions!AP75*1000000/(C75*champ_prem)</x:f>
        <x:v>298450.4772641855</x:v>
      </x:c>
      <x:c r="E75" s="47" t="n">
        <x:f>D75*job_mult</x:f>
        <x:v>208915.33408492984</x:v>
      </x:c>
      <x:c r="F75" s="47" t="n">
        <x:f>D75+E75</x:f>
        <x:v>507365.81134911533</x:v>
      </x:c>
      <x:c r="G75" s="63" t="n">
        <x:f>F75/B75</x:f>
        <x:v>0.0754671981474714</x:v>
      </x:c>
      <x:c r="H75" s="47" t="n">
        <x:f>F75-F74</x:f>
        <x:v>61532.26431268046</x:v>
      </x:c>
      <x:c r="I75" s="63" t="n">
        <x:f>MAX(0.005,pac_u_base*IF(Paths!AC75=1,pac_u_war,1)+(okun*(1-Economy!G75)*(B75+L75)-MAX(0,L74-L75))/B75)</x:f>
        <x:v>0.009</x:v>
      </x:c>
      <x:c r="J75" s="47" t="n">
        <x:f>IF(AND(gw_on=1,$A75&gt;=gw_start),MIN(gw_cap*B74,gw_cover*F74+gw_gen*B74),0)</x:f>
        <x:v>786917.4988750874</x:v>
      </x:c>
      <x:c r="K75" s="47" t="n">
        <x:f>L74*gw_conv</x:f>
        <x:v>17836.946237448945</x:v>
      </x:c>
      <x:c r="L75" s="47" t="n">
        <x:f>MAX(0,L74-K75+gw_adj*(J75-L74))*MAX(0,1-gw_slump*(1-Economy!G75))</x:f>
        <x:v>653668.9780615648</x:v>
      </x:c>
      <x:c r="M75" s="47" t="n">
        <x:f>MAX(0,L75-L74+L74/gw_term)</x:f>
        <x:v>257292.39500714384</x:v>
      </x:c>
      <x:c r="N75" s="63" t="n">
        <x:f>L75/B75</x:f>
        <x:v>0.09722879466208885</x:v>
      </x:c>
      <x:c r="O75" s="53" t="n">
        <x:f>Economy!L75</x:f>
        <x:v>794.1083588052269</x:v>
      </x:c>
      <x:c r="P75" s="53" t="n">
        <x:f>O75*gw_wage_share</x:f>
        <x:v>516.1704332233975</x:v>
      </x:c>
      <x:c r="Q75" s="53" t="n">
        <x:f>P75*gw_levy</x:f>
        <x:v>129.04260830584937</x:v>
      </x:c>
      <x:c r="R75" s="53" t="n">
        <x:f>P75*gw_remit</x:f>
        <x:v>129.04260830584937</x:v>
      </x:c>
      <x:c r="S75" s="63" t="n">
        <x:f>IF(union_resp&gt;=1,MIN(1,MAX(0,($A75-resp_start)/(resp_full-resp_start))),0)</x:f>
        <x:v>1</x:v>
      </x:c>
      <x:c r="T75" s="67" t="n">
        <x:f>Economy!R74</x:f>
        <x:v>2.2613819372095665</x:v>
      </x:c>
      <x:c r="U75" s="67" t="n">
        <x:f>MAX(0,T75-gap_base)</x:f>
        <x:v>0.7613819372095665</x:v>
      </x:c>
      <x:c r="V75" s="68" t="n">
        <x:v>77.79000000000001</x:v>
      </x:c>
      <x:c r="W75" s="47" t="n">
        <x:f>V75*1000000*lf_rate*union_skill_share</x:f>
        <x:v>3920616</x:v>
      </x:c>
      <x:c r="X75" s="45" t="n">
        <x:v>55000</x:v>
      </x:c>
      <x:c r="Y75" s="47" t="n">
        <x:f>IF(AND(mig_endo=1,$A75&gt;=talent_start),talent_rate_u*W75*U75*(1-(1-bd_keep)*S75),0)</x:f>
        <x:v>9940.337063098956</x:v>
      </x:c>
      <x:c r="Z75" s="47" t="n">
        <x:f>IF(AND(mig_endo=1,$A75&gt;=talent_start),X75*MIN(0.5,talent_share_o*U75)*(1-eu_comp*S75),0)</x:f>
        <x:v>7914.565237293443</x:v>
      </x:c>
      <x:c r="AA75" s="45" t="n">
        <x:v>59000</x:v>
      </x:c>
      <x:c r="AB75" s="47" t="n">
        <x:f>IF(AND(mig_endo=1,$A75&gt;=talent_start),AA75*MIN(0.5,talent_share_a*U75),0)</x:f>
        <x:v>8984.306859072885</x:v>
      </x:c>
      <x:c r="AC75" s="47" t="n">
        <x:f>entry_cap*People!B75</x:f>
        <x:v>47217.892615758356</x:v>
      </x:c>
      <x:c r="AD75" s="47" t="n">
        <x:f>MIN(AC75,Y75+Z75+AB75)</x:f>
        <x:v>26839.20915946528</x:v>
      </x:c>
      <x:c r="AE75" s="47" t="n">
        <x:f>IF(Y75+Z75+AB75&gt;0,AD75*Y75/(Y75+Z75+AB75),0)</x:f>
        <x:v>9940.337063098956</x:v>
      </x:c>
      <x:c r="AF75" s="47" t="n">
        <x:f>IF(Y75+Z75+AB75&gt;0,AD75*AB75/(Y75+Z75+AB75),0)</x:f>
        <x:v>8984.306859072885</x:v>
      </x:c>
      <x:c r="AG75" s="47" t="n">
        <x:f>AD75*family_mult</x:f>
        <x:v>59046.260150823626</x:v>
      </x:c>
      <x:c r="AH75" s="47" t="n">
        <x:f>AH74*(1+Paths!C75)+AG75</x:f>
        <x:v>1725504.9840417472</x:v>
      </x:c>
      <x:c r="AI75" s="47" t="n">
        <x:f>IF(AND(mig_endo=1,$A75&gt;=talent_start),chain_rate*AH74,0)</x:f>
        <x:v>24579.037225529843</x:v>
      </x:c>
      <x:c r="AJ75" s="47" t="n">
        <x:f>IF(AND(mig_endo=1,$A75&gt;=talent_start),IF(H74&gt;0,H74*job_fill,H74*job_return)*job_family,0)</x:f>
        <x:v>55210.76229291353</x:v>
      </x:c>
      <x:c r="AK75" s="47" t="n">
        <x:f>K75*gw_conv_family</x:f>
        <x:v>32106.503227408102</x:v>
      </x:c>
      <x:c r="AL75" s="47" t="n">
        <x:f>AG75+AI75+AJ75+AK75+AR75</x:f>
        <x:v>214912.36977052758</x:v>
      </x:c>
      <x:c r="AM75" s="47" t="n">
        <x:f>AM74*(1-skill_ret)+AD75</x:f>
        <x:v>480621.7640038336</x:v>
      </x:c>
      <x:c r="AN75" s="64" t="n">
        <x:f>AM75/B75</x:f>
        <x:v>0.07148920381847836</x:v>
      </x:c>
      <x:c r="AO75" s="64" t="n">
        <x:f>(skill_rel-1+skill_spill)*AM74/B74-AT75</x:f>
        <x:v>0.07209418565802264</x:v>
      </x:c>
      <x:c r="AP75" s="64" t="n">
        <x:f>talent_champ*AM74/(skill_base_share*B74)</x:f>
        <x:v>0.14336617333633392</x:v>
      </x:c>
      <x:c r="AQ75" s="45" t="n">
        <x:v>330000</x:v>
      </x:c>
      <x:c r="AR75" s="47" t="n">
        <x:f>IF(AND(div_on=1,$A75&gt;=div_start),AQ75*MIN(div_max,div_rate*U75)*(1-div_comp*S75),0)</x:f>
        <x:v>43969.80687385246</x:v>
      </x:c>
      <x:c r="AS75" s="47" t="n">
        <x:f>AS74*(1-div_assim)+AR75</x:f>
        <x:v>1283097.8014826756</x:v>
      </x:c>
      <x:c r="AT75" s="64" t="n">
        <x:f>(1-div_rel)*AS74/Economy!B74</x:f>
        <x:v>0.021093827010594424</x:v>
      </x:c>
      <x:c r="AU75" s="47" t="n">
        <x:f>AU74*(1-skill_ret)+AE75</x:f>
        <x:v>187965.60701378956</x:v>
      </x:c>
      <x:c r="AV75" s="47" t="n">
        <x:f>AV74*(1+union_nat)+AR75</x:f>
        <x:v>2295186.666975797</x:v>
      </x:c>
      <x:c r="AW75" s="47" t="n">
        <x:f>AW74*(1+union_nat)+AE75*family_mult</x:f>
        <x:v>668773.3095756257</x:v>
      </x:c>
      <x:c r="AX75" s="67" t="n">
        <x:f>V75-(AV75+AW75)/1000000</x:f>
        <x:v>74.82604002344858</x:v>
      </x:c>
      <x:c r="AY75" s="47" t="n">
        <x:f>L75*gw_union</x:f>
        <x:v>130733.79561231297</x:v>
      </x:c>
      <x:c r="AZ75" s="46" t="n">
        <x:v>1.053</x:v>
      </x:c>
      <x:c r="BA75" s="47" t="n">
        <x:f>Economy!Q75*AZ75/lf_rate</x:f>
        <x:v>1078.0714285714284</x:v>
      </x:c>
      <x:c r="BB75" s="64" t="n">
        <x:f>bd_growth*AU74/W74</x:f>
        <x:v>0.0014125881984589626</x:v>
      </x:c>
      <x:c r="BC75" s="64" t="n">
        <x:f>tg_k*MIN(1,Economy!O74/BK74)</x:f>
        <x:v>0.0014891675502547814</x:v>
      </x:c>
      <x:c r="BD75" s="64" t="n">
        <x:f>emu_g*S75</x:f>
        <x:v>0.0015</x:v>
      </x:c>
      <x:c r="BE75" s="65" t="n">
        <x:f>BE74*(1-BB75-BC75+BD75)</x:f>
        <x:v>0.9564834808701215</x:v>
      </x:c>
      <x:c r="BF75" s="46" t="n">
        <x:v>1</x:v>
      </x:c>
      <x:c r="BG75" s="53" t="n">
        <x:f>AU75*BA75*BE75*(skill_rel-1+skill_spill)/1000000</x:f>
        <x:v>251.9687921240007</x:v>
      </x:c>
      <x:c r="BH75" s="53" t="n">
        <x:f>union_disp*(Champions!AP75+Champions!AZ75)*(1-IF(union_resp=2,mkt_cut*S75,0))</x:f>
        <x:v>298.8598987093293</x:v>
      </x:c>
      <x:c r="BI75" s="53" t="n">
        <x:f>AY75*BA75*BE75/1000000</x:f>
        <x:v>134.80713549983014</x:v>
      </x:c>
      <x:c r="BJ75" s="47" t="n">
        <x:f>V75*Economy!Q75*AZ75</x:f>
        <x:v>35222.534100000004</x:v>
      </x:c>
      <x:c r="BK75" s="47" t="n">
        <x:f>MAX(0.3*BJ75,AX75*Economy!Q75*AZ75*BE75*BF75-BG75-BH75-BI75)</x:f>
        <x:v>31720.486163984227</x:v>
      </x:c>
      <x:c r="BL75" s="63" t="n">
        <x:f>1-BK75/BJ75</x:f>
        <x:v>0.09942634808935502</x:v>
      </x:c>
      <x:c r="BM75" s="47" t="n">
        <x:f>MAX(0,BH75-BH74)*1000000/BA75</x:f>
        <x:v>46057.0044376476</x:v>
      </x:c>
      <x:c r="BN75" s="47" t="n">
        <x:f>BN74*(1-IF(AND($A75&gt;=1930,$A75&lt;=1932),0,union_reabsorb))+BM75</x:f>
        <x:v>109970.85920304366</x:v>
      </x:c>
      <x:c r="BO75" s="59" t="n">
        <x:v>0.08500000000000001</x:v>
      </x:c>
      <x:c r="BP75" s="63" t="n">
        <x:f>BO75+BN75/(AX75*1000000*lf_rate)</x:f>
        <x:v>0.08849925479115044</x:v>
      </x:c>
    </x:row>
    <x:row r="76">
      <x:c r="A76" s="61" t="n">
        <x:v>1916</x:v>
      </x:c>
      <x:c r="B76" s="47" t="n">
        <x:f>Economy!B76*lf_rate</x:f>
        <x:v>6942610.018294397</x:v>
      </x:c>
      <x:c r="C76" s="47" t="n">
        <x:f>Economy!O76*1000000/(B76+L76)</x:f>
        <x:v>2393.3927977956014</x:v>
      </x:c>
      <x:c r="D76" s="47" t="n">
        <x:f>Champions!AP76*1000000/(C76*champ_prem)</x:f>
        <x:v>317947.0934115738</x:v>
      </x:c>
      <x:c r="E76" s="47" t="n">
        <x:f>D76*job_mult</x:f>
        <x:v>222562.96538810164</x:v>
      </x:c>
      <x:c r="F76" s="47" t="n">
        <x:f>D76+E76</x:f>
        <x:v>540510.0587996754</x:v>
      </x:c>
      <x:c r="G76" s="63" t="n">
        <x:f>F76/B76</x:f>
        <x:v>0.07785401417844055</x:v>
      </x:c>
      <x:c r="H76" s="47" t="n">
        <x:f>F76-F75</x:f>
        <x:v>33144.2474505601</x:v>
      </x:c>
      <x:c r="I76" s="63" t="n">
        <x:f>MAX(0.005,pac_u_base*IF(Paths!AC76=1,pac_u_war,1)+(okun*(1-Economy!G76)*(B76+L76)-MAX(0,L75-L76))/B76)</x:f>
        <x:v>0.009</x:v>
      </x:c>
      <x:c r="J76" s="47" t="n">
        <x:f>IF(AND(gw_on=1,$A76&gt;=gw_start),MIN(gw_cap*B75,gw_cover*F75+gw_gen*B75),0)</x:f>
        <x:v>842259.3152951278</x:v>
      </x:c>
      <x:c r="K76" s="47" t="n">
        <x:f>L75*gw_conv</x:f>
        <x:v>19610.069341846945</x:v>
      </x:c>
      <x:c r="L76" s="47" t="n">
        <x:f>MAX(0,L75-K76+gw_adj*(J76-L75))*MAX(0,1-gw_slump*(1-Economy!G76))</x:f>
        <x:v>709495.043613143</x:v>
      </x:c>
      <x:c r="M76" s="47" t="n">
        <x:f>MAX(0,L76-L75+L75/gw_term)</x:f>
        <x:v>273715.72490543313</x:v>
      </x:c>
      <x:c r="N76" s="63" t="n">
        <x:f>L76/B76</x:f>
        <x:v>0.10219428165251401</x:v>
      </x:c>
      <x:c r="O76" s="53" t="n">
        <x:f>Economy!L76</x:f>
        <x:v>982.2993129445007</x:v>
      </x:c>
      <x:c r="P76" s="53" t="n">
        <x:f>O76*gw_wage_share</x:f>
        <x:v>638.4945534139255</x:v>
      </x:c>
      <x:c r="Q76" s="53" t="n">
        <x:f>P76*gw_levy</x:f>
        <x:v>159.62363835348137</x:v>
      </x:c>
      <x:c r="R76" s="53" t="n">
        <x:f>P76*gw_remit</x:f>
        <x:v>159.62363835348137</x:v>
      </x:c>
      <x:c r="S76" s="63" t="n">
        <x:f>IF(union_resp&gt;=1,MIN(1,MAX(0,($A76-resp_start)/(resp_full-resp_start))),0)</x:f>
        <x:v>1</x:v>
      </x:c>
      <x:c r="T76" s="67" t="n">
        <x:f>Economy!R75</x:f>
        <x:v>2.1551804031161916</x:v>
      </x:c>
      <x:c r="U76" s="67" t="n">
        <x:f>MAX(0,T76-gap_base)</x:f>
        <x:v>0.6551804031161916</x:v>
      </x:c>
      <x:c r="V76" s="68" t="n">
        <x:v>78.63</x:v>
      </x:c>
      <x:c r="W76" s="47" t="n">
        <x:f>V76*1000000*lf_rate*union_skill_share</x:f>
        <x:v>3962952</x:v>
      </x:c>
      <x:c r="X76" s="45" t="n">
        <x:v>50000</x:v>
      </x:c>
      <x:c r="Y76" s="47" t="n">
        <x:f>IF(AND(mig_endo=1,$A76&gt;=talent_start),talent_rate_u*W76*U76*(1-(1-bd_keep)*S76),0)</x:f>
        <x:v>8646.173468004092</x:v>
      </x:c>
      <x:c r="Z76" s="47" t="n">
        <x:f>IF(AND(mig_endo=1,$A76&gt;=talent_start),X76*MIN(0.5,talent_share_o*U76)*(1-eu_comp*S76),0)</x:f>
        <x:v>6191.4548094480115</x:v>
      </x:c>
      <x:c r="AA76" s="45" t="n">
        <x:v>63000</x:v>
      </x:c>
      <x:c r="AB76" s="47" t="n">
        <x:f>IF(AND(mig_endo=1,$A76&gt;=talent_start),AA76*MIN(0.5,talent_share_a*U76),0)</x:f>
        <x:v>8255.273079264014</x:v>
      </x:c>
      <x:c r="AC76" s="47" t="n">
        <x:f>entry_cap*People!B76</x:f>
        <x:v>48824.93389953783</x:v>
      </x:c>
      <x:c r="AD76" s="47" t="n">
        <x:f>MIN(AC76,Y76+Z76+AB76)</x:f>
        <x:v>23092.901356716116</x:v>
      </x:c>
      <x:c r="AE76" s="47" t="n">
        <x:f>IF(Y76+Z76+AB76&gt;0,AD76*Y76/(Y76+Z76+AB76),0)</x:f>
        <x:v>8646.173468004092</x:v>
      </x:c>
      <x:c r="AF76" s="47" t="n">
        <x:f>IF(Y76+Z76+AB76&gt;0,AD76*AB76/(Y76+Z76+AB76),0)</x:f>
        <x:v>8255.273079264014</x:v>
      </x:c>
      <x:c r="AG76" s="47" t="n">
        <x:f>AD76*family_mult</x:f>
        <x:v>50804.38298477546</x:v>
      </x:c>
      <x:c r="AH76" s="47" t="n">
        <x:f>AH75*(1+Paths!C76)+AG76</x:f>
        <x:v>1805642.951755232</x:v>
      </x:c>
      <x:c r="AI76" s="47" t="n">
        <x:f>IF(AND(mig_endo=1,$A76&gt;=talent_start),chain_rate*AH75,0)</x:f>
        <x:v>25882.574760626205</x:v>
      </x:c>
      <x:c r="AJ76" s="47" t="n">
        <x:f>IF(AND(mig_endo=1,$A76&gt;=talent_start),IF(H75&gt;0,H75*job_fill,H75*job_return)*job_family,0)</x:f>
        <x:v>38765.32651698869</x:v>
      </x:c>
      <x:c r="AK76" s="47" t="n">
        <x:f>K76*gw_conv_family</x:f>
        <x:v>35298.1248153245</x:v>
      </x:c>
      <x:c r="AL76" s="47" t="n">
        <x:f>AG76+AI76+AJ76+AK76+AR76</x:f>
        <x:v>180217.14770786557</x:v>
      </x:c>
      <x:c r="AM76" s="47" t="n">
        <x:f>AM75*(1-skill_ret)+AD76</x:f>
        <x:v>491699.12126045383</x:v>
      </x:c>
      <x:c r="AN76" s="64" t="n">
        <x:f>AM76/B76</x:f>
        <x:v>0.07082338197951243</x:v>
      </x:c>
      <x:c r="AO76" s="64" t="n">
        <x:f>(skill_rel-1+skill_spill)*AM75/B75-AT76</x:f>
        <x:v>0.07289650161151956</x:v>
      </x:c>
      <x:c r="AP76" s="64" t="n">
        <x:f>talent_champ*AM75/(skill_base_share*B75)</x:f>
        <x:v>0.14297840763695668</x:v>
      </x:c>
      <x:c r="AQ76" s="45" t="n">
        <x:v>257000</x:v>
      </x:c>
      <x:c r="AR76" s="47" t="n">
        <x:f>IF(AND(div_on=1,$A76&gt;=div_start),AQ76*MIN(div_max,div_rate*U76)*(1-div_comp*S76),0)</x:f>
        <x:v>29466.738630150718</x:v>
      </x:c>
      <x:c r="AS76" s="47" t="n">
        <x:f>AS75*(1-div_assim)+AR76</x:f>
        <x:v>1248409.6500386924</x:v>
      </x:c>
      <x:c r="AT76" s="64" t="n">
        <x:f>(1-div_rel)*AS75/Economy!B75</x:f>
        <x:v>0.02003946335250229</x:v>
      </x:c>
      <x:c r="AU76" s="47" t="n">
        <x:f>AU75*(1-skill_ret)+AE76</x:f>
        <x:v>191912.6403064489</x:v>
      </x:c>
      <x:c r="AV76" s="47" t="n">
        <x:f>AV75*(1+union_nat)+AR76</x:f>
        <x:v>2354490.832276633</x:v>
      </x:c>
      <x:c r="AW76" s="47" t="n">
        <x:f>AW75*(1+union_nat)+AE76*family_mult</x:f>
        <x:v>696488.9442297177</x:v>
      </x:c>
      <x:c r="AX76" s="67" t="n">
        <x:f>V76-(AV76+AW76)/1000000</x:f>
        <x:v>75.57902022349364</x:v>
      </x:c>
      <x:c r="AY76" s="47" t="n">
        <x:f>L76*gw_union</x:f>
        <x:v>141899.0087226286</x:v>
      </x:c>
      <x:c r="AZ76" s="46" t="n">
        <x:v>1.054</x:v>
      </x:c>
      <x:c r="BA76" s="47" t="n">
        <x:f>Economy!Q76*AZ76/lf_rate</x:f>
        <x:v>1204.5714285714287</x:v>
      </x:c>
      <x:c r="BB76" s="64" t="n">
        <x:f>bd_growth*AU75/W75</x:f>
        <x:v>0.0014382862821591522</x:v>
      </x:c>
      <x:c r="BC76" s="64" t="n">
        <x:f>tg_k*MIN(1,Economy!O75/BK75)</x:f>
        <x:v>0.0014602577884391902</x:v>
      </x:c>
      <x:c r="BD76" s="64" t="n">
        <x:f>emu_g*S76</x:f>
        <x:v>0.0015</x:v>
      </x:c>
      <x:c r="BE76" s="65" t="n">
        <x:f>BE75*(1-BB76-BC76+BD76)</x:f>
        <x:v>0.9551457965693253</x:v>
      </x:c>
      <x:c r="BF76" s="46" t="n">
        <x:v>1</x:v>
      </x:c>
      <x:c r="BG76" s="53" t="n">
        <x:f>AU76*BA76*BE76*(skill_rel-1+skill_spill)/1000000</x:f>
        <x:v>287.044453412044</x:v>
      </x:c>
      <x:c r="BH76" s="53" t="n">
        <x:f>union_disp*(Champions!AP76+Champions!AZ76)*(1-IF(union_resp=2,mkt_cut*S76,0))</x:f>
        <x:v>357.3958624151189</x:v>
      </x:c>
      <x:c r="BI76" s="53" t="n">
        <x:f>AY76*BA76*BE76/1000000</x:f>
        <x:v>163.2606751675274</x:v>
      </x:c>
      <x:c r="BJ76" s="47" t="n">
        <x:f>V76*Economy!Q76*AZ76</x:f>
        <x:v>39780.48959999999</x:v>
      </x:c>
      <x:c r="BK76" s="47" t="n">
        <x:f>MAX(0.3*BJ76,AX76*Economy!Q76*AZ76*BE76*BF76-BG76-BH76-BI76)</x:f>
        <x:v>35714.149528828064</x:v>
      </x:c>
      <x:c r="BL76" s="63" t="n">
        <x:f>1-BK76/BJ76</x:f>
        <x:v>0.10221945763010243</x:v>
      </x:c>
      <x:c r="BM76" s="47" t="n">
        <x:f>MAX(0,BH76-BH75)*1000000/BA76</x:f>
        <x:v>48594.8465299487</x:v>
      </x:c>
      <x:c r="BN76" s="47" t="n">
        <x:f>BN75*(1-IF(AND($A76&gt;=1930,$A76&lt;=1932),0,union_reabsorb))+BM76</x:f>
        <x:v>131072.99093223145</x:v>
      </x:c>
      <x:c r="BO76" s="59" t="n">
        <x:v>0.051</x:v>
      </x:c>
      <x:c r="BP76" s="63" t="n">
        <x:f>BO76+BN76/(AX76*1000000*lf_rate)</x:f>
        <x:v>0.055129169032832166</x:v>
      </x:c>
    </x:row>
    <x:row r="77">
      <x:c r="A77" s="61" t="n">
        <x:v>1917</x:v>
      </x:c>
      <x:c r="B77" s="47" t="n">
        <x:f>Economy!B77*lf_rate</x:f>
        <x:v>7148302.446909566</x:v>
      </x:c>
      <x:c r="C77" s="47" t="n">
        <x:f>Economy!O77*1000000/(B77+L77)</x:f>
        <x:v>2913.965518514846</x:v>
      </x:c>
      <x:c r="D77" s="47" t="n">
        <x:f>Champions!AP77*1000000/(C77*champ_prem)</x:f>
        <x:v>301380.1403363291</x:v>
      </x:c>
      <x:c r="E77" s="47" t="n">
        <x:f>D77*job_mult</x:f>
        <x:v>210966.09823543037</x:v>
      </x:c>
      <x:c r="F77" s="47" t="n">
        <x:f>D77+E77</x:f>
        <x:v>512346.2385717595</x:v>
      </x:c>
      <x:c r="G77" s="63" t="n">
        <x:f>F77/B77</x:f>
        <x:v>0.07167383338589188</x:v>
      </x:c>
      <x:c r="H77" s="47" t="n">
        <x:f>F77-F76</x:f>
        <x:v>-28163.820227915945</x:v>
      </x:c>
      <x:c r="I77" s="63" t="n">
        <x:f>MAX(0.005,pac_u_base*IF(Paths!AC77=1,pac_u_war,1)+(okun*(1-Economy!G77)*(B77+L77)-MAX(0,L76-L77))/B77)</x:f>
        <x:v>0.009</x:v>
      </x:c>
      <x:c r="J77" s="47" t="n">
        <x:f>IF(AND(gw_on=1,$A77&gt;=gw_start),MIN(gw_cap*B76,gw_cover*F76+gw_gen*B76),0)</x:f>
        <x:v>879714.8367433569</x:v>
      </x:c>
      <x:c r="K77" s="47" t="n">
        <x:f>L76*gw_conv</x:f>
        <x:v>21284.85130839429</x:v>
      </x:c>
      <x:c r="L77" s="47" t="n">
        <x:f>MAX(0,L76-K77+gw_adj*(J77-L76))*MAX(0,1-gw_slump*(1-Economy!G77))</x:f>
        <x:v>756298.1095568342</x:v>
      </x:c>
      <x:c r="M77" s="47" t="n">
        <x:f>MAX(0,L77-L76+L76/gw_term)</x:f>
        <x:v>283301.41381473886</x:v>
      </x:c>
      <x:c r="N77" s="63" t="n">
        <x:f>L77/B77</x:f>
        <x:v>0.1058010786720147</x:v>
      </x:c>
      <x:c r="O77" s="53" t="n">
        <x:f>Economy!L77</x:f>
        <x:v>1286.4074977380874</x:v>
      </x:c>
      <x:c r="P77" s="53" t="n">
        <x:f>O77*gw_wage_share</x:f>
        <x:v>836.1648735297568</x:v>
      </x:c>
      <x:c r="Q77" s="53" t="n">
        <x:f>P77*gw_levy</x:f>
        <x:v>209.0412183824392</x:v>
      </x:c>
      <x:c r="R77" s="53" t="n">
        <x:f>P77*gw_remit</x:f>
        <x:v>209.0412183824392</x:v>
      </x:c>
      <x:c r="S77" s="63" t="n">
        <x:f>IF(union_resp&gt;=1,MIN(1,MAX(0,($A77-resp_start)/(resp_full-resp_start))),0)</x:f>
        <x:v>1</x:v>
      </x:c>
      <x:c r="T77" s="67" t="n">
        <x:f>Economy!R76</x:f>
        <x:v>2.213240072235017</x:v>
      </x:c>
      <x:c r="U77" s="67" t="n">
        <x:f>MAX(0,T77-gap_base)</x:f>
        <x:v>0.713240072235017</x:v>
      </x:c>
      <x:c r="V77" s="68" t="n">
        <x:v>79.47</x:v>
      </x:c>
      <x:c r="W77" s="47" t="n">
        <x:f>V77*1000000*lf_rate*union_skill_share</x:f>
        <x:v>4005288</x:v>
      </x:c>
      <x:c r="X77" s="45" t="n">
        <x:v>45000</x:v>
      </x:c>
      <x:c r="Y77" s="47" t="n">
        <x:f>IF(AND(mig_endo=1,$A77&gt;=talent_start),talent_rate_u*W77*U77*(1-(1-bd_keep)*S77),0)</x:f>
        <x:v>9512.917235132014</x:v>
      </x:c>
      <x:c r="Z77" s="47" t="n">
        <x:f>IF(AND(mig_endo=1,$A77&gt;=talent_start),X77*MIN(0.5,talent_share_o*U77)*(1-eu_comp*S77),0)</x:f>
        <x:v>6066.106814358819</x:v>
      </x:c>
      <x:c r="AA77" s="45" t="n">
        <x:v>67000</x:v>
      </x:c>
      <x:c r="AB77" s="47" t="n">
        <x:f>IF(AND(mig_endo=1,$A77&gt;=talent_start),AA77*MIN(0.5,talent_share_a*U77),0)</x:f>
        <x:v>9557.416967949228</x:v>
      </x:c>
      <x:c r="AC77" s="47" t="n">
        <x:f>entry_cap*People!B77</x:f>
        <x:v>50355.20921895357</x:v>
      </x:c>
      <x:c r="AD77" s="47" t="n">
        <x:f>MIN(AC77,Y77+Z77+AB77)</x:f>
        <x:v>25136.441017440062</x:v>
      </x:c>
      <x:c r="AE77" s="47" t="n">
        <x:f>IF(Y77+Z77+AB77&gt;0,AD77*Y77/(Y77+Z77+AB77),0)</x:f>
        <x:v>9512.917235132014</x:v>
      </x:c>
      <x:c r="AF77" s="47" t="n">
        <x:f>IF(Y77+Z77+AB77&gt;0,AD77*AB77/(Y77+Z77+AB77),0)</x:f>
        <x:v>9557.416967949228</x:v>
      </x:c>
      <x:c r="AG77" s="47" t="n">
        <x:f>AD77*family_mult</x:f>
        <x:v>55300.17023836814</x:v>
      </x:c>
      <x:c r="AH77" s="47" t="n">
        <x:f>AH76*(1+Paths!C77)+AG77</x:f>
        <x:v>1888027.7662699285</x:v>
      </x:c>
      <x:c r="AI77" s="47" t="n">
        <x:f>IF(AND(mig_endo=1,$A77&gt;=talent_start),chain_rate*AH76,0)</x:f>
        <x:v>27084.64427632848</x:v>
      </x:c>
      <x:c r="AJ77" s="47" t="n">
        <x:f>IF(AND(mig_endo=1,$A77&gt;=talent_start),IF(H76&gt;0,H76*job_fill,H76*job_return)*job_family,0)</x:f>
        <x:v>20880.87589385286</x:v>
      </x:c>
      <x:c r="AK77" s="47" t="n">
        <x:f>K77*gw_conv_family</x:f>
        <x:v>38312.73235510972</x:v>
      </x:c>
      <x:c r="AL77" s="47" t="n">
        <x:f>AG77+AI77+AJ77+AK77+AR77</x:f>
        <x:v>164419.9360769856</x:v>
      </x:c>
      <x:c r="AM77" s="47" t="n">
        <x:f>AM76*(1-skill_ret)+AD77</x:f>
        <x:v>504543.0842463825</x:v>
      </x:c>
      <x:c r="AN77" s="64" t="n">
        <x:f>AM77/B77</x:f>
        <x:v>0.07058222396067086</x:v>
      </x:c>
      <x:c r="AO77" s="64" t="n">
        <x:f>(skill_rel-1+skill_spill)*AM76/B76-AT77</x:f>
        <x:v>0.07318945512502796</x:v>
      </x:c>
      <x:c r="AP77" s="64" t="n">
        <x:f>talent_champ*AM76/(skill_base_share*B76)</x:f>
        <x:v>0.14164676395902487</x:v>
      </x:c>
      <x:c r="AQ77" s="45" t="n">
        <x:v>183000</x:v>
      </x:c>
      <x:c r="AR77" s="47" t="n">
        <x:f>IF(AND(div_on=1,$A77&gt;=div_start),AQ77*MIN(div_max,div_rate*U77)*(1-div_comp*S77),0)</x:f>
        <x:v>22841.513313326417</x:v>
      </x:c>
      <x:c r="AS77" s="47" t="n">
        <x:f>AS76*(1-div_assim)+AR77</x:f>
        <x:v>1208830.6808500842</x:v>
      </x:c>
      <x:c r="AT77" s="64" t="n">
        <x:f>(1-div_rel)*AS76/Economy!B76</x:f>
        <x:v>0.018880941448338198</x:v>
      </x:c>
      <x:c r="AU77" s="47" t="n">
        <x:f>AU76*(1-skill_ret)+AE77</x:f>
        <x:v>196627.7415339197</x:v>
      </x:c>
      <x:c r="AV77" s="47" t="n">
        <x:f>AV76*(1+union_nat)+AR77</x:f>
        <x:v>2407940.7264095554</x:v>
      </x:c>
      <x:c r="AW77" s="47" t="n">
        <x:f>AW76*(1+union_nat)+AE77*family_mult</x:f>
        <x:v>726471.7184219945</x:v>
      </x:c>
      <x:c r="AX77" s="67" t="n">
        <x:f>V77-(AV77+AW77)/1000000</x:f>
        <x:v>76.33558755516844</x:v>
      </x:c>
      <x:c r="AY77" s="47" t="n">
        <x:f>L77*gw_union</x:f>
        <x:v>151259.62191136685</x:v>
      </x:c>
      <x:c r="AZ77" s="46" t="n">
        <x:v>1.055</x:v>
      </x:c>
      <x:c r="BA77" s="47" t="n">
        <x:f>Economy!Q77*AZ77/lf_rate</x:f>
        <x:v>1456.904761904762</x:v>
      </x:c>
      <x:c r="BB77" s="64" t="n">
        <x:f>bd_growth*AU76/W76</x:f>
        <x:v>0.001452800641843118</x:v>
      </x:c>
      <x:c r="BC77" s="64" t="n">
        <x:f>tg_k*MIN(1,Economy!O76/BK76)</x:f>
        <x:v>0.001538423290328797</x:v>
      </x:c>
      <x:c r="BD77" s="64" t="n">
        <x:f>emu_g*S77</x:f>
        <x:v>0.0015</x:v>
      </x:c>
      <x:c r="BE77" s="65" t="n">
        <x:f>BE76*(1-BB77-BC77+BD77)</x:f>
        <x:v>0.9537214602987676</x:v>
      </x:c>
      <x:c r="BF77" s="46" t="n">
        <x:v>1</x:v>
      </x:c>
      <x:c r="BG77" s="53" t="n">
        <x:f>AU77*BA77*BE77*(skill_rel-1+skill_spill)/1000000</x:f>
        <x:v>355.1737503674279</x:v>
      </x:c>
      <x:c r="BH77" s="53" t="n">
        <x:f>union_disp*(Champions!AP77+Champions!AZ77)*(1-IF(union_resp=2,mkt_cut*S77,0))</x:f>
        <x:v>409.0323265578969</x:v>
      </x:c>
      <x:c r="BI77" s="53" t="n">
        <x:f>AY77*BA77*BE77/1000000</x:f>
        <x:v>210.1724216935766</x:v>
      </x:c>
      <x:c r="BJ77" s="47" t="n">
        <x:f>V77*Economy!Q77*AZ77</x:f>
        <x:v>48627.69299999999</x:v>
      </x:c>
      <x:c r="BK77" s="47" t="n">
        <x:f>MAX(0.3*BJ77,AX77*Economy!Q77*AZ77*BE77*BF77-BG77-BH77-BI77)</x:f>
        <x:v>43573.70869053587</x:v>
      </x:c>
      <x:c r="BL77" s="63" t="n">
        <x:f>1-BK77/BJ77</x:f>
        <x:v>0.10393222457549289</x:v>
      </x:c>
      <x:c r="BM77" s="47" t="n">
        <x:f>MAX(0,BH77-BH76)*1000000/BA77</x:f>
        <x:v>35442.5803888981</x:v>
      </x:c>
      <x:c r="BN77" s="47" t="n">
        <x:f>BN76*(1-IF(AND($A77&gt;=1930,$A77&lt;=1932),0,union_reabsorb))+BM77</x:f>
        <x:v>133747.32358807168</x:v>
      </x:c>
      <x:c r="BO77" s="59" t="n">
        <x:v>0.033</x:v>
      </x:c>
      <x:c r="BP77" s="63" t="n">
        <x:f>BO77+BN77/(AX77*1000000*lf_rate)</x:f>
        <x:v>0.037171658576845096</x:v>
      </x:c>
    </x:row>
    <x:row r="78">
      <x:c r="A78" s="61" t="n">
        <x:v>1918</x:v>
      </x:c>
      <x:c r="B78" s="47" t="n">
        <x:f>Economy!B78*lf_rate</x:f>
        <x:v>7302413.437095795</x:v>
      </x:c>
      <x:c r="C78" s="47" t="n">
        <x:f>Economy!O78*1000000/(B78+L78)</x:f>
        <x:v>3426.9360237554843</x:v>
      </x:c>
      <x:c r="D78" s="47" t="n">
        <x:f>Champions!AP78*1000000/(C78*champ_prem)</x:f>
        <x:v>290521.46901885956</x:v>
      </x:c>
      <x:c r="E78" s="47" t="n">
        <x:f>D78*job_mult</x:f>
        <x:v>203365.02831320168</x:v>
      </x:c>
      <x:c r="F78" s="47" t="n">
        <x:f>D78+E78</x:f>
        <x:v>493886.49733206123</x:v>
      </x:c>
      <x:c r="G78" s="63" t="n">
        <x:f>F78/B78</x:f>
        <x:v>0.06763332445998597</x:v>
      </x:c>
      <x:c r="H78" s="47" t="n">
        <x:f>F78-F77</x:f>
        <x:v>-18459.741239698255</x:v>
      </x:c>
      <x:c r="I78" s="63" t="n">
        <x:f>MAX(0.005,pac_u_base*IF(Paths!AC78=1,pac_u_war,1)+(okun*(1-Economy!G78)*(B78+L78)-MAX(0,L77-L78))/B78)</x:f>
        <x:v>0.009</x:v>
      </x:c>
      <x:c r="J78" s="47" t="n">
        <x:f>IF(AND(gw_on=1,$A78&gt;=gw_start),MIN(gw_cap*B77,gw_cover*F77+gw_gen*B77),0)</x:f>
        <x:v>879271.938895821</x:v>
      </x:c>
      <x:c r="K78" s="47" t="n">
        <x:f>L77*gw_conv</x:f>
        <x:v>22688.943286705027</x:v>
      </x:c>
      <x:c r="L78" s="47" t="n">
        <x:f>MAX(0,L77-K78+gw_adj*(J78-L77))*MAX(0,1-gw_slump*(1-Economy!G78))</x:f>
        <x:v>782798.6980057239</x:v>
      </x:c>
      <x:c r="M78" s="47" t="n">
        <x:f>MAX(0,L78-L77+L77/gw_term)</x:f>
        <x:v>278599.9583011677</x:v>
      </x:c>
      <x:c r="N78" s="63" t="n">
        <x:f>L78/B78</x:f>
        <x:v>0.10719725810499257</x:v>
      </x:c>
      <x:c r="O78" s="53" t="n">
        <x:f>Economy!L78</x:f>
        <x:v>1577.2803820184845</x:v>
      </x:c>
      <x:c r="P78" s="53" t="n">
        <x:f>O78*gw_wage_share</x:f>
        <x:v>1025.232248312015</x:v>
      </x:c>
      <x:c r="Q78" s="53" t="n">
        <x:f>P78*gw_levy</x:f>
        <x:v>256.30806207800373</x:v>
      </x:c>
      <x:c r="R78" s="53" t="n">
        <x:f>P78*gw_remit</x:f>
        <x:v>256.30806207800373</x:v>
      </x:c>
      <x:c r="S78" s="63" t="n">
        <x:f>IF(union_resp&gt;=1,MIN(1,MAX(0,($A78-resp_start)/(resp_full-resp_start))),0)</x:f>
        <x:v>1</x:v>
      </x:c>
      <x:c r="T78" s="67" t="n">
        <x:f>Economy!R77</x:f>
        <x:v>2.2340901472295327</x:v>
      </x:c>
      <x:c r="U78" s="67" t="n">
        <x:f>MAX(0,T78-gap_base)</x:f>
        <x:v>0.7340901472295327</x:v>
      </x:c>
      <x:c r="V78" s="68" t="n">
        <x:v>80.31</x:v>
      </x:c>
      <x:c r="W78" s="47" t="n">
        <x:f>V78*1000000*lf_rate*union_skill_share</x:f>
        <x:v>4047624</x:v>
      </x:c>
      <x:c r="X78" s="45" t="n">
        <x:v>40000</x:v>
      </x:c>
      <x:c r="Y78" s="47" t="n">
        <x:f>IF(AND(mig_endo=1,$A78&gt;=talent_start),talent_rate_u*W78*U78*(1-(1-bd_keep)*S78),0)</x:f>
        <x:v>9894.498590639</x:v>
      </x:c>
      <x:c r="Z78" s="47" t="n">
        <x:f>IF(AND(mig_endo=1,$A78&gt;=talent_start),X78*MIN(0.5,talent_share_o*U78)*(1-eu_comp*S78),0)</x:f>
        <x:v>5549.721513055268</x:v>
      </x:c>
      <x:c r="AA78" s="45" t="n">
        <x:v>71000</x:v>
      </x:c>
      <x:c r="AB78" s="47" t="n">
        <x:f>IF(AND(mig_endo=1,$A78&gt;=talent_start),AA78*MIN(0.5,talent_share_a*U78),0)</x:f>
        <x:v>10424.080090659365</x:v>
      </x:c>
      <x:c r="AC78" s="47" t="n">
        <x:f>entry_cap*People!B78</x:f>
        <x:v>51763.39716546882</x:v>
      </x:c>
      <x:c r="AD78" s="47" t="n">
        <x:f>MIN(AC78,Y78+Z78+AB78)</x:f>
        <x:v>25868.300194353633</x:v>
      </x:c>
      <x:c r="AE78" s="47" t="n">
        <x:f>IF(Y78+Z78+AB78&gt;0,AD78*Y78/(Y78+Z78+AB78),0)</x:f>
        <x:v>9894.498590639</x:v>
      </x:c>
      <x:c r="AF78" s="47" t="n">
        <x:f>IF(Y78+Z78+AB78&gt;0,AD78*AB78/(Y78+Z78+AB78),0)</x:f>
        <x:v>10424.080090659365</x:v>
      </x:c>
      <x:c r="AG78" s="47" t="n">
        <x:f>AD78*family_mult</x:f>
        <x:v>56910.260427577996</x:v>
      </x:c>
      <x:c r="AH78" s="47" t="n">
        <x:f>AH77*(1+Paths!C78)+AG78</x:f>
        <x:v>1954378.165528856</x:v>
      </x:c>
      <x:c r="AI78" s="47" t="n">
        <x:f>IF(AND(mig_endo=1,$A78&gt;=talent_start),chain_rate*AH77,0)</x:f>
        <x:v>28320.416494048928</x:v>
      </x:c>
      <x:c r="AJ78" s="47" t="n">
        <x:f>IF(AND(mig_endo=1,$A78&gt;=talent_start),IF(H77&gt;0,H77*job_fill,H77*job_return)*job_family,0)</x:f>
        <x:v>-15208.462923074609</x:v>
      </x:c>
      <x:c r="AK78" s="47" t="n">
        <x:f>K78*gw_conv_family</x:f>
        <x:v>40840.09791606905</x:v>
      </x:c>
      <x:c r="AL78" s="47" t="n">
        <x:f>AG78+AI78+AJ78+AK78+AR78</x:f>
        <x:v>124993.54724878988</x:v>
      </x:c>
      <x:c r="AM78" s="47" t="n">
        <x:f>AM77*(1-skill_ret)+AD78</x:f>
        <x:v>517797.80733457656</x:v>
      </x:c>
      <x:c r="AN78" s="64" t="n">
        <x:f>AM78/B78</x:f>
        <x:v>0.07090776382287488</x:v>
      </x:c>
      <x:c r="AO78" s="64" t="n">
        <x:f>(skill_rel-1+skill_spill)*AM77/B77-AT78</x:f>
        <x:v>0.07400061650437476</x:v>
      </x:c>
      <x:c r="AP78" s="64" t="n">
        <x:f>talent_champ*AM77/(skill_base_share*B77)</x:f>
        <x:v>0.14116444792134175</x:v>
      </x:c>
      <x:c r="AQ78" s="45" t="n">
        <x:v>110000</x:v>
      </x:c>
      <x:c r="AR78" s="47" t="n">
        <x:f>IF(AND(div_on=1,$A78&gt;=div_start),AQ78*MIN(div_max,div_rate*U78)*(1-div_comp*S78),0)</x:f>
        <x:v>14131.235334168505</x:v>
      </x:c>
      <x:c r="AS78" s="47" t="n">
        <x:f>AS77*(1-div_assim)+AR78</x:f>
        <x:v>1162520.3821417484</x:v>
      </x:c>
      <x:c r="AT78" s="64" t="n">
        <x:f>(1-div_rel)*AS77/Economy!B77</x:f>
        <x:v>0.017756274644497368</x:v>
      </x:c>
      <x:c r="AU78" s="47" t="n">
        <x:f>AU77*(1-skill_ret)+AE78</x:f>
        <x:v>201606.54658621072</x:v>
      </x:c>
      <x:c r="AV78" s="47" t="n">
        <x:f>AV77*(1+union_nat)+AR78</x:f>
        <x:v>2453375.191187048</x:v>
      </x:c>
      <x:c r="AW78" s="47" t="n">
        <x:f>AW77*(1+union_nat)+AE78*family_mult</x:f>
        <x:v>757683.747660886</x:v>
      </x:c>
      <x:c r="AX78" s="67" t="n">
        <x:f>V78-(AV78+AW78)/1000000</x:f>
        <x:v>77.09894106115206</x:v>
      </x:c>
      <x:c r="AY78" s="47" t="n">
        <x:f>L78*gw_union</x:f>
        <x:v>156559.73960114477</x:v>
      </x:c>
      <x:c r="AZ78" s="46" t="n">
        <x:v>1.056</x:v>
      </x:c>
      <x:c r="BA78" s="47" t="n">
        <x:f>Economy!Q78*AZ78/lf_rate</x:f>
        <x:v>1855.5428571428574</x:v>
      </x:c>
      <x:c r="BB78" s="64" t="n">
        <x:f>bd_growth*AU77/W77</x:f>
        <x:v>0.001472761071368049</x:v>
      </x:c>
      <x:c r="BC78" s="64" t="n">
        <x:f>tg_k*MIN(1,Economy!O77/BK77)</x:f>
        <x:v>0.0015858462007053748</x:v>
      </x:c>
      <x:c r="BD78" s="64" t="n">
        <x:f>emu_g*S78</x:f>
        <x:v>0.0015</x:v>
      </x:c>
      <x:c r="BE78" s="65" t="n">
        <x:f>BE77*(1-BB78-BC78+BD78)</x:f>
        <x:v>0.9522349830952134</x:v>
      </x:c>
      <x:c r="BF78" s="46" t="n">
        <x:v>1</x:v>
      </x:c>
      <x:c r="BG78" s="53" t="n">
        <x:f>AU78*BA78*BE78*(skill_rel-1+skill_spill)/1000000</x:f>
        <x:v>463.08754960235507</x:v>
      </x:c>
      <x:c r="BH78" s="53" t="n">
        <x:f>union_disp*(Champions!AP78+Champions!AZ78)*(1-IF(union_resp=2,mkt_cut*S78,0))</x:f>
        <x:v>463.0244474715881</x:v>
      </x:c>
      <x:c r="BI78" s="53" t="n">
        <x:f>AY78*BA78*BE78/1000000</x:f>
        <x:v>276.62741118560245</x:v>
      </x:c>
      <x:c r="BJ78" s="47" t="n">
        <x:f>V78*Economy!Q78*AZ78</x:f>
        <x:v>62587.83168</x:v>
      </x:c>
      <x:c r="BK78" s="47" t="n">
        <x:f>MAX(0.3*BJ78,AX78*Economy!Q78*AZ78*BE78*BF78-BG78-BH78-BI78)</x:f>
        <x:v>56012.6457258608</x:v>
      </x:c>
      <x:c r="BL78" s="63" t="n">
        <x:f>1-BK78/BJ78</x:f>
        <x:v>0.10505534027375985</x:v>
      </x:c>
      <x:c r="BM78" s="47" t="n">
        <x:f>MAX(0,BH78-BH77)*1000000/BA78</x:f>
        <x:v>29097.749322172804</x:v>
      </x:c>
      <x:c r="BN78" s="47" t="n">
        <x:f>BN77*(1-IF(AND($A78&gt;=1930,$A78&lt;=1932),0,union_reabsorb))+BM78</x:f>
        <x:v>129408.24201322657</x:v>
      </x:c>
      <x:c r="BO78" s="59" t="n">
        <x:v>0.014</x:v>
      </x:c>
      <x:c r="BP78" s="63" t="n">
        <x:f>BO78+BN78/(AX78*1000000*lf_rate)</x:f>
        <x:v>0.017996356599656385</x:v>
      </x:c>
    </x:row>
    <x:row r="79">
      <x:c r="A79" s="61" t="n">
        <x:v>1919</x:v>
      </x:c>
      <x:c r="B79" s="47" t="n">
        <x:f>Economy!B79*lf_rate</x:f>
        <x:v>7479701.990259138</x:v>
      </x:c>
      <x:c r="C79" s="47" t="n">
        <x:f>Economy!O79*1000000/(B79+L79)</x:f>
        <x:v>3799.6275461198506</x:v>
      </x:c>
      <x:c r="D79" s="47" t="n">
        <x:f>Champions!AP79*1000000/(C79*champ_prem)</x:f>
        <x:v>275864.1521595283</x:v>
      </x:c>
      <x:c r="E79" s="47" t="n">
        <x:f>D79*job_mult</x:f>
        <x:v>193104.90651166977</x:v>
      </x:c>
      <x:c r="F79" s="47" t="n">
        <x:f>D79+E79</x:f>
        <x:v>468969.0586711981</x:v>
      </x:c>
      <x:c r="G79" s="63" t="n">
        <x:f>F79/B79</x:f>
        <x:v>0.06269889619692595</x:v>
      </x:c>
      <x:c r="H79" s="47" t="n">
        <x:f>F79-F78</x:f>
        <x:v>-24917.438660863147</x:v>
      </x:c>
      <x:c r="I79" s="63" t="n">
        <x:f>MAX(0.005,pac_u_base*IF(Paths!AC79=1,pac_u_war,1)+(okun*(1-Economy!G79)*(B79+L79)-MAX(0,L78-L79))/B79)</x:f>
        <x:v>0.009</x:v>
      </x:c>
      <x:c r="J79" s="47" t="n">
        <x:f>IF(AND(gw_on=1,$A79&gt;=gw_start),MIN(gw_cap*B78,gw_cover*F78+gw_gen*B78),0)</x:f>
        <x:v>880524.9733669003</x:v>
      </x:c>
      <x:c r="K79" s="47" t="n">
        <x:f>L78*gw_conv</x:f>
        <x:v>23483.960940171717</x:v>
      </x:c>
      <x:c r="L79" s="47" t="n">
        <x:f>MAX(0,L78-K79+gw_adj*(J79-L78))*MAX(0,1-gw_slump*(1-Economy!G79))</x:f>
        <x:v>798405.2472100228</x:v>
      </x:c>
      <x:c r="M79" s="47" t="n">
        <x:f>MAX(0,L79-L78+L78/gw_term)</x:f>
        <x:v>276539.4485395402</x:v>
      </x:c>
      <x:c r="N79" s="63" t="n">
        <x:f>L79/B79</x:f>
        <x:v>0.10674292214446389</x:v>
      </x:c>
      <x:c r="O79" s="53" t="n">
        <x:f>Economy!L79</x:f>
        <x:v>1796.8881398809265</x:v>
      </x:c>
      <x:c r="P79" s="53" t="n">
        <x:f>O79*gw_wage_share</x:f>
        <x:v>1167.9772909226022</x:v>
      </x:c>
      <x:c r="Q79" s="53" t="n">
        <x:f>P79*gw_levy</x:f>
        <x:v>291.99432273065054</x:v>
      </x:c>
      <x:c r="R79" s="53" t="n">
        <x:f>P79*gw_remit</x:f>
        <x:v>291.99432273065054</x:v>
      </x:c>
      <x:c r="S79" s="63" t="n">
        <x:f>IF(union_resp&gt;=1,MIN(1,MAX(0,($A79-resp_start)/(resp_full-resp_start))),0)</x:f>
        <x:v>1</x:v>
      </x:c>
      <x:c r="T79" s="67" t="n">
        <x:f>Economy!R78</x:f>
        <x:v>2.06632267278682</x:v>
      </x:c>
      <x:c r="U79" s="67" t="n">
        <x:f>MAX(0,T79-gap_base)</x:f>
        <x:v>0.56632267278682</x:v>
      </x:c>
      <x:c r="V79" s="68" t="n">
        <x:v>81.16</x:v>
      </x:c>
      <x:c r="W79" s="47" t="n">
        <x:f>V79*1000000*lf_rate*union_skill_share</x:f>
        <x:v>4090464</x:v>
      </x:c>
      <x:c r="X79" s="45" t="n">
        <x:v>200000</x:v>
      </x:c>
      <x:c r="Y79" s="47" t="n">
        <x:f>IF(AND(mig_endo=1,$A79&gt;=talent_start),talent_rate_u*W79*U79*(1-(1-bd_keep)*S79),0)</x:f>
        <x:v>7714.019943042827</x:v>
      </x:c>
      <x:c r="Z79" s="47" t="n">
        <x:f>IF(AND(mig_endo=1,$A79&gt;=talent_start),X79*MIN(0.5,talent_share_o*U79)*(1-eu_comp*S79),0)</x:f>
        <x:v>21406.997031341798</x:v>
      </x:c>
      <x:c r="AA79" s="45" t="n">
        <x:v>76000</x:v>
      </x:c>
      <x:c r="AB79" s="47" t="n">
        <x:f>IF(AND(mig_endo=1,$A79&gt;=talent_start),AA79*MIN(0.5,talent_share_a*U79),0)</x:f>
        <x:v>8608.104626359665</x:v>
      </x:c>
      <x:c r="AC79" s="47" t="n">
        <x:f>entry_cap*People!B79</x:f>
        <x:v>52556.794793042536</x:v>
      </x:c>
      <x:c r="AD79" s="47" t="n">
        <x:f>MIN(AC79,Y79+Z79+AB79)</x:f>
        <x:v>37729.12160074429</x:v>
      </x:c>
      <x:c r="AE79" s="47" t="n">
        <x:f>IF(Y79+Z79+AB79&gt;0,AD79*Y79/(Y79+Z79+AB79),0)</x:f>
        <x:v>7714.019943042827</x:v>
      </x:c>
      <x:c r="AF79" s="47" t="n">
        <x:f>IF(Y79+Z79+AB79&gt;0,AD79*AB79/(Y79+Z79+AB79),0)</x:f>
        <x:v>8608.104626359665</x:v>
      </x:c>
      <x:c r="AG79" s="47" t="n">
        <x:f>AD79*family_mult</x:f>
        <x:v>83004.06752163745</x:v>
      </x:c>
      <x:c r="AH79" s="47" t="n">
        <x:f>AH78*(1+Paths!C79)+AG79</x:f>
        <x:v>2066697.9055334262</x:v>
      </x:c>
      <x:c r="AI79" s="47" t="n">
        <x:f>IF(AND(mig_endo=1,$A79&gt;=talent_start),chain_rate*AH78,0)</x:f>
        <x:v>29315.672482932838</x:v>
      </x:c>
      <x:c r="AJ79" s="47" t="n">
        <x:f>IF(AND(mig_endo=1,$A79&gt;=talent_start),IF(H78&gt;0,H78*job_fill,H78*job_return)*job_family,0)</x:f>
        <x:v>-9968.260269437058</x:v>
      </x:c>
      <x:c r="AK79" s="47" t="n">
        <x:f>K79*gw_conv_family</x:f>
        <x:v>42271.12969230909</x:v>
      </x:c>
      <x:c r="AL79" s="47" t="n">
        <x:f>AG79+AI79+AJ79+AK79+AR79</x:f>
        <x:v>171381.35571661955</x:v>
      </x:c>
      <x:c r="AM79" s="47" t="n">
        <x:f>AM78*(1-skill_ret)+AD79</x:f>
        <x:v>542581.9837519564</x:v>
      </x:c>
      <x:c r="AN79" s="64" t="n">
        <x:f>AM79/B79</x:f>
        <x:v>0.07254058844303747</x:v>
      </x:c>
      <x:c r="AO79" s="64" t="n">
        <x:f>(skill_rel-1+skill_spill)*AM78/B78-AT79</x:f>
        <x:v>0.07546443571801245</x:v>
      </x:c>
      <x:c r="AP79" s="64" t="n">
        <x:f>talent_champ*AM78/(skill_base_share*B78)</x:f>
        <x:v>0.14181552764574973</x:v>
      </x:c>
      <x:c r="AQ79" s="45" t="n">
        <x:v>270000</x:v>
      </x:c>
      <x:c r="AR79" s="47" t="n">
        <x:f>IF(AND(div_on=1,$A79&gt;=div_start),AQ79*MIN(div_max,div_rate*U79)*(1-div_comp*S79),0)</x:f>
        <x:v>26758.74628917725</x:v>
      </x:c>
      <x:c r="AS79" s="47" t="n">
        <x:f>AS78*(1-div_assim)+AR79</x:f>
        <x:v>1131153.1093238383</x:v>
      </x:c>
      <x:c r="AT79" s="64" t="n">
        <x:f>(1-div_rel)*AS78/Economy!B78</x:f>
        <x:v>0.01671565725172489</x:v>
      </x:c>
      <x:c r="AU79" s="47" t="n">
        <x:f>AU78*(1-skill_ret)+AE79</x:f>
        <x:v>204280.4028645983</x:v>
      </x:c>
      <x:c r="AV79" s="47" t="n">
        <x:f>AV78*(1+union_nat)+AR79</x:f>
        <x:v>2512027.8149616565</x:v>
      </x:c>
      <x:c r="AW79" s="47" t="n">
        <x:f>AW78*(1+union_nat)+AE79*family_mult</x:f>
        <x:v>784504.4802551717</x:v>
      </x:c>
      <x:c r="AX79" s="67" t="n">
        <x:f>V79-(AV79+AW79)/1000000</x:f>
        <x:v>77.86346770478316</x:v>
      </x:c>
      <x:c r="AY79" s="47" t="n">
        <x:f>L79*gw_union</x:f>
        <x:v>159681.04944200456</x:v>
      </x:c>
      <x:c r="AZ79" s="46" t="n">
        <x:v>1.057</x:v>
      </x:c>
      <x:c r="BA79" s="47" t="n">
        <x:f>Economy!Q79*AZ79/lf_rate</x:f>
        <x:v>2013.3333333333333</x:v>
      </x:c>
      <x:c r="BB79" s="64" t="n">
        <x:f>bd_growth*AU78/W78</x:f>
        <x:v>0.0014942584581933308</x:v>
      </x:c>
      <x:c r="BC79" s="64" t="n">
        <x:f>tg_k*MIN(1,Economy!O78/BK78)</x:f>
        <x:v>0.0014839954995747656</x:v>
      </x:c>
      <x:c r="BD79" s="64" t="n">
        <x:f>emu_g*S79</x:f>
        <x:v>0.0015</x:v>
      </x:c>
      <x:c r="BE79" s="65" t="n">
        <x:f>BE78*(1-BB79-BC79+BD79)</x:f>
        <x:v>0.9508273379627276</x:v>
      </x:c>
      <x:c r="BF79" s="46" t="n">
        <x:v>1</x:v>
      </x:c>
      <x:c r="BG79" s="53" t="n">
        <x:f>AU79*BA79*BE79*(skill_rel-1+skill_spill)/1000000</x:f>
        <x:v>508.37876508828293</x:v>
      </x:c>
      <x:c r="BH79" s="53" t="n">
        <x:f>union_disp*(Champions!AP79+Champions!AZ79)*(1-IF(union_resp=2,mkt_cut*S79,0))</x:f>
        <x:v>493.6748974012305</x:v>
      </x:c>
      <x:c r="BI79" s="53" t="n">
        <x:f>AY79*BA79*BE79/1000000</x:f>
        <x:v>305.6826024235922</x:v>
      </x:c>
      <x:c r="BJ79" s="47" t="n">
        <x:f>V79*Economy!Q79*AZ79</x:f>
        <x:v>68628.896</x:v>
      </x:c>
      <x:c r="BK79" s="47" t="n">
        <x:f>MAX(0.3*BJ79,AX79*Economy!Q79*AZ79*BE79*BF79-BG79-BH79-BI79)</x:f>
        <x:v>61296.017658651755</x:v>
      </x:c>
      <x:c r="BL79" s="63" t="n">
        <x:f>1-BK79/BJ79</x:f>
        <x:v>0.10684826317690199</x:v>
      </x:c>
      <x:c r="BM79" s="47" t="n">
        <x:f>MAX(0,BH79-BH78)*1000000/BA79</x:f>
        <x:v>15223.733408762799</x:v>
      </x:c>
      <x:c r="BN79" s="47" t="n">
        <x:f>BN78*(1-IF(AND($A79&gt;=1930,$A79&lt;=1932),0,union_reabsorb))+BM79</x:f>
        <x:v>112279.91491868273</x:v>
      </x:c>
      <x:c r="BO79" s="59" t="n">
        <x:v>0.014</x:v>
      </x:c>
      <x:c r="BP79" s="63" t="n">
        <x:f>BO79+BN79/(AX79*1000000*lf_rate)</x:f>
        <x:v>0.017433357627640648</x:v>
      </x:c>
    </x:row>
    <x:row r="80">
      <x:c r="A80" s="61" t="n">
        <x:v>1920</x:v>
      </x:c>
      <x:c r="B80" s="47" t="n">
        <x:f>Economy!B80*lf_rate</x:f>
        <x:v>7730063.930862893</x:v>
      </x:c>
      <x:c r="C80" s="47" t="n">
        <x:f>Economy!O80*1000000/(B80+L80)</x:f>
        <x:v>4322.440802133279</x:v>
      </x:c>
      <x:c r="D80" s="47" t="n">
        <x:f>Champions!AP80*1000000/(C80*champ_prem)</x:f>
        <x:v>255776.9064682313</x:v>
      </x:c>
      <x:c r="E80" s="47" t="n">
        <x:f>D80*job_mult</x:f>
        <x:v>179043.83452776188</x:v>
      </x:c>
      <x:c r="F80" s="47" t="n">
        <x:f>D80+E80</x:f>
        <x:v>434820.74099599314</x:v>
      </x:c>
      <x:c r="G80" s="63" t="n">
        <x:f>F80/B80</x:f>
        <x:v>0.05625060088571025</x:v>
      </x:c>
      <x:c r="H80" s="47" t="n">
        <x:f>F80-F79</x:f>
        <x:v>-34148.31767520495</x:v>
      </x:c>
      <x:c r="I80" s="63" t="n">
        <x:f>MAX(0.005,pac_u_base*IF(Paths!AC80=1,pac_u_war,1)+(okun*(1-Economy!G80)*(B80+L80)-MAX(0,L79-L80))/B80)</x:f>
        <x:v>0.009</x:v>
      </x:c>
      <x:c r="J80" s="47" t="n">
        <x:f>IF(AND(gw_on=1,$A80&gt;=gw_start),MIN(gw_cap*B79,gw_cover*F79+gw_gen*B79),0)</x:f>
        <x:v>879757.5944234498</x:v>
      </x:c>
      <x:c r="K80" s="47" t="n">
        <x:f>L79*gw_conv</x:f>
        <x:v>23952.15741630068</x:v>
      </x:c>
      <x:c r="L80" s="47" t="n">
        <x:f>MAX(0,L79-K80+gw_adj*(J80-L79))*MAX(0,1-gw_slump*(1-Economy!G80))</x:f>
        <x:v>806994.0286790929</x:v>
      </x:c>
      <x:c r="M80" s="47" t="n">
        <x:f>MAX(0,L80-L79+L79/gw_term)</x:f>
        <x:v>274723.863872411</x:v>
      </x:c>
      <x:c r="N80" s="63" t="n">
        <x:f>L80/B80</x:f>
        <x:v>0.10439681170774089</x:v>
      </x:c>
      <x:c r="O80" s="53" t="n">
        <x:f>Economy!L80</x:f>
        <x:v>2075.8483546353746</x:v>
      </x:c>
      <x:c r="P80" s="53" t="n">
        <x:f>O80*gw_wage_share</x:f>
        <x:v>1349.3014305129934</x:v>
      </x:c>
      <x:c r="Q80" s="53" t="n">
        <x:f>P80*gw_levy</x:f>
        <x:v>337.32535762824836</x:v>
      </x:c>
      <x:c r="R80" s="53" t="n">
        <x:f>P80*gw_remit</x:f>
        <x:v>337.32535762824836</x:v>
      </x:c>
      <x:c r="S80" s="63" t="n">
        <x:f>IF(union_resp&gt;=1,MIN(1,MAX(0,($A80-resp_start)/(resp_full-resp_start))),0)</x:f>
        <x:v>1</x:v>
      </x:c>
      <x:c r="T80" s="67" t="n">
        <x:f>Economy!R79</x:f>
        <x:v>2.1130054031428016</x:v>
      </x:c>
      <x:c r="U80" s="67" t="n">
        <x:f>MAX(0,T80-gap_base)</x:f>
        <x:v>0.6130054031428016</x:v>
      </x:c>
      <x:c r="V80" s="68" t="n">
        <x:v>82</x:v>
      </x:c>
      <x:c r="W80" s="47" t="n">
        <x:f>V80*1000000*lf_rate*union_skill_share</x:f>
        <x:v>4132800</x:v>
      </x:c>
      <x:c r="X80" s="45" t="n">
        <x:v>190000</x:v>
      </x:c>
      <x:c r="Y80" s="47" t="n">
        <x:f>IF(AND(mig_endo=1,$A80&gt;=talent_start),talent_rate_u*W80*U80*(1-(1-bd_keep)*S80),0)</x:f>
        <x:v>8436.317671261539</x:v>
      </x:c>
      <x:c r="Z80" s="47" t="n">
        <x:f>IF(AND(mig_endo=1,$A80&gt;=talent_start),X80*MIN(0.5,talent_share_o*U80)*(1-eu_comp*S80),0)</x:f>
        <x:v>22013.024026858006</x:v>
      </x:c>
      <x:c r="AA80" s="45" t="n">
        <x:v>80000</x:v>
      </x:c>
      <x:c r="AB80" s="47" t="n">
        <x:f>IF(AND(mig_endo=1,$A80&gt;=talent_start),AA80*MIN(0.5,talent_share_a*U80),0)</x:f>
        <x:v>9808.086450284827</x:v>
      </x:c>
      <x:c r="AC80" s="47" t="n">
        <x:f>entry_cap*People!B80</x:f>
        <x:v>54296.09078208803</x:v>
      </x:c>
      <x:c r="AD80" s="47" t="n">
        <x:f>MIN(AC80,Y80+Z80+AB80)</x:f>
        <x:v>40257.428148404375</x:v>
      </x:c>
      <x:c r="AE80" s="47" t="n">
        <x:f>IF(Y80+Z80+AB80&gt;0,AD80*Y80/(Y80+Z80+AB80),0)</x:f>
        <x:v>8436.317671261539</x:v>
      </x:c>
      <x:c r="AF80" s="47" t="n">
        <x:f>IF(Y80+Z80+AB80&gt;0,AD80*AB80/(Y80+Z80+AB80),0)</x:f>
        <x:v>9808.086450284827</x:v>
      </x:c>
      <x:c r="AG80" s="47" t="n">
        <x:f>AD80*family_mult</x:f>
        <x:v>88566.34192648964</x:v>
      </x:c>
      <x:c r="AH80" s="47" t="n">
        <x:f>AH79*(1+Paths!C80)+AG80</x:f>
        <x:v>2186264.7160429168</x:v>
      </x:c>
      <x:c r="AI80" s="47" t="n">
        <x:f>IF(AND(mig_endo=1,$A80&gt;=talent_start),chain_rate*AH79,0)</x:f>
        <x:v>31000.46858300139</x:v>
      </x:c>
      <x:c r="AJ80" s="47" t="n">
        <x:f>IF(AND(mig_endo=1,$A80&gt;=talent_start),IF(H79&gt;0,H79*job_fill,H79*job_return)*job_family,0)</x:f>
        <x:v>-13455.416876866098</x:v>
      </x:c>
      <x:c r="AK80" s="47" t="n">
        <x:f>K80*gw_conv_family</x:f>
        <x:v>43113.883349341224</x:v>
      </x:c>
      <x:c r="AL80" s="47" t="n">
        <x:f>AG80+AI80+AJ80+AK80+AR80</x:f>
        <x:v>195353.93356846197</x:v>
      </x:c>
      <x:c r="AM80" s="47" t="n">
        <x:f>AM79*(1-skill_ret)+AD80</x:f>
        <x:v>569274.8623065618</x:v>
      </x:c>
      <x:c r="AN80" s="64" t="n">
        <x:f>AM80/B80</x:f>
        <x:v>0.07364426315204027</x:v>
      </x:c>
      <x:c r="AO80" s="64" t="n">
        <x:f>(skill_rel-1+skill_spill)*AM79/B79-AT80</x:f>
        <x:v>0.07842364617767583</x:v>
      </x:c>
      <x:c r="AP80" s="64" t="n">
        <x:f>talent_champ*AM79/(skill_base_share*B79)</x:f>
        <x:v>0.14508117688607494</x:v>
      </x:c>
      <x:c r="AQ80" s="45" t="n">
        <x:v>430000</x:v>
      </x:c>
      <x:c r="AR80" s="47" t="n">
        <x:f>IF(AND(div_on=1,$A80&gt;=div_start),AQ80*MIN(div_max,div_rate*U80)*(1-div_comp*S80),0)</x:f>
        <x:v>46128.65658649582</x:v>
      </x:c>
      <x:c r="AS80" s="47" t="n">
        <x:f>AS79*(1-div_assim)+AR80</x:f>
        <x:v>1120724.1104441423</x:v>
      </x:c>
      <x:c r="AT80" s="64" t="n">
        <x:f>(1-div_rel)*AS79/Economy!B79</x:f>
        <x:v>0.015879118798272886</x:v>
      </x:c>
      <x:c r="AU80" s="47" t="n">
        <x:f>AU79*(1-skill_ret)+AE80</x:f>
        <x:v>207609.71046424488</x:v>
      </x:c>
      <x:c r="AV80" s="47" t="n">
        <x:f>AV79*(1+union_nat)+AR80</x:f>
        <x:v>2590812.8331426536</x:v>
      </x:c>
      <x:c r="AW80" s="47" t="n">
        <x:f>AW79*(1+union_nat)+AE80*family_mult</x:f>
        <x:v>813262.9373752642</x:v>
      </x:c>
      <x:c r="AX80" s="67" t="n">
        <x:f>V80-(AV80+AW80)/1000000</x:f>
        <x:v>78.59592422948208</x:v>
      </x:c>
      <x:c r="AY80" s="47" t="n">
        <x:f>L80*gw_union</x:f>
        <x:v>161398.80573581858</x:v>
      </x:c>
      <x:c r="AZ80" s="46" t="n">
        <x:v>1.058</x:v>
      </x:c>
      <x:c r="BA80" s="47" t="n">
        <x:f>Economy!Q80*AZ80/lf_rate</x:f>
        <x:v>2166.3809523809523</x:v>
      </x:c>
      <x:c r="BB80" s="64" t="n">
        <x:f>bd_growth*AU79/W79</x:f>
        <x:v>0.0014982192939329007</x:v>
      </x:c>
      <x:c r="BC80" s="64" t="n">
        <x:f>tg_k*MIN(1,Economy!O79/BK79)</x:f>
        <x:v>0.001539433987264048</x:v>
      </x:c>
      <x:c r="BD80" s="64" t="n">
        <x:f>emu_g*S80</x:f>
        <x:v>0.0015</x:v>
      </x:c>
      <x:c r="BE80" s="65" t="n">
        <x:f>BE79*(1-BB80-BC80+BD80)</x:f>
        <x:v>0.9493652951866574</x:v>
      </x:c>
      <x:c r="BF80" s="46" t="n">
        <x:v>1</x:v>
      </x:c>
      <x:c r="BG80" s="53" t="n">
        <x:f>AU80*BA80*BE80*(skill_rel-1+skill_spill)/1000000</x:f>
        <x:v>555.0846213056607</x:v>
      </x:c>
      <x:c r="BH80" s="53" t="n">
        <x:f>union_disp*(Champions!AP80+Champions!AZ80)*(1-IF(union_resp=2,mkt_cut*S80,0))</x:f>
        <x:v>527.013449846009</x:v>
      </x:c>
      <x:c r="BI80" s="53" t="n">
        <x:f>AY80*BA80*BE80/1000000</x:f>
        <x:v>331.9468081968167</x:v>
      </x:c>
      <x:c r="BJ80" s="47" t="n">
        <x:f>V80*Economy!Q80*AZ80</x:f>
        <x:v>74610.16</x:v>
      </x:c>
      <x:c r="BK80" s="47" t="n">
        <x:f>MAX(0.3*BJ80,AX80*Economy!Q80*AZ80*BE80*BF80-BG80-BH80-BI80)</x:f>
        <x:v>66477.78212551199</x:v>
      </x:c>
      <x:c r="BL80" s="63" t="n">
        <x:f>1-BK80/BJ80</x:f>
        <x:v>0.10899826343339847</x:v>
      </x:c>
      <x:c r="BM80" s="47" t="n">
        <x:f>MAX(0,BH80-BH79)*1000000/BA80</x:f>
        <x:v>15389.05353102276</x:v>
      </x:c>
      <x:c r="BN80" s="47" t="n">
        <x:f>BN79*(1-IF(AND($A80&gt;=1930,$A80&lt;=1932),0,union_reabsorb))+BM80</x:f>
        <x:v>99598.9897200348</x:v>
      </x:c>
      <x:c r="BO80" s="59" t="n">
        <x:v>0.052</x:v>
      </x:c>
      <x:c r="BP80" s="63" t="n">
        <x:f>BO80+BN80/(AX80*1000000*lf_rate)</x:f>
        <x:v>0.05501721054926427</x:v>
      </x:c>
    </x:row>
    <x:row r="81">
      <x:c r="A81" s="61" t="n">
        <x:v>1921</x:v>
      </x:c>
      <x:c r="B81" s="47" t="n">
        <x:f>Economy!B81*lf_rate</x:f>
        <x:v>8003991.728972712</x:v>
      </x:c>
      <x:c r="C81" s="47" t="n">
        <x:f>Economy!O81*1000000/(B81+L81)</x:f>
        <x:v>3460.1150661902616</x:v>
      </x:c>
      <x:c r="D81" s="47" t="n">
        <x:f>Champions!AP81*1000000/(C81*champ_prem)</x:f>
        <x:v>289480.59610345284</x:v>
      </x:c>
      <x:c r="E81" s="47" t="n">
        <x:f>D81*job_mult</x:f>
        <x:v>202636.417272417</x:v>
      </x:c>
      <x:c r="F81" s="47" t="n">
        <x:f>D81+E81</x:f>
        <x:v>492117.01337586984</x:v>
      </x:c>
      <x:c r="G81" s="63" t="n">
        <x:f>F81/B81</x:f>
        <x:v>0.06148394826477808</x:v>
      </x:c>
      <x:c r="H81" s="47" t="n">
        <x:f>F81-F80</x:f>
        <x:v>57296.2723798767</x:v>
      </x:c>
      <x:c r="I81" s="63" t="n">
        <x:f>MAX(0.005,pac_u_base*IF(Paths!AC81=1,pac_u_war,1)+(okun*(1-Economy!G81)*(B81+L81)-MAX(0,L80-L81))/B81)</x:f>
        <x:v>0.03638234751631119</x:v>
      </x:c>
      <x:c r="J81" s="47" t="n">
        <x:f>IF(AND(gw_on=1,$A81&gt;=gw_start),MIN(gw_cap*B80,gw_cover*F80+gw_gen*B80),0)</x:f>
        <x:v>879297.5590666273</x:v>
      </x:c>
      <x:c r="K81" s="47" t="n">
        <x:f>L80*gw_conv</x:f>
        <x:v>24209.820860372787</x:v>
      </x:c>
      <x:c r="L81" s="47" t="n">
        <x:f>MAX(0,L80-K81+gw_adj*(J81-L80))*MAX(0,1-gw_slump*(1-Economy!G81))</x:f>
        <x:v>720794.5905366758</x:v>
      </x:c>
      <x:c r="M81" s="47" t="n">
        <x:f>MAX(0,L81-L80+L80/gw_term)</x:f>
        <x:v>182798.57141728053</x:v>
      </x:c>
      <x:c r="N81" s="63" t="n">
        <x:f>L81/B81</x:f>
        <x:v>0.09005438972751008</x:v>
      </x:c>
      <x:c r="O81" s="53" t="n">
        <x:f>Economy!L81</x:f>
        <x:v>1471.8593770826637</x:v>
      </x:c>
      <x:c r="P81" s="53" t="n">
        <x:f>O81*gw_wage_share</x:f>
        <x:v>956.7085951037315</x:v>
      </x:c>
      <x:c r="Q81" s="53" t="n">
        <x:f>P81*gw_levy</x:f>
        <x:v>239.17714877593286</x:v>
      </x:c>
      <x:c r="R81" s="53" t="n">
        <x:f>P81*gw_remit</x:f>
        <x:v>239.17714877593286</x:v>
      </x:c>
      <x:c r="S81" s="63" t="n">
        <x:f>IF(union_resp&gt;=1,MIN(1,MAX(0,($A81-resp_start)/(resp_full-resp_start))),0)</x:f>
        <x:v>1</x:v>
      </x:c>
      <x:c r="T81" s="67" t="n">
        <x:f>Economy!R80</x:f>
        <x:v>2.23340935620177</x:v>
      </x:c>
      <x:c r="U81" s="67" t="n">
        <x:f>MAX(0,T81-gap_base)</x:f>
        <x:v>0.7334093562017698</x:v>
      </x:c>
      <x:c r="V81" s="68" t="n">
        <x:v>82.97</x:v>
      </x:c>
      <x:c r="W81" s="47" t="n">
        <x:f>V81*1000000*lf_rate*union_skill_share</x:f>
        <x:v>4181688</x:v>
      </x:c>
      <x:c r="X81" s="45" t="n">
        <x:v>180000</x:v>
      </x:c>
      <x:c r="Y81" s="47" t="n">
        <x:f>IF(AND(mig_endo=1,$A81&gt;=talent_start),talent_rate_u*W81*U81*(1-(1-bd_keep)*S81),0)</x:f>
        <x:v>10212.740716042497</x:v>
      </x:c>
      <x:c r="Z81" s="47" t="n">
        <x:f>IF(AND(mig_endo=1,$A81&gt;=talent_start),X81*MIN(0.5,talent_share_o*U81)*(1-eu_comp*S81),0)</x:f>
        <x:v>24950.58629798421</x:v>
      </x:c>
      <x:c r="AA81" s="45" t="n">
        <x:v>84000</x:v>
      </x:c>
      <x:c r="AB81" s="47" t="n">
        <x:f>IF(AND(mig_endo=1,$A81&gt;=talent_start),AA81*MIN(0.5,talent_share_a*U81),0)</x:f>
        <x:v>12321.277184189734</x:v>
      </x:c>
      <x:c r="AC81" s="47" t="n">
        <x:f>entry_cap*People!B81</x:f>
        <x:v>56133.39394452474</x:v>
      </x:c>
      <x:c r="AD81" s="47" t="n">
        <x:f>MIN(AC81,Y81+Z81+AB81)</x:f>
        <x:v>47484.60419821644</x:v>
      </x:c>
      <x:c r="AE81" s="47" t="n">
        <x:f>IF(Y81+Z81+AB81&gt;0,AD81*Y81/(Y81+Z81+AB81),0)</x:f>
        <x:v>10212.740716042497</x:v>
      </x:c>
      <x:c r="AF81" s="47" t="n">
        <x:f>IF(Y81+Z81+AB81&gt;0,AD81*AB81/(Y81+Z81+AB81),0)</x:f>
        <x:v>12321.277184189734</x:v>
      </x:c>
      <x:c r="AG81" s="47" t="n">
        <x:f>AD81*family_mult</x:f>
        <x:v>104466.12923607617</x:v>
      </x:c>
      <x:c r="AH81" s="47" t="n">
        <x:f>AH80*(1+Paths!C81)+AG81</x:f>
        <x:v>2323524.816019636</x:v>
      </x:c>
      <x:c r="AI81" s="47" t="n">
        <x:f>IF(AND(mig_endo=1,$A81&gt;=talent_start),chain_rate*AH80,0)</x:f>
        <x:v>32793.97074064375</x:v>
      </x:c>
      <x:c r="AJ81" s="47" t="n">
        <x:f>IF(AND(mig_endo=1,$A81&gt;=talent_start),IF(H80&gt;0,H80*job_fill,H80*job_return)*job_family,0)</x:f>
        <x:v>-18440.09154461067</x:v>
      </x:c>
      <x:c r="AK81" s="47" t="n">
        <x:f>K81*gw_conv_family</x:f>
        <x:v>43577.67754867102</x:v>
      </x:c>
      <x:c r="AL81" s="47" t="n">
        <x:f>AG81+AI81+AJ81+AK81+AR81</x:f>
        <x:v>265716.72903570463</x:v>
      </x:c>
      <x:c r="AM81" s="47" t="n">
        <x:f>AM80*(1-skill_ret)+AD81</x:f>
        <x:v>602527.5949471142</x:v>
      </x:c>
      <x:c r="AN81" s="64" t="n">
        <x:f>AM81/B81</x:f>
        <x:v>0.0752783880030879</x:v>
      </x:c>
      <x:c r="AO81" s="64" t="n">
        <x:f>(skill_rel-1+skill_spill)*AM80/B80-AT81</x:f>
        <x:v>0.08051437801400177</x:v>
      </x:c>
      <x:c r="AP81" s="64" t="n">
        <x:f>talent_champ*AM80/(skill_base_share*B80)</x:f>
        <x:v>0.14728852630408054</x:v>
      </x:c>
      <x:c r="AQ81" s="45" t="n">
        <x:v>805000</x:v>
      </x:c>
      <x:c r="AR81" s="47" t="n">
        <x:f>IF(AND(div_on=1,$A81&gt;=div_start),AQ81*MIN(div_max,div_rate*U81)*(1-div_comp*S81),0)</x:f>
        <x:v>103319.04305492432</x:v>
      </x:c>
      <x:c r="AS81" s="47" t="n">
        <x:f>AS80*(1-div_assim)+AR81</x:f>
        <x:v>1168006.9479768595</x:v>
      </x:c>
      <x:c r="AT81" s="64" t="n">
        <x:f>(1-div_rel)*AS80/Economy!B80</x:f>
        <x:v>0.015223164083650594</x:v>
      </x:c>
      <x:c r="AU81" s="47" t="n">
        <x:f>AU80*(1-skill_ret)+AE81</x:f>
        <x:v>212632.20841868126</x:v>
      </x:c>
      <x:c r="AV81" s="47" t="n">
        <x:f>AV80*(1+union_nat)+AR81</x:f>
        <x:v>2727812.4430284323</x:v>
      </x:c>
      <x:c r="AW81" s="47" t="n">
        <x:f>AW80*(1+union_nat)+AE81*family_mult</x:f>
        <x:v>846303.3851364361</x:v>
      </x:c>
      <x:c r="AX81" s="67" t="n">
        <x:f>V81-(AV81+AW81)/1000000</x:f>
        <x:v>79.39588417183514</x:v>
      </x:c>
      <x:c r="AY81" s="47" t="n">
        <x:f>L81*gw_union</x:f>
        <x:v>144158.91810733516</x:v>
      </x:c>
      <x:c r="AZ81" s="46" t="n">
        <x:v>1.059</x:v>
      </x:c>
      <x:c r="BA81" s="47" t="n">
        <x:f>Economy!Q81*AZ81/lf_rate</x:f>
        <x:v>1623.8</x:v>
      </x:c>
      <x:c r="BB81" s="64" t="n">
        <x:f>bd_growth*AU80/W80</x:f>
        <x:v>0.0015070391293862141</x:v>
      </x:c>
      <x:c r="BC81" s="64" t="n">
        <x:f>tg_k*MIN(1,Economy!O80/BK80)</x:f>
        <x:v>0.0016652598721553734</x:v>
      </x:c>
      <x:c r="BD81" s="64" t="n">
        <x:f>emu_g*S81</x:f>
        <x:v>0.0015</x:v>
      </x:c>
      <x:c r="BE81" s="65" t="n">
        <x:f>BE80*(1-BB81-BC81+BD81)</x:f>
        <x:v>0.9477776725514184</x:v>
      </x:c>
      <x:c r="BF81" s="46" t="n">
        <x:v>1</x:v>
      </x:c>
      <x:c r="BG81" s="53" t="n">
        <x:f>AU81*BA81*BE81*(skill_rel-1+skill_spill)/1000000</x:f>
        <x:v>425.4136421415778</x:v>
      </x:c>
      <x:c r="BH81" s="53" t="n">
        <x:f>union_disp*(Champions!AP81+Champions!AZ81)*(1-IF(union_resp=2,mkt_cut*S81,0))</x:f>
        <x:v>497.1097076900024</x:v>
      </x:c>
      <x:c r="BI81" s="53" t="n">
        <x:f>AY81*BA81*BE81/1000000</x:f>
        <x:v>221.860774582456</x:v>
      </x:c>
      <x:c r="BJ81" s="47" t="n">
        <x:f>V81*Economy!Q81*AZ81</x:f>
        <x:v>56585.208119999996</x:v>
      </x:c>
      <x:c r="BK81" s="47" t="n">
        <x:f>MAX(0.3*BJ81,AX81*Economy!Q81*AZ81*BE81*BF81-BG81-BH81-BI81)</x:f>
        <x:v>50175.57366079166</x:v>
      </x:c>
      <x:c r="BL81" s="63" t="n">
        <x:f>1-BK81/BJ81</x:f>
        <x:v>0.11327402818092402</x:v>
      </x:c>
      <x:c r="BM81" s="47" t="n">
        <x:f>MAX(0,BH81-BH80)*1000000/BA81</x:f>
        <x:v>0</x:v>
      </x:c>
      <x:c r="BN81" s="47" t="n">
        <x:f>BN80*(1-IF(AND($A81&gt;=1930,$A81&lt;=1932),0,union_reabsorb))+BM81</x:f>
        <x:v>74699.2422900261</x:v>
      </x:c>
      <x:c r="BO81" s="59" t="n">
        <x:v>0.117</x:v>
      </x:c>
      <x:c r="BP81" s="63" t="n">
        <x:f>BO81+BN81/(AX81*1000000*lf_rate)</x:f>
        <x:v>0.11924010779199647</x:v>
      </x:c>
    </x:row>
    <x:row r="82">
      <x:c r="A82" s="61" t="n">
        <x:v>1922</x:v>
      </x:c>
      <x:c r="B82" s="47" t="n">
        <x:f>Economy!B82*lf_rate</x:f>
        <x:v>8298926.908499254</x:v>
      </x:c>
      <x:c r="C82" s="47" t="n">
        <x:f>Economy!O82*1000000/(B82+L82)</x:f>
        <x:v>3462.117153011801</x:v>
      </x:c>
      <x:c r="D82" s="47" t="n">
        <x:f>Champions!AP82*1000000/(C82*champ_prem)</x:f>
        <x:v>344591.54342157</x:v>
      </x:c>
      <x:c r="E82" s="47" t="n">
        <x:f>D82*job_mult</x:f>
        <x:v>241214.08039509898</x:v>
      </x:c>
      <x:c r="F82" s="47" t="n">
        <x:f>D82+E82</x:f>
        <x:v>585805.623816669</x:v>
      </x:c>
      <x:c r="G82" s="63" t="n">
        <x:f>F82/B82</x:f>
        <x:v>0.07058811702712102</x:v>
      </x:c>
      <x:c r="H82" s="47" t="n">
        <x:f>F82-F81</x:f>
        <x:v>93688.61044079915</x:v>
      </x:c>
      <x:c r="I82" s="63" t="n">
        <x:f>MAX(0.005,pac_u_base*IF(Paths!AC82=1,pac_u_war,1)+(okun*(1-Economy!G82)*(B82+L82)-MAX(0,L81-L82))/B82)</x:f>
        <x:v>0.02535090563653042</x:v>
      </x:c>
      <x:c r="J82" s="47" t="n">
        <x:f>IF(AND(gw_on=1,$A82&gt;=gw_start),MIN(gw_cap*B81,gw_cover*F81+gw_gen*B81),0)</x:f>
        <x:v>935589.5463433389</x:v>
      </x:c>
      <x:c r="K82" s="47" t="n">
        <x:f>L81*gw_conv</x:f>
        <x:v>21623.83771610027</x:v>
      </x:c>
      <x:c r="L82" s="47" t="n">
        <x:f>MAX(0,L81-K82+gw_adj*(J82-L81))*MAX(0,1-gw_slump*(1-Economy!G82))</x:f>
        <x:v>747404.4758563652</x:v>
      </x:c>
      <x:c r="M82" s="47" t="n">
        <x:f>MAX(0,L82-L81+L81/gw_term)</x:f>
        <x:v>266874.7488319146</x:v>
      </x:c>
      <x:c r="N82" s="63" t="n">
        <x:f>L82/B82</x:f>
        <x:v>0.09006037576869357</x:v>
      </x:c>
      <x:c r="O82" s="53" t="n">
        <x:f>Economy!L82</x:f>
        <x:v>1515.7450217033288</x:v>
      </x:c>
      <x:c r="P82" s="53" t="n">
        <x:f>O82*gw_wage_share</x:f>
        <x:v>985.2342641071638</x:v>
      </x:c>
      <x:c r="Q82" s="53" t="n">
        <x:f>P82*gw_levy</x:f>
        <x:v>246.30856602679094</x:v>
      </x:c>
      <x:c r="R82" s="53" t="n">
        <x:f>P82*gw_remit</x:f>
        <x:v>246.30856602679094</x:v>
      </x:c>
      <x:c r="S82" s="63" t="n">
        <x:f>IF(union_resp&gt;=1,MIN(1,MAX(0,($A82-resp_start)/(resp_full-resp_start))),0)</x:f>
        <x:v>1</x:v>
      </x:c>
      <x:c r="T82" s="67" t="n">
        <x:f>Economy!R81</x:f>
        <x:v>2.370166780732564</x:v>
      </x:c>
      <x:c r="U82" s="67" t="n">
        <x:f>MAX(0,T82-gap_base)</x:f>
        <x:v>0.8701667807325641</x:v>
      </x:c>
      <x:c r="V82" s="68" t="n">
        <x:v>83.93000000000001</x:v>
      </x:c>
      <x:c r="W82" s="47" t="n">
        <x:f>V82*1000000*lf_rate*union_skill_share</x:f>
        <x:v>4230072</x:v>
      </x:c>
      <x:c r="X82" s="45" t="n">
        <x:v>170000</x:v>
      </x:c>
      <x:c r="Y82" s="47" t="n">
        <x:f>IF(AND(mig_endo=1,$A82&gt;=talent_start),talent_rate_u*W82*U82*(1-(1-bd_keep)*S82),0)</x:f>
        <x:v>12257.290887908173</x:v>
      </x:c>
      <x:c r="Z82" s="47" t="n">
        <x:f>IF(AND(mig_endo=1,$A82&gt;=talent_start),X82*MIN(0.5,talent_share_o*U82)*(1-eu_comp*S82),0)</x:f>
        <x:v>27958.458664937287</x:v>
      </x:c>
      <x:c r="AA82" s="45" t="n">
        <x:v>89000</x:v>
      </x:c>
      <x:c r="AB82" s="47" t="n">
        <x:f>IF(AND(mig_endo=1,$A82&gt;=talent_start),AA82*MIN(0.5,talent_share_a*U82),0)</x:f>
        <x:v>15488.968697039641</x:v>
      </x:c>
      <x:c r="AC82" s="47" t="n">
        <x:f>entry_cap*People!B82</x:f>
        <x:v>58209.34504079973</x:v>
      </x:c>
      <x:c r="AD82" s="47" t="n">
        <x:f>MIN(AC82,Y82+Z82+AB82)</x:f>
        <x:v>55704.7182498851</x:v>
      </x:c>
      <x:c r="AE82" s="47" t="n">
        <x:f>IF(Y82+Z82+AB82&gt;0,AD82*Y82/(Y82+Z82+AB82),0)</x:f>
        <x:v>12257.290887908173</x:v>
      </x:c>
      <x:c r="AF82" s="47" t="n">
        <x:f>IF(Y82+Z82+AB82&gt;0,AD82*AB82/(Y82+Z82+AB82),0)</x:f>
        <x:v>15488.968697039641</x:v>
      </x:c>
      <x:c r="AG82" s="47" t="n">
        <x:f>AD82*family_mult</x:f>
        <x:v>122550.38014974723</x:v>
      </x:c>
      <x:c r="AH82" s="47" t="n">
        <x:f>AH81*(1+Paths!C82)+AG82</x:f>
        <x:v>2480928.0684096776</x:v>
      </x:c>
      <x:c r="AI82" s="47" t="n">
        <x:f>IF(AND(mig_endo=1,$A82&gt;=talent_start),chain_rate*AH81,0)</x:f>
        <x:v>34852.87224029454</x:v>
      </x:c>
      <x:c r="AJ82" s="47" t="n">
        <x:f>IF(AND(mig_endo=1,$A82&gt;=talent_start),IF(H81&gt;0,H81*job_fill,H81*job_return)*job_family,0)</x:f>
        <x:v>36096.651599322315</x:v>
      </x:c>
      <x:c r="AK82" s="47" t="n">
        <x:f>K82*gw_conv_family</x:f>
        <x:v>38922.90788898049</x:v>
      </x:c>
      <x:c r="AL82" s="47" t="n">
        <x:f>AG82+AI82+AJ82+AK82+AR82</x:f>
        <x:v>275822.8118783446</x:v>
      </x:c>
      <x:c r="AM82" s="47" t="n">
        <x:f>AM81*(1-skill_ret)+AD82</x:f>
        <x:v>643169.1233233215</x:v>
      </x:c>
      <x:c r="AN82" s="64" t="n">
        <x:f>AM82/B82</x:f>
        <x:v>0.07750027568800816</x:v>
      </x:c>
      <x:c r="AO82" s="64" t="n">
        <x:f>(skill_rel-1+skill_spill)*AM81/B81-AT82</x:f>
        <x:v>0.0825394585931775</x:v>
      </x:c>
      <x:c r="AP82" s="64" t="n">
        <x:f>talent_champ*AM81/(skill_base_share*B81)</x:f>
        <x:v>0.1505567760061758</x:v>
      </x:c>
      <x:c r="AQ82" s="45" t="n">
        <x:v>310000</x:v>
      </x:c>
      <x:c r="AR82" s="47" t="n">
        <x:f>IF(AND(div_on=1,$A82&gt;=div_start),AQ82*MIN(div_max,div_rate*U82)*(1-div_comp*S82),0)</x:f>
        <x:v>43400</x:v>
      </x:c>
      <x:c r="AS82" s="47" t="n">
        <x:f>AS81*(1-div_assim)+AR82</x:f>
        <x:v>1153006.6005780166</x:v>
      </x:c>
      <x:c r="AT82" s="64" t="n">
        <x:f>(1-div_rel)*AS81/Economy!B81</x:f>
        <x:v>0.01532244581083679</x:v>
      </x:c>
      <x:c r="AU82" s="47" t="n">
        <x:f>AU81*(1-skill_ret)+AE82</x:f>
        <x:v>219573.69409612237</x:v>
      </x:c>
      <x:c r="AV82" s="47" t="n">
        <x:f>AV81*(1+union_nat)+AR82</x:f>
        <x:v>2806674.0047878018</x:v>
      </x:c>
      <x:c r="AW82" s="47" t="n">
        <x:f>AW81*(1+union_nat)+AE82*family_mult</x:f>
        <x:v>884271.3690966076</x:v>
      </x:c>
      <x:c r="AX82" s="67" t="n">
        <x:f>V82-(AV82+AW82)/1000000</x:f>
        <x:v>80.2390546261156</x:v>
      </x:c>
      <x:c r="AY82" s="47" t="n">
        <x:f>L82*gw_union</x:f>
        <x:v>149480.89517127303</x:v>
      </x:c>
      <x:c r="AZ82" s="46" t="n">
        <x:v>1.06</x:v>
      </x:c>
      <x:c r="BA82" s="47" t="n">
        <x:f>Economy!Q82*AZ82/lf_rate</x:f>
        <x:v>1716.1904761904764</x:v>
      </x:c>
      <x:c r="BB82" s="64" t="n">
        <x:f>bd_growth*AU81/W81</x:f>
        <x:v>0.00152545246143673</x:v>
      </x:c>
      <x:c r="BC82" s="64" t="n">
        <x:f>tg_k*MIN(1,Economy!O81/BK81)</x:f>
        <x:v>0.0018049877096083086</x:v>
      </x:c>
      <x:c r="BD82" s="64" t="n">
        <x:f>emu_g*S82</x:f>
        <x:v>0.0015</x:v>
      </x:c>
      <x:c r="BE82" s="65" t="n">
        <x:f>BE81*(1-BB82-BC82+BD82)</x:f>
        <x:v>0.9460428222263606</x:v>
      </x:c>
      <x:c r="BF82" s="46" t="n">
        <x:v>1</x:v>
      </x:c>
      <x:c r="BG82" s="53" t="n">
        <x:f>AU82*BA82*BE82*(skill_rel-1+skill_spill)/1000000</x:f>
        <x:v>463.4468593031983</x:v>
      </x:c>
      <x:c r="BH82" s="53" t="n">
        <x:f>union_disp*(Champions!AP82+Champions!AZ82)*(1-IF(union_resp=2,mkt_cut*S82,0))</x:f>
        <x:v>580.715928568839</x:v>
      </x:c>
      <x:c r="BI82" s="53" t="n">
        <x:f>AY82*BA82*BE82/1000000</x:f>
        <x:v>242.69563899241007</x:v>
      </x:c>
      <x:c r="BJ82" s="47" t="n">
        <x:f>V82*Economy!Q82*AZ82</x:f>
        <x:v>60496.744000000006</x:v>
      </x:c>
      <x:c r="BK82" s="47" t="n">
        <x:f>MAX(0.3*BJ82,AX82*Economy!Q82*AZ82*BE82*BF82-BG82-BH82-BI82)</x:f>
        <x:v>53428.76805619975</x:v>
      </x:c>
      <x:c r="BL82" s="63" t="n">
        <x:f>1-BK82/BJ82</x:f>
        <x:v>0.11683233636177603</x:v>
      </x:c>
      <x:c r="BM82" s="47" t="n">
        <x:f>MAX(0,BH82-BH81)*1000000/BA82</x:f>
        <x:v>48716.16643883375</x:v>
      </x:c>
      <x:c r="BN82" s="47" t="n">
        <x:f>BN81*(1-IF(AND($A82&gt;=1930,$A82&lt;=1932),0,union_reabsorb))+BM82</x:f>
        <x:v>104740.59815635333</x:v>
      </x:c>
      <x:c r="BO82" s="59" t="n">
        <x:v>0.067</x:v>
      </x:c>
      <x:c r="BP82" s="63" t="n">
        <x:f>BO82+BN82/(AX82*1000000*lf_rate)</x:f>
        <x:v>0.07010799245734856</x:v>
      </x:c>
    </x:row>
    <x:row r="83">
      <x:c r="A83" s="58" t="n">
        <x:v>1923</x:v>
      </x:c>
      <x:c r="B83" s="47" t="n">
        <x:f>Economy!B83*lf_rate</x:f>
        <x:v>8606759.321271447</x:v>
      </x:c>
      <x:c r="C83" s="47" t="n">
        <x:f>Economy!O83*1000000/(B83+L83)</x:f>
        <x:v>3751.8309246383124</x:v>
      </x:c>
      <x:c r="D83" s="47" t="n">
        <x:f>Champions!AP83*1000000/(C83*champ_prem)</x:f>
        <x:v>372363.4722887851</x:v>
      </x:c>
      <x:c r="E83" s="47" t="n">
        <x:f>D83*job_mult</x:f>
        <x:v>260654.43060214954</x:v>
      </x:c>
      <x:c r="F83" s="47" t="n">
        <x:f>D83+E83</x:f>
        <x:v>633017.9028909346</x:v>
      </x:c>
      <x:c r="G83" s="63" t="n">
        <x:f>F83/B83</x:f>
        <x:v>0.07354892582234088</x:v>
      </x:c>
      <x:c r="H83" s="47" t="n">
        <x:f>F83-F82</x:f>
        <x:v>47212.27907426562</x:v>
      </x:c>
      <x:c r="I83" s="63" t="n">
        <x:f>MAX(0.005,pac_u_base*IF(Paths!AC83=1,pac_u_war,1)+(okun*(1-Economy!G83)*(B83+L83)-MAX(0,L82-L83))/B83)</x:f>
        <x:v>0.015</x:v>
      </x:c>
      <x:c r="J83" s="47" t="n">
        <x:f>IF(AND(gw_on=1,$A83&gt;=gw_start),MIN(gw_cap*B82,gw_cover*F82+gw_gen*B82),0)</x:f>
        <x:v>1015397.5269699418</x:v>
      </x:c>
      <x:c r="K83" s="47" t="n">
        <x:f>L82*gw_conv</x:f>
        <x:v>22422.134275690954</x:v>
      </x:c>
      <x:c r="L83" s="47" t="n">
        <x:f>MAX(0,L82-K83+gw_adj*(J83-L82))*MAX(0,1-gw_slump*(1-Economy!G83))</x:f>
        <x:v>832179.5620261049</x:v>
      </x:c>
      <x:c r="M83" s="47" t="n">
        <x:f>MAX(0,L83-L82+L82/gw_term)</x:f>
        <x:v>333909.9114551948</x:v>
      </x:c>
      <x:c r="N83" s="63" t="n">
        <x:f>L83/B83</x:f>
        <x:v>0.0966890708758857</x:v>
      </x:c>
      <x:c r="O83" s="53" t="n">
        <x:f>Economy!L83</x:f>
        <x:v>1828.7823718479576</x:v>
      </x:c>
      <x:c r="P83" s="53" t="n">
        <x:f>O83*gw_wage_share</x:f>
        <x:v>1188.7085417011724</x:v>
      </x:c>
      <x:c r="Q83" s="53" t="n">
        <x:f>P83*gw_levy</x:f>
        <x:v>297.1771354252931</x:v>
      </x:c>
      <x:c r="R83" s="53" t="n">
        <x:f>P83*gw_remit</x:f>
        <x:v>297.1771354252931</x:v>
      </x:c>
      <x:c r="S83" s="63" t="n">
        <x:f>IF(union_resp&gt;=1,MIN(1,MAX(0,($A83-resp_start)/(resp_full-resp_start))),0)</x:f>
        <x:v>1</x:v>
      </x:c>
      <x:c r="T83" s="67" t="n">
        <x:f>Economy!R82</x:f>
        <x:v>2.245993073620113</x:v>
      </x:c>
      <x:c r="U83" s="67" t="n">
        <x:f>MAX(0,T83-gap_base)</x:f>
        <x:v>0.745993073620113</x:v>
      </x:c>
      <x:c r="V83" s="68" t="n">
        <x:v>84.90000000000001</x:v>
      </x:c>
      <x:c r="W83" s="47" t="n">
        <x:f>V83*1000000*lf_rate*union_skill_share</x:f>
        <x:v>4278960</x:v>
      </x:c>
      <x:c r="X83" s="45" t="n">
        <x:v>160000</x:v>
      </x:c>
      <x:c r="Y83" s="47" t="n">
        <x:f>IF(AND(mig_endo=1,$A83&gt;=talent_start),talent_rate_u*W83*U83*(1-(1-bd_keep)*S83),0)</x:f>
        <x:v>10629.608159250736</x:v>
      </x:c>
      <x:c r="Z83" s="47" t="n">
        <x:f>IF(AND(mig_endo=1,$A83&gt;=talent_start),X83*MIN(0.5,talent_share_o*U83)*(1-eu_comp*S83),0)</x:f>
        <x:v>22558.830546272216</x:v>
      </x:c>
      <x:c r="AA83" s="45" t="n">
        <x:v>93000</x:v>
      </x:c>
      <x:c r="AB83" s="47" t="n">
        <x:f>IF(AND(mig_endo=1,$A83&gt;=talent_start),AA83*MIN(0.5,talent_share_a*U83),0)</x:f>
        <x:v>13875.471169334101</x:v>
      </x:c>
      <x:c r="AC83" s="47" t="n">
        <x:f>entry_cap*People!B83</x:f>
        <x:v>60346.75365204676</x:v>
      </x:c>
      <x:c r="AD83" s="47" t="n">
        <x:f>MIN(AC83,Y83+Z83+AB83)</x:f>
        <x:v>47063.909874857054</x:v>
      </x:c>
      <x:c r="AE83" s="47" t="n">
        <x:f>IF(Y83+Z83+AB83&gt;0,AD83*Y83/(Y83+Z83+AB83),0)</x:f>
        <x:v>10629.608159250736</x:v>
      </x:c>
      <x:c r="AF83" s="47" t="n">
        <x:f>IF(Y83+Z83+AB83&gt;0,AD83*AB83/(Y83+Z83+AB83),0)</x:f>
        <x:v>13875.471169334103</x:v>
      </x:c>
      <x:c r="AG83" s="47" t="n">
        <x:f>AD83*family_mult</x:f>
        <x:v>103540.60172468553</x:v>
      </x:c>
      <x:c r="AH83" s="47" t="n">
        <x:f>AH82*(1+Paths!C83)+AG83</x:f>
        <x:v>2621682.5911605083</x:v>
      </x:c>
      <x:c r="AI83" s="47" t="n">
        <x:f>IF(AND(mig_endo=1,$A83&gt;=talent_start),chain_rate*AH82,0)</x:f>
        <x:v>37213.92102614516</x:v>
      </x:c>
      <x:c r="AJ83" s="47" t="n">
        <x:f>IF(AND(mig_endo=1,$A83&gt;=talent_start),IF(H82&gt;0,H82*job_fill,H82*job_return)*job_family,0)</x:f>
        <x:v>59023.82457770347</x:v>
      </x:c>
      <x:c r="AK83" s="47" t="n">
        <x:f>K83*gw_conv_family</x:f>
        <x:v>40359.84169624372</x:v>
      </x:c>
      <x:c r="AL83" s="47" t="n">
        <x:f>AG83+AI83+AJ83+AK83+AR83</x:f>
        <x:v>306065.3269059553</x:v>
      </x:c>
      <x:c r="AM83" s="47" t="n">
        <x:f>AM82*(1-skill_ret)+AD83</x:f>
        <x:v>674153.8051150955</x:v>
      </x:c>
      <x:c r="AN83" s="64" t="n">
        <x:f>AM83/B83</x:f>
        <x:v>0.07832841374440862</x:v>
      </x:c>
      <x:c r="AO83" s="64" t="n">
        <x:f>(skill_rel-1+skill_spill)*AM82/B82-AT83</x:f>
        <x:v>0.08616224424477234</x:v>
      </x:c>
      <x:c r="AP83" s="64" t="n">
        <x:f>talent_champ*AM82/(skill_base_share*B82)</x:f>
        <x:v>0.15500055137601632</x:v>
      </x:c>
      <x:c r="AQ83" s="45" t="n">
        <x:v>505000</x:v>
      </x:c>
      <x:c r="AR83" s="47" t="n">
        <x:f>IF(AND(div_on=1,$A83&gt;=div_start),AQ83*MIN(div_max,div_rate*U83)*(1-div_comp*S83),0)</x:f>
        <x:v>65927.13788117749</x:v>
      </x:c>
      <x:c r="AS83" s="47" t="n">
        <x:f>AS82*(1-div_assim)+AR83</x:f>
        <x:v>1161283.4084302932</x:v>
      </x:c>
      <x:c r="AT83" s="64" t="n">
        <x:f>(1-div_rel)*AS82/Economy!B82</x:f>
        <x:v>0.014588114149638268</x:v>
      </x:c>
      <x:c r="AU83" s="47" t="n">
        <x:f>AU82*(1-skill_ret)+AE83</x:f>
        <x:v>224713.95990297003</x:v>
      </x:c>
      <x:c r="AV83" s="47" t="n">
        <x:f>AV82*(1+union_nat)+AR83</x:f>
        <x:v>2909087.9047312206</x:v>
      </x:c>
      <x:c r="AW83" s="47" t="n">
        <x:f>AW82*(1+union_nat)+AE83*family_mult</x:f>
        <x:v>919152.0348452149</x:v>
      </x:c>
      <x:c r="AX83" s="67" t="n">
        <x:f>V83-(AV83+AW83)/1000000</x:f>
        <x:v>81.07176006042357</x:v>
      </x:c>
      <x:c r="AY83" s="47" t="n">
        <x:f>L83*gw_union</x:f>
        <x:v>166435.912405221</x:v>
      </x:c>
      <x:c r="AZ83" s="46" t="n">
        <x:v>1.061</x:v>
      </x:c>
      <x:c r="BA83" s="47" t="n">
        <x:f>Economy!Q83*AZ83/lf_rate</x:f>
        <x:v>1945.1666666666665</x:v>
      </x:c>
      <x:c r="BB83" s="64" t="n">
        <x:f>bd_growth*AU82/W82</x:f>
        <x:v>0.0015572337357103309</x:v>
      </x:c>
      <x:c r="BC83" s="64" t="n">
        <x:f>tg_k*MIN(1,Economy!O82/BK82)</x:f>
        <x:v>0.0017585727800047417</x:v>
      </x:c>
      <x:c r="BD83" s="64" t="n">
        <x:f>emu_g*S83</x:f>
        <x:v>0.0015</x:v>
      </x:c>
      <x:c r="BE83" s="65" t="n">
        <x:f>BE82*(1-BB83-BC83+BD83)</x:f>
        <x:v>0.9443249915056163</x:v>
      </x:c>
      <x:c r="BF83" s="46" t="n">
        <x:v>1</x:v>
      </x:c>
      <x:c r="BG83" s="53" t="n">
        <x:f>AU83*BA83*BE83*(skill_rel-1+skill_spill)/1000000</x:f>
        <x:v>536.601283745756</x:v>
      </x:c>
      <x:c r="BH83" s="53" t="n">
        <x:f>union_disp*(Champions!AP83+Champions!AZ83)*(1-IF(union_resp=2,mkt_cut*S83,0))</x:f>
        <x:v>669.3184759550517</x:v>
      </x:c>
      <x:c r="BI83" s="53" t="n">
        <x:f>AY83*BA83*BE83/1000000</x:f>
        <x:v>305.72105053225175</x:v>
      </x:c>
      <x:c r="BJ83" s="47" t="n">
        <x:f>V83*Economy!Q83*AZ83</x:f>
        <x:v>69360.753</x:v>
      </x:c>
      <x:c r="BK83" s="47" t="n">
        <x:f>MAX(0.3*BJ83,AX83*Economy!Q83*AZ83*BE83*BF83-BG83-BH83-BI83)</x:f>
        <x:v>61034.0212666338</x:v>
      </x:c>
      <x:c r="BL83" s="63" t="n">
        <x:f>1-BK83/BJ83</x:f>
        <x:v>0.12004961557101612</x:v>
      </x:c>
      <x:c r="BM83" s="47" t="n">
        <x:f>MAX(0,BH83-BH82)*1000000/BA83</x:f>
        <x:v>45550.105759341626</x:v>
      </x:c>
      <x:c r="BN83" s="47" t="n">
        <x:f>BN82*(1-IF(AND($A83&gt;=1930,$A83&lt;=1932),0,union_reabsorb))+BM83</x:f>
        <x:v>124105.55437660663</x:v>
      </x:c>
      <x:c r="BO83" s="59" t="n">
        <x:v>0.024</x:v>
      </x:c>
      <x:c r="BP83" s="63" t="n">
        <x:f>BO83+BN83/(AX83*1000000*lf_rate)</x:f>
        <x:v>0.027644788456080954</x:v>
      </x:c>
    </x:row>
    <x:row r="84">
      <x:c r="A84" s="58" t="n">
        <x:v>1924</x:v>
      </x:c>
      <x:c r="B84" s="47" t="n">
        <x:f>Economy!B84*lf_rate</x:f>
        <x:v>8921215.863413498</x:v>
      </x:c>
      <x:c r="C84" s="47" t="n">
        <x:f>Economy!O84*1000000/(B84+L84)</x:f>
        <x:v>3855.3922627277852</x:v>
      </x:c>
      <x:c r="D84" s="47" t="n">
        <x:f>Champions!AP84*1000000/(C84*champ_prem)</x:f>
        <x:v>404865.27485326934</x:v>
      </x:c>
      <x:c r="E84" s="47" t="n">
        <x:f>D84*job_mult</x:f>
        <x:v>283405.6923972885</x:v>
      </x:c>
      <x:c r="F84" s="47" t="n">
        <x:f>D84+E84</x:f>
        <x:v>688270.9672505578</x:v>
      </x:c>
      <x:c r="G84" s="63" t="n">
        <x:f>F84/B84</x:f>
        <x:v>0.07714990622222281</x:v>
      </x:c>
      <x:c r="H84" s="47" t="n">
        <x:f>F84-F83</x:f>
        <x:v>55253.06435962324</x:v>
      </x:c>
      <x:c r="I84" s="63" t="n">
        <x:f>MAX(0.005,pac_u_base*IF(Paths!AC84=1,pac_u_war,1)+(okun*(1-Economy!G84)*(B84+L84)-MAX(0,L83-L84))/B84)</x:f>
        <x:v>0.015</x:v>
      </x:c>
      <x:c r="J84" s="47" t="n">
        <x:f>IF(AND(gw_on=1,$A84&gt;=gw_start),MIN(gw_cap*B83,gw_cover*F83+gw_gen*B83),0)</x:f>
        <x:v>1068351.4874362766</x:v>
      </x:c>
      <x:c r="K84" s="47" t="n">
        <x:f>L83*gw_conv</x:f>
        <x:v>24965.386860783146</x:v>
      </x:c>
      <x:c r="L84" s="47" t="n">
        <x:f>MAX(0,L83-K84+gw_adj*(J84-L83))*MAX(0,1-gw_slump*(1-Economy!G84))</x:f>
        <x:v>901682.9453293905</x:v>
      </x:c>
      <x:c r="M84" s="47" t="n">
        <x:f>MAX(0,L84-L83+L83/gw_term)</x:f>
        <x:v>346896.5706453205</x:v>
      </x:c>
      <x:c r="N84" s="63" t="n">
        <x:f>L84/B84</x:f>
        <x:v>0.1010717551435172</x:v>
      </x:c>
      <x:c r="O84" s="53" t="n">
        <x:f>Economy!L84</x:f>
        <x:v>2032.9180190735779</x:v>
      </x:c>
      <x:c r="P84" s="53" t="n">
        <x:f>O84*gw_wage_share</x:f>
        <x:v>1321.3967123978257</x:v>
      </x:c>
      <x:c r="Q84" s="53" t="n">
        <x:f>P84*gw_levy</x:f>
        <x:v>330.3491780994564</x:v>
      </x:c>
      <x:c r="R84" s="53" t="n">
        <x:f>P84*gw_remit</x:f>
        <x:v>330.3491780994564</x:v>
      </x:c>
      <x:c r="S84" s="63" t="n">
        <x:f>IF(union_resp&gt;=1,MIN(1,MAX(0,($A84-resp_start)/(resp_full-resp_start))),0)</x:f>
        <x:v>1</x:v>
      </x:c>
      <x:c r="T84" s="67" t="n">
        <x:f>Economy!R83</x:f>
        <x:v>2.1567389955448464</x:v>
      </x:c>
      <x:c r="U84" s="67" t="n">
        <x:f>MAX(0,T84-gap_base)</x:f>
        <x:v>0.6567389955448464</x:v>
      </x:c>
      <x:c r="V84" s="68" t="n">
        <x:v>85.87</x:v>
      </x:c>
      <x:c r="W84" s="47" t="n">
        <x:f>V84*1000000*lf_rate*union_skill_share</x:f>
        <x:v>4327848</x:v>
      </x:c>
      <x:c r="X84" s="45" t="n">
        <x:v>153000</x:v>
      </x:c>
      <x:c r="Y84" s="47" t="n">
        <x:f>IF(AND(mig_endo=1,$A84&gt;=talent_start),talent_rate_u*W84*U84*(1-(1-bd_keep)*S84),0)</x:f>
        <x:v>9464.74760614127</x:v>
      </x:c>
      <x:c r="Z84" s="47" t="n">
        <x:f>IF(AND(mig_endo=1,$A84&gt;=talent_start),X84*MIN(0.5,talent_share_o*U84)*(1-eu_comp*S84),0)</x:f>
        <x:v>18990.92153417032</x:v>
      </x:c>
      <x:c r="AA84" s="45" t="n">
        <x:v>98000</x:v>
      </x:c>
      <x:c r="AB84" s="47" t="n">
        <x:f>IF(AND(mig_endo=1,$A84&gt;=talent_start),AA84*MIN(0.5,talent_share_a*U84),0)</x:f>
        <x:v>12872.084312678991</x:v>
      </x:c>
      <x:c r="AC84" s="47" t="n">
        <x:f>entry_cap*People!B84</x:f>
        <x:v>62606.95093754533</x:v>
      </x:c>
      <x:c r="AD84" s="47" t="n">
        <x:f>MIN(AC84,Y84+Z84+AB84)</x:f>
        <x:v>41327.75345299058</x:v>
      </x:c>
      <x:c r="AE84" s="47" t="n">
        <x:f>IF(Y84+Z84+AB84&gt;0,AD84*Y84/(Y84+Z84+AB84),0)</x:f>
        <x:v>9464.74760614127</x:v>
      </x:c>
      <x:c r="AF84" s="47" t="n">
        <x:f>IF(Y84+Z84+AB84&gt;0,AD84*AB84/(Y84+Z84+AB84),0)</x:f>
        <x:v>12872.084312678991</x:v>
      </x:c>
      <x:c r="AG84" s="47" t="n">
        <x:f>AD84*family_mult</x:f>
        <x:v>90921.0575965793</x:v>
      </x:c>
      <x:c r="AH84" s="47" t="n">
        <x:f>AH83*(1+Paths!C84)+AG84</x:f>
        <x:v>2751928.8876244947</x:v>
      </x:c>
      <x:c r="AI84" s="47" t="n">
        <x:f>IF(AND(mig_endo=1,$A84&gt;=talent_start),chain_rate*AH83,0)</x:f>
        <x:v>39325.23886740762</x:v>
      </x:c>
      <x:c r="AJ84" s="47" t="n">
        <x:f>IF(AND(mig_endo=1,$A84&gt;=talent_start),IF(H83&gt;0,H83*job_fill,H83*job_return)*job_family,0)</x:f>
        <x:v>29743.73581678734</x:v>
      </x:c>
      <x:c r="AK84" s="47" t="n">
        <x:f>K84*gw_conv_family</x:f>
        <x:v>44937.69634940966</x:v>
      </x:c>
      <x:c r="AL84" s="47" t="n">
        <x:f>AG84+AI84+AJ84+AK84+AR84</x:f>
        <x:v>285378.2555844276</x:v>
      </x:c>
      <x:c r="AM84" s="47" t="n">
        <x:f>AM83*(1-skill_ret)+AD84</x:f>
        <x:v>698627.7134402086</x:v>
      </x:c>
      <x:c r="AN84" s="64" t="n">
        <x:f>AM84/B84</x:f>
        <x:v>0.07831081818178254</x:v>
      </x:c>
      <x:c r="AO84" s="64" t="n">
        <x:f>(skill_rel-1+skill_spill)*AM83/B83-AT84</x:f>
        <x:v>0.08765961270693332</x:v>
      </x:c>
      <x:c r="AP84" s="64" t="n">
        <x:f>talent_champ*AM83/(skill_base_share*B83)</x:f>
        <x:v>0.15665682748881726</x:v>
      </x:c>
      <x:c r="AQ84" s="45" t="n">
        <x:v>700000</x:v>
      </x:c>
      <x:c r="AR84" s="47" t="n">
        <x:f>IF(AND(div_on=1,$A84&gt;=div_start),AQ84*MIN(div_max,div_rate*U84)*(1-div_comp*S84),0)</x:f>
        <x:v>80450.52695424367</x:v>
      </x:c>
      <x:c r="AS84" s="47" t="n">
        <x:f>AS83*(1-div_assim)+AR84</x:f>
        <x:v>1183669.7649630222</x:v>
      </x:c>
      <x:c r="AT84" s="64" t="n">
        <x:f>(1-div_rel)*AS83/Economy!B83</x:f>
        <x:v>0.014167325160797896</x:v>
      </x:c>
      <x:c r="AU84" s="47" t="n">
        <x:f>AU83*(1-skill_ret)+AE84</x:f>
        <x:v>228560.85851153705</x:v>
      </x:c>
      <x:c r="AV84" s="47" t="n">
        <x:f>AV83*(1+union_nat)+AR84</x:f>
        <x:v>3027356.57444697</x:v>
      </x:c>
      <x:c r="AW84" s="47" t="n">
        <x:f>AW83*(1+union_nat)+AE84*family_mult</x:f>
        <x:v>951923.4560317135</x:v>
      </x:c>
      <x:c r="AX84" s="67" t="n">
        <x:f>V84-(AV84+AW84)/1000000</x:f>
        <x:v>81.89071996952131</x:v>
      </x:c>
      <x:c r="AY84" s="47" t="n">
        <x:f>L84*gw_union</x:f>
        <x:v>180336.5890658781</x:v>
      </x:c>
      <x:c r="AZ84" s="46" t="n">
        <x:v>1.062</x:v>
      </x:c>
      <x:c r="BA84" s="47" t="n">
        <x:f>Economy!Q84*AZ84/lf_rate</x:f>
        <x:v>1921.7142857142858</x:v>
      </x:c>
      <x:c r="BB84" s="64" t="n">
        <x:f>bd_growth*AU83/W83</x:f>
        <x:v>0.0015754806768675334</x:v>
      </x:c>
      <x:c r="BC84" s="64" t="n">
        <x:f>tg_k*MIN(1,Economy!O83/BK83)</x:f>
        <x:v>0.0017406670278246892</x:v>
      </x:c>
      <x:c r="BD84" s="64" t="n">
        <x:f>emu_g*S84</x:f>
        <x:v>0.0015</x:v>
      </x:c>
      <x:c r="BE84" s="65" t="n">
        <x:f>BE83*(1-BB84-BC84+BD84)</x:f>
        <x:v>0.9426099578398098</x:v>
      </x:c>
      <x:c r="BF84" s="46" t="n">
        <x:v>1</x:v>
      </x:c>
      <x:c r="BG84" s="53" t="n">
        <x:f>AU84*BA84*BE84*(skill_rel-1+skill_spill)/1000000</x:f>
        <x:v>538.22770981477</x:v>
      </x:c>
      <x:c r="BH84" s="53" t="n">
        <x:f>union_disp*(Champions!AP84+Champions!AZ84)*(1-IF(union_resp=2,mkt_cut*S84,0))</x:f>
        <x:v>742.0146157910701</x:v>
      </x:c>
      <x:c r="BI84" s="53" t="n">
        <x:f>AY84*BA84*BE84/1000000</x:f>
        <x:v>326.66657045990115</x:v>
      </x:c>
      <x:c r="BJ84" s="47" t="n">
        <x:f>V84*Economy!Q84*AZ84</x:f>
        <x:v>69307.3944</x:v>
      </x:c>
      <x:c r="BK84" s="47" t="n">
        <x:f>MAX(0.3*BJ84,AX84*Economy!Q84*AZ84*BE84*BF84-BG84-BH84-BI84)</x:f>
        <x:v>60695.49755994534</x:v>
      </x:c>
      <x:c r="BL84" s="63" t="n">
        <x:f>1-BK84/BJ84</x:f>
        <x:v>0.12425653733787845</x:v>
      </x:c>
      <x:c r="BM84" s="47" t="n">
        <x:f>MAX(0,BH84-BH83)*1000000/BA84</x:f>
        <x:v>37828.797119545736</x:v>
      </x:c>
      <x:c r="BN84" s="47" t="n">
        <x:f>BN83*(1-IF(AND($A84&gt;=1930,$A84&lt;=1932),0,union_reabsorb))+BM84</x:f>
        <x:v>130907.96290200071</x:v>
      </x:c>
      <x:c r="BO84" s="59" t="n">
        <x:v>0.028</x:v>
      </x:c>
      <x:c r="BP84" s="63" t="n">
        <x:f>BO84+BN84/(AX84*1000000*lf_rate)</x:f>
        <x:v>0.03180611656697059</x:v>
      </x:c>
    </x:row>
    <x:row r="85">
      <x:c r="A85" s="58" t="n">
        <x:v>1925</x:v>
      </x:c>
      <x:c r="B85" s="47" t="n">
        <x:f>Economy!B85*lf_rate</x:f>
        <x:v>9232074.06725893</x:v>
      </x:c>
      <x:c r="C85" s="47" t="n">
        <x:f>Economy!O85*1000000/(B85+L85)</x:f>
        <x:v>4018.277659403065</x:v>
      </x:c>
      <x:c r="D85" s="47" t="n">
        <x:f>Champions!AP85*1000000/(C85*champ_prem)</x:f>
        <x:v>422766.6537843208</x:v>
      </x:c>
      <x:c r="E85" s="47" t="n">
        <x:f>D85*job_mult</x:f>
        <x:v>295936.65764902456</x:v>
      </x:c>
      <x:c r="F85" s="47" t="n">
        <x:f>D85+E85</x:f>
        <x:v>718703.3114333453</x:v>
      </x:c>
      <x:c r="G85" s="63" t="n">
        <x:f>F85/B85</x:f>
        <x:v>0.07784852094960863</x:v>
      </x:c>
      <x:c r="H85" s="47" t="n">
        <x:f>F85-F84</x:f>
        <x:v>30432.344182787463</x:v>
      </x:c>
      <x:c r="I85" s="63" t="n">
        <x:f>MAX(0.005,pac_u_base*IF(Paths!AC85=1,pac_u_war,1)+(okun*(1-Economy!G85)*(B85+L85)-MAX(0,L84-L85))/B85)</x:f>
        <x:v>0.015</x:v>
      </x:c>
      <x:c r="J85" s="47" t="n">
        <x:f>IF(AND(gw_on=1,$A85&gt;=gw_start),MIN(gw_cap*B84,gw_cover*F84+gw_gen*B84),0)</x:f>
        <x:v>1126659.8494234146</x:v>
      </x:c>
      <x:c r="K85" s="47" t="n">
        <x:f>L84*gw_conv</x:f>
        <x:v>27050.488359881714</x:v>
      </x:c>
      <x:c r="L85" s="47" t="n">
        <x:f>MAX(0,L84-K85+gw_adj*(J85-L84))*MAX(0,1-gw_slump*(1-Economy!G85))</x:f>
        <x:v>964623.2186071185</x:v>
      </x:c>
      <x:c r="M85" s="47" t="n">
        <x:f>MAX(0,L85-L84+L84/gw_term)</x:f>
        <x:v>363501.2550541915</x:v>
      </x:c>
      <x:c r="N85" s="63" t="n">
        <x:f>L85/B85</x:f>
        <x:v>0.1044860788138718</x:v>
      </x:c>
      <x:c r="O85" s="53" t="n">
        <x:f>Economy!L85</x:f>
        <x:v>2269.615130728837</x:v>
      </x:c>
      <x:c r="P85" s="53" t="n">
        <x:f>O85*gw_wage_share</x:f>
        <x:v>1475.249834973744</x:v>
      </x:c>
      <x:c r="Q85" s="53" t="n">
        <x:f>P85*gw_levy</x:f>
        <x:v>368.812458743436</x:v>
      </x:c>
      <x:c r="R85" s="53" t="n">
        <x:f>P85*gw_remit</x:f>
        <x:v>368.812458743436</x:v>
      </x:c>
      <x:c r="S85" s="63" t="n">
        <x:f>IF(union_resp&gt;=1,MIN(1,MAX(0,($A85-resp_start)/(resp_full-resp_start))),0)</x:f>
        <x:v>1</x:v>
      </x:c>
      <x:c r="T85" s="67" t="n">
        <x:f>Economy!R84</x:f>
        <x:v>2.2504252963246096</x:v>
      </x:c>
      <x:c r="U85" s="67" t="n">
        <x:f>MAX(0,T85-gap_base)</x:f>
        <x:v>0.7504252963246096</x:v>
      </x:c>
      <x:c r="V85" s="68" t="n">
        <x:v>86.83</x:v>
      </x:c>
      <x:c r="W85" s="47" t="n">
        <x:f>V85*1000000*lf_rate*union_skill_share</x:f>
        <x:v>4376232</x:v>
      </x:c>
      <x:c r="X85" s="45" t="n">
        <x:v>147000</x:v>
      </x:c>
      <x:c r="Y85" s="47" t="n">
        <x:f>IF(AND(mig_endo=1,$A85&gt;=talent_start),talent_rate_u*W85*U85*(1-(1-bd_keep)*S85),0)</x:f>
        <x:v>10935.837200632845</x:v>
      </x:c>
      <x:c r="Z85" s="47" t="n">
        <x:f>IF(AND(mig_endo=1,$A85&gt;=talent_start),X85*MIN(0.5,talent_share_o*U85)*(1-eu_comp*S85),0)</x:f>
        <x:v>20849.06600778663</x:v>
      </x:c>
      <x:c r="AA85" s="45" t="n">
        <x:v>102000</x:v>
      </x:c>
      <x:c r="AB85" s="47" t="n">
        <x:f>IF(AND(mig_endo=1,$A85&gt;=talent_start),AA85*MIN(0.5,talent_share_a*U85),0)</x:f>
        <x:v>15308.676045022037</x:v>
      </x:c>
      <x:c r="AC85" s="47" t="n">
        <x:f>entry_cap*People!B85</x:f>
        <x:v>64838.989968361784</x:v>
      </x:c>
      <x:c r="AD85" s="47" t="n">
        <x:f>MIN(AC85,Y85+Z85+AB85)</x:f>
        <x:v>47093.579253441516</x:v>
      </x:c>
      <x:c r="AE85" s="47" t="n">
        <x:f>IF(Y85+Z85+AB85&gt;0,AD85*Y85/(Y85+Z85+AB85),0)</x:f>
        <x:v>10935.837200632845</x:v>
      </x:c>
      <x:c r="AF85" s="47" t="n">
        <x:f>IF(Y85+Z85+AB85&gt;0,AD85*AB85/(Y85+Z85+AB85),0)</x:f>
        <x:v>15308.676045022037</x:v>
      </x:c>
      <x:c r="AG85" s="47" t="n">
        <x:f>AD85*family_mult</x:f>
        <x:v>103605.87435757135</x:v>
      </x:c>
      <x:c r="AH85" s="47" t="n">
        <x:f>AH84*(1+Paths!C85)+AG85</x:f>
        <x:v>2896813.6952964333</x:v>
      </x:c>
      <x:c r="AI85" s="47" t="n">
        <x:f>IF(AND(mig_endo=1,$A85&gt;=talent_start),chain_rate*AH84,0)</x:f>
        <x:v>41278.93331436742</x:v>
      </x:c>
      <x:c r="AJ85" s="47" t="n">
        <x:f>IF(AND(mig_endo=1,$A85&gt;=talent_start),IF(H84&gt;0,H84*job_fill,H84*job_return)*job_family,0)</x:f>
        <x:v>34809.430546562646</x:v>
      </x:c>
      <x:c r="AK85" s="47" t="n">
        <x:f>K85*gw_conv_family</x:f>
        <x:v>48690.879047787086</x:v>
      </x:c>
      <x:c r="AL85" s="47" t="n">
        <x:f>AG85+AI85+AJ85+AK85+AR85</x:f>
        <x:v>266469.2010547624</x:v>
      </x:c>
      <x:c r="AM85" s="47" t="n">
        <x:f>AM84*(1-skill_ret)+AD85</x:f>
        <x:v>728255.5998576449</x:v>
      </x:c>
      <x:c r="AN85" s="64" t="n">
        <x:f>AM85/B85</x:f>
        <x:v>0.07888320593531258</x:v>
      </x:c>
      <x:c r="AO85" s="64" t="n">
        <x:f>(skill_rel-1+skill_spill)*AM84/B84-AT85</x:f>
        <x:v>0.08787263016088492</x:v>
      </x:c>
      <x:c r="AP85" s="64" t="n">
        <x:f>talent_champ*AM84/(skill_base_share*B84)</x:f>
        <x:v>0.1566216363635651</x:v>
      </x:c>
      <x:c r="AQ85" s="45" t="n">
        <x:v>290000</x:v>
      </x:c>
      <x:c r="AR85" s="47" t="n">
        <x:f>IF(AND(div_on=1,$A85&gt;=div_start),AQ85*MIN(div_max,div_rate*U85)*(1-div_comp*S85),0)</x:f>
        <x:v>38084.08378847394</x:v>
      </x:c>
      <x:c r="AS85" s="47" t="n">
        <x:f>AS84*(1-div_assim)+AR85</x:f>
        <x:v>1162570.3605033448</x:v>
      </x:c>
      <x:c r="AT85" s="64" t="n">
        <x:f>(1-div_rel)*AS84/Economy!B84</x:f>
        <x:v>0.013931433475432397</x:v>
      </x:c>
      <x:c r="AU85" s="47" t="n">
        <x:f>AU84*(1-skill_ret)+AE85</x:f>
        <x:v>233782.67424938147</x:v>
      </x:c>
      <x:c r="AV85" s="47" t="n">
        <x:f>AV84*(1+union_nat)+AR85</x:f>
        <x:v>3104796.2937032543</x:v>
      </x:c>
      <x:c r="AW85" s="47" t="n">
        <x:f>AW84*(1+union_nat)+AE85*family_mult</x:f>
        <x:v>988357.3028015179</x:v>
      </x:c>
      <x:c r="AX85" s="67" t="n">
        <x:f>V85-(AV85+AW85)/1000000</x:f>
        <x:v>82.73684640349522</x:v>
      </x:c>
      <x:c r="AY85" s="47" t="n">
        <x:f>L85*gw_union</x:f>
        <x:v>192924.6437214237</x:v>
      </x:c>
      <x:c r="AZ85" s="46" t="n">
        <x:v>1.063</x:v>
      </x:c>
      <x:c r="BA85" s="47" t="n">
        <x:f>Economy!Q85*AZ85/lf_rate</x:f>
        <x:v>1991.8595238095236</x:v>
      </x:c>
      <x:c r="BB85" s="64" t="n">
        <x:f>bd_growth*AU84/W84</x:f>
        <x:v>0.0015843499483683603</x:v>
      </x:c>
      <x:c r="BC85" s="64" t="n">
        <x:f>tg_k*MIN(1,Economy!O84/BK84)</x:f>
        <x:v>0.0018718585193596398</x:v>
      </x:c>
      <x:c r="BD85" s="64" t="n">
        <x:f>emu_g*S85</x:f>
        <x:v>0.0015</x:v>
      </x:c>
      <x:c r="BE85" s="65" t="n">
        <x:f>BE84*(1-BB85-BC85+BD85)</x:f>
        <x:v>0.9407660162585189</x:v>
      </x:c>
      <x:c r="BF85" s="46" t="n">
        <x:v>1</x:v>
      </x:c>
      <x:c r="BG85" s="53" t="n">
        <x:f>AU85*BA85*BE85*(skill_rel-1+skill_spill)/1000000</x:f>
        <x:v>569.5029811699076</x:v>
      </x:c>
      <x:c r="BH85" s="53" t="n">
        <x:f>union_disp*(Champions!AP85+Champions!AZ85)*(1-IF(union_resp=2,mkt_cut*S85,0))</x:f>
        <x:v>804.5144762759284</x:v>
      </x:c>
      <x:c r="BI85" s="53" t="n">
        <x:f>AY85*BA85*BE85/1000000</x:f>
        <x:v>361.51642543579044</x:v>
      </x:c>
      <x:c r="BJ85" s="47" t="n">
        <x:f>V85*Economy!Q85*AZ85</x:f>
        <x:v>72640.32822999998</x:v>
      </x:c>
      <x:c r="BK85" s="47" t="n">
        <x:f>MAX(0.3*BJ85,AX85*Economy!Q85*AZ85*BE85*BF85-BG85-BH85-BI85)</x:f>
        <x:v>63380.59603394172</x:v>
      </x:c>
      <x:c r="BL85" s="63" t="n">
        <x:f>1-BK85/BJ85</x:f>
        <x:v>0.12747371083923675</x:v>
      </x:c>
      <x:c r="BM85" s="47" t="n">
        <x:f>MAX(0,BH85-BH84)*1000000/BA85</x:f>
        <x:v>31377.644727337174</x:v>
      </x:c>
      <x:c r="BN85" s="47" t="n">
        <x:f>BN84*(1-IF(AND($A85&gt;=1930,$A85&lt;=1932),0,union_reabsorb))+BM85</x:f>
        <x:v>129558.61690383771</x:v>
      </x:c>
      <x:c r="BO85" s="59" t="n">
        <x:v>0.032</x:v>
      </x:c>
      <x:c r="BP85" s="63" t="n">
        <x:f>BO85+BN85/(AX85*1000000*lf_rate)</x:f>
        <x:v>0.03572836179766526</x:v>
      </x:c>
    </x:row>
    <x:row r="86">
      <x:c r="A86" s="58" t="n">
        <x:v>1926</x:v>
      </x:c>
      <x:c r="B86" s="47" t="n">
        <x:f>Economy!B86*lf_rate</x:f>
        <x:v>9542131.16561618</x:v>
      </x:c>
      <x:c r="C86" s="47" t="n">
        <x:f>Economy!O86*1000000/(B86+L86)</x:f>
        <x:v>4051.253524238138</x:v>
      </x:c>
      <x:c r="D86" s="47" t="n">
        <x:f>Champions!AP86*1000000/(C86*champ_prem)</x:f>
        <x:v>453431.7889722912</x:v>
      </x:c>
      <x:c r="E86" s="47" t="n">
        <x:f>D86*job_mult</x:f>
        <x:v>317402.25228060386</x:v>
      </x:c>
      <x:c r="F86" s="47" t="n">
        <x:f>D86+E86</x:f>
        <x:v>770834.041252895</x:v>
      </x:c>
      <x:c r="G86" s="63" t="n">
        <x:f>F86/B86</x:f>
        <x:v>0.08078216782750738</x:v>
      </x:c>
      <x:c r="H86" s="47" t="n">
        <x:f>F86-F85</x:f>
        <x:v>52130.72981954971</x:v>
      </x:c>
      <x:c r="I86" s="63" t="n">
        <x:f>MAX(0.005,pac_u_base*IF(Paths!AC86=1,pac_u_war,1)+(okun*(1-Economy!G86)*(B86+L86)-MAX(0,L85-L86))/B86)</x:f>
        <x:v>0.015</x:v>
      </x:c>
      <x:c r="J86" s="47" t="n">
        <x:f>IF(AND(gw_on=1,$A86&gt;=gw_start),MIN(gw_cap*B85,gw_cover*F85+gw_gen*B85),0)</x:f>
        <x:v>1169787.9122407215</x:v>
      </x:c>
      <x:c r="K86" s="47" t="n">
        <x:f>L85*gw_conv</x:f>
        <x:v>28938.696558213553</x:v>
      </x:c>
      <x:c r="L86" s="47" t="n">
        <x:f>MAX(0,L85-K86+gw_adj*(J86-L85))*MAX(0,1-gw_slump*(1-Economy!G86))</x:f>
        <x:v>1017750.3995023462</x:v>
      </x:c>
      <x:c r="M86" s="47" t="n">
        <x:f>MAX(0,L86-L85+L85/gw_term)</x:f>
        <x:v>374668.2537642672</x:v>
      </x:c>
      <x:c r="N86" s="63" t="n">
        <x:f>L86/B86</x:f>
        <x:v>0.10665860506819236</x:v>
      </x:c>
      <x:c r="O86" s="53" t="n">
        <x:f>Economy!L86</x:f>
        <x:v>2411.799309380325</x:v>
      </x:c>
      <x:c r="P86" s="53" t="n">
        <x:f>O86*gw_wage_share</x:f>
        <x:v>1567.6695510972115</x:v>
      </x:c>
      <x:c r="Q86" s="53" t="n">
        <x:f>P86*gw_levy</x:f>
        <x:v>391.9173877743029</x:v>
      </x:c>
      <x:c r="R86" s="53" t="n">
        <x:f>P86*gw_remit</x:f>
        <x:v>391.9173877743029</x:v>
      </x:c>
      <x:c r="S86" s="63" t="n">
        <x:f>IF(union_resp&gt;=1,MIN(1,MAX(0,($A86-resp_start)/(resp_full-resp_start))),0)</x:f>
        <x:v>1</x:v>
      </x:c>
      <x:c r="T86" s="67" t="n">
        <x:f>Economy!R85</x:f>
        <x:v>2.268937026698722</x:v>
      </x:c>
      <x:c r="U86" s="67" t="n">
        <x:f>MAX(0,T86-gap_base)</x:f>
        <x:v>0.7689370266987221</x:v>
      </x:c>
      <x:c r="V86" s="68" t="n">
        <x:v>87.8</x:v>
      </x:c>
      <x:c r="W86" s="47" t="n">
        <x:f>V86*1000000*lf_rate*union_skill_share</x:f>
        <x:v>4425120</x:v>
      </x:c>
      <x:c r="X86" s="45" t="n">
        <x:v>140000</x:v>
      </x:c>
      <x:c r="Y86" s="47" t="n">
        <x:f>IF(AND(mig_endo=1,$A86&gt;=talent_start),talent_rate_u*W86*U86*(1-(1-bd_keep)*S86),0)</x:f>
        <x:v>11330.786589898213</x:v>
      </x:c>
      <x:c r="Z86" s="47" t="n">
        <x:f>IF(AND(mig_endo=1,$A86&gt;=talent_start),X86*MIN(0.5,talent_share_o*U86)*(1-eu_comp*S86),0)</x:f>
        <x:v>20346.073726448187</x:v>
      </x:c>
      <x:c r="AA86" s="45" t="n">
        <x:v>107000</x:v>
      </x:c>
      <x:c r="AB86" s="47" t="n">
        <x:f>IF(AND(mig_endo=1,$A86&gt;=talent_start),AA86*MIN(0.5,talent_share_a*U86),0)</x:f>
        <x:v>16455.252371352657</x:v>
      </x:c>
      <x:c r="AC86" s="47" t="n">
        <x:f>entry_cap*People!B86</x:f>
        <x:v>67047.7824210515</x:v>
      </x:c>
      <x:c r="AD86" s="47" t="n">
        <x:f>MIN(AC86,Y86+Z86+AB86)</x:f>
        <x:v>48132.11268769906</x:v>
      </x:c>
      <x:c r="AE86" s="47" t="n">
        <x:f>IF(Y86+Z86+AB86&gt;0,AD86*Y86/(Y86+Z86+AB86),0)</x:f>
        <x:v>11330.786589898213</x:v>
      </x:c>
      <x:c r="AF86" s="47" t="n">
        <x:f>IF(Y86+Z86+AB86&gt;0,AD86*AB86/(Y86+Z86+AB86),0)</x:f>
        <x:v>16455.252371352657</x:v>
      </x:c>
      <x:c r="AG86" s="47" t="n">
        <x:f>AD86*family_mult</x:f>
        <x:v>105890.64791293794</x:v>
      </x:c>
      <x:c r="AH86" s="47" t="n">
        <x:f>AH85*(1+Paths!C86)+AG86</x:f>
        <x:v>3046156.548638818</x:v>
      </x:c>
      <x:c r="AI86" s="47" t="n">
        <x:f>IF(AND(mig_endo=1,$A86&gt;=talent_start),chain_rate*AH85,0)</x:f>
        <x:v>43452.2054294465</x:v>
      </x:c>
      <x:c r="AJ86" s="47" t="n">
        <x:f>IF(AND(mig_endo=1,$A86&gt;=talent_start),IF(H85&gt;0,H85*job_fill,H85*job_return)*job_family,0)</x:f>
        <x:v>19172.3768351561</x:v>
      </x:c>
      <x:c r="AK86" s="47" t="n">
        <x:f>K86*gw_conv_family</x:f>
        <x:v>52089.65380478439</x:v>
      </x:c>
      <x:c r="AL86" s="47" t="n">
        <x:f>AG86+AI86+AJ86+AK86+AR86</x:f>
        <x:v>259359.31012794055</x:v>
      </x:c>
      <x:c r="AM86" s="47" t="n">
        <x:f>AM85*(1-skill_ret)+AD86</x:f>
        <x:v>758181.3225489028</x:v>
      </x:c>
      <x:c r="AN86" s="64" t="n">
        <x:f>AM86/B86</x:f>
        <x:v>0.07945618325609585</x:v>
      </x:c>
      <x:c r="AO86" s="64" t="n">
        <x:f>(skill_rel-1+skill_spill)*AM85/B85-AT86</x:f>
        <x:v>0.08932579894335005</x:v>
      </x:c>
      <x:c r="AP86" s="64" t="n">
        <x:f>talent_champ*AM85/(skill_base_share*B85)</x:f>
        <x:v>0.15776641187062515</x:v>
      </x:c>
      <x:c r="AQ86" s="45" t="n">
        <x:v>288000</x:v>
      </x:c>
      <x:c r="AR86" s="47" t="n">
        <x:f>IF(AND(div_on=1,$A86&gt;=div_start),AQ86*MIN(div_max,div_rate*U86)*(1-div_comp*S86),0)</x:f>
        <x:v>38754.426145615595</x:v>
      </x:c>
      <x:c r="AS86" s="47" t="n">
        <x:f>AS85*(1-div_assim)+AR86</x:f>
        <x:v>1143196.268623793</x:v>
      </x:c>
      <x:c r="AT86" s="64" t="n">
        <x:f>(1-div_rel)*AS85/Economy!B85</x:f>
        <x:v>0.01322236877255629</x:v>
      </x:c>
      <x:c r="AU86" s="47" t="n">
        <x:f>AU85*(1-skill_ret)+AE86</x:f>
        <x:v>239268.89398304513</x:v>
      </x:c>
      <x:c r="AV86" s="47" t="n">
        <x:f>AV85*(1+union_nat)+AR86</x:f>
        <x:v>3183913.071667012</x:v>
      </x:c>
      <x:c r="AW86" s="47" t="n">
        <x:f>AW85*(1+union_nat)+AE86*family_mult</x:f>
        <x:v>1026133.6782357136</x:v>
      </x:c>
      <x:c r="AX86" s="67" t="n">
        <x:f>V86-(AV86+AW86)/1000000</x:f>
        <x:v>83.58995325009727</x:v>
      </x:c>
      <x:c r="AY86" s="47" t="n">
        <x:f>L86*gw_union</x:f>
        <x:v>203550.07990046925</x:v>
      </x:c>
      <x:c r="AZ86" s="46" t="n">
        <x:v>1.064</x:v>
      </x:c>
      <x:c r="BA86" s="47" t="n">
        <x:f>Economy!Q86*AZ86/lf_rate</x:f>
        <x:v>2077.3333333333335</x:v>
      </x:c>
      <x:c r="BB86" s="64" t="n">
        <x:f>bd_growth*AU85/W85</x:f>
        <x:v>0.0016026298942746738</x:v>
      </x:c>
      <x:c r="BC86" s="64" t="n">
        <x:f>tg_k*MIN(1,Economy!O85/BK85)</x:f>
        <x:v>0.0019393866640927155</x:v>
      </x:c>
      <x:c r="BD86" s="64" t="n">
        <x:f>emu_g*S86</x:f>
        <x:v>0.0015</x:v>
      </x:c>
      <x:c r="BE86" s="65" t="n">
        <x:f>BE85*(1-BB86-BC86+BD86)</x:f>
        <x:v>0.9388449564757696</x:v>
      </x:c>
      <x:c r="BF86" s="46" t="n">
        <x:v>1</x:v>
      </x:c>
      <x:c r="BG86" s="53" t="n">
        <x:f>AU86*BA86*BE86*(skill_rel-1+skill_spill)/1000000</x:f>
        <x:v>606.6380708422881</x:v>
      </x:c>
      <x:c r="BH86" s="53" t="n">
        <x:f>union_disp*(Champions!AP86+Champions!AZ86)*(1-IF(union_resp=2,mkt_cut*S86,0))</x:f>
        <x:v>870.2767896746401</x:v>
      </x:c>
      <x:c r="BI86" s="53" t="n">
        <x:f>AY86*BA86*BE86/1000000</x:f>
        <x:v>396.98248383956184</x:v>
      </x:c>
      <x:c r="BJ86" s="47" t="n">
        <x:f>V86*Economy!Q86*AZ86</x:f>
        <x:v>76603.744</x:v>
      </x:c>
      <x:c r="BK86" s="47" t="n">
        <x:f>MAX(0.3*BJ86,AX86*Economy!Q86*AZ86*BE86*BF86-BG86-BH86-BI86)</x:f>
        <x:v>66596.59334875763</x:v>
      </x:c>
      <x:c r="BL86" s="63" t="n">
        <x:f>1-BK86/BJ86</x:f>
        <x:v>0.13063526831328742</x:v>
      </x:c>
      <x:c r="BM86" s="47" t="n">
        <x:f>MAX(0,BH86-BH85)*1000000/BA86</x:f>
        <x:v>31657.08282993184</x:v>
      </x:c>
      <x:c r="BN86" s="47" t="n">
        <x:f>BN85*(1-IF(AND($A86&gt;=1930,$A86&lt;=1932),0,union_reabsorb))+BM86</x:f>
        <x:v>128826.04550781012</x:v>
      </x:c>
      <x:c r="BO86" s="59" t="n">
        <x:v>0.032</x:v>
      </x:c>
      <x:c r="BP86" s="63" t="n">
        <x:f>BO86+BN86/(AX86*1000000*lf_rate)</x:f>
        <x:v>0.03566944432739162</x:v>
      </x:c>
    </x:row>
    <x:row r="87">
      <x:c r="A87" s="58" t="n">
        <x:v>1927</x:v>
      </x:c>
      <x:c r="B87" s="47" t="n">
        <x:f>Economy!B87*lf_rate</x:f>
        <x:v>9856290.128825374</x:v>
      </x:c>
      <x:c r="C87" s="47" t="n">
        <x:f>Economy!O87*1000000/(B87+L87)</x:f>
        <x:v>4062.2289676199935</x:v>
      </x:c>
      <x:c r="D87" s="47" t="n">
        <x:f>Champions!AP87*1000000/(C87*champ_prem)</x:f>
        <x:v>491352.8338188032</x:v>
      </x:c>
      <x:c r="E87" s="47" t="n">
        <x:f>D87*job_mult</x:f>
        <x:v>343946.98367316223</x:v>
      </x:c>
      <x:c r="F87" s="47" t="n">
        <x:f>D87+E87</x:f>
        <x:v>835299.8174919654</x:v>
      </x:c>
      <x:c r="G87" s="63" t="n">
        <x:f>F87/B87</x:f>
        <x:v>0.08474789262230377</x:v>
      </x:c>
      <x:c r="H87" s="47" t="n">
        <x:f>F87-F86</x:f>
        <x:v>64465.77623907034</x:v>
      </x:c>
      <x:c r="I87" s="63" t="n">
        <x:f>MAX(0.005,pac_u_base*IF(Paths!AC87=1,pac_u_war,1)+(okun*(1-Economy!G87)*(B87+L87)-MAX(0,L86-L87))/B87)</x:f>
        <x:v>0.015</x:v>
      </x:c>
      <x:c r="J87" s="47" t="n">
        <x:f>IF(AND(gw_on=1,$A87&gt;=gw_start),MIN(gw_cap*B86,gw_cover*F86+gw_gen*B86),0)</x:f>
        <x:v>1225870.9180010315</x:v>
      </x:c>
      <x:c r="K87" s="47" t="n">
        <x:f>L86*gw_conv</x:f>
        <x:v>30532.511985070385</x:v>
      </x:c>
      <x:c r="L87" s="47" t="n">
        <x:f>MAX(0,L86-K87+gw_adj*(J87-L86))*MAX(0,1-gw_slump*(1-Economy!G87))</x:f>
        <x:v>1070466.09491675</x:v>
      </x:c>
      <x:c r="M87" s="47" t="n">
        <x:f>MAX(0,L87-L86+L86/gw_term)</x:f>
        <x:v>391965.82858185255</x:v>
      </x:c>
      <x:c r="N87" s="63" t="n">
        <x:f>L87/B87</x:f>
        <x:v>0.10860740511139186</x:v>
      </x:c>
      <x:c r="O87" s="53" t="n">
        <x:f>Economy!L87</x:f>
        <x:v>2537.4191550380933</x:v>
      </x:c>
      <x:c r="P87" s="53" t="n">
        <x:f>O87*gw_wage_share</x:f>
        <x:v>1649.3224507747607</x:v>
      </x:c>
      <x:c r="Q87" s="53" t="n">
        <x:f>P87*gw_levy</x:f>
        <x:v>412.33061269369017</x:v>
      </x:c>
      <x:c r="R87" s="53" t="n">
        <x:f>P87*gw_remit</x:f>
        <x:v>412.33061269369017</x:v>
      </x:c>
      <x:c r="S87" s="63" t="n">
        <x:f>IF(union_resp&gt;=1,MIN(1,MAX(0,($A87-resp_start)/(resp_full-resp_start))),0)</x:f>
        <x:v>1</x:v>
      </x:c>
      <x:c r="T87" s="67" t="n">
        <x:f>Economy!R86</x:f>
        <x:v>2.197894127604965</x:v>
      </x:c>
      <x:c r="U87" s="67" t="n">
        <x:f>MAX(0,T87-gap_base)</x:f>
        <x:v>0.697894127604965</x:v>
      </x:c>
      <x:c r="V87" s="68" t="n">
        <x:v>88.77</x:v>
      </x:c>
      <x:c r="W87" s="47" t="n">
        <x:f>V87*1000000*lf_rate*union_skill_share</x:f>
        <x:v>4474008</x:v>
      </x:c>
      <x:c r="X87" s="45" t="n">
        <x:v>133000</x:v>
      </x:c>
      <x:c r="Y87" s="47" t="n">
        <x:f>IF(AND(mig_endo=1,$A87&gt;=talent_start),talent_rate_u*W87*U87*(1-(1-bd_keep)*S87),0)</x:f>
        <x:v>10397.538420491923</x:v>
      </x:c>
      <x:c r="Z87" s="47" t="n">
        <x:f>IF(AND(mig_endo=1,$A87&gt;=talent_start),X87*MIN(0.5,talent_share_o*U87)*(1-eu_comp*S87),0)</x:f>
        <x:v>17542.964685606006</x:v>
      </x:c>
      <x:c r="AA87" s="45" t="n">
        <x:v>111000</x:v>
      </x:c>
      <x:c r="AB87" s="47" t="n">
        <x:f>IF(AND(mig_endo=1,$A87&gt;=talent_start),AA87*MIN(0.5,talent_share_a*U87),0)</x:f>
        <x:v>15493.249632830224</x:v>
      </x:c>
      <x:c r="AC87" s="47" t="n">
        <x:f>entry_cap*People!B87</x:f>
        <x:v>69268.3770877511</x:v>
      </x:c>
      <x:c r="AD87" s="47" t="n">
        <x:f>MIN(AC87,Y87+Z87+AB87)</x:f>
        <x:v>43433.75273892815</x:v>
      </x:c>
      <x:c r="AE87" s="47" t="n">
        <x:f>IF(Y87+Z87+AB87&gt;0,AD87*Y87/(Y87+Z87+AB87),0)</x:f>
        <x:v>10397.538420491923</x:v>
      </x:c>
      <x:c r="AF87" s="47" t="n">
        <x:f>IF(Y87+Z87+AB87&gt;0,AD87*AB87/(Y87+Z87+AB87),0)</x:f>
        <x:v>15493.249632830224</x:v>
      </x:c>
      <x:c r="AG87" s="47" t="n">
        <x:f>AD87*family_mult</x:f>
        <x:v>95554.25602564194</x:v>
      </x:c>
      <x:c r="AH87" s="47" t="n">
        <x:f>AH86*(1+Paths!C87)+AG87</x:f>
        <x:v>3187403.152894042</x:v>
      </x:c>
      <x:c r="AI87" s="47" t="n">
        <x:f>IF(AND(mig_endo=1,$A87&gt;=talent_start),chain_rate*AH86,0)</x:f>
        <x:v>45692.34822958227</x:v>
      </x:c>
      <x:c r="AJ87" s="47" t="n">
        <x:f>IF(AND(mig_endo=1,$A87&gt;=talent_start),IF(H86&gt;0,H86*job_fill,H86*job_return)*job_family,0)</x:f>
        <x:v>32842.359786316316</x:v>
      </x:c>
      <x:c r="AK87" s="47" t="n">
        <x:f>K87*gw_conv_family</x:f>
        <x:v>54958.521573126694</x:v>
      </x:c>
      <x:c r="AL87" s="47" t="n">
        <x:f>AG87+AI87+AJ87+AK87+AR87</x:f>
        <x:v>263854.95522896486</x:v>
      </x:c>
      <x:c r="AM87" s="47" t="n">
        <x:f>AM86*(1-skill_ret)+AD87</x:f>
        <x:v>782660.5422241085</x:v>
      </x:c>
      <x:c r="AN87" s="64" t="n">
        <x:f>AM87/B87</x:f>
        <x:v>0.079407214275802</x:v>
      </x:c>
      <x:c r="AO87" s="64" t="n">
        <x:f>(skill_rel-1+skill_spill)*AM86/B86-AT87</x:f>
        <x:v>0.09071349954055882</x:v>
      </x:c>
      <x:c r="AP87" s="64" t="n">
        <x:f>talent_champ*AM86/(skill_base_share*B86)</x:f>
        <x:v>0.15891236651219173</x:v>
      </x:c>
      <x:c r="AQ87" s="45" t="n">
        <x:v>285000</x:v>
      </x:c>
      <x:c r="AR87" s="47" t="n">
        <x:f>IF(AND(div_on=1,$A87&gt;=div_start),AQ87*MIN(div_max,div_rate*U87)*(1-div_comp*S87),0)</x:f>
        <x:v>34807.46961429763</x:v>
      </x:c>
      <x:c r="AS87" s="47" t="n">
        <x:f>AS86*(1-div_assim)+AR87</x:f>
        <x:v>1120843.924806901</x:v>
      </x:c>
      <x:c r="AT87" s="64" t="n">
        <x:f>(1-div_rel)*AS86/Economy!B86</x:f>
        <x:v>0.012579538692365794</x:v>
      </x:c>
      <x:c r="AU87" s="47" t="n">
        <x:f>AU86*(1-skill_ret)+AE87</x:f>
        <x:v>243684.7100539609</x:v>
      </x:c>
      <x:c r="AV87" s="47" t="n">
        <x:f>AV86*(1+union_nat)+AR87</x:f>
        <x:v>3260111.4112129803</x:v>
      </x:c>
      <x:c r="AW87" s="47" t="n">
        <x:f>AW86*(1+union_nat)+AE87*family_mult</x:f>
        <x:v>1062348.00057786</x:v>
      </x:c>
      <x:c r="AX87" s="67" t="n">
        <x:f>V87-(AV87+AW87)/1000000</x:f>
        <x:v>84.44754058820915</x:v>
      </x:c>
      <x:c r="AY87" s="47" t="n">
        <x:f>L87*gw_union</x:f>
        <x:v>214093.21898335</x:v>
      </x:c>
      <x:c r="AZ87" s="46" t="n">
        <x:v>1.065</x:v>
      </x:c>
      <x:c r="BA87" s="47" t="n">
        <x:f>Economy!Q87*AZ87/lf_rate</x:f>
        <x:v>2041.25</x:v>
      </x:c>
      <x:c r="BB87" s="64" t="n">
        <x:f>bd_growth*AU86/W86</x:f>
        <x:v>0.0016221180034646187</x:v>
      </x:c>
      <x:c r="BC87" s="64" t="n">
        <x:f>tg_k*MIN(1,Economy!O86/BK86)</x:f>
        <x:v>0.0019271597204163235</x:v>
      </x:c>
      <x:c r="BD87" s="64" t="n">
        <x:f>emu_g*S87</x:f>
        <x:v>0.0015</x:v>
      </x:c>
      <x:c r="BE87" s="65" t="n">
        <x:f>BE86*(1-BB87-BC87+BD87)</x:f>
        <x:v>0.9369210024202858</x:v>
      </x:c>
      <x:c r="BF87" s="46" t="n">
        <x:v>1</x:v>
      </x:c>
      <x:c r="BG87" s="53" t="n">
        <x:f>AU87*BA87*BE87*(skill_rel-1+skill_spill)/1000000</x:f>
        <x:v>605.8579412635886</x:v>
      </x:c>
      <x:c r="BH87" s="53" t="n">
        <x:f>union_disp*(Champions!AP87+Champions!AZ87)*(1-IF(union_resp=2,mkt_cut*S87,0))</x:f>
        <x:v>950.0956218510141</x:v>
      </x:c>
      <x:c r="BI87" s="53" t="n">
        <x:f>AY87*BA87*BE87/1000000</x:f>
        <x:v>409.4511395578593</x:v>
      </x:c>
      <x:c r="BJ87" s="47" t="n">
        <x:f>V87*Economy!Q87*AZ87</x:f>
        <x:v>76104.74024999999</x:v>
      </x:c>
      <x:c r="BK87" s="47" t="n">
        <x:f>MAX(0.3*BJ87,AX87*Economy!Q87*AZ87*BE87*BF87-BG87-BH87-BI87)</x:f>
        <x:v>65866.7274600176</x:v>
      </x:c>
      <x:c r="BL87" s="63" t="n">
        <x:f>1-BK87/BJ87</x:f>
        <x:v>0.13452529706232574</x:v>
      </x:c>
      <x:c r="BM87" s="47" t="n">
        <x:f>MAX(0,BH87-BH86)*1000000/BA87</x:f>
        <x:v>39102.91839626407</x:v>
      </x:c>
      <x:c r="BN87" s="47" t="n">
        <x:f>BN86*(1-IF(AND($A87&gt;=1930,$A87&lt;=1932),0,union_reabsorb))+BM87</x:f>
        <x:v>135722.45252712164</x:v>
      </x:c>
      <x:c r="BO87" s="59" t="n">
        <x:v>0.032</x:v>
      </x:c>
      <x:c r="BP87" s="63" t="n">
        <x:f>BO87+BN87/(AX87*1000000*lf_rate)</x:f>
        <x:v>0.03582662057701495</x:v>
      </x:c>
    </x:row>
    <x:row r="88">
      <x:c r="A88" s="58" t="n">
        <x:v>1928</x:v>
      </x:c>
      <x:c r="B88" s="47" t="n">
        <x:f>Economy!B88*lf_rate</x:f>
        <x:v>10180637.649376824</x:v>
      </x:c>
      <x:c r="C88" s="47" t="n">
        <x:f>Economy!O88*1000000/(B88+L88)</x:f>
        <x:v>4213.092902347706</x:v>
      </x:c>
      <x:c r="D88" s="47" t="n">
        <x:f>Champions!AP88*1000000/(C88*champ_prem)</x:f>
        <x:v>511929.67742169043</x:v>
      </x:c>
      <x:c r="E88" s="47" t="n">
        <x:f>D88*job_mult</x:f>
        <x:v>358350.7741951833</x:v>
      </x:c>
      <x:c r="F88" s="47" t="n">
        <x:f>D88+E88</x:f>
        <x:v>870280.4516168737</x:v>
      </x:c>
      <x:c r="G88" s="63" t="n">
        <x:f>F88/B88</x:f>
        <x:v>0.08548388436849486</x:v>
      </x:c>
      <x:c r="H88" s="47" t="n">
        <x:f>F88-F87</x:f>
        <x:v>34980.63412490836</x:v>
      </x:c>
      <x:c r="I88" s="63" t="n">
        <x:f>MAX(0.005,pac_u_base*IF(Paths!AC88=1,pac_u_war,1)+(okun*(1-Economy!G88)*(B88+L88)-MAX(0,L87-L88))/B88)</x:f>
        <x:v>0.015</x:v>
      </x:c>
      <x:c r="J88" s="47" t="n">
        <x:f>IF(AND(gw_on=1,$A88&gt;=gw_start),MIN(gw_cap*B87,gw_cover*F87+gw_gen*B87),0)</x:f>
        <x:v>1289683.100801209</x:v>
      </x:c>
      <x:c r="K88" s="47" t="n">
        <x:f>L87*gw_conv</x:f>
        <x:v>32113.9828475025</x:v>
      </x:c>
      <x:c r="L88" s="47" t="n">
        <x:f>MAX(0,L87-K88+gw_adj*(J88-L87))*MAX(0,1-gw_slump*(1-Economy!G88))</x:f>
        <x:v>1126038.914423031</x:v>
      </x:c>
      <x:c r="M88" s="47" t="n">
        <x:f>MAX(0,L88-L87+L87/gw_term)</x:f>
        <x:v>412394.8511451977</x:v>
      </x:c>
      <x:c r="N88" s="63" t="n">
        <x:f>L88/B88</x:f>
        <x:v>0.11060593188796558</x:v>
      </x:c>
      <x:c r="O88" s="53" t="n">
        <x:f>Economy!L88</x:f>
        <x:v>2769.049484983688</x:v>
      </x:c>
      <x:c r="P88" s="53" t="n">
        <x:f>O88*gw_wage_share</x:f>
        <x:v>1799.8821652393974</x:v>
      </x:c>
      <x:c r="Q88" s="53" t="n">
        <x:f>P88*gw_levy</x:f>
        <x:v>449.97054130984935</x:v>
      </x:c>
      <x:c r="R88" s="53" t="n">
        <x:f>P88*gw_remit</x:f>
        <x:v>449.97054130984935</x:v>
      </x:c>
      <x:c r="S88" s="63" t="n">
        <x:f>IF(union_resp&gt;=1,MIN(1,MAX(0,($A88-resp_start)/(resp_full-resp_start))),0)</x:f>
        <x:v>1</x:v>
      </x:c>
      <x:c r="T88" s="67" t="n">
        <x:f>Economy!R87</x:f>
        <x:v>2.2471069006557847</x:v>
      </x:c>
      <x:c r="U88" s="67" t="n">
        <x:f>MAX(0,T88-gap_base)</x:f>
        <x:v>0.7471069006557847</x:v>
      </x:c>
      <x:c r="V88" s="68" t="n">
        <x:v>89.73</x:v>
      </x:c>
      <x:c r="W88" s="47" t="n">
        <x:f>V88*1000000*lf_rate*union_skill_share</x:f>
        <x:v>4522392</x:v>
      </x:c>
      <x:c r="X88" s="45" t="n">
        <x:v>127000</x:v>
      </x:c>
      <x:c r="Y88" s="47" t="n">
        <x:f>IF(AND(mig_endo=1,$A88&gt;=talent_start),talent_rate_u*W88*U88*(1-(1-bd_keep)*S88),0)</x:f>
        <x:v>11251.105201332815</x:v>
      </x:c>
      <x:c r="Z88" s="47" t="n">
        <x:f>IF(AND(mig_endo=1,$A88&gt;=talent_start),X88*MIN(0.5,talent_share_o*U88)*(1-eu_comp*S88),0)</x:f>
        <x:v>17932.8069364408</x:v>
      </x:c>
      <x:c r="AA88" s="45" t="n">
        <x:v>116000</x:v>
      </x:c>
      <x:c r="AB88" s="47" t="n">
        <x:f>IF(AND(mig_endo=1,$A88&gt;=talent_start),AA88*MIN(0.5,talent_share_a*U88),0)</x:f>
        <x:v>17332.880095214205</x:v>
      </x:c>
      <x:c r="AC88" s="47" t="n">
        <x:f>entry_cap*People!B88</x:f>
        <x:v>71535.76760975426</x:v>
      </x:c>
      <x:c r="AD88" s="47" t="n">
        <x:f>MIN(AC88,Y88+Z88+AB88)</x:f>
        <x:v>46516.79223298782</x:v>
      </x:c>
      <x:c r="AE88" s="47" t="n">
        <x:f>IF(Y88+Z88+AB88&gt;0,AD88*Y88/(Y88+Z88+AB88),0)</x:f>
        <x:v>11251.105201332815</x:v>
      </x:c>
      <x:c r="AF88" s="47" t="n">
        <x:f>IF(Y88+Z88+AB88&gt;0,AD88*AB88/(Y88+Z88+AB88),0)</x:f>
        <x:v>17332.880095214205</x:v>
      </x:c>
      <x:c r="AG88" s="47" t="n">
        <x:f>AD88*family_mult</x:f>
        <x:v>102336.94291257321</x:v>
      </x:c>
      <x:c r="AH88" s="47" t="n">
        <x:f>AH87*(1+Paths!C88)+AG88</x:f>
        <x:v>3337551.143100025</x:v>
      </x:c>
      <x:c r="AI88" s="47" t="n">
        <x:f>IF(AND(mig_endo=1,$A88&gt;=talent_start),chain_rate*AH87,0)</x:f>
        <x:v>47811.04729341063</x:v>
      </x:c>
      <x:c r="AJ88" s="47" t="n">
        <x:f>IF(AND(mig_endo=1,$A88&gt;=talent_start),IF(H87&gt;0,H87*job_fill,H87*job_return)*job_family,0)</x:f>
        <x:v>40613.43903061432</x:v>
      </x:c>
      <x:c r="AK88" s="47" t="n">
        <x:f>K88*gw_conv_family</x:f>
        <x:v>57805.1691255045</x:v>
      </x:c>
      <x:c r="AL88" s="47" t="n">
        <x:f>AG88+AI88+AJ88+AK88+AR88</x:f>
        <x:v>285436.32390946563</x:v>
      </x:c>
      <x:c r="AM88" s="47" t="n">
        <x:f>AM87*(1-skill_ret)+AD88</x:f>
        <x:v>809610.8209014935</x:v>
      </x:c>
      <x:c r="AN88" s="64" t="n">
        <x:f>AM88/B88</x:f>
        <x:v>0.07952456896951354</x:v>
      </x:c>
      <x:c r="AO88" s="64" t="n">
        <x:f>(skill_rel-1+skill_spill)*AM87/B87-AT88</x:f>
        <x:v>0.09128892118903634</x:v>
      </x:c>
      <x:c r="AP88" s="64" t="n">
        <x:f>talent_champ*AM87/(skill_base_share*B87)</x:f>
        <x:v>0.158814428551604</x:v>
      </x:c>
      <x:c r="AQ88" s="45" t="n">
        <x:v>282000</x:v>
      </x:c>
      <x:c r="AR88" s="47" t="n">
        <x:f>IF(AND(div_on=1,$A88&gt;=div_start),AQ88*MIN(div_max,div_rate*U88)*(1-div_comp*S88),0)</x:f>
        <x:v>36869.72554736297</x:v>
      </x:c>
      <x:c r="AS88" s="47" t="n">
        <x:f>AS87*(1-div_assim)+AR88</x:f>
        <x:v>1101671.454113919</x:v>
      </x:c>
      <x:c r="AT88" s="64" t="n">
        <x:f>(1-div_rel)*AS87/Economy!B87</x:f>
        <x:v>0.011940457369506247</x:v>
      </x:c>
      <x:c r="AU88" s="47" t="n">
        <x:f>AU87*(1-skill_ret)+AE88</x:f>
        <x:v>248843.69750394468</x:v>
      </x:c>
      <x:c r="AV88" s="47" t="n">
        <x:f>AV87*(1+union_nat)+AR88</x:f>
        <x:v>3339362.5851061116</x:v>
      </x:c>
      <x:c r="AW88" s="47" t="n">
        <x:f>AW87*(1+union_nat)+AE88*family_mult</x:f>
        <x:v>1100910.9560283043</x:v>
      </x:c>
      <x:c r="AX88" s="67" t="n">
        <x:f>V88-(AV88+AW88)/1000000</x:f>
        <x:v>85.28972645886559</x:v>
      </x:c>
      <x:c r="AY88" s="47" t="n">
        <x:f>L88*gw_union</x:f>
        <x:v>225207.78288460622</x:v>
      </x:c>
      <x:c r="AZ88" s="46" t="n">
        <x:v>1.066</x:v>
      </x:c>
      <x:c r="BA88" s="47" t="n">
        <x:f>Economy!Q88*AZ88/lf_rate</x:f>
        <x:v>2068.5476190476193</x:v>
      </x:c>
      <x:c r="BB88" s="64" t="n">
        <x:f>bd_growth*AU87/W87</x:f>
        <x:v>0.0016340027334816626</x:v>
      </x:c>
      <x:c r="BC88" s="64" t="n">
        <x:f>tg_k*MIN(1,Economy!O87/BK87)</x:f>
        <x:v>0.0020216725818578618</x:v>
      </x:c>
      <x:c r="BD88" s="64" t="n">
        <x:f>emu_g*S88</x:f>
        <x:v>0.0015</x:v>
      </x:c>
      <x:c r="BE88" s="65" t="n">
        <x:f>BE87*(1-BB88-BC88+BD88)</x:f>
        <x:v>0.9349013049429451</x:v>
      </x:c>
      <x:c r="BF88" s="46" t="n">
        <x:v>1</x:v>
      </x:c>
      <x:c r="BG88" s="53" t="n">
        <x:f>AU88*BA88*BE88*(skill_rel-1+skill_spill)/1000000</x:f>
        <x:v>625.6065500447835</x:v>
      </x:c>
      <x:c r="BH88" s="53" t="n">
        <x:f>union_disp*(Champions!AP88+Champions!AZ88)*(1-IF(union_resp=2,mkt_cut*S88,0))</x:f>
        <x:v>1030.037006347938</x:v>
      </x:c>
      <x:c r="BI88" s="53" t="n">
        <x:f>AY88*BA88*BE88/1000000</x:f>
        <x:v>435.5265991862521</x:v>
      </x:c>
      <x:c r="BJ88" s="47" t="n">
        <x:f>V88*Economy!Q88*AZ88</x:f>
        <x:v>77956.5267</x:v>
      </x:c>
      <x:c r="BK88" s="47" t="n">
        <x:f>MAX(0.3*BJ88,AX88*Economy!Q88*AZ88*BE88*BF88-BG88-BH88-BI88)</x:f>
        <x:v>67183.95210899746</x:v>
      </x:c>
      <x:c r="BL88" s="63" t="n">
        <x:f>1-BK88/BJ88</x:f>
        <x:v>0.13818694914998753</x:v>
      </x:c>
      <x:c r="BM88" s="47" t="n">
        <x:f>MAX(0,BH88-BH87)*1000000/BA88</x:f>
        <x:v>38646.14174738197</x:v>
      </x:c>
      <x:c r="BN88" s="47" t="n">
        <x:f>BN87*(1-IF(AND($A88&gt;=1930,$A88&lt;=1932),0,union_reabsorb))+BM88</x:f>
        <x:v>140437.9811427232</x:v>
      </x:c>
      <x:c r="BO88" s="59" t="n">
        <x:v>0.032</x:v>
      </x:c>
      <x:c r="BP88" s="63" t="n">
        <x:f>BO88+BN88/(AX88*1000000*lf_rate)</x:f>
        <x:v>0.035920473888952836</x:v>
      </x:c>
    </x:row>
    <x:row r="89">
      <x:c r="A89" s="58" t="n">
        <x:v>1929</x:v>
      </x:c>
      <x:c r="B89" s="47" t="n">
        <x:f>Economy!B89*lf_rate</x:f>
        <x:v>10513584.42522089</x:v>
      </x:c>
      <x:c r="C89" s="47" t="n">
        <x:f>Economy!O89*1000000/(B89+L89)</x:f>
        <x:v>4324.030761082977</x:v>
      </x:c>
      <x:c r="D89" s="47" t="n">
        <x:f>Champions!AP89*1000000/(C89*champ_prem)</x:f>
        <x:v>534635.191312462</x:v>
      </x:c>
      <x:c r="E89" s="47" t="n">
        <x:f>D89*job_mult</x:f>
        <x:v>374244.6339187234</x:v>
      </x:c>
      <x:c r="F89" s="47" t="n">
        <x:f>D89+E89</x:f>
        <x:v>908879.8252311854</x:v>
      </x:c>
      <x:c r="G89" s="63" t="n">
        <x:f>F89/B89</x:f>
        <x:v>0.08644814065989581</x:v>
      </x:c>
      <x:c r="H89" s="47" t="n">
        <x:f>F89-F88</x:f>
        <x:v>38599.373614311684</x:v>
      </x:c>
      <x:c r="I89" s="63" t="n">
        <x:f>MAX(0.005,pac_u_base*IF(Paths!AC89=1,pac_u_war,1)+(okun*(1-Economy!G89)*(B89+L89)-MAX(0,L88-L89))/B89)</x:f>
        <x:v>0.015</x:v>
      </x:c>
      <x:c r="J89" s="47" t="n">
        <x:f>IF(AND(gw_on=1,$A89&gt;=gw_start),MIN(gw_cap*B88,gw_cover*F88+gw_gen*B88),0)</x:f>
        <x:v>1336619.2829202702</x:v>
      </x:c>
      <x:c r="K89" s="47" t="n">
        <x:f>L88*gw_conv</x:f>
        <x:v>33781.16743269093</x:v>
      </x:c>
      <x:c r="L89" s="47" t="n">
        <x:f>MAX(0,L88-K89+gw_adj*(J89-L88))*MAX(0,1-gw_slump*(1-Economy!G89))</x:f>
        <x:v>1176489.8943892356</x:v>
      </x:c>
      <x:c r="M89" s="47" t="n">
        <x:f>MAX(0,L89-L88+L88/gw_term)</x:f>
        <x:v>425797.2847738816</x:v>
      </x:c>
      <x:c r="N89" s="63" t="n">
        <x:f>L89/B89</x:f>
        <x:v>0.11190188301213148</x:v>
      </x:c>
      <x:c r="O89" s="53" t="n">
        <x:f>Economy!L89</x:f>
        <x:v>2968.7943017166594</x:v>
      </x:c>
      <x:c r="P89" s="53" t="n">
        <x:f>O89*gw_wage_share</x:f>
        <x:v>1929.7162961158288</x:v>
      </x:c>
      <x:c r="Q89" s="53" t="n">
        <x:f>P89*gw_levy</x:f>
        <x:v>482.4290740289572</x:v>
      </x:c>
      <x:c r="R89" s="53" t="n">
        <x:f>P89*gw_remit</x:f>
        <x:v>482.4290740289572</x:v>
      </x:c>
      <x:c r="S89" s="63" t="n">
        <x:f>IF(union_resp&gt;=1,MIN(1,MAX(0,($A89-resp_start)/(resp_full-resp_start))),0)</x:f>
        <x:v>1</x:v>
      </x:c>
      <x:c r="T89" s="67" t="n">
        <x:f>Economy!R88</x:f>
        <x:v>2.304264663707021</x:v>
      </x:c>
      <x:c r="U89" s="67" t="n">
        <x:f>MAX(0,T89-gap_base)</x:f>
        <x:v>0.8042646637070212</x:v>
      </x:c>
      <x:c r="V89" s="68" t="n">
        <x:v>90.7</x:v>
      </x:c>
      <x:c r="W89" s="47" t="n">
        <x:f>V89*1000000*lf_rate*union_skill_share</x:f>
        <x:v>4571280</x:v>
      </x:c>
      <x:c r="X89" s="45" t="n">
        <x:v>120000</x:v>
      </x:c>
      <x:c r="Y89" s="47" t="n">
        <x:f>IF(AND(mig_endo=1,$A89&gt;=talent_start),talent_rate_u*W89*U89*(1-(1-bd_keep)*S89),0)</x:f>
        <x:v>12242.808176462402</x:v>
      </x:c>
      <x:c r="Z89" s="47" t="n">
        <x:f>IF(AND(mig_endo=1,$A89&gt;=talent_start),X89*MIN(0.5,talent_share_o*U89)*(1-eu_comp*S89),0)</x:f>
        <x:v>18240.722572875242</x:v>
      </x:c>
      <x:c r="AA89" s="45" t="n">
        <x:v>120000</x:v>
      </x:c>
      <x:c r="AB89" s="47" t="n">
        <x:f>IF(AND(mig_endo=1,$A89&gt;=talent_start),AA89*MIN(0.5,talent_share_a*U89),0)</x:f>
        <x:v>19302.35192896851</x:v>
      </x:c>
      <x:c r="AC89" s="47" t="n">
        <x:f>entry_cap*People!B89</x:f>
        <x:v>73901.91309562897</x:v>
      </x:c>
      <x:c r="AD89" s="47" t="n">
        <x:f>MIN(AC89,Y89+Z89+AB89)</x:f>
        <x:v>49785.88267830615</x:v>
      </x:c>
      <x:c r="AE89" s="47" t="n">
        <x:f>IF(Y89+Z89+AB89&gt;0,AD89*Y89/(Y89+Z89+AB89),0)</x:f>
        <x:v>12242.808176462402</x:v>
      </x:c>
      <x:c r="AF89" s="47" t="n">
        <x:f>IF(Y89+Z89+AB89&gt;0,AD89*AB89/(Y89+Z89+AB89),0)</x:f>
        <x:v>19302.35192896851</x:v>
      </x:c>
      <x:c r="AG89" s="47" t="n">
        <x:f>AD89*family_mult</x:f>
        <x:v>109528.94189227355</x:v>
      </x:c>
      <x:c r="AH89" s="47" t="n">
        <x:f>AH88*(1+Paths!C89)+AG89</x:f>
        <x:v>3497143.3521387987</x:v>
      </x:c>
      <x:c r="AI89" s="47" t="n">
        <x:f>IF(AND(mig_endo=1,$A89&gt;=talent_start),chain_rate*AH88,0)</x:f>
        <x:v>50063.26714650037</x:v>
      </x:c>
      <x:c r="AJ89" s="47" t="n">
        <x:f>IF(AND(mig_endo=1,$A89&gt;=talent_start),IF(H88&gt;0,H88*job_fill,H88*job_return)*job_family,0)</x:f>
        <x:v>22037.799498692268</x:v>
      </x:c>
      <x:c r="AK89" s="47" t="n">
        <x:f>K89*gw_conv_family</x:f>
        <x:v>60806.10137884367</x:v>
      </x:c>
      <x:c r="AL89" s="47" t="n">
        <x:f>AG89+AI89+AJ89+AK89+AR89</x:f>
        <x:v>281636.1099163099</x:v>
      </x:c>
      <x:c r="AM89" s="47" t="n">
        <x:f>AM88*(1-skill_ret)+AD89</x:f>
        <x:v>839156.4330572623</x:v>
      </x:c>
      <x:c r="AN89" s="64" t="n">
        <x:f>AM89/B89</x:f>
        <x:v>0.0798163974452159</x:v>
      </x:c>
      <x:c r="AO89" s="64" t="n">
        <x:f>(skill_rel-1+skill_spill)*AM88/B88-AT89</x:f>
        <x:v>0.09201963538573879</x:v>
      </x:c>
      <x:c r="AP89" s="64" t="n">
        <x:f>talent_champ*AM88/(skill_base_share*B88)</x:f>
        <x:v>0.15904913793902709</x:v>
      </x:c>
      <x:c r="AQ89" s="45" t="n">
        <x:v>280000</x:v>
      </x:c>
      <x:c r="AR89" s="47" t="n">
        <x:f>IF(AND(div_on=1,$A89&gt;=div_start),AQ89*MIN(div_max,div_rate*U89)*(1-div_comp*S89),0)</x:f>
        <x:v>39200</x:v>
      </x:c>
      <x:c r="AS89" s="47" t="n">
        <x:f>AS88*(1-div_assim)+AR89</x:f>
        <x:v>1085787.881408223</x:v>
      </x:c>
      <x:c r="AT89" s="64" t="n">
        <x:f>(1-div_rel)*AS88/Economy!B88</x:f>
        <x:v>0.01136230427462883</x:v>
      </x:c>
      <x:c r="AU89" s="47" t="n">
        <x:f>AU88*(1-skill_ret)+AE89</x:f>
        <x:v>254865.41324280846</x:v>
      </x:c>
      <x:c r="AV89" s="47" t="n">
        <x:f>AV88*(1+union_nat)+AR89</x:f>
        <x:v>3421974.2987124906</x:v>
      </x:c>
      <x:c r="AW89" s="47" t="n">
        <x:f>AW88*(1+union_nat)+AE89*family_mult</x:f>
        <x:v>1142156.9764448893</x:v>
      </x:c>
      <x:c r="AX89" s="67" t="n">
        <x:f>V89-(AV89+AW89)/1000000</x:f>
        <x:v>86.13586872484262</x:v>
      </x:c>
      <x:c r="AY89" s="47" t="n">
        <x:f>L89*gw_union</x:f>
        <x:v>235297.97887784714</x:v>
      </x:c>
      <x:c r="AZ89" s="46" t="n">
        <x:v>1.067</x:v>
      </x:c>
      <x:c r="BA89" s="47" t="n">
        <x:f>Economy!Q89*AZ89/lf_rate</x:f>
        <x:v>2182.269047619048</x:v>
      </x:c>
      <x:c r="BB89" s="64" t="n">
        <x:f>bd_growth*AU88/W88</x:f>
        <x:v>0.0016507438818037757</x:v>
      </x:c>
      <x:c r="BC89" s="64" t="n">
        <x:f>tg_k*MIN(1,Economy!O88/BK88)</x:f>
        <x:v>0.0021271186325628544</x:v>
      </x:c>
      <x:c r="BD89" s="64" t="n">
        <x:f>emu_g*S89</x:f>
        <x:v>0.0015</x:v>
      </x:c>
      <x:c r="BE89" s="65" t="n">
        <x:f>BE88*(1-BB89-BC89+BD89)</x:f>
        <x:v>0.932771728305783</x:v>
      </x:c>
      <x:c r="BF89" s="46" t="n">
        <x:v>1</x:v>
      </x:c>
      <x:c r="BG89" s="53" t="n">
        <x:f>AU89*BA89*BE89*(skill_rel-1+skill_spill)/1000000</x:f>
        <x:v>674.4316187469818</x:v>
      </x:c>
      <x:c r="BH89" s="53" t="n">
        <x:f>union_disp*(Champions!AP89+Champions!AZ89)*(1-IF(union_resp=2,mkt_cut*S89,0))</x:f>
        <x:v>1108.0838228687917</x:v>
      </x:c>
      <x:c r="BI89" s="53" t="n">
        <x:f>AY89*BA89*BE89/1000000</x:f>
        <x:v>478.96288827454583</x:v>
      </x:c>
      <x:c r="BJ89" s="47" t="n">
        <x:f>V89*Economy!Q89*AZ89</x:f>
        <x:v>83131.3571</x:v>
      </x:c>
      <x:c r="BK89" s="47" t="n">
        <x:f>MAX(0.3*BJ89,AX89*Economy!Q89*AZ89*BE89*BF89-BG89-BH89-BI89)</x:f>
        <x:v>71379.06698801169</x:v>
      </x:c>
      <x:c r="BL89" s="63" t="n">
        <x:f>1-BK89/BJ89</x:f>
        <x:v>0.14137012220131673</x:v>
      </x:c>
      <x:c r="BM89" s="47" t="n">
        <x:f>MAX(0,BH89-BH88)*1000000/BA89</x:f>
        <x:v>35764.06704114065</x:v>
      </x:c>
      <x:c r="BN89" s="47" t="n">
        <x:f>BN88*(1-IF(AND($A89&gt;=1930,$A89&lt;=1932),0,union_reabsorb))+BM89</x:f>
        <x:v>141092.55289818306</x:v>
      </x:c>
      <x:c r="BO89" s="59" t="n">
        <x:v>0.032</x:v>
      </x:c>
      <x:c r="BP89" s="63" t="n">
        <x:f>BO89+BN89/(AX89*1000000*lf_rate)</x:f>
        <x:v>0.03590005528162382</x:v>
      </x:c>
    </x:row>
    <x:row r="90">
      <x:c r="A90" s="58" t="n">
        <x:v>1930</x:v>
      </x:c>
      <x:c r="B90" s="47" t="n">
        <x:f>Economy!B90*lf_rate</x:f>
        <x:v>10811813.467278464</x:v>
      </x:c>
      <x:c r="C90" s="47" t="n">
        <x:f>Economy!O90*1000000/(B90+L90)</x:f>
        <x:v>3976.2442360197124</x:v>
      </x:c>
      <x:c r="D90" s="47" t="n">
        <x:f>Champions!AP90*1000000/(C90*champ_prem)</x:f>
        <x:v>496549.45489909826</x:v>
      </x:c>
      <x:c r="E90" s="47" t="n">
        <x:f>D90*job_mult</x:f>
        <x:v>347584.61842936877</x:v>
      </x:c>
      <x:c r="F90" s="47" t="n">
        <x:f>D90+E90</x:f>
        <x:v>844134.0733284671</x:v>
      </x:c>
      <x:c r="G90" s="63" t="n">
        <x:f>F90/B90</x:f>
        <x:v>0.07807516064564064</x:v>
      </x:c>
      <x:c r="H90" s="47" t="n">
        <x:f>F90-F89</x:f>
        <x:v>-64745.75190271833</x:v>
      </x:c>
      <x:c r="I90" s="63" t="n">
        <x:f>MAX(0.005,pac_u_base*IF(Paths!AC90=1,pac_u_war,1)+(okun*(1-Economy!G90)*(B90+L90)-MAX(0,L89-L90))/B90)</x:f>
        <x:v>0.04169674591741572</x:v>
      </x:c>
      <x:c r="J90" s="47" t="n">
        <x:f>IF(AND(gw_on=1,$A90&gt;=gw_start),MIN(gw_cap*B89,gw_cover*F89+gw_gen*B89),0)</x:f>
        <x:v>1386414.6491563823</x:v>
      </x:c>
      <x:c r="K90" s="47" t="n">
        <x:f>L89*gw_conv</x:f>
        <x:v>35294.696831677065</x:v>
      </x:c>
      <x:c r="L90" s="47" t="n">
        <x:f>MAX(0,L89-K90+gw_adj*(J90-L89))*MAX(0,1-gw_slump*(1-Economy!G90))</x:f>
        <x:v>1107549.2499158331</x:v>
      </x:c>
      <x:c r="M90" s="47" t="n">
        <x:f>MAX(0,L90-L89+L89/gw_term)</x:f>
        <x:v>323222.6536563427</x:v>
      </x:c>
      <x:c r="N90" s="63" t="n">
        <x:f>L90/B90</x:f>
        <x:v>0.1024388048561685</x:v>
      </x:c>
      <x:c r="O90" s="53" t="n">
        <x:f>Economy!L90</x:f>
        <x:v>2582.374914660108</x:v>
      </x:c>
      <x:c r="P90" s="53" t="n">
        <x:f>O90*gw_wage_share</x:f>
        <x:v>1678.5436945290703</x:v>
      </x:c>
      <x:c r="Q90" s="53" t="n">
        <x:f>P90*gw_levy</x:f>
        <x:v>419.6359236322676</x:v>
      </x:c>
      <x:c r="R90" s="53" t="n">
        <x:f>P90*gw_remit</x:f>
        <x:v>419.6359236322676</x:v>
      </x:c>
      <x:c r="S90" s="63" t="n">
        <x:f>IF(union_resp&gt;=1,MIN(1,MAX(0,($A90-resp_start)/(resp_full-resp_start))),0)</x:f>
        <x:v>1</x:v>
      </x:c>
      <x:c r="T90" s="67" t="n">
        <x:f>Economy!R89</x:f>
        <x:v>2.2452524915843926</x:v>
      </x:c>
      <x:c r="U90" s="67" t="n">
        <x:f>MAX(0,T90-gap_base)</x:f>
        <x:v>0.7452524915843926</x:v>
      </x:c>
      <x:c r="V90" s="68" t="n">
        <x:v>91.43000000000001</x:v>
      </x:c>
      <x:c r="W90" s="47" t="n">
        <x:f>V90*1000000*lf_rate*union_skill_share</x:f>
        <x:v>4608072</x:v>
      </x:c>
      <x:c r="X90" s="45" t="n">
        <x:v>110000</x:v>
      </x:c>
      <x:c r="Y90" s="47" t="n">
        <x:f>IF(AND(mig_endo=1,$A90&gt;=talent_start),talent_rate_u*W90*U90*(1-(1-bd_keep)*S90),0)</x:f>
        <x:v>11435.809874202916</x:v>
      </x:c>
      <x:c r="Z90" s="47" t="n">
        <x:f>IF(AND(mig_endo=1,$A90&gt;=talent_start),X90*MIN(0.5,talent_share_o*U90)*(1-eu_comp*S90),0)</x:f>
        <x:v>15493.799300039522</x:v>
      </x:c>
      <x:c r="AA90" s="45" t="n">
        <x:v>123000</x:v>
      </x:c>
      <x:c r="AB90" s="47" t="n">
        <x:f>IF(AND(mig_endo=1,$A90&gt;=talent_start),AA90*MIN(0.5,talent_share_a*U90),0)</x:f>
        <x:v>18333.21129297606</x:v>
      </x:c>
      <x:c r="AC90" s="47" t="n">
        <x:f>entry_cap*People!B90</x:f>
        <x:v>76292.15012181234</x:v>
      </x:c>
      <x:c r="AD90" s="47" t="n">
        <x:f>MIN(AC90,Y90+Z90+AB90)</x:f>
        <x:v>45262.820467218495</x:v>
      </x:c>
      <x:c r="AE90" s="47" t="n">
        <x:f>IF(Y90+Z90+AB90&gt;0,AD90*Y90/(Y90+Z90+AB90),0)</x:f>
        <x:v>11435.809874202916</x:v>
      </x:c>
      <x:c r="AF90" s="47" t="n">
        <x:f>IF(Y90+Z90+AB90&gt;0,AD90*AB90/(Y90+Z90+AB90),0)</x:f>
        <x:v>18333.21129297606</x:v>
      </x:c>
      <x:c r="AG90" s="47" t="n">
        <x:f>AD90*family_mult</x:f>
        <x:v>99578.2050278807</x:v>
      </x:c>
      <x:c r="AH90" s="47" t="n">
        <x:f>AH89*(1+Paths!C90)+AG90</x:f>
        <x:v>3638687.277392345</x:v>
      </x:c>
      <x:c r="AI90" s="47" t="n">
        <x:f>IF(AND(mig_endo=1,$A90&gt;=talent_start),chain_rate*AH89,0)</x:f>
        <x:v>52457.15028208198</x:v>
      </x:c>
      <x:c r="AJ90" s="47" t="n">
        <x:f>IF(AND(mig_endo=1,$A90&gt;=talent_start),IF(H89&gt;0,H89*job_fill,H89*job_return)*job_family,0)</x:f>
        <x:v>24317.60537701636</x:v>
      </x:c>
      <x:c r="AK90" s="47" t="n">
        <x:f>K90*gw_conv_family</x:f>
        <x:v>63530.45429701872</x:v>
      </x:c>
      <x:c r="AL90" s="47" t="n">
        <x:f>AG90+AI90+AJ90+AK90+AR90</x:f>
        <x:v>271184.01963054226</x:v>
      </x:c>
      <x:c r="AM90" s="47" t="n">
        <x:f>AM89*(1-skill_ret)+AD90</x:f>
        <x:v>863440.3426980493</x:v>
      </x:c>
      <x:c r="AN90" s="64" t="n">
        <x:f>AM90/B90</x:f>
        <x:v>0.07986082494959963</x:v>
      </x:c>
      <x:c r="AO90" s="64" t="n">
        <x:f>(skill_rel-1+skill_spill)*AM89/B89-AT90</x:f>
        <x:v>0.09291746714689583</x:v>
      </x:c>
      <x:c r="AP90" s="64" t="n">
        <x:f>talent_champ*AM89/(skill_base_share*B89)</x:f>
        <x:v>0.1596327948904318</x:v>
      </x:c>
      <x:c r="AQ90" s="45" t="n">
        <x:v>240000</x:v>
      </x:c>
      <x:c r="AR90" s="47" t="n">
        <x:f>IF(AND(div_on=1,$A90&gt;=div_start),AQ90*MIN(div_max,div_rate*U90)*(1-div_comp*S90),0)</x:f>
        <x:v>31300.604646544485</x:v>
      </x:c>
      <x:c r="AS90" s="47" t="n">
        <x:f>AS89*(1-div_assim)+AR90</x:f>
        <x:v>1062799.0919843563</x:v>
      </x:c>
      <x:c r="AT90" s="64" t="n">
        <x:f>(1-div_rel)*AS89/Economy!B89</x:f>
        <x:v>0.010843849531884851</x:v>
      </x:c>
      <x:c r="AU90" s="47" t="n">
        <x:f>AU89*(1-skill_ret)+AE90</x:f>
        <x:v>259929.58778594114</x:v>
      </x:c>
      <x:c r="AV90" s="47" t="n">
        <x:f>AV89*(1+union_nat)+AR90</x:f>
        <x:v>3497760.569242297</x:v>
      </x:c>
      <x:c r="AW90" s="47" t="n">
        <x:f>AW89*(1+union_nat)+AE90*family_mult</x:f>
        <x:v>1182163.7988619192</x:v>
      </x:c>
      <x:c r="AX90" s="67" t="n">
        <x:f>V90-(AV90+AW90)/1000000</x:f>
        <x:v>86.75007563189578</x:v>
      </x:c>
      <x:c r="AY90" s="47" t="n">
        <x:f>L90*gw_union</x:f>
        <x:v>221509.84998316664</x:v>
      </x:c>
      <x:c r="AZ90" s="46" t="n">
        <x:v>1.069</x:v>
      </x:c>
      <x:c r="BA90" s="47" t="n">
        <x:f>Economy!Q90*AZ90/lf_rate</x:f>
        <x:v>1903.8380952380953</x:v>
      </x:c>
      <x:c r="BB90" s="64" t="n">
        <x:f>bd_growth*AU89/W89</x:f>
        <x:v>0.0016726086341865415</x:v>
      </x:c>
      <x:c r="BC90" s="64" t="n">
        <x:f>tg_k*MIN(1,Economy!O89/BK89)</x:f>
        <x:v>0.002124498529764898</x:v>
      </x:c>
      <x:c r="BD90" s="64" t="n">
        <x:f>emu_g*S90</x:f>
        <x:v>0.0015</x:v>
      </x:c>
      <x:c r="BE90" s="65" t="n">
        <x:f>BE89*(1-BB90-BC90+BD90)</x:f>
        <x:v>0.9306290516863605</x:v>
      </x:c>
      <x:c r="BF90" s="46" t="n">
        <x:v>0.97</x:v>
      </x:c>
      <x:c r="BG90" s="53" t="n">
        <x:f>AU90*BA90*BE90*(skill_rel-1+skill_spill)/1000000</x:f>
        <x:v>598.6950796516871</x:v>
      </x:c>
      <x:c r="BH90" s="53" t="n">
        <x:f>union_disp*(Champions!AP90+Champions!AZ90)*(1-IF(union_resp=2,mkt_cut*S90,0))</x:f>
        <x:v>961.8025455369192</x:v>
      </x:c>
      <x:c r="BI90" s="53" t="n">
        <x:f>AY90*BA90*BE90/1000000</x:f>
        <x:v>392.46385148710914</x:v>
      </x:c>
      <x:c r="BJ90" s="47" t="n">
        <x:f>V90*Economy!Q90*AZ90</x:f>
        <x:v>73108.52515999999</x:v>
      </x:c>
      <x:c r="BK90" s="47" t="n">
        <x:f>MAX(0.3*BJ90,AX90*Economy!Q90*AZ90*BE90*BF90-BG90-BH90-BI90)</x:f>
        <x:v>60664.79529524912</x:v>
      </x:c>
      <x:c r="BL90" s="63" t="n">
        <x:f>1-BK90/BJ90</x:f>
        <x:v>0.17020901238969643</x:v>
      </x:c>
      <x:c r="BM90" s="47" t="n">
        <x:f>MAX(0,BH90-BH89)*1000000/BA90</x:f>
        <x:v>0</x:v>
      </x:c>
      <x:c r="BN90" s="47" t="n">
        <x:f>BN89*(1-IF(AND($A90&gt;=1930,$A90&lt;=1932),0,union_reabsorb))+BM90</x:f>
        <x:v>141092.55289818306</x:v>
      </x:c>
      <x:c r="BO90" s="59" t="n">
        <x:v>0.08699999999999999</x:v>
      </x:c>
      <x:c r="BP90" s="63" t="n">
        <x:f>BO90+BN90/(AX90*1000000*lf_rate)</x:f>
        <x:v>0.09087244215420677</x:v>
      </x:c>
    </x:row>
    <x:row r="91">
      <x:c r="A91" s="58" t="n">
        <x:v>1931</x:v>
      </x:c>
      <x:c r="B91" s="47" t="n">
        <x:f>Economy!B91*lf_rate</x:f>
        <x:v>11061534.546908079</x:v>
      </x:c>
      <x:c r="C91" s="47" t="n">
        <x:f>Economy!O91*1000000/(B91+L91)</x:f>
        <x:v>3552.71131882273</x:v>
      </x:c>
      <x:c r="D91" s="47" t="n">
        <x:f>Champions!AP91*1000000/(C91*champ_prem)</x:f>
        <x:v>472732.5059111962</x:v>
      </x:c>
      <x:c r="E91" s="47" t="n">
        <x:f>D91*job_mult</x:f>
        <x:v>330912.7541378373</x:v>
      </x:c>
      <x:c r="F91" s="47" t="n">
        <x:f>D91+E91</x:f>
        <x:v>803645.2600490334</x:v>
      </x:c>
      <x:c r="G91" s="63" t="n">
        <x:f>F91/B91</x:f>
        <x:v>0.07265223976303256</x:v>
      </x:c>
      <x:c r="H91" s="47" t="n">
        <x:f>F91-F90</x:f>
        <x:v>-40488.81327943364</x:v>
      </x:c>
      <x:c r="I91" s="63" t="n">
        <x:f>MAX(0.005,pac_u_base*IF(Paths!AC91=1,pac_u_war,1)+(okun*(1-Economy!G91)*(B91+L91)-MAX(0,L90-L91))/B91)</x:f>
        <x:v>0.0625994165704143</x:v>
      </x:c>
      <x:c r="J91" s="47" t="n">
        <x:f>IF(AND(gw_on=1,$A91&gt;=gw_start),MIN(gw_cap*B90,gw_cover*F90+gw_gen*B90),0)</x:f>
        <x:v>1371425.5213793572</x:v>
      </x:c>
      <x:c r="K91" s="47" t="n">
        <x:f>L90*gw_conv</x:f>
        <x:v>33226.47749747499</x:v>
      </x:c>
      <x:c r="L91" s="47" t="n">
        <x:f>MAX(0,L90-K91+gw_adj*(J91-L90))*MAX(0,1-gw_slump*(1-Economy!G91))</x:f>
        <x:v>972215.5835471048</x:v>
      </x:c>
      <x:c r="M91" s="47" t="n">
        <x:f>MAX(0,L91-L90+L90/gw_term)</x:f>
        <x:v>233849.41693654942</x:v>
      </x:c>
      <x:c r="N91" s="63" t="n">
        <x:f>L91/B91</x:f>
        <x:v>0.08789156508297112</x:v>
      </x:c>
      <x:c r="O91" s="53" t="n">
        <x:f>Economy!L91</x:f>
        <x:v>2027.0837982591204</x:v>
      </x:c>
      <x:c r="P91" s="53" t="n">
        <x:f>O91*gw_wage_share</x:f>
        <x:v>1317.6044688684283</x:v>
      </x:c>
      <x:c r="Q91" s="53" t="n">
        <x:f>P91*gw_levy</x:f>
        <x:v>329.40111721710707</x:v>
      </x:c>
      <x:c r="R91" s="53" t="n">
        <x:f>P91*gw_remit</x:f>
        <x:v>329.40111721710707</x:v>
      </x:c>
      <x:c r="S91" s="63" t="n">
        <x:f>IF(union_resp&gt;=1,MIN(1,MAX(0,($A91-resp_start)/(resp_full-resp_start))),0)</x:f>
        <x:v>1</x:v>
      </x:c>
      <x:c r="T91" s="67" t="n">
        <x:f>Economy!R90</x:f>
        <x:v>2.359830505450417</x:v>
      </x:c>
      <x:c r="U91" s="67" t="n">
        <x:f>MAX(0,T91-gap_base)</x:f>
        <x:v>0.8598305054504172</x:v>
      </x:c>
      <x:c r="V91" s="68" t="n">
        <x:v>92.17</x:v>
      </x:c>
      <x:c r="W91" s="47" t="n">
        <x:f>V91*1000000*lf_rate*union_skill_share</x:f>
        <x:v>4645368</x:v>
      </x:c>
      <x:c r="X91" s="45" t="n">
        <x:v>100000</x:v>
      </x:c>
      <x:c r="Y91" s="47" t="n">
        <x:f>IF(AND(mig_endo=1,$A91&gt;=talent_start),talent_rate_u*W91*U91*(1-(1-bd_keep)*S91),0)</x:f>
        <x:v>13300.782954425833</x:v>
      </x:c>
      <x:c r="Z91" s="47" t="n">
        <x:f>IF(AND(mig_endo=1,$A91&gt;=talent_start),X91*MIN(0.5,talent_share_o*U91)*(1-eu_comp*S91),0)</x:f>
        <x:v>16250.796553012884</x:v>
      </x:c>
      <x:c r="AA91" s="45" t="n">
        <x:v>127000</x:v>
      </x:c>
      <x:c r="AB91" s="47" t="n">
        <x:f>IF(AND(mig_endo=1,$A91&gt;=talent_start),AA91*MIN(0.5,talent_share_a*U91),0)</x:f>
        <x:v>21839.6948384406</x:v>
      </x:c>
      <x:c r="AC91" s="47" t="n">
        <x:f>entry_cap*People!B91</x:f>
        <x:v>78162.32798216572</x:v>
      </x:c>
      <x:c r="AD91" s="47" t="n">
        <x:f>MIN(AC91,Y91+Z91+AB91)</x:f>
        <x:v>51391.27434587931</x:v>
      </x:c>
      <x:c r="AE91" s="47" t="n">
        <x:f>IF(Y91+Z91+AB91&gt;0,AD91*Y91/(Y91+Z91+AB91),0)</x:f>
        <x:v>13300.782954425833</x:v>
      </x:c>
      <x:c r="AF91" s="47" t="n">
        <x:f>IF(Y91+Z91+AB91&gt;0,AD91*AB91/(Y91+Z91+AB91),0)</x:f>
        <x:v>21839.6948384406</x:v>
      </x:c>
      <x:c r="AG91" s="47" t="n">
        <x:f>AD91*family_mult</x:f>
        <x:v>113060.8035609345</x:v>
      </x:c>
      <x:c r="AH91" s="47" t="n">
        <x:f>AH90*(1+Paths!C91)+AG91</x:f>
        <x:v>3795412.3282819875</x:v>
      </x:c>
      <x:c r="AI91" s="47" t="n">
        <x:f>IF(AND(mig_endo=1,$A91&gt;=talent_start),chain_rate*AH90,0)</x:f>
        <x:v>54580.309160885176</x:v>
      </x:c>
      <x:c r="AJ91" s="47" t="n">
        <x:f>IF(AND(mig_endo=1,$A91&gt;=talent_start),IF(H90&gt;0,H90*job_fill,H90*job_return)*job_family,0)</x:f>
        <x:v>-34962.7060274679</x:v>
      </x:c>
      <x:c r="AK91" s="47" t="n">
        <x:f>K91*gw_conv_family</x:f>
        <x:v>59807.65949545498</x:v>
      </x:c>
      <x:c r="AL91" s="47" t="n">
        <x:f>AG91+AI91+AJ91+AK91+AR91</x:f>
        <x:v>206066.06618980673</x:v>
      </x:c>
      <x:c r="AM91" s="47" t="n">
        <x:f>AM90*(1-skill_ret)+AD91</x:f>
        <x:v>893245.6084764773</x:v>
      </x:c>
      <x:c r="AN91" s="64" t="n">
        <x:f>AM91/B91</x:f>
        <x:v>0.08075241321071111</x:v>
      </x:c>
      <x:c r="AO91" s="64" t="n">
        <x:f>(skill_rel-1+skill_spill)*AM90/B90-AT91</x:f>
        <x:v>0.09349759352660786</x:v>
      </x:c>
      <x:c r="AP91" s="64" t="n">
        <x:f>talent_champ*AM90/(skill_base_share*B90)</x:f>
        <x:v>0.15972164989919926</x:v>
      </x:c>
      <x:c r="AQ91" s="45" t="n">
        <x:v>97000</x:v>
      </x:c>
      <x:c r="AR91" s="47" t="n">
        <x:f>IF(AND(div_on=1,$A91&gt;=div_start),AQ91*MIN(div_max,div_rate*U91)*(1-div_comp*S91),0)</x:f>
        <x:v>13580</x:v>
      </x:c>
      <x:c r="AS91" s="47" t="n">
        <x:f>AS90*(1-div_assim)+AR91</x:f>
        <x:v>1023239.1373851384</x:v>
      </x:c>
      <x:c r="AT91" s="64" t="n">
        <x:f>(1-div_rel)*AS90/Economy!B90</x:f>
        <x:v>0.010321478907871658</x:v>
      </x:c>
      <x:c r="AU91" s="47" t="n">
        <x:f>AU90*(1-skill_ret)+AE91</x:f>
        <x:v>266732.13104571844</x:v>
      </x:c>
      <x:c r="AV91" s="47" t="n">
        <x:f>AV90*(1+union_nat)+AR91</x:f>
        <x:v>3556811.4566424466</x:v>
      </x:c>
      <x:c r="AW91" s="47" t="n">
        <x:f>AW90*(1+union_nat)+AE91*family_mult</x:f>
        <x:v>1226793.6507468608</x:v>
      </x:c>
      <x:c r="AX91" s="67" t="n">
        <x:f>V91-(AV91+AW91)/1000000</x:f>
        <x:v>87.3863948926107</x:v>
      </x:c>
      <x:c r="AY91" s="47" t="n">
        <x:f>L91*gw_union</x:f>
        <x:v>194443.11670942098</x:v>
      </x:c>
      <x:c r="AZ91" s="46" t="n">
        <x:v>1.072</x:v>
      </x:c>
      <x:c r="BA91" s="47" t="n">
        <x:f>Economy!Q91*AZ91/lf_rate</x:f>
        <x:v>1592.6857142857143</x:v>
      </x:c>
      <x:c r="BB91" s="64" t="n">
        <x:f>bd_growth*AU90/W90</x:f>
        <x:v>0.0016922234794895206</x:v>
      </x:c>
      <x:c r="BC91" s="64" t="n">
        <x:f>tg_k*MIN(1,Economy!O90/BK90)</x:f>
        <x:v>0.002343746339402073</x:v>
      </x:c>
      <x:c r="BD91" s="64" t="n">
        <x:f>emu_g*S91</x:f>
        <x:v>0.0015</x:v>
      </x:c>
      <x:c r="BE91" s="65" t="n">
        <x:f>BE90*(1-BB91-BC91+BD91)</x:f>
        <x:v>0.9282690044987001</x:v>
      </x:c>
      <x:c r="BF91" s="46" t="n">
        <x:v>0.9399999999999999</x:v>
      </x:c>
      <x:c r="BG91" s="53" t="n">
        <x:f>AU91*BA91*BE91*(skill_rel-1+skill_spill)/1000000</x:f>
        <x:v>512.6519586962845</x:v>
      </x:c>
      <x:c r="BH91" s="53" t="n">
        <x:f>union_disp*(Champions!AP91+Champions!AZ91)*(1-IF(union_resp=2,mkt_cut*S91,0))</x:f>
        <x:v>797.3098173755254</x:v>
      </x:c>
      <x:c r="BI91" s="53" t="n">
        <x:f>AY91*BA91*BE91/1000000</x:f>
        <x:v>287.4726336155904</x:v>
      </x:c>
      <x:c r="BJ91" s="47" t="n">
        <x:f>V91*Economy!Q91*AZ91</x:f>
        <x:v>61655.09376</x:v>
      </x:c>
      <x:c r="BK91" s="47" t="n">
        <x:f>MAX(0.3*BJ91,AX91*Economy!Q91*AZ91*BE91*BF91-BG91-BH91-BI91)</x:f>
        <x:v>49408.992435319225</x:v>
      </x:c>
      <x:c r="BL91" s="63" t="n">
        <x:f>1-BK91/BJ91</x:f>
        <x:v>0.19862270216229372</x:v>
      </x:c>
      <x:c r="BM91" s="47" t="n">
        <x:f>MAX(0,BH91-BH90)*1000000/BA91</x:f>
        <x:v>0</x:v>
      </x:c>
      <x:c r="BN91" s="47" t="n">
        <x:f>BN90*(1-IF(AND($A91&gt;=1930,$A91&lt;=1932),0,union_reabsorb))+BM91</x:f>
        <x:v>141092.55289818306</x:v>
      </x:c>
      <x:c r="BO91" s="59" t="n">
        <x:v>0.159</x:v>
      </x:c>
      <x:c r="BP91" s="63" t="n">
        <x:f>BO91+BN91/(AX91*1000000*lf_rate)</x:f>
        <x:v>0.1628442442919222</x:v>
      </x:c>
    </x:row>
    <x:row r="92">
      <x:c r="A92" s="58" t="n">
        <x:v>1932</x:v>
      </x:c>
      <x:c r="B92" s="47" t="n">
        <x:f>Economy!B92*lf_rate</x:f>
        <x:v>11307586.942267869</x:v>
      </x:c>
      <x:c r="C92" s="47" t="n">
        <x:f>Economy!O92*1000000/(B92+L92)</x:f>
        <x:v>3231.8422231911027</x:v>
      </x:c>
      <x:c r="D92" s="47" t="n">
        <x:f>Champions!AP92*1000000/(C92*champ_prem)</x:f>
        <x:v>441867.49006299686</x:v>
      </x:c>
      <x:c r="E92" s="47" t="n">
        <x:f>D92*job_mult</x:f>
        <x:v>309307.2430440978</x:v>
      </x:c>
      <x:c r="F92" s="47" t="n">
        <x:f>D92+E92</x:f>
        <x:v>751174.7331070947</x:v>
      </x:c>
      <x:c r="G92" s="63" t="n">
        <x:f>F92/B92</x:f>
        <x:v>0.06643103758054658</x:v>
      </x:c>
      <x:c r="H92" s="47" t="n">
        <x:f>F92-F91</x:f>
        <x:v>-52470.52694193879</x:v>
      </x:c>
      <x:c r="I92" s="63" t="n">
        <x:f>MAX(0.005,pac_u_base*IF(Paths!AC92=1,pac_u_war,1)+(okun*(1-Economy!G92)*(B92+L92)-MAX(0,L91-L92))/B92)</x:f>
        <x:v>0.07986826183982325</x:v>
      </x:c>
      <x:c r="J92" s="47" t="n">
        <x:f>IF(AND(gw_on=1,$A92&gt;=gw_start),MIN(gw_cap*B91,gw_cover*F91+gw_gen*B91),0)</x:f>
        <x:v>1367109.9197820663</x:v>
      </x:c>
      <x:c r="K92" s="47" t="n">
        <x:f>L91*gw_conv</x:f>
        <x:v>29166.467506413144</x:v>
      </x:c>
      <x:c r="L92" s="47" t="n">
        <x:f>MAX(0,L91-K92+gw_adj*(J92-L91))*MAX(0,1-gw_slump*(1-Economy!G92))</x:f>
        <x:v>854381.3160149088</x:v>
      </x:c>
      <x:c r="M92" s="47" t="n">
        <x:f>MAX(0,L92-L91+L91/gw_term)</x:f>
        <x:v>206237.5936501723</x:v>
      </x:c>
      <x:c r="N92" s="63" t="n">
        <x:f>L92/B92</x:f>
        <x:v>0.07555823540221683</x:v>
      </x:c>
      <x:c r="O92" s="53" t="n">
        <x:f>Economy!L92</x:f>
        <x:v>1620.621619876715</x:v>
      </x:c>
      <x:c r="P92" s="53" t="n">
        <x:f>O92*gw_wage_share</x:f>
        <x:v>1053.4040529198649</x:v>
      </x:c>
      <x:c r="Q92" s="53" t="n">
        <x:f>P92*gw_levy</x:f>
        <x:v>263.3510132299662</x:v>
      </x:c>
      <x:c r="R92" s="53" t="n">
        <x:f>P92*gw_remit</x:f>
        <x:v>263.3510132299662</x:v>
      </x:c>
      <x:c r="S92" s="63" t="n">
        <x:f>IF(union_resp&gt;=1,MIN(1,MAX(0,($A92-resp_start)/(resp_full-resp_start))),0)</x:f>
        <x:v>1</x:v>
      </x:c>
      <x:c r="T92" s="67" t="n">
        <x:f>Economy!R91</x:f>
        <x:v>2.508807273485257</x:v>
      </x:c>
      <x:c r="U92" s="67" t="n">
        <x:f>MAX(0,T92-gap_base)</x:f>
        <x:v>1.0088072734852571</x:v>
      </x:c>
      <x:c r="V92" s="68" t="n">
        <x:v>92.90000000000001</x:v>
      </x:c>
      <x:c r="W92" s="47" t="n">
        <x:f>V92*1000000*lf_rate*union_skill_share</x:f>
        <x:v>4682160</x:v>
      </x:c>
      <x:c r="X92" s="45" t="n">
        <x:v>130000</x:v>
      </x:c>
      <x:c r="Y92" s="47" t="n">
        <x:f>IF(AND(mig_endo=1,$A92&gt;=talent_start),talent_rate_u*W92*U92*(1-(1-bd_keep)*S92),0)</x:f>
        <x:v>15728.912221860364</x:v>
      </x:c>
      <x:c r="Z92" s="47" t="n">
        <x:f>IF(AND(mig_endo=1,$A92&gt;=talent_start),X92*MIN(0.5,talent_share_o*U92)*(1-eu_comp*S92),0)</x:f>
        <x:v>24786.394709532768</x:v>
      </x:c>
      <x:c r="AA92" s="45" t="n">
        <x:v>130000</x:v>
      </x:c>
      <x:c r="AB92" s="47" t="n">
        <x:f>IF(AND(mig_endo=1,$A92&gt;=talent_start),AA92*MIN(0.5,talent_share_a*U92),0)</x:f>
        <x:v>26228.989110616683</x:v>
      </x:c>
      <x:c r="AC92" s="47" t="n">
        <x:f>entry_cap*People!B92</x:f>
        <x:v>79859.59411652113</x:v>
      </x:c>
      <x:c r="AD92" s="47" t="n">
        <x:f>MIN(AC92,Y92+Z92+AB92)</x:f>
        <x:v>66744.29604200981</x:v>
      </x:c>
      <x:c r="AE92" s="47" t="n">
        <x:f>IF(Y92+Z92+AB92&gt;0,AD92*Y92/(Y92+Z92+AB92),0)</x:f>
        <x:v>15728.912221860364</x:v>
      </x:c>
      <x:c r="AF92" s="47" t="n">
        <x:f>IF(Y92+Z92+AB92&gt;0,AD92*AB92/(Y92+Z92+AB92),0)</x:f>
        <x:v>26228.989110616683</x:v>
      </x:c>
      <x:c r="AG92" s="47" t="n">
        <x:f>AD92*family_mult</x:f>
        <x:v>146837.45129242158</x:v>
      </x:c>
      <x:c r="AH92" s="47" t="n">
        <x:f>AH91*(1+Paths!C92)+AG92</x:f>
        <x:v>3987794.727513793</x:v>
      </x:c>
      <x:c r="AI92" s="47" t="n">
        <x:f>IF(AND(mig_endo=1,$A92&gt;=talent_start),chain_rate*AH91,0)</x:f>
        <x:v>56931.18492422981</x:v>
      </x:c>
      <x:c r="AJ92" s="47" t="n">
        <x:f>IF(AND(mig_endo=1,$A92&gt;=talent_start),IF(H91&gt;0,H91*job_fill,H91*job_return)*job_family,0)</x:f>
        <x:v>-21863.959170894166</x:v>
      </x:c>
      <x:c r="AK92" s="47" t="n">
        <x:f>K92*gw_conv_family</x:f>
        <x:v>52499.64151154366</x:v>
      </x:c>
      <x:c r="AL92" s="47" t="n">
        <x:f>AG92+AI92+AJ92+AK92+AR92</x:f>
        <x:v>239444.31855730087</x:v>
      </x:c>
      <x:c r="AM92" s="47" t="n">
        <x:f>AM91*(1-skill_ret)+AD92</x:f>
        <x:v>937658.7643065752</x:v>
      </x:c>
      <x:c r="AN92" s="64" t="n">
        <x:f>AM92/B92</x:f>
        <x:v>0.08292297632500155</x:v>
      </x:c>
      <x:c r="AO92" s="64" t="n">
        <x:f>(skill_rel-1+skill_spill)*AM91/B91-AT92</x:f>
        <x:v>0.09526518921269686</x:v>
      </x:c>
      <x:c r="AP92" s="64" t="n">
        <x:f>talent_champ*AM91/(skill_base_share*B91)</x:f>
        <x:v>0.16150482642142222</x:v>
      </x:c>
      <x:c r="AQ92" s="45" t="n">
        <x:v>36000</x:v>
      </x:c>
      <x:c r="AR92" s="47" t="n">
        <x:f>IF(AND(div_on=1,$A92&gt;=div_start),AQ92*MIN(div_max,div_rate*U92)*(1-div_comp*S92),0)</x:f>
        <x:v>5040</x:v>
      </x:c>
      <x:c r="AS92" s="47" t="n">
        <x:f>AS91*(1-div_assim)+AR92</x:f>
        <x:v>977117.1805158815</x:v>
      </x:c>
      <x:c r="AT92" s="64" t="n">
        <x:f>(1-div_rel)*AS91/Economy!B91</x:f>
        <x:v>0.009712947961227604</x:v>
      </x:c>
      <x:c r="AU92" s="47" t="n">
        <x:f>AU91*(1-skill_ret)+AE92</x:f>
        <x:v>275792.73999143584</x:v>
      </x:c>
      <x:c r="AV92" s="47" t="n">
        <x:f>AV91*(1+union_nat)+AR92</x:f>
        <x:v>3608090.0055787982</x:v>
      </x:c>
      <x:c r="AW92" s="47" t="n">
        <x:f>AW91*(1+union_nat)+AE92*family_mult</x:f>
        <x:v>1277345.5750946626</x:v>
      </x:c>
      <x:c r="AX92" s="67" t="n">
        <x:f>V92-(AV92+AW92)/1000000</x:f>
        <x:v>88.01456441932655</x:v>
      </x:c>
      <x:c r="AY92" s="47" t="n">
        <x:f>L92*gw_union</x:f>
        <x:v>170876.2632029818</x:v>
      </x:c>
      <x:c r="AZ92" s="46" t="n">
        <x:v>1.074</x:v>
      </x:c>
      <x:c r="BA92" s="47" t="n">
        <x:f>Economy!Q92*AZ92/lf_rate</x:f>
        <x:v>1217.2</x:v>
      </x:c>
      <x:c r="BB92" s="64" t="n">
        <x:f>bd_growth*AU91/W91</x:f>
        <x:v>0.0017225683587116355</x:v>
      </x:c>
      <x:c r="BC92" s="64" t="n">
        <x:f>tg_k*MIN(1,Economy!O91/BK91)</x:f>
        <x:v>0.002595829515385446</x:v>
      </x:c>
      <x:c r="BD92" s="64" t="n">
        <x:f>emu_g*S92</x:f>
        <x:v>0.0015</x:v>
      </x:c>
      <x:c r="BE92" s="65" t="n">
        <x:f>BE91*(1-BB92-BC92+BD92)</x:f>
        <x:v>0.9256527731098307</x:v>
      </x:c>
      <x:c r="BF92" s="46" t="n">
        <x:v>0.914</x:v>
      </x:c>
      <x:c r="BG92" s="53" t="n">
        <x:f>AU92*BA92*BE92*(skill_rel-1+skill_spill)/1000000</x:f>
        <x:v>403.95801745347796</x:v>
      </x:c>
      <x:c r="BH92" s="53" t="n">
        <x:f>union_disp*(Champions!AP92+Champions!AZ92)*(1-IF(union_resp=2,mkt_cut*S92,0))</x:f>
        <x:v>683.7818243471701</x:v>
      </x:c>
      <x:c r="BI92" s="53" t="n">
        <x:f>AY92*BA92*BE92/1000000</x:f>
        <x:v>192.52706416553326</x:v>
      </x:c>
      <x:c r="BJ92" s="47" t="n">
        <x:f>V92*Economy!Q92*AZ92</x:f>
        <x:v>47492.7096</x:v>
      </x:c>
      <x:c r="BK92" s="47" t="n">
        <x:f>MAX(0.3*BJ92,AX92*Economy!Q92*AZ92*BE92*BF92-BG92-BH92-BI92)</x:f>
        <x:v>36787.73482409854</x:v>
      </x:c>
      <x:c r="BL92" s="63" t="n">
        <x:f>1-BK92/BJ92</x:f>
        <x:v>0.2254024852669485</x:v>
      </x:c>
      <x:c r="BM92" s="47" t="n">
        <x:f>MAX(0,BH92-BH91)*1000000/BA92</x:f>
        <x:v>0</x:v>
      </x:c>
      <x:c r="BN92" s="47" t="n">
        <x:f>BN91*(1-IF(AND($A92&gt;=1930,$A92&lt;=1932),0,union_reabsorb))+BM92</x:f>
        <x:v>141092.55289818306</x:v>
      </x:c>
      <x:c r="BO92" s="59" t="n">
        <x:v>0.236</x:v>
      </x:c>
      <x:c r="BP92" s="63" t="n">
        <x:f>BO92+BN92/(AX92*1000000*lf_rate)</x:f>
        <x:v>0.23981680750196172</x:v>
      </x:c>
    </x:row>
  </x:sheetData>
  <x:mergeCells>
    <x:mergeCell ref="S4:AF4"/>
    <x:mergeCell ref="AM4:AP4"/>
    <x:mergeCell ref="AQ4:AT4"/>
    <x:mergeCell ref="B4:I4"/>
    <x:mergeCell ref="AU4:BP4"/>
    <x:mergeCell ref="J4:R4"/>
    <x:mergeCell ref="AG4:AL4"/>
  </x:mergeCells>
  <x:pageMargins left="0.7" right="0.7" top="0.75" bottom="0.75" header="0.3" footer="0.3"/>
  <x:legacyDrawing xmlns:r="http://schemas.openxmlformats.org/officeDocument/2006/relationships" r:id="Rd67b2ab894cf43da"/>
</x:worksheet>
</file>

<file path=xl/worksheets/sheet16.xml><?xml version="1.0" encoding="utf-8"?>
<x:worksheet xmlns:x="http://schemas.openxmlformats.org/spreadsheetml/2006/main">
  <x:sheetPr>
    <x:tabColor rgb="FF2F5597"/>
  </x:sheetPr>
  <x:sheetViews>
    <x:sheetView showGridLines="0" workbookViewId="0">
      <x:pane xSplit="1" ySplit="5" topLeftCell="B6" activePane="bottomRight" state="frozen"/>
    </x:sheetView>
  </x:sheetViews>
  <x:sheetFormatPr baseColWidth="8" defaultRowHeight="15"/>
  <x:cols>
    <x:col min="1" max="1" width="7" customWidth="1"/>
    <x:col min="2" max="2" width="10" customWidth="1"/>
    <x:col min="3" max="3" width="10" customWidth="1"/>
    <x:col min="4" max="4" width="10" customWidth="1"/>
    <x:col min="5" max="5" width="10" customWidth="1"/>
    <x:col min="6" max="6" width="10" customWidth="1"/>
    <x:col min="7" max="7" width="10" customWidth="1"/>
    <x:col min="8" max="8" width="10" customWidth="1"/>
    <x:col min="9" max="9" width="10" customWidth="1"/>
    <x:col min="10" max="10" width="10" customWidth="1"/>
    <x:col min="11" max="11" width="10" customWidth="1"/>
    <x:col min="12" max="12" width="10" customWidth="1"/>
    <x:col min="13" max="13" width="10" customWidth="1"/>
    <x:col min="14" max="14" width="10" customWidth="1"/>
    <x:col min="15" max="15" width="10" customWidth="1"/>
    <x:col min="16" max="16" width="10" customWidth="1"/>
    <x:col min="17" max="17" width="10" customWidth="1"/>
    <x:col min="18" max="18" width="10" customWidth="1"/>
    <x:col min="19" max="19" width="10" customWidth="1"/>
    <x:col min="20" max="20" width="10" customWidth="1"/>
    <x:col min="21" max="21" width="10" customWidth="1"/>
    <x:col min="22" max="22" width="10" customWidth="1"/>
    <x:col min="23" max="23" width="10" customWidth="1"/>
  </x:cols>
  <x:sheetData>
    <x:row r="1">
      <x:c r="A1" s="18" t="inlineStr">
        <x:is>
          <x:t xml:space="preserve">Navy plan: what gets built</x:t>
        </x:is>
      </x:c>
    </x:row>
    <x:row r="2">
      <x:c r="A2" s="2" t="inlineStr">
        <x:is>
          <x:t xml:space="preserve">Ships completed each year and what each one costs. Edit these to change the fleet.</x:t>
        </x:is>
      </x:c>
    </x:row>
    <x:row r="3">
      <x:c r="A3" s="19" t="inlineStr">
        <x:is>
          <x:t xml:space="preserve">Years run down the page. Blue = input you can change · black = formula · green = link to another sheet. Hover a column heading for its definition.</x:t>
        </x:is>
      </x:c>
    </x:row>
    <x:row r="4">
      <x:c r="B4" s="56" t="inlineStr">
        <x:is>
          <x:t xml:space="preserve">Ships completed per year</x:t>
        </x:is>
      </x:c>
      <x:c r="K4" s="56" t="inlineStr">
        <x:is>
          <x:t xml:space="preserve">Unit cost, current $m</x:t>
        </x:is>
      </x:c>
      <x:c r="T4" s="56" t="inlineStr">
        <x:is>
          <x:t xml:space="preserve">Capital ships abroad (for comparison)</x:t>
        </x:is>
      </x:c>
    </x:row>
    <x:row r="5" ht="54" customHeight="1">
      <x:c r="A5" s="57" t="inlineStr">
        <x:is>
          <x:t xml:space="preserve">Year</x:t>
        </x:is>
      </x:c>
      <x:c r="B5" s="6" t="inlineStr">
        <x:is>
          <x:t xml:space="preserve">Built: Turret ships &amp; coastal ironclads</x:t>
        </x:is>
      </x:c>
      <x:c r="C5" s="6" t="inlineStr">
        <x:is>
          <x:t xml:space="preserve">Built: Steam cruisers (coal)</x:t>
        </x:is>
      </x:c>
      <x:c r="D5" s="6" t="inlineStr">
        <x:is>
          <x:t xml:space="preserve">Built: Oil-fired torpedo boats</x:t>
        </x:is>
      </x:c>
      <x:c r="E5" s="6" t="inlineStr">
        <x:is>
          <x:t xml:space="preserve">Built: Oil-fired protected cruisers</x:t>
        </x:is>
      </x:c>
      <x:c r="F5" s="6" t="inlineStr">
        <x:is>
          <x:t xml:space="preserve">Built: Turbine destroyers</x:t>
        </x:is>
      </x:c>
      <x:c r="G5" s="6" t="inlineStr">
        <x:is>
          <x:t xml:space="preserve">Built: Turbine cruisers</x:t>
        </x:is>
      </x:c>
      <x:c r="H5" s="6" t="inlineStr">
        <x:is>
          <x:t xml:space="preserve">Built: Turbine capital ships</x:t>
        </x:is>
      </x:c>
      <x:c r="I5" s="6" t="inlineStr">
        <x:is>
          <x:t xml:space="preserve">Built: Submarines</x:t>
        </x:is>
      </x:c>
      <x:c r="J5" s="6" t="inlineStr">
        <x:is>
          <x:t xml:space="preserve">Built: Aircraft carriers</x:t>
        </x:is>
      </x:c>
      <x:c r="K5" s="6" t="inlineStr">
        <x:is>
          <x:t xml:space="preserve">Cost each: Turret ships &amp; coastal ironclads ($m)</x:t>
        </x:is>
      </x:c>
      <x:c r="L5" s="6" t="inlineStr">
        <x:is>
          <x:t xml:space="preserve">Cost each: Steam cruisers (coal) ($m)</x:t>
        </x:is>
      </x:c>
      <x:c r="M5" s="6" t="inlineStr">
        <x:is>
          <x:t xml:space="preserve">Cost each: Oil-fired torpedo boats ($m)</x:t>
        </x:is>
      </x:c>
      <x:c r="N5" s="6" t="inlineStr">
        <x:is>
          <x:t xml:space="preserve">Cost each: Oil-fired protected cruisers ($m)</x:t>
        </x:is>
      </x:c>
      <x:c r="O5" s="6" t="inlineStr">
        <x:is>
          <x:t xml:space="preserve">Cost each: Turbine destroyers ($m)</x:t>
        </x:is>
      </x:c>
      <x:c r="P5" s="6" t="inlineStr">
        <x:is>
          <x:t xml:space="preserve">Cost each: Turbine cruisers ($m)</x:t>
        </x:is>
      </x:c>
      <x:c r="Q5" s="6" t="inlineStr">
        <x:is>
          <x:t xml:space="preserve">Cost each: Turbine capital ships ($m)</x:t>
        </x:is>
      </x:c>
      <x:c r="R5" s="6" t="inlineStr">
        <x:is>
          <x:t xml:space="preserve">Cost each: Submarines ($m)</x:t>
        </x:is>
      </x:c>
      <x:c r="S5" s="6" t="inlineStr">
        <x:is>
          <x:t xml:space="preserve">Cost each: Aircraft carriers ($m)</x:t>
        </x:is>
      </x:c>
      <x:c r="T5" s="6" t="inlineStr">
        <x:is>
          <x:t xml:space="preserve">Japan capital ships</x:t>
        </x:is>
      </x:c>
      <x:c r="U5" s="6" t="inlineStr">
        <x:is>
          <x:t xml:space="preserve">Britain capital ships</x:t>
        </x:is>
      </x:c>
      <x:c r="V5" s="6" t="inlineStr">
        <x:is>
          <x:t xml:space="preserve">Union capital ships</x:t>
        </x:is>
      </x:c>
      <x:c r="W5" s="6" t="inlineStr">
        <x:is>
          <x:t xml:space="preserve">Germany capital ships</x:t>
        </x:is>
      </x:c>
    </x:row>
    <x:row r="6">
      <x:c r="A6" s="58" t="n">
        <x:v>1846</x:v>
      </x:c>
      <x:c r="B6" s="45" t="n">
        <x:v>0</x:v>
      </x:c>
      <x:c r="C6" s="45" t="n">
        <x:v>0</x:v>
      </x:c>
      <x:c r="D6" s="45" t="n">
        <x:v>0</x:v>
      </x:c>
      <x:c r="E6" s="45" t="n">
        <x:v>0</x:v>
      </x:c>
      <x:c r="F6" s="45" t="n">
        <x:v>0</x:v>
      </x:c>
      <x:c r="G6" s="45" t="n">
        <x:v>0</x:v>
      </x:c>
      <x:c r="H6" s="45" t="n">
        <x:v>0</x:v>
      </x:c>
      <x:c r="I6" s="45" t="n">
        <x:v>0</x:v>
      </x:c>
      <x:c r="J6" s="45" t="n">
        <x:v>0</x:v>
      </x:c>
      <x:c r="K6" s="68" t="n">
        <x:v>0</x:v>
      </x:c>
      <x:c r="L6" s="68" t="n">
        <x:v>0</x:v>
      </x:c>
      <x:c r="M6" s="68" t="n">
        <x:v>0</x:v>
      </x:c>
      <x:c r="N6" s="68" t="n">
        <x:v>0</x:v>
      </x:c>
      <x:c r="O6" s="68" t="n">
        <x:v>0</x:v>
      </x:c>
      <x:c r="P6" s="68" t="n">
        <x:v>0</x:v>
      </x:c>
      <x:c r="Q6" s="68" t="n">
        <x:v>0</x:v>
      </x:c>
      <x:c r="R6" s="68" t="n">
        <x:v>0</x:v>
      </x:c>
      <x:c r="S6" s="68" t="n">
        <x:v>0</x:v>
      </x:c>
      <x:c r="T6" s="45" t="n">
        <x:v>0</x:v>
      </x:c>
      <x:c r="U6" s="45" t="n">
        <x:v>0</x:v>
      </x:c>
      <x:c r="V6" s="45" t="n">
        <x:v>0</x:v>
      </x:c>
      <x:c r="W6" s="45" t="n">
        <x:v>0</x:v>
      </x:c>
    </x:row>
    <x:row r="7">
      <x:c r="A7" s="58" t="n">
        <x:v>1847</x:v>
      </x:c>
      <x:c r="B7" s="45" t="n">
        <x:v>0</x:v>
      </x:c>
      <x:c r="C7" s="45" t="n">
        <x:v>0</x:v>
      </x:c>
      <x:c r="D7" s="45" t="n">
        <x:v>0</x:v>
      </x:c>
      <x:c r="E7" s="45" t="n">
        <x:v>0</x:v>
      </x:c>
      <x:c r="F7" s="45" t="n">
        <x:v>0</x:v>
      </x:c>
      <x:c r="G7" s="45" t="n">
        <x:v>0</x:v>
      </x:c>
      <x:c r="H7" s="45" t="n">
        <x:v>0</x:v>
      </x:c>
      <x:c r="I7" s="45" t="n">
        <x:v>0</x:v>
      </x:c>
      <x:c r="J7" s="45" t="n">
        <x:v>0</x:v>
      </x:c>
      <x:c r="K7" s="68" t="n">
        <x:v>0</x:v>
      </x:c>
      <x:c r="L7" s="68" t="n">
        <x:v>0</x:v>
      </x:c>
      <x:c r="M7" s="68" t="n">
        <x:v>0</x:v>
      </x:c>
      <x:c r="N7" s="68" t="n">
        <x:v>0</x:v>
      </x:c>
      <x:c r="O7" s="68" t="n">
        <x:v>0</x:v>
      </x:c>
      <x:c r="P7" s="68" t="n">
        <x:v>0</x:v>
      </x:c>
      <x:c r="Q7" s="68" t="n">
        <x:v>0</x:v>
      </x:c>
      <x:c r="R7" s="68" t="n">
        <x:v>0</x:v>
      </x:c>
      <x:c r="S7" s="68" t="n">
        <x:v>0</x:v>
      </x:c>
      <x:c r="T7" s="45" t="n">
        <x:v>0</x:v>
      </x:c>
      <x:c r="U7" s="45" t="n">
        <x:v>0</x:v>
      </x:c>
      <x:c r="V7" s="45" t="n">
        <x:v>0</x:v>
      </x:c>
      <x:c r="W7" s="45" t="n">
        <x:v>0</x:v>
      </x:c>
    </x:row>
    <x:row r="8">
      <x:c r="A8" s="58" t="n">
        <x:v>1848</x:v>
      </x:c>
      <x:c r="B8" s="45" t="n">
        <x:v>0</x:v>
      </x:c>
      <x:c r="C8" s="45" t="n">
        <x:v>0</x:v>
      </x:c>
      <x:c r="D8" s="45" t="n">
        <x:v>0</x:v>
      </x:c>
      <x:c r="E8" s="45" t="n">
        <x:v>0</x:v>
      </x:c>
      <x:c r="F8" s="45" t="n">
        <x:v>0</x:v>
      </x:c>
      <x:c r="G8" s="45" t="n">
        <x:v>0</x:v>
      </x:c>
      <x:c r="H8" s="45" t="n">
        <x:v>0</x:v>
      </x:c>
      <x:c r="I8" s="45" t="n">
        <x:v>0</x:v>
      </x:c>
      <x:c r="J8" s="45" t="n">
        <x:v>0</x:v>
      </x:c>
      <x:c r="K8" s="68" t="n">
        <x:v>0</x:v>
      </x:c>
      <x:c r="L8" s="68" t="n">
        <x:v>0</x:v>
      </x:c>
      <x:c r="M8" s="68" t="n">
        <x:v>0</x:v>
      </x:c>
      <x:c r="N8" s="68" t="n">
        <x:v>0</x:v>
      </x:c>
      <x:c r="O8" s="68" t="n">
        <x:v>0</x:v>
      </x:c>
      <x:c r="P8" s="68" t="n">
        <x:v>0</x:v>
      </x:c>
      <x:c r="Q8" s="68" t="n">
        <x:v>0</x:v>
      </x:c>
      <x:c r="R8" s="68" t="n">
        <x:v>0</x:v>
      </x:c>
      <x:c r="S8" s="68" t="n">
        <x:v>0</x:v>
      </x:c>
      <x:c r="T8" s="45" t="n">
        <x:v>0</x:v>
      </x:c>
      <x:c r="U8" s="45" t="n">
        <x:v>0</x:v>
      </x:c>
      <x:c r="V8" s="45" t="n">
        <x:v>0</x:v>
      </x:c>
      <x:c r="W8" s="45" t="n">
        <x:v>0</x:v>
      </x:c>
    </x:row>
    <x:row r="9">
      <x:c r="A9" s="58" t="n">
        <x:v>1849</x:v>
      </x:c>
      <x:c r="B9" s="45" t="n">
        <x:v>0</x:v>
      </x:c>
      <x:c r="C9" s="45" t="n">
        <x:v>0</x:v>
      </x:c>
      <x:c r="D9" s="45" t="n">
        <x:v>0</x:v>
      </x:c>
      <x:c r="E9" s="45" t="n">
        <x:v>0</x:v>
      </x:c>
      <x:c r="F9" s="45" t="n">
        <x:v>0</x:v>
      </x:c>
      <x:c r="G9" s="45" t="n">
        <x:v>0</x:v>
      </x:c>
      <x:c r="H9" s="45" t="n">
        <x:v>0</x:v>
      </x:c>
      <x:c r="I9" s="45" t="n">
        <x:v>0</x:v>
      </x:c>
      <x:c r="J9" s="45" t="n">
        <x:v>0</x:v>
      </x:c>
      <x:c r="K9" s="68" t="n">
        <x:v>0</x:v>
      </x:c>
      <x:c r="L9" s="68" t="n">
        <x:v>0</x:v>
      </x:c>
      <x:c r="M9" s="68" t="n">
        <x:v>0</x:v>
      </x:c>
      <x:c r="N9" s="68" t="n">
        <x:v>0</x:v>
      </x:c>
      <x:c r="O9" s="68" t="n">
        <x:v>0</x:v>
      </x:c>
      <x:c r="P9" s="68" t="n">
        <x:v>0</x:v>
      </x:c>
      <x:c r="Q9" s="68" t="n">
        <x:v>0</x:v>
      </x:c>
      <x:c r="R9" s="68" t="n">
        <x:v>0</x:v>
      </x:c>
      <x:c r="S9" s="68" t="n">
        <x:v>0</x:v>
      </x:c>
      <x:c r="T9" s="45" t="n">
        <x:v>0</x:v>
      </x:c>
      <x:c r="U9" s="45" t="n">
        <x:v>0</x:v>
      </x:c>
      <x:c r="V9" s="45" t="n">
        <x:v>0</x:v>
      </x:c>
      <x:c r="W9" s="45" t="n">
        <x:v>0</x:v>
      </x:c>
    </x:row>
    <x:row r="10">
      <x:c r="A10" s="58" t="n">
        <x:v>1850</x:v>
      </x:c>
      <x:c r="B10" s="45" t="n">
        <x:v>0</x:v>
      </x:c>
      <x:c r="C10" s="45" t="n">
        <x:v>0</x:v>
      </x:c>
      <x:c r="D10" s="45" t="n">
        <x:v>0</x:v>
      </x:c>
      <x:c r="E10" s="45" t="n">
        <x:v>0</x:v>
      </x:c>
      <x:c r="F10" s="45" t="n">
        <x:v>0</x:v>
      </x:c>
      <x:c r="G10" s="45" t="n">
        <x:v>0</x:v>
      </x:c>
      <x:c r="H10" s="45" t="n">
        <x:v>0</x:v>
      </x:c>
      <x:c r="I10" s="45" t="n">
        <x:v>0</x:v>
      </x:c>
      <x:c r="J10" s="45" t="n">
        <x:v>0</x:v>
      </x:c>
      <x:c r="K10" s="68" t="n">
        <x:v>0</x:v>
      </x:c>
      <x:c r="L10" s="68" t="n">
        <x:v>0.4</x:v>
      </x:c>
      <x:c r="M10" s="68" t="n">
        <x:v>0</x:v>
      </x:c>
      <x:c r="N10" s="68" t="n">
        <x:v>0</x:v>
      </x:c>
      <x:c r="O10" s="68" t="n">
        <x:v>0</x:v>
      </x:c>
      <x:c r="P10" s="68" t="n">
        <x:v>0</x:v>
      </x:c>
      <x:c r="Q10" s="68" t="n">
        <x:v>0</x:v>
      </x:c>
      <x:c r="R10" s="68" t="n">
        <x:v>0</x:v>
      </x:c>
      <x:c r="S10" s="68" t="n">
        <x:v>0</x:v>
      </x:c>
      <x:c r="T10" s="45" t="n">
        <x:v>0</x:v>
      </x:c>
      <x:c r="U10" s="45" t="n">
        <x:v>0</x:v>
      </x:c>
      <x:c r="V10" s="45" t="n">
        <x:v>0</x:v>
      </x:c>
      <x:c r="W10" s="45" t="n">
        <x:v>0</x:v>
      </x:c>
    </x:row>
    <x:row r="11">
      <x:c r="A11" s="58" t="n">
        <x:v>1851</x:v>
      </x:c>
      <x:c r="B11" s="45" t="n">
        <x:v>0</x:v>
      </x:c>
      <x:c r="C11" s="45" t="n">
        <x:v>0</x:v>
      </x:c>
      <x:c r="D11" s="45" t="n">
        <x:v>0</x:v>
      </x:c>
      <x:c r="E11" s="45" t="n">
        <x:v>0</x:v>
      </x:c>
      <x:c r="F11" s="45" t="n">
        <x:v>0</x:v>
      </x:c>
      <x:c r="G11" s="45" t="n">
        <x:v>0</x:v>
      </x:c>
      <x:c r="H11" s="45" t="n">
        <x:v>0</x:v>
      </x:c>
      <x:c r="I11" s="45" t="n">
        <x:v>0</x:v>
      </x:c>
      <x:c r="J11" s="45" t="n">
        <x:v>0</x:v>
      </x:c>
      <x:c r="K11" s="68" t="n">
        <x:v>0</x:v>
      </x:c>
      <x:c r="L11" s="68" t="n">
        <x:v>0.41</x:v>
      </x:c>
      <x:c r="M11" s="68" t="n">
        <x:v>0</x:v>
      </x:c>
      <x:c r="N11" s="68" t="n">
        <x:v>0</x:v>
      </x:c>
      <x:c r="O11" s="68" t="n">
        <x:v>0</x:v>
      </x:c>
      <x:c r="P11" s="68" t="n">
        <x:v>0</x:v>
      </x:c>
      <x:c r="Q11" s="68" t="n">
        <x:v>0</x:v>
      </x:c>
      <x:c r="R11" s="68" t="n">
        <x:v>0</x:v>
      </x:c>
      <x:c r="S11" s="68" t="n">
        <x:v>0</x:v>
      </x:c>
      <x:c r="T11" s="45" t="n">
        <x:v>0</x:v>
      </x:c>
      <x:c r="U11" s="45" t="n">
        <x:v>0</x:v>
      </x:c>
      <x:c r="V11" s="45" t="n">
        <x:v>0</x:v>
      </x:c>
      <x:c r="W11" s="45" t="n">
        <x:v>0</x:v>
      </x:c>
    </x:row>
    <x:row r="12">
      <x:c r="A12" s="58" t="n">
        <x:v>1852</x:v>
      </x:c>
      <x:c r="B12" s="45" t="n">
        <x:v>0</x:v>
      </x:c>
      <x:c r="C12" s="45" t="n">
        <x:v>1</x:v>
      </x:c>
      <x:c r="D12" s="45" t="n">
        <x:v>0</x:v>
      </x:c>
      <x:c r="E12" s="45" t="n">
        <x:v>0</x:v>
      </x:c>
      <x:c r="F12" s="45" t="n">
        <x:v>0</x:v>
      </x:c>
      <x:c r="G12" s="45" t="n">
        <x:v>0</x:v>
      </x:c>
      <x:c r="H12" s="45" t="n">
        <x:v>0</x:v>
      </x:c>
      <x:c r="I12" s="45" t="n">
        <x:v>0</x:v>
      </x:c>
      <x:c r="J12" s="45" t="n">
        <x:v>0</x:v>
      </x:c>
      <x:c r="K12" s="68" t="n">
        <x:v>0</x:v>
      </x:c>
      <x:c r="L12" s="68" t="n">
        <x:v>0.42</x:v>
      </x:c>
      <x:c r="M12" s="68" t="n">
        <x:v>0</x:v>
      </x:c>
      <x:c r="N12" s="68" t="n">
        <x:v>0</x:v>
      </x:c>
      <x:c r="O12" s="68" t="n">
        <x:v>0</x:v>
      </x:c>
      <x:c r="P12" s="68" t="n">
        <x:v>0</x:v>
      </x:c>
      <x:c r="Q12" s="68" t="n">
        <x:v>0</x:v>
      </x:c>
      <x:c r="R12" s="68" t="n">
        <x:v>0</x:v>
      </x:c>
      <x:c r="S12" s="68" t="n">
        <x:v>0</x:v>
      </x:c>
      <x:c r="T12" s="45" t="n">
        <x:v>0</x:v>
      </x:c>
      <x:c r="U12" s="45" t="n">
        <x:v>0</x:v>
      </x:c>
      <x:c r="V12" s="45" t="n">
        <x:v>0</x:v>
      </x:c>
      <x:c r="W12" s="45" t="n">
        <x:v>0</x:v>
      </x:c>
    </x:row>
    <x:row r="13">
      <x:c r="A13" s="58" t="n">
        <x:v>1853</x:v>
      </x:c>
      <x:c r="B13" s="45" t="n">
        <x:v>0</x:v>
      </x:c>
      <x:c r="C13" s="45" t="n">
        <x:v>0</x:v>
      </x:c>
      <x:c r="D13" s="45" t="n">
        <x:v>0</x:v>
      </x:c>
      <x:c r="E13" s="45" t="n">
        <x:v>0</x:v>
      </x:c>
      <x:c r="F13" s="45" t="n">
        <x:v>0</x:v>
      </x:c>
      <x:c r="G13" s="45" t="n">
        <x:v>0</x:v>
      </x:c>
      <x:c r="H13" s="45" t="n">
        <x:v>0</x:v>
      </x:c>
      <x:c r="I13" s="45" t="n">
        <x:v>0</x:v>
      </x:c>
      <x:c r="J13" s="45" t="n">
        <x:v>0</x:v>
      </x:c>
      <x:c r="K13" s="68" t="n">
        <x:v>0</x:v>
      </x:c>
      <x:c r="L13" s="68" t="n">
        <x:v>0.43</x:v>
      </x:c>
      <x:c r="M13" s="68" t="n">
        <x:v>0</x:v>
      </x:c>
      <x:c r="N13" s="68" t="n">
        <x:v>0</x:v>
      </x:c>
      <x:c r="O13" s="68" t="n">
        <x:v>0</x:v>
      </x:c>
      <x:c r="P13" s="68" t="n">
        <x:v>0</x:v>
      </x:c>
      <x:c r="Q13" s="68" t="n">
        <x:v>0</x:v>
      </x:c>
      <x:c r="R13" s="68" t="n">
        <x:v>0</x:v>
      </x:c>
      <x:c r="S13" s="68" t="n">
        <x:v>0</x:v>
      </x:c>
      <x:c r="T13" s="45" t="n">
        <x:v>0</x:v>
      </x:c>
      <x:c r="U13" s="45" t="n">
        <x:v>0</x:v>
      </x:c>
      <x:c r="V13" s="45" t="n">
        <x:v>0</x:v>
      </x:c>
      <x:c r="W13" s="45" t="n">
        <x:v>0</x:v>
      </x:c>
    </x:row>
    <x:row r="14">
      <x:c r="A14" s="58" t="n">
        <x:v>1854</x:v>
      </x:c>
      <x:c r="B14" s="45" t="n">
        <x:v>0</x:v>
      </x:c>
      <x:c r="C14" s="45" t="n">
        <x:v>0</x:v>
      </x:c>
      <x:c r="D14" s="45" t="n">
        <x:v>0</x:v>
      </x:c>
      <x:c r="E14" s="45" t="n">
        <x:v>0</x:v>
      </x:c>
      <x:c r="F14" s="45" t="n">
        <x:v>0</x:v>
      </x:c>
      <x:c r="G14" s="45" t="n">
        <x:v>0</x:v>
      </x:c>
      <x:c r="H14" s="45" t="n">
        <x:v>0</x:v>
      </x:c>
      <x:c r="I14" s="45" t="n">
        <x:v>0</x:v>
      </x:c>
      <x:c r="J14" s="45" t="n">
        <x:v>0</x:v>
      </x:c>
      <x:c r="K14" s="68" t="n">
        <x:v>0</x:v>
      </x:c>
      <x:c r="L14" s="68" t="n">
        <x:v>0.44</x:v>
      </x:c>
      <x:c r="M14" s="68" t="n">
        <x:v>0</x:v>
      </x:c>
      <x:c r="N14" s="68" t="n">
        <x:v>0</x:v>
      </x:c>
      <x:c r="O14" s="68" t="n">
        <x:v>0</x:v>
      </x:c>
      <x:c r="P14" s="68" t="n">
        <x:v>0</x:v>
      </x:c>
      <x:c r="Q14" s="68" t="n">
        <x:v>0</x:v>
      </x:c>
      <x:c r="R14" s="68" t="n">
        <x:v>0</x:v>
      </x:c>
      <x:c r="S14" s="68" t="n">
        <x:v>0</x:v>
      </x:c>
      <x:c r="T14" s="45" t="n">
        <x:v>0</x:v>
      </x:c>
      <x:c r="U14" s="45" t="n">
        <x:v>0</x:v>
      </x:c>
      <x:c r="V14" s="45" t="n">
        <x:v>0</x:v>
      </x:c>
      <x:c r="W14" s="45" t="n">
        <x:v>0</x:v>
      </x:c>
    </x:row>
    <x:row r="15">
      <x:c r="A15" s="58" t="n">
        <x:v>1855</x:v>
      </x:c>
      <x:c r="B15" s="45" t="n">
        <x:v>0</x:v>
      </x:c>
      <x:c r="C15" s="45" t="n">
        <x:v>1</x:v>
      </x:c>
      <x:c r="D15" s="45" t="n">
        <x:v>0</x:v>
      </x:c>
      <x:c r="E15" s="45" t="n">
        <x:v>0</x:v>
      </x:c>
      <x:c r="F15" s="45" t="n">
        <x:v>0</x:v>
      </x:c>
      <x:c r="G15" s="45" t="n">
        <x:v>0</x:v>
      </x:c>
      <x:c r="H15" s="45" t="n">
        <x:v>0</x:v>
      </x:c>
      <x:c r="I15" s="45" t="n">
        <x:v>0</x:v>
      </x:c>
      <x:c r="J15" s="45" t="n">
        <x:v>0</x:v>
      </x:c>
      <x:c r="K15" s="68" t="n">
        <x:v>0.8</x:v>
      </x:c>
      <x:c r="L15" s="68" t="n">
        <x:v>0.45</x:v>
      </x:c>
      <x:c r="M15" s="68" t="n">
        <x:v>0</x:v>
      </x:c>
      <x:c r="N15" s="68" t="n">
        <x:v>0</x:v>
      </x:c>
      <x:c r="O15" s="68" t="n">
        <x:v>0</x:v>
      </x:c>
      <x:c r="P15" s="68" t="n">
        <x:v>0</x:v>
      </x:c>
      <x:c r="Q15" s="68" t="n">
        <x:v>0</x:v>
      </x:c>
      <x:c r="R15" s="68" t="n">
        <x:v>0</x:v>
      </x:c>
      <x:c r="S15" s="68" t="n">
        <x:v>0</x:v>
      </x:c>
      <x:c r="T15" s="45" t="n">
        <x:v>0</x:v>
      </x:c>
      <x:c r="U15" s="45" t="n">
        <x:v>0</x:v>
      </x:c>
      <x:c r="V15" s="45" t="n">
        <x:v>0</x:v>
      </x:c>
      <x:c r="W15" s="45" t="n">
        <x:v>0</x:v>
      </x:c>
    </x:row>
    <x:row r="16">
      <x:c r="A16" s="58" t="n">
        <x:v>1856</x:v>
      </x:c>
      <x:c r="B16" s="45" t="n">
        <x:v>0</x:v>
      </x:c>
      <x:c r="C16" s="45" t="n">
        <x:v>0</x:v>
      </x:c>
      <x:c r="D16" s="45" t="n">
        <x:v>0</x:v>
      </x:c>
      <x:c r="E16" s="45" t="n">
        <x:v>0</x:v>
      </x:c>
      <x:c r="F16" s="45" t="n">
        <x:v>0</x:v>
      </x:c>
      <x:c r="G16" s="45" t="n">
        <x:v>0</x:v>
      </x:c>
      <x:c r="H16" s="45" t="n">
        <x:v>0</x:v>
      </x:c>
      <x:c r="I16" s="45" t="n">
        <x:v>0</x:v>
      </x:c>
      <x:c r="J16" s="45" t="n">
        <x:v>0</x:v>
      </x:c>
      <x:c r="K16" s="68" t="n">
        <x:v>0.829</x:v>
      </x:c>
      <x:c r="L16" s="68" t="n">
        <x:v>0.46</x:v>
      </x:c>
      <x:c r="M16" s="68" t="n">
        <x:v>0</x:v>
      </x:c>
      <x:c r="N16" s="68" t="n">
        <x:v>0</x:v>
      </x:c>
      <x:c r="O16" s="68" t="n">
        <x:v>0</x:v>
      </x:c>
      <x:c r="P16" s="68" t="n">
        <x:v>0</x:v>
      </x:c>
      <x:c r="Q16" s="68" t="n">
        <x:v>0</x:v>
      </x:c>
      <x:c r="R16" s="68" t="n">
        <x:v>0</x:v>
      </x:c>
      <x:c r="S16" s="68" t="n">
        <x:v>0</x:v>
      </x:c>
      <x:c r="T16" s="45" t="n">
        <x:v>0</x:v>
      </x:c>
      <x:c r="U16" s="45" t="n">
        <x:v>0</x:v>
      </x:c>
      <x:c r="V16" s="45" t="n">
        <x:v>0</x:v>
      </x:c>
      <x:c r="W16" s="45" t="n">
        <x:v>0</x:v>
      </x:c>
    </x:row>
    <x:row r="17">
      <x:c r="A17" s="58" t="n">
        <x:v>1857</x:v>
      </x:c>
      <x:c r="B17" s="45" t="n">
        <x:v>0</x:v>
      </x:c>
      <x:c r="C17" s="45" t="n">
        <x:v>0</x:v>
      </x:c>
      <x:c r="D17" s="45" t="n">
        <x:v>0</x:v>
      </x:c>
      <x:c r="E17" s="45" t="n">
        <x:v>0</x:v>
      </x:c>
      <x:c r="F17" s="45" t="n">
        <x:v>0</x:v>
      </x:c>
      <x:c r="G17" s="45" t="n">
        <x:v>0</x:v>
      </x:c>
      <x:c r="H17" s="45" t="n">
        <x:v>0</x:v>
      </x:c>
      <x:c r="I17" s="45" t="n">
        <x:v>0</x:v>
      </x:c>
      <x:c r="J17" s="45" t="n">
        <x:v>0</x:v>
      </x:c>
      <x:c r="K17" s="68" t="n">
        <x:v>0.857</x:v>
      </x:c>
      <x:c r="L17" s="68" t="n">
        <x:v>0.47</x:v>
      </x:c>
      <x:c r="M17" s="68" t="n">
        <x:v>0</x:v>
      </x:c>
      <x:c r="N17" s="68" t="n">
        <x:v>0</x:v>
      </x:c>
      <x:c r="O17" s="68" t="n">
        <x:v>0</x:v>
      </x:c>
      <x:c r="P17" s="68" t="n">
        <x:v>0</x:v>
      </x:c>
      <x:c r="Q17" s="68" t="n">
        <x:v>0</x:v>
      </x:c>
      <x:c r="R17" s="68" t="n">
        <x:v>0</x:v>
      </x:c>
      <x:c r="S17" s="68" t="n">
        <x:v>0</x:v>
      </x:c>
      <x:c r="T17" s="45" t="n">
        <x:v>0</x:v>
      </x:c>
      <x:c r="U17" s="45" t="n">
        <x:v>0</x:v>
      </x:c>
      <x:c r="V17" s="45" t="n">
        <x:v>0</x:v>
      </x:c>
      <x:c r="W17" s="45" t="n">
        <x:v>0</x:v>
      </x:c>
    </x:row>
    <x:row r="18">
      <x:c r="A18" s="58" t="n">
        <x:v>1858</x:v>
      </x:c>
      <x:c r="B18" s="45" t="n">
        <x:v>0</x:v>
      </x:c>
      <x:c r="C18" s="45" t="n">
        <x:v>1</x:v>
      </x:c>
      <x:c r="D18" s="45" t="n">
        <x:v>0</x:v>
      </x:c>
      <x:c r="E18" s="45" t="n">
        <x:v>0</x:v>
      </x:c>
      <x:c r="F18" s="45" t="n">
        <x:v>0</x:v>
      </x:c>
      <x:c r="G18" s="45" t="n">
        <x:v>0</x:v>
      </x:c>
      <x:c r="H18" s="45" t="n">
        <x:v>0</x:v>
      </x:c>
      <x:c r="I18" s="45" t="n">
        <x:v>0</x:v>
      </x:c>
      <x:c r="J18" s="45" t="n">
        <x:v>0</x:v>
      </x:c>
      <x:c r="K18" s="68" t="n">
        <x:v>0.886</x:v>
      </x:c>
      <x:c r="L18" s="68" t="n">
        <x:v>0.48</x:v>
      </x:c>
      <x:c r="M18" s="68" t="n">
        <x:v>0</x:v>
      </x:c>
      <x:c r="N18" s="68" t="n">
        <x:v>0</x:v>
      </x:c>
      <x:c r="O18" s="68" t="n">
        <x:v>0</x:v>
      </x:c>
      <x:c r="P18" s="68" t="n">
        <x:v>0</x:v>
      </x:c>
      <x:c r="Q18" s="68" t="n">
        <x:v>0</x:v>
      </x:c>
      <x:c r="R18" s="68" t="n">
        <x:v>0</x:v>
      </x:c>
      <x:c r="S18" s="68" t="n">
        <x:v>0</x:v>
      </x:c>
      <x:c r="T18" s="45" t="n">
        <x:v>0</x:v>
      </x:c>
      <x:c r="U18" s="45" t="n">
        <x:v>0</x:v>
      </x:c>
      <x:c r="V18" s="45" t="n">
        <x:v>0</x:v>
      </x:c>
      <x:c r="W18" s="45" t="n">
        <x:v>0</x:v>
      </x:c>
    </x:row>
    <x:row r="19">
      <x:c r="A19" s="58" t="n">
        <x:v>1859</x:v>
      </x:c>
      <x:c r="B19" s="45" t="n">
        <x:v>0</x:v>
      </x:c>
      <x:c r="C19" s="45" t="n">
        <x:v>0</x:v>
      </x:c>
      <x:c r="D19" s="45" t="n">
        <x:v>0</x:v>
      </x:c>
      <x:c r="E19" s="45" t="n">
        <x:v>0</x:v>
      </x:c>
      <x:c r="F19" s="45" t="n">
        <x:v>0</x:v>
      </x:c>
      <x:c r="G19" s="45" t="n">
        <x:v>0</x:v>
      </x:c>
      <x:c r="H19" s="45" t="n">
        <x:v>0</x:v>
      </x:c>
      <x:c r="I19" s="45" t="n">
        <x:v>0</x:v>
      </x:c>
      <x:c r="J19" s="45" t="n">
        <x:v>0</x:v>
      </x:c>
      <x:c r="K19" s="68" t="n">
        <x:v>0.914</x:v>
      </x:c>
      <x:c r="L19" s="68" t="n">
        <x:v>0.49</x:v>
      </x:c>
      <x:c r="M19" s="68" t="n">
        <x:v>0</x:v>
      </x:c>
      <x:c r="N19" s="68" t="n">
        <x:v>0</x:v>
      </x:c>
      <x:c r="O19" s="68" t="n">
        <x:v>0</x:v>
      </x:c>
      <x:c r="P19" s="68" t="n">
        <x:v>0</x:v>
      </x:c>
      <x:c r="Q19" s="68" t="n">
        <x:v>0</x:v>
      </x:c>
      <x:c r="R19" s="68" t="n">
        <x:v>0</x:v>
      </x:c>
      <x:c r="S19" s="68" t="n">
        <x:v>0</x:v>
      </x:c>
      <x:c r="T19" s="45" t="n">
        <x:v>0</x:v>
      </x:c>
      <x:c r="U19" s="45" t="n">
        <x:v>0</x:v>
      </x:c>
      <x:c r="V19" s="45" t="n">
        <x:v>0</x:v>
      </x:c>
      <x:c r="W19" s="45" t="n">
        <x:v>0</x:v>
      </x:c>
    </x:row>
    <x:row r="20">
      <x:c r="A20" s="58" t="n">
        <x:v>1860</x:v>
      </x:c>
      <x:c r="B20" s="45" t="n">
        <x:v>0</x:v>
      </x:c>
      <x:c r="C20" s="45" t="n">
        <x:v>0</x:v>
      </x:c>
      <x:c r="D20" s="45" t="n">
        <x:v>0</x:v>
      </x:c>
      <x:c r="E20" s="45" t="n">
        <x:v>0</x:v>
      </x:c>
      <x:c r="F20" s="45" t="n">
        <x:v>0</x:v>
      </x:c>
      <x:c r="G20" s="45" t="n">
        <x:v>0</x:v>
      </x:c>
      <x:c r="H20" s="45" t="n">
        <x:v>0</x:v>
      </x:c>
      <x:c r="I20" s="45" t="n">
        <x:v>0</x:v>
      </x:c>
      <x:c r="J20" s="45" t="n">
        <x:v>0</x:v>
      </x:c>
      <x:c r="K20" s="68" t="n">
        <x:v>0.9429999999999999</x:v>
      </x:c>
      <x:c r="L20" s="68" t="n">
        <x:v>0.5</x:v>
      </x:c>
      <x:c r="M20" s="68" t="n">
        <x:v>0</x:v>
      </x:c>
      <x:c r="N20" s="68" t="n">
        <x:v>0</x:v>
      </x:c>
      <x:c r="O20" s="68" t="n">
        <x:v>0</x:v>
      </x:c>
      <x:c r="P20" s="68" t="n">
        <x:v>0</x:v>
      </x:c>
      <x:c r="Q20" s="68" t="n">
        <x:v>0</x:v>
      </x:c>
      <x:c r="R20" s="68" t="n">
        <x:v>0</x:v>
      </x:c>
      <x:c r="S20" s="68" t="n">
        <x:v>0</x:v>
      </x:c>
      <x:c r="T20" s="45" t="n">
        <x:v>0</x:v>
      </x:c>
      <x:c r="U20" s="45" t="n">
        <x:v>0</x:v>
      </x:c>
      <x:c r="V20" s="45" t="n">
        <x:v>0</x:v>
      </x:c>
      <x:c r="W20" s="45" t="n">
        <x:v>0</x:v>
      </x:c>
    </x:row>
    <x:row r="21">
      <x:c r="A21" s="58" t="n">
        <x:v>1861</x:v>
      </x:c>
      <x:c r="B21" s="45" t="n">
        <x:v>0</x:v>
      </x:c>
      <x:c r="C21" s="45" t="n">
        <x:v>2</x:v>
      </x:c>
      <x:c r="D21" s="45" t="n">
        <x:v>0</x:v>
      </x:c>
      <x:c r="E21" s="45" t="n">
        <x:v>0</x:v>
      </x:c>
      <x:c r="F21" s="45" t="n">
        <x:v>0</x:v>
      </x:c>
      <x:c r="G21" s="45" t="n">
        <x:v>0</x:v>
      </x:c>
      <x:c r="H21" s="45" t="n">
        <x:v>0</x:v>
      </x:c>
      <x:c r="I21" s="45" t="n">
        <x:v>0</x:v>
      </x:c>
      <x:c r="J21" s="45" t="n">
        <x:v>0</x:v>
      </x:c>
      <x:c r="K21" s="68" t="n">
        <x:v>0.971</x:v>
      </x:c>
      <x:c r="L21" s="68" t="n">
        <x:v>0.53</x:v>
      </x:c>
      <x:c r="M21" s="68" t="n">
        <x:v>0</x:v>
      </x:c>
      <x:c r="N21" s="68" t="n">
        <x:v>0</x:v>
      </x:c>
      <x:c r="O21" s="68" t="n">
        <x:v>0</x:v>
      </x:c>
      <x:c r="P21" s="68" t="n">
        <x:v>0</x:v>
      </x:c>
      <x:c r="Q21" s="68" t="n">
        <x:v>0</x:v>
      </x:c>
      <x:c r="R21" s="68" t="n">
        <x:v>0</x:v>
      </x:c>
      <x:c r="S21" s="68" t="n">
        <x:v>0</x:v>
      </x:c>
      <x:c r="T21" s="45" t="n">
        <x:v>0</x:v>
      </x:c>
      <x:c r="U21" s="45" t="n">
        <x:v>0</x:v>
      </x:c>
      <x:c r="V21" s="45" t="n">
        <x:v>0</x:v>
      </x:c>
      <x:c r="W21" s="45" t="n">
        <x:v>0</x:v>
      </x:c>
    </x:row>
    <x:row r="22">
      <x:c r="A22" s="58" t="n">
        <x:v>1862</x:v>
      </x:c>
      <x:c r="B22" s="45" t="n">
        <x:v>1</x:v>
      </x:c>
      <x:c r="C22" s="45" t="n">
        <x:v>0</x:v>
      </x:c>
      <x:c r="D22" s="45" t="n">
        <x:v>0</x:v>
      </x:c>
      <x:c r="E22" s="45" t="n">
        <x:v>0</x:v>
      </x:c>
      <x:c r="F22" s="45" t="n">
        <x:v>0</x:v>
      </x:c>
      <x:c r="G22" s="45" t="n">
        <x:v>0</x:v>
      </x:c>
      <x:c r="H22" s="45" t="n">
        <x:v>0</x:v>
      </x:c>
      <x:c r="I22" s="45" t="n">
        <x:v>0</x:v>
      </x:c>
      <x:c r="J22" s="45" t="n">
        <x:v>0</x:v>
      </x:c>
      <x:c r="K22" s="68" t="n">
        <x:v>1</x:v>
      </x:c>
      <x:c r="L22" s="68" t="n">
        <x:v>0.5600000000000001</x:v>
      </x:c>
      <x:c r="M22" s="68" t="n">
        <x:v>0</x:v>
      </x:c>
      <x:c r="N22" s="68" t="n">
        <x:v>0</x:v>
      </x:c>
      <x:c r="O22" s="68" t="n">
        <x:v>0</x:v>
      </x:c>
      <x:c r="P22" s="68" t="n">
        <x:v>0</x:v>
      </x:c>
      <x:c r="Q22" s="68" t="n">
        <x:v>0</x:v>
      </x:c>
      <x:c r="R22" s="68" t="n">
        <x:v>0</x:v>
      </x:c>
      <x:c r="S22" s="68" t="n">
        <x:v>0</x:v>
      </x:c>
      <x:c r="T22" s="45" t="n">
        <x:v>0</x:v>
      </x:c>
      <x:c r="U22" s="45" t="n">
        <x:v>0</x:v>
      </x:c>
      <x:c r="V22" s="45" t="n">
        <x:v>0</x:v>
      </x:c>
      <x:c r="W22" s="45" t="n">
        <x:v>0</x:v>
      </x:c>
    </x:row>
    <x:row r="23">
      <x:c r="A23" s="58" t="n">
        <x:v>1863</x:v>
      </x:c>
      <x:c r="B23" s="45" t="n">
        <x:v>2</x:v>
      </x:c>
      <x:c r="C23" s="45" t="n">
        <x:v>0</x:v>
      </x:c>
      <x:c r="D23" s="45" t="n">
        <x:v>0</x:v>
      </x:c>
      <x:c r="E23" s="45" t="n">
        <x:v>0</x:v>
      </x:c>
      <x:c r="F23" s="45" t="n">
        <x:v>0</x:v>
      </x:c>
      <x:c r="G23" s="45" t="n">
        <x:v>0</x:v>
      </x:c>
      <x:c r="H23" s="45" t="n">
        <x:v>0</x:v>
      </x:c>
      <x:c r="I23" s="45" t="n">
        <x:v>0</x:v>
      </x:c>
      <x:c r="J23" s="45" t="n">
        <x:v>0</x:v>
      </x:c>
      <x:c r="K23" s="68" t="n">
        <x:v>1.025</x:v>
      </x:c>
      <x:c r="L23" s="68" t="n">
        <x:v>0.59</x:v>
      </x:c>
      <x:c r="M23" s="68" t="n">
        <x:v>0</x:v>
      </x:c>
      <x:c r="N23" s="68" t="n">
        <x:v>0</x:v>
      </x:c>
      <x:c r="O23" s="68" t="n">
        <x:v>0</x:v>
      </x:c>
      <x:c r="P23" s="68" t="n">
        <x:v>0</x:v>
      </x:c>
      <x:c r="Q23" s="68" t="n">
        <x:v>0</x:v>
      </x:c>
      <x:c r="R23" s="68" t="n">
        <x:v>0</x:v>
      </x:c>
      <x:c r="S23" s="68" t="n">
        <x:v>0</x:v>
      </x:c>
      <x:c r="T23" s="45" t="n">
        <x:v>0</x:v>
      </x:c>
      <x:c r="U23" s="45" t="n">
        <x:v>0</x:v>
      </x:c>
      <x:c r="V23" s="45" t="n">
        <x:v>0</x:v>
      </x:c>
      <x:c r="W23" s="45" t="n">
        <x:v>0</x:v>
      </x:c>
    </x:row>
    <x:row r="24">
      <x:c r="A24" s="58" t="n">
        <x:v>1864</x:v>
      </x:c>
      <x:c r="B24" s="45" t="n">
        <x:v>2</x:v>
      </x:c>
      <x:c r="C24" s="45" t="n">
        <x:v>1</x:v>
      </x:c>
      <x:c r="D24" s="45" t="n">
        <x:v>0</x:v>
      </x:c>
      <x:c r="E24" s="45" t="n">
        <x:v>0</x:v>
      </x:c>
      <x:c r="F24" s="45" t="n">
        <x:v>0</x:v>
      </x:c>
      <x:c r="G24" s="45" t="n">
        <x:v>0</x:v>
      </x:c>
      <x:c r="H24" s="45" t="n">
        <x:v>0</x:v>
      </x:c>
      <x:c r="I24" s="45" t="n">
        <x:v>0</x:v>
      </x:c>
      <x:c r="J24" s="45" t="n">
        <x:v>0</x:v>
      </x:c>
      <x:c r="K24" s="68" t="n">
        <x:v>1.05</x:v>
      </x:c>
      <x:c r="L24" s="68" t="n">
        <x:v>0.62</x:v>
      </x:c>
      <x:c r="M24" s="68" t="n">
        <x:v>0</x:v>
      </x:c>
      <x:c r="N24" s="68" t="n">
        <x:v>0</x:v>
      </x:c>
      <x:c r="O24" s="68" t="n">
        <x:v>0</x:v>
      </x:c>
      <x:c r="P24" s="68" t="n">
        <x:v>0</x:v>
      </x:c>
      <x:c r="Q24" s="68" t="n">
        <x:v>0</x:v>
      </x:c>
      <x:c r="R24" s="68" t="n">
        <x:v>0</x:v>
      </x:c>
      <x:c r="S24" s="68" t="n">
        <x:v>0</x:v>
      </x:c>
      <x:c r="T24" s="45" t="n">
        <x:v>0</x:v>
      </x:c>
      <x:c r="U24" s="45" t="n">
        <x:v>0</x:v>
      </x:c>
      <x:c r="V24" s="45" t="n">
        <x:v>0</x:v>
      </x:c>
      <x:c r="W24" s="45" t="n">
        <x:v>0</x:v>
      </x:c>
    </x:row>
    <x:row r="25">
      <x:c r="A25" s="58" t="n">
        <x:v>1865</x:v>
      </x:c>
      <x:c r="B25" s="45" t="n">
        <x:v>1</x:v>
      </x:c>
      <x:c r="C25" s="45" t="n">
        <x:v>0</x:v>
      </x:c>
      <x:c r="D25" s="45" t="n">
        <x:v>0</x:v>
      </x:c>
      <x:c r="E25" s="45" t="n">
        <x:v>0</x:v>
      </x:c>
      <x:c r="F25" s="45" t="n">
        <x:v>0</x:v>
      </x:c>
      <x:c r="G25" s="45" t="n">
        <x:v>0</x:v>
      </x:c>
      <x:c r="H25" s="45" t="n">
        <x:v>0</x:v>
      </x:c>
      <x:c r="I25" s="45" t="n">
        <x:v>0</x:v>
      </x:c>
      <x:c r="J25" s="45" t="n">
        <x:v>0</x:v>
      </x:c>
      <x:c r="K25" s="68" t="n">
        <x:v>1.075</x:v>
      </x:c>
      <x:c r="L25" s="68" t="n">
        <x:v>0.65</x:v>
      </x:c>
      <x:c r="M25" s="68" t="n">
        <x:v>0</x:v>
      </x:c>
      <x:c r="N25" s="68" t="n">
        <x:v>0</x:v>
      </x:c>
      <x:c r="O25" s="68" t="n">
        <x:v>0</x:v>
      </x:c>
      <x:c r="P25" s="68" t="n">
        <x:v>0</x:v>
      </x:c>
      <x:c r="Q25" s="68" t="n">
        <x:v>0</x:v>
      </x:c>
      <x:c r="R25" s="68" t="n">
        <x:v>0</x:v>
      </x:c>
      <x:c r="S25" s="68" t="n">
        <x:v>0</x:v>
      </x:c>
      <x:c r="T25" s="45" t="n">
        <x:v>0</x:v>
      </x:c>
      <x:c r="U25" s="45" t="n">
        <x:v>0</x:v>
      </x:c>
      <x:c r="V25" s="45" t="n">
        <x:v>0</x:v>
      </x:c>
      <x:c r="W25" s="45" t="n">
        <x:v>0</x:v>
      </x:c>
    </x:row>
    <x:row r="26">
      <x:c r="A26" s="58" t="n">
        <x:v>1866</x:v>
      </x:c>
      <x:c r="B26" s="45" t="n">
        <x:v>0</x:v>
      </x:c>
      <x:c r="C26" s="45" t="n">
        <x:v>0</x:v>
      </x:c>
      <x:c r="D26" s="45" t="n">
        <x:v>0</x:v>
      </x:c>
      <x:c r="E26" s="45" t="n">
        <x:v>0</x:v>
      </x:c>
      <x:c r="F26" s="45" t="n">
        <x:v>0</x:v>
      </x:c>
      <x:c r="G26" s="45" t="n">
        <x:v>0</x:v>
      </x:c>
      <x:c r="H26" s="45" t="n">
        <x:v>0</x:v>
      </x:c>
      <x:c r="I26" s="45" t="n">
        <x:v>0</x:v>
      </x:c>
      <x:c r="J26" s="45" t="n">
        <x:v>0</x:v>
      </x:c>
      <x:c r="K26" s="68" t="n">
        <x:v>1.1</x:v>
      </x:c>
      <x:c r="L26" s="68" t="n">
        <x:v>0.68</x:v>
      </x:c>
      <x:c r="M26" s="68" t="n">
        <x:v>0</x:v>
      </x:c>
      <x:c r="N26" s="68" t="n">
        <x:v>0</x:v>
      </x:c>
      <x:c r="O26" s="68" t="n">
        <x:v>0</x:v>
      </x:c>
      <x:c r="P26" s="68" t="n">
        <x:v>0</x:v>
      </x:c>
      <x:c r="Q26" s="68" t="n">
        <x:v>0</x:v>
      </x:c>
      <x:c r="R26" s="68" t="n">
        <x:v>0</x:v>
      </x:c>
      <x:c r="S26" s="68" t="n">
        <x:v>0</x:v>
      </x:c>
      <x:c r="T26" s="45" t="n">
        <x:v>0</x:v>
      </x:c>
      <x:c r="U26" s="45" t="n">
        <x:v>0</x:v>
      </x:c>
      <x:c r="V26" s="45" t="n">
        <x:v>0</x:v>
      </x:c>
      <x:c r="W26" s="45" t="n">
        <x:v>0</x:v>
      </x:c>
    </x:row>
    <x:row r="27">
      <x:c r="A27" s="58" t="n">
        <x:v>1867</x:v>
      </x:c>
      <x:c r="B27" s="45" t="n">
        <x:v>1</x:v>
      </x:c>
      <x:c r="C27" s="45" t="n">
        <x:v>0</x:v>
      </x:c>
      <x:c r="D27" s="45" t="n">
        <x:v>0</x:v>
      </x:c>
      <x:c r="E27" s="45" t="n">
        <x:v>0</x:v>
      </x:c>
      <x:c r="F27" s="45" t="n">
        <x:v>0</x:v>
      </x:c>
      <x:c r="G27" s="45" t="n">
        <x:v>0</x:v>
      </x:c>
      <x:c r="H27" s="45" t="n">
        <x:v>0</x:v>
      </x:c>
      <x:c r="I27" s="45" t="n">
        <x:v>0</x:v>
      </x:c>
      <x:c r="J27" s="45" t="n">
        <x:v>0</x:v>
      </x:c>
      <x:c r="K27" s="68" t="n">
        <x:v>1.125</x:v>
      </x:c>
      <x:c r="L27" s="68" t="n">
        <x:v>0.71</x:v>
      </x:c>
      <x:c r="M27" s="68" t="n">
        <x:v>0</x:v>
      </x:c>
      <x:c r="N27" s="68" t="n">
        <x:v>0</x:v>
      </x:c>
      <x:c r="O27" s="68" t="n">
        <x:v>0</x:v>
      </x:c>
      <x:c r="P27" s="68" t="n">
        <x:v>0</x:v>
      </x:c>
      <x:c r="Q27" s="68" t="n">
        <x:v>0</x:v>
      </x:c>
      <x:c r="R27" s="68" t="n">
        <x:v>0</x:v>
      </x:c>
      <x:c r="S27" s="68" t="n">
        <x:v>0</x:v>
      </x:c>
      <x:c r="T27" s="45" t="n">
        <x:v>0</x:v>
      </x:c>
      <x:c r="U27" s="45" t="n">
        <x:v>0</x:v>
      </x:c>
      <x:c r="V27" s="45" t="n">
        <x:v>0</x:v>
      </x:c>
      <x:c r="W27" s="45" t="n">
        <x:v>0</x:v>
      </x:c>
    </x:row>
    <x:row r="28">
      <x:c r="A28" s="58" t="n">
        <x:v>1868</x:v>
      </x:c>
      <x:c r="B28" s="45" t="n">
        <x:v>0</x:v>
      </x:c>
      <x:c r="C28" s="45" t="n">
        <x:v>2</x:v>
      </x:c>
      <x:c r="D28" s="45" t="n">
        <x:v>0</x:v>
      </x:c>
      <x:c r="E28" s="45" t="n">
        <x:v>0</x:v>
      </x:c>
      <x:c r="F28" s="45" t="n">
        <x:v>0</x:v>
      </x:c>
      <x:c r="G28" s="45" t="n">
        <x:v>0</x:v>
      </x:c>
      <x:c r="H28" s="45" t="n">
        <x:v>0</x:v>
      </x:c>
      <x:c r="I28" s="45" t="n">
        <x:v>0</x:v>
      </x:c>
      <x:c r="J28" s="45" t="n">
        <x:v>0</x:v>
      </x:c>
      <x:c r="K28" s="68" t="n">
        <x:v>1.15</x:v>
      </x:c>
      <x:c r="L28" s="68" t="n">
        <x:v>0.74</x:v>
      </x:c>
      <x:c r="M28" s="68" t="n">
        <x:v>0</x:v>
      </x:c>
      <x:c r="N28" s="68" t="n">
        <x:v>0</x:v>
      </x:c>
      <x:c r="O28" s="68" t="n">
        <x:v>0</x:v>
      </x:c>
      <x:c r="P28" s="68" t="n">
        <x:v>0</x:v>
      </x:c>
      <x:c r="Q28" s="68" t="n">
        <x:v>0</x:v>
      </x:c>
      <x:c r="R28" s="68" t="n">
        <x:v>0</x:v>
      </x:c>
      <x:c r="S28" s="68" t="n">
        <x:v>0</x:v>
      </x:c>
      <x:c r="T28" s="45" t="n">
        <x:v>0</x:v>
      </x:c>
      <x:c r="U28" s="45" t="n">
        <x:v>0</x:v>
      </x:c>
      <x:c r="V28" s="45" t="n">
        <x:v>0</x:v>
      </x:c>
      <x:c r="W28" s="45" t="n">
        <x:v>0</x:v>
      </x:c>
    </x:row>
    <x:row r="29">
      <x:c r="A29" s="58" t="n">
        <x:v>1869</x:v>
      </x:c>
      <x:c r="B29" s="45" t="n">
        <x:v>2</x:v>
      </x:c>
      <x:c r="C29" s="45" t="n">
        <x:v>0</x:v>
      </x:c>
      <x:c r="D29" s="45" t="n">
        <x:v>0</x:v>
      </x:c>
      <x:c r="E29" s="45" t="n">
        <x:v>0</x:v>
      </x:c>
      <x:c r="F29" s="45" t="n">
        <x:v>0</x:v>
      </x:c>
      <x:c r="G29" s="45" t="n">
        <x:v>0</x:v>
      </x:c>
      <x:c r="H29" s="45" t="n">
        <x:v>0</x:v>
      </x:c>
      <x:c r="I29" s="45" t="n">
        <x:v>0</x:v>
      </x:c>
      <x:c r="J29" s="45" t="n">
        <x:v>0</x:v>
      </x:c>
      <x:c r="K29" s="68" t="n">
        <x:v>1.175</x:v>
      </x:c>
      <x:c r="L29" s="68" t="n">
        <x:v>0.77</x:v>
      </x:c>
      <x:c r="M29" s="68" t="n">
        <x:v>0</x:v>
      </x:c>
      <x:c r="N29" s="68" t="n">
        <x:v>0</x:v>
      </x:c>
      <x:c r="O29" s="68" t="n">
        <x:v>0</x:v>
      </x:c>
      <x:c r="P29" s="68" t="n">
        <x:v>0</x:v>
      </x:c>
      <x:c r="Q29" s="68" t="n">
        <x:v>0</x:v>
      </x:c>
      <x:c r="R29" s="68" t="n">
        <x:v>0</x:v>
      </x:c>
      <x:c r="S29" s="68" t="n">
        <x:v>0</x:v>
      </x:c>
      <x:c r="T29" s="45" t="n">
        <x:v>0</x:v>
      </x:c>
      <x:c r="U29" s="45" t="n">
        <x:v>0</x:v>
      </x:c>
      <x:c r="V29" s="45" t="n">
        <x:v>0</x:v>
      </x:c>
      <x:c r="W29" s="45" t="n">
        <x:v>0</x:v>
      </x:c>
    </x:row>
    <x:row r="30">
      <x:c r="A30" s="58" t="n">
        <x:v>1870</x:v>
      </x:c>
      <x:c r="B30" s="45" t="n">
        <x:v>2</x:v>
      </x:c>
      <x:c r="C30" s="45" t="n">
        <x:v>0</x:v>
      </x:c>
      <x:c r="D30" s="45" t="n">
        <x:v>0</x:v>
      </x:c>
      <x:c r="E30" s="45" t="n">
        <x:v>0</x:v>
      </x:c>
      <x:c r="F30" s="45" t="n">
        <x:v>0</x:v>
      </x:c>
      <x:c r="G30" s="45" t="n">
        <x:v>0</x:v>
      </x:c>
      <x:c r="H30" s="45" t="n">
        <x:v>0</x:v>
      </x:c>
      <x:c r="I30" s="45" t="n">
        <x:v>0</x:v>
      </x:c>
      <x:c r="J30" s="45" t="n">
        <x:v>0</x:v>
      </x:c>
      <x:c r="K30" s="68" t="n">
        <x:v>1.2</x:v>
      </x:c>
      <x:c r="L30" s="68" t="n">
        <x:v>0.8</x:v>
      </x:c>
      <x:c r="M30" s="68" t="n">
        <x:v>0</x:v>
      </x:c>
      <x:c r="N30" s="68" t="n">
        <x:v>0</x:v>
      </x:c>
      <x:c r="O30" s="68" t="n">
        <x:v>0</x:v>
      </x:c>
      <x:c r="P30" s="68" t="n">
        <x:v>0</x:v>
      </x:c>
      <x:c r="Q30" s="68" t="n">
        <x:v>0</x:v>
      </x:c>
      <x:c r="R30" s="68" t="n">
        <x:v>0</x:v>
      </x:c>
      <x:c r="S30" s="68" t="n">
        <x:v>0</x:v>
      </x:c>
      <x:c r="T30" s="45" t="n">
        <x:v>0</x:v>
      </x:c>
      <x:c r="U30" s="45" t="n">
        <x:v>0</x:v>
      </x:c>
      <x:c r="V30" s="45" t="n">
        <x:v>0</x:v>
      </x:c>
      <x:c r="W30" s="45" t="n">
        <x:v>0</x:v>
      </x:c>
    </x:row>
    <x:row r="31">
      <x:c r="A31" s="58" t="n">
        <x:v>1871</x:v>
      </x:c>
      <x:c r="B31" s="45" t="n">
        <x:v>0</x:v>
      </x:c>
      <x:c r="C31" s="45" t="n">
        <x:v>0</x:v>
      </x:c>
      <x:c r="D31" s="45" t="n">
        <x:v>0</x:v>
      </x:c>
      <x:c r="E31" s="45" t="n">
        <x:v>0</x:v>
      </x:c>
      <x:c r="F31" s="45" t="n">
        <x:v>0</x:v>
      </x:c>
      <x:c r="G31" s="45" t="n">
        <x:v>0</x:v>
      </x:c>
      <x:c r="H31" s="45" t="n">
        <x:v>0</x:v>
      </x:c>
      <x:c r="I31" s="45" t="n">
        <x:v>0</x:v>
      </x:c>
      <x:c r="J31" s="45" t="n">
        <x:v>0</x:v>
      </x:c>
      <x:c r="K31" s="68" t="n">
        <x:v>1.21</x:v>
      </x:c>
      <x:c r="L31" s="68" t="n">
        <x:v>0.82</x:v>
      </x:c>
      <x:c r="M31" s="68" t="n">
        <x:v>0</x:v>
      </x:c>
      <x:c r="N31" s="68" t="n">
        <x:v>0</x:v>
      </x:c>
      <x:c r="O31" s="68" t="n">
        <x:v>0</x:v>
      </x:c>
      <x:c r="P31" s="68" t="n">
        <x:v>0</x:v>
      </x:c>
      <x:c r="Q31" s="68" t="n">
        <x:v>0</x:v>
      </x:c>
      <x:c r="R31" s="68" t="n">
        <x:v>0</x:v>
      </x:c>
      <x:c r="S31" s="68" t="n">
        <x:v>0</x:v>
      </x:c>
      <x:c r="T31" s="45" t="n">
        <x:v>0</x:v>
      </x:c>
      <x:c r="U31" s="45" t="n">
        <x:v>0</x:v>
      </x:c>
      <x:c r="V31" s="45" t="n">
        <x:v>0</x:v>
      </x:c>
      <x:c r="W31" s="45" t="n">
        <x:v>0</x:v>
      </x:c>
    </x:row>
    <x:row r="32">
      <x:c r="A32" s="58" t="n">
        <x:v>1872</x:v>
      </x:c>
      <x:c r="B32" s="45" t="n">
        <x:v>1</x:v>
      </x:c>
      <x:c r="C32" s="45" t="n">
        <x:v>2</x:v>
      </x:c>
      <x:c r="D32" s="45" t="n">
        <x:v>0</x:v>
      </x:c>
      <x:c r="E32" s="45" t="n">
        <x:v>0</x:v>
      </x:c>
      <x:c r="F32" s="45" t="n">
        <x:v>0</x:v>
      </x:c>
      <x:c r="G32" s="45" t="n">
        <x:v>0</x:v>
      </x:c>
      <x:c r="H32" s="45" t="n">
        <x:v>0</x:v>
      </x:c>
      <x:c r="I32" s="45" t="n">
        <x:v>0</x:v>
      </x:c>
      <x:c r="J32" s="45" t="n">
        <x:v>0</x:v>
      </x:c>
      <x:c r="K32" s="68" t="n">
        <x:v>1.22</x:v>
      </x:c>
      <x:c r="L32" s="68" t="n">
        <x:v>0.84</x:v>
      </x:c>
      <x:c r="M32" s="68" t="n">
        <x:v>0</x:v>
      </x:c>
      <x:c r="N32" s="68" t="n">
        <x:v>0</x:v>
      </x:c>
      <x:c r="O32" s="68" t="n">
        <x:v>0</x:v>
      </x:c>
      <x:c r="P32" s="68" t="n">
        <x:v>0</x:v>
      </x:c>
      <x:c r="Q32" s="68" t="n">
        <x:v>0</x:v>
      </x:c>
      <x:c r="R32" s="68" t="n">
        <x:v>0</x:v>
      </x:c>
      <x:c r="S32" s="68" t="n">
        <x:v>0</x:v>
      </x:c>
      <x:c r="T32" s="45" t="n">
        <x:v>0</x:v>
      </x:c>
      <x:c r="U32" s="45" t="n">
        <x:v>0</x:v>
      </x:c>
      <x:c r="V32" s="45" t="n">
        <x:v>0</x:v>
      </x:c>
      <x:c r="W32" s="45" t="n">
        <x:v>0</x:v>
      </x:c>
    </x:row>
    <x:row r="33">
      <x:c r="A33" s="58" t="n">
        <x:v>1873</x:v>
      </x:c>
      <x:c r="B33" s="45" t="n">
        <x:v>0</x:v>
      </x:c>
      <x:c r="C33" s="45" t="n">
        <x:v>0</x:v>
      </x:c>
      <x:c r="D33" s="45" t="n">
        <x:v>0</x:v>
      </x:c>
      <x:c r="E33" s="45" t="n">
        <x:v>0</x:v>
      </x:c>
      <x:c r="F33" s="45" t="n">
        <x:v>0</x:v>
      </x:c>
      <x:c r="G33" s="45" t="n">
        <x:v>0</x:v>
      </x:c>
      <x:c r="H33" s="45" t="n">
        <x:v>0</x:v>
      </x:c>
      <x:c r="I33" s="45" t="n">
        <x:v>0</x:v>
      </x:c>
      <x:c r="J33" s="45" t="n">
        <x:v>0</x:v>
      </x:c>
      <x:c r="K33" s="68" t="n">
        <x:v>1.23</x:v>
      </x:c>
      <x:c r="L33" s="68" t="n">
        <x:v>0.86</x:v>
      </x:c>
      <x:c r="M33" s="68" t="n">
        <x:v>0</x:v>
      </x:c>
      <x:c r="N33" s="68" t="n">
        <x:v>0</x:v>
      </x:c>
      <x:c r="O33" s="68" t="n">
        <x:v>0</x:v>
      </x:c>
      <x:c r="P33" s="68" t="n">
        <x:v>0</x:v>
      </x:c>
      <x:c r="Q33" s="68" t="n">
        <x:v>0</x:v>
      </x:c>
      <x:c r="R33" s="68" t="n">
        <x:v>0</x:v>
      </x:c>
      <x:c r="S33" s="68" t="n">
        <x:v>0</x:v>
      </x:c>
      <x:c r="T33" s="45" t="n">
        <x:v>0</x:v>
      </x:c>
      <x:c r="U33" s="45" t="n">
        <x:v>0</x:v>
      </x:c>
      <x:c r="V33" s="45" t="n">
        <x:v>0</x:v>
      </x:c>
      <x:c r="W33" s="45" t="n">
        <x:v>0</x:v>
      </x:c>
    </x:row>
    <x:row r="34">
      <x:c r="A34" s="58" t="n">
        <x:v>1874</x:v>
      </x:c>
      <x:c r="B34" s="45" t="n">
        <x:v>0</x:v>
      </x:c>
      <x:c r="C34" s="45" t="n">
        <x:v>0</x:v>
      </x:c>
      <x:c r="D34" s="45" t="n">
        <x:v>0</x:v>
      </x:c>
      <x:c r="E34" s="45" t="n">
        <x:v>0</x:v>
      </x:c>
      <x:c r="F34" s="45" t="n">
        <x:v>0</x:v>
      </x:c>
      <x:c r="G34" s="45" t="n">
        <x:v>0</x:v>
      </x:c>
      <x:c r="H34" s="45" t="n">
        <x:v>0</x:v>
      </x:c>
      <x:c r="I34" s="45" t="n">
        <x:v>0</x:v>
      </x:c>
      <x:c r="J34" s="45" t="n">
        <x:v>0</x:v>
      </x:c>
      <x:c r="K34" s="68" t="n">
        <x:v>1.24</x:v>
      </x:c>
      <x:c r="L34" s="68" t="n">
        <x:v>0.88</x:v>
      </x:c>
      <x:c r="M34" s="68" t="n">
        <x:v>0</x:v>
      </x:c>
      <x:c r="N34" s="68" t="n">
        <x:v>0</x:v>
      </x:c>
      <x:c r="O34" s="68" t="n">
        <x:v>0</x:v>
      </x:c>
      <x:c r="P34" s="68" t="n">
        <x:v>0</x:v>
      </x:c>
      <x:c r="Q34" s="68" t="n">
        <x:v>0</x:v>
      </x:c>
      <x:c r="R34" s="68" t="n">
        <x:v>0</x:v>
      </x:c>
      <x:c r="S34" s="68" t="n">
        <x:v>0</x:v>
      </x:c>
      <x:c r="T34" s="45" t="n">
        <x:v>0</x:v>
      </x:c>
      <x:c r="U34" s="45" t="n">
        <x:v>0</x:v>
      </x:c>
      <x:c r="V34" s="45" t="n">
        <x:v>0</x:v>
      </x:c>
      <x:c r="W34" s="45" t="n">
        <x:v>0</x:v>
      </x:c>
    </x:row>
    <x:row r="35">
      <x:c r="A35" s="58" t="n">
        <x:v>1875</x:v>
      </x:c>
      <x:c r="B35" s="45" t="n">
        <x:v>1</x:v>
      </x:c>
      <x:c r="C35" s="45" t="n">
        <x:v>2</x:v>
      </x:c>
      <x:c r="D35" s="45" t="n">
        <x:v>0</x:v>
      </x:c>
      <x:c r="E35" s="45" t="n">
        <x:v>0</x:v>
      </x:c>
      <x:c r="F35" s="45" t="n">
        <x:v>0</x:v>
      </x:c>
      <x:c r="G35" s="45" t="n">
        <x:v>0</x:v>
      </x:c>
      <x:c r="H35" s="45" t="n">
        <x:v>0</x:v>
      </x:c>
      <x:c r="I35" s="45" t="n">
        <x:v>0</x:v>
      </x:c>
      <x:c r="J35" s="45" t="n">
        <x:v>0</x:v>
      </x:c>
      <x:c r="K35" s="68" t="n">
        <x:v>1.25</x:v>
      </x:c>
      <x:c r="L35" s="68" t="n">
        <x:v>0.9</x:v>
      </x:c>
      <x:c r="M35" s="68" t="n">
        <x:v>0</x:v>
      </x:c>
      <x:c r="N35" s="68" t="n">
        <x:v>0</x:v>
      </x:c>
      <x:c r="O35" s="68" t="n">
        <x:v>0</x:v>
      </x:c>
      <x:c r="P35" s="68" t="n">
        <x:v>0</x:v>
      </x:c>
      <x:c r="Q35" s="68" t="n">
        <x:v>0</x:v>
      </x:c>
      <x:c r="R35" s="68" t="n">
        <x:v>0</x:v>
      </x:c>
      <x:c r="S35" s="68" t="n">
        <x:v>0</x:v>
      </x:c>
      <x:c r="T35" s="45" t="n">
        <x:v>0</x:v>
      </x:c>
      <x:c r="U35" s="45" t="n">
        <x:v>0</x:v>
      </x:c>
      <x:c r="V35" s="45" t="n">
        <x:v>0</x:v>
      </x:c>
      <x:c r="W35" s="45" t="n">
        <x:v>0</x:v>
      </x:c>
    </x:row>
    <x:row r="36">
      <x:c r="A36" s="58" t="n">
        <x:v>1876</x:v>
      </x:c>
      <x:c r="B36" s="45" t="n">
        <x:v>0</x:v>
      </x:c>
      <x:c r="C36" s="45" t="n">
        <x:v>0</x:v>
      </x:c>
      <x:c r="D36" s="45" t="n">
        <x:v>0</x:v>
      </x:c>
      <x:c r="E36" s="45" t="n">
        <x:v>0</x:v>
      </x:c>
      <x:c r="F36" s="45" t="n">
        <x:v>0</x:v>
      </x:c>
      <x:c r="G36" s="45" t="n">
        <x:v>0</x:v>
      </x:c>
      <x:c r="H36" s="45" t="n">
        <x:v>0</x:v>
      </x:c>
      <x:c r="I36" s="45" t="n">
        <x:v>0</x:v>
      </x:c>
      <x:c r="J36" s="45" t="n">
        <x:v>0</x:v>
      </x:c>
      <x:c r="K36" s="68" t="n">
        <x:v>1.26</x:v>
      </x:c>
      <x:c r="L36" s="68" t="n">
        <x:v>0.92</x:v>
      </x:c>
      <x:c r="M36" s="68" t="n">
        <x:v>0</x:v>
      </x:c>
      <x:c r="N36" s="68" t="n">
        <x:v>0</x:v>
      </x:c>
      <x:c r="O36" s="68" t="n">
        <x:v>0</x:v>
      </x:c>
      <x:c r="P36" s="68" t="n">
        <x:v>0</x:v>
      </x:c>
      <x:c r="Q36" s="68" t="n">
        <x:v>0</x:v>
      </x:c>
      <x:c r="R36" s="68" t="n">
        <x:v>0</x:v>
      </x:c>
      <x:c r="S36" s="68" t="n">
        <x:v>0</x:v>
      </x:c>
      <x:c r="T36" s="45" t="n">
        <x:v>0</x:v>
      </x:c>
      <x:c r="U36" s="45" t="n">
        <x:v>0</x:v>
      </x:c>
      <x:c r="V36" s="45" t="n">
        <x:v>0</x:v>
      </x:c>
      <x:c r="W36" s="45" t="n">
        <x:v>0</x:v>
      </x:c>
    </x:row>
    <x:row r="37">
      <x:c r="A37" s="58" t="n">
        <x:v>1877</x:v>
      </x:c>
      <x:c r="B37" s="45" t="n">
        <x:v>0</x:v>
      </x:c>
      <x:c r="C37" s="45" t="n">
        <x:v>0</x:v>
      </x:c>
      <x:c r="D37" s="45" t="n">
        <x:v>0</x:v>
      </x:c>
      <x:c r="E37" s="45" t="n">
        <x:v>0</x:v>
      </x:c>
      <x:c r="F37" s="45" t="n">
        <x:v>0</x:v>
      </x:c>
      <x:c r="G37" s="45" t="n">
        <x:v>0</x:v>
      </x:c>
      <x:c r="H37" s="45" t="n">
        <x:v>0</x:v>
      </x:c>
      <x:c r="I37" s="45" t="n">
        <x:v>0</x:v>
      </x:c>
      <x:c r="J37" s="45" t="n">
        <x:v>0</x:v>
      </x:c>
      <x:c r="K37" s="68" t="n">
        <x:v>1.27</x:v>
      </x:c>
      <x:c r="L37" s="68" t="n">
        <x:v>0.9399999999999999</x:v>
      </x:c>
      <x:c r="M37" s="68" t="n">
        <x:v>0</x:v>
      </x:c>
      <x:c r="N37" s="68" t="n">
        <x:v>0</x:v>
      </x:c>
      <x:c r="O37" s="68" t="n">
        <x:v>0</x:v>
      </x:c>
      <x:c r="P37" s="68" t="n">
        <x:v>0</x:v>
      </x:c>
      <x:c r="Q37" s="68" t="n">
        <x:v>0</x:v>
      </x:c>
      <x:c r="R37" s="68" t="n">
        <x:v>0</x:v>
      </x:c>
      <x:c r="S37" s="68" t="n">
        <x:v>0</x:v>
      </x:c>
      <x:c r="T37" s="45" t="n">
        <x:v>0</x:v>
      </x:c>
      <x:c r="U37" s="45" t="n">
        <x:v>0</x:v>
      </x:c>
      <x:c r="V37" s="45" t="n">
        <x:v>0</x:v>
      </x:c>
      <x:c r="W37" s="45" t="n">
        <x:v>0</x:v>
      </x:c>
    </x:row>
    <x:row r="38">
      <x:c r="A38" s="58" t="n">
        <x:v>1878</x:v>
      </x:c>
      <x:c r="B38" s="45" t="n">
        <x:v>1</x:v>
      </x:c>
      <x:c r="C38" s="45" t="n">
        <x:v>2</x:v>
      </x:c>
      <x:c r="D38" s="45" t="n">
        <x:v>0</x:v>
      </x:c>
      <x:c r="E38" s="45" t="n">
        <x:v>0</x:v>
      </x:c>
      <x:c r="F38" s="45" t="n">
        <x:v>0</x:v>
      </x:c>
      <x:c r="G38" s="45" t="n">
        <x:v>0</x:v>
      </x:c>
      <x:c r="H38" s="45" t="n">
        <x:v>0</x:v>
      </x:c>
      <x:c r="I38" s="45" t="n">
        <x:v>0</x:v>
      </x:c>
      <x:c r="J38" s="45" t="n">
        <x:v>0</x:v>
      </x:c>
      <x:c r="K38" s="68" t="n">
        <x:v>1.28</x:v>
      </x:c>
      <x:c r="L38" s="68" t="n">
        <x:v>0.96</x:v>
      </x:c>
      <x:c r="M38" s="68" t="n">
        <x:v>0</x:v>
      </x:c>
      <x:c r="N38" s="68" t="n">
        <x:v>0</x:v>
      </x:c>
      <x:c r="O38" s="68" t="n">
        <x:v>0</x:v>
      </x:c>
      <x:c r="P38" s="68" t="n">
        <x:v>0</x:v>
      </x:c>
      <x:c r="Q38" s="68" t="n">
        <x:v>0</x:v>
      </x:c>
      <x:c r="R38" s="68" t="n">
        <x:v>0</x:v>
      </x:c>
      <x:c r="S38" s="68" t="n">
        <x:v>0</x:v>
      </x:c>
      <x:c r="T38" s="45" t="n">
        <x:v>0</x:v>
      </x:c>
      <x:c r="U38" s="45" t="n">
        <x:v>0</x:v>
      </x:c>
      <x:c r="V38" s="45" t="n">
        <x:v>0</x:v>
      </x:c>
      <x:c r="W38" s="45" t="n">
        <x:v>0</x:v>
      </x:c>
    </x:row>
    <x:row r="39">
      <x:c r="A39" s="58" t="n">
        <x:v>1879</x:v>
      </x:c>
      <x:c r="B39" s="45" t="n">
        <x:v>0</x:v>
      </x:c>
      <x:c r="C39" s="45" t="n">
        <x:v>0</x:v>
      </x:c>
      <x:c r="D39" s="45" t="n">
        <x:v>0</x:v>
      </x:c>
      <x:c r="E39" s="45" t="n">
        <x:v>0</x:v>
      </x:c>
      <x:c r="F39" s="45" t="n">
        <x:v>0</x:v>
      </x:c>
      <x:c r="G39" s="45" t="n">
        <x:v>0</x:v>
      </x:c>
      <x:c r="H39" s="45" t="n">
        <x:v>0</x:v>
      </x:c>
      <x:c r="I39" s="45" t="n">
        <x:v>0</x:v>
      </x:c>
      <x:c r="J39" s="45" t="n">
        <x:v>0</x:v>
      </x:c>
      <x:c r="K39" s="68" t="n">
        <x:v>1.29</x:v>
      </x:c>
      <x:c r="L39" s="68" t="n">
        <x:v>0.98</x:v>
      </x:c>
      <x:c r="M39" s="68" t="n">
        <x:v>0</x:v>
      </x:c>
      <x:c r="N39" s="68" t="n">
        <x:v>0</x:v>
      </x:c>
      <x:c r="O39" s="68" t="n">
        <x:v>0</x:v>
      </x:c>
      <x:c r="P39" s="68" t="n">
        <x:v>0</x:v>
      </x:c>
      <x:c r="Q39" s="68" t="n">
        <x:v>0</x:v>
      </x:c>
      <x:c r="R39" s="68" t="n">
        <x:v>0</x:v>
      </x:c>
      <x:c r="S39" s="68" t="n">
        <x:v>0</x:v>
      </x:c>
      <x:c r="T39" s="45" t="n">
        <x:v>0</x:v>
      </x:c>
      <x:c r="U39" s="45" t="n">
        <x:v>0</x:v>
      </x:c>
      <x:c r="V39" s="45" t="n">
        <x:v>0</x:v>
      </x:c>
      <x:c r="W39" s="45" t="n">
        <x:v>0</x:v>
      </x:c>
    </x:row>
    <x:row r="40">
      <x:c r="A40" s="58" t="n">
        <x:v>1880</x:v>
      </x:c>
      <x:c r="B40" s="45" t="n">
        <x:v>0</x:v>
      </x:c>
      <x:c r="C40" s="45" t="n">
        <x:v>0</x:v>
      </x:c>
      <x:c r="D40" s="45" t="n">
        <x:v>0</x:v>
      </x:c>
      <x:c r="E40" s="45" t="n">
        <x:v>0</x:v>
      </x:c>
      <x:c r="F40" s="45" t="n">
        <x:v>0</x:v>
      </x:c>
      <x:c r="G40" s="45" t="n">
        <x:v>0</x:v>
      </x:c>
      <x:c r="H40" s="45" t="n">
        <x:v>0</x:v>
      </x:c>
      <x:c r="I40" s="45" t="n">
        <x:v>0</x:v>
      </x:c>
      <x:c r="J40" s="45" t="n">
        <x:v>0</x:v>
      </x:c>
      <x:c r="K40" s="68" t="n">
        <x:v>1.3</x:v>
      </x:c>
      <x:c r="L40" s="68" t="n">
        <x:v>1</x:v>
      </x:c>
      <x:c r="M40" s="68" t="n">
        <x:v>0.07000000000000001</x:v>
      </x:c>
      <x:c r="N40" s="68" t="n">
        <x:v>0</x:v>
      </x:c>
      <x:c r="O40" s="68" t="n">
        <x:v>0</x:v>
      </x:c>
      <x:c r="P40" s="68" t="n">
        <x:v>0</x:v>
      </x:c>
      <x:c r="Q40" s="68" t="n">
        <x:v>0</x:v>
      </x:c>
      <x:c r="R40" s="68" t="n">
        <x:v>0</x:v>
      </x:c>
      <x:c r="S40" s="68" t="n">
        <x:v>0</x:v>
      </x:c>
      <x:c r="T40" s="45" t="n">
        <x:v>0</x:v>
      </x:c>
      <x:c r="U40" s="45" t="n">
        <x:v>0</x:v>
      </x:c>
      <x:c r="V40" s="45" t="n">
        <x:v>0</x:v>
      </x:c>
      <x:c r="W40" s="45" t="n">
        <x:v>0</x:v>
      </x:c>
    </x:row>
    <x:row r="41">
      <x:c r="A41" s="58" t="n">
        <x:v>1881</x:v>
      </x:c>
      <x:c r="B41" s="45" t="n">
        <x:v>1</x:v>
      </x:c>
      <x:c r="C41" s="45" t="n">
        <x:v>2</x:v>
      </x:c>
      <x:c r="D41" s="45" t="n">
        <x:v>0</x:v>
      </x:c>
      <x:c r="E41" s="45" t="n">
        <x:v>0</x:v>
      </x:c>
      <x:c r="F41" s="45" t="n">
        <x:v>0</x:v>
      </x:c>
      <x:c r="G41" s="45" t="n">
        <x:v>0</x:v>
      </x:c>
      <x:c r="H41" s="45" t="n">
        <x:v>0</x:v>
      </x:c>
      <x:c r="I41" s="45" t="n">
        <x:v>0</x:v>
      </x:c>
      <x:c r="J41" s="45" t="n">
        <x:v>0</x:v>
      </x:c>
      <x:c r="K41" s="68" t="n">
        <x:v>1.3</x:v>
      </x:c>
      <x:c r="L41" s="68" t="n">
        <x:v>1</x:v>
      </x:c>
      <x:c r="M41" s="68" t="n">
        <x:v>0.07099999999999999</x:v>
      </x:c>
      <x:c r="N41" s="68" t="n">
        <x:v>0</x:v>
      </x:c>
      <x:c r="O41" s="68" t="n">
        <x:v>0</x:v>
      </x:c>
      <x:c r="P41" s="68" t="n">
        <x:v>0</x:v>
      </x:c>
      <x:c r="Q41" s="68" t="n">
        <x:v>0</x:v>
      </x:c>
      <x:c r="R41" s="68" t="n">
        <x:v>0</x:v>
      </x:c>
      <x:c r="S41" s="68" t="n">
        <x:v>0</x:v>
      </x:c>
      <x:c r="T41" s="45" t="n">
        <x:v>0</x:v>
      </x:c>
      <x:c r="U41" s="45" t="n">
        <x:v>0</x:v>
      </x:c>
      <x:c r="V41" s="45" t="n">
        <x:v>0</x:v>
      </x:c>
      <x:c r="W41" s="45" t="n">
        <x:v>0</x:v>
      </x:c>
    </x:row>
    <x:row r="42">
      <x:c r="A42" s="58" t="n">
        <x:v>1882</x:v>
      </x:c>
      <x:c r="B42" s="45" t="n">
        <x:v>0</x:v>
      </x:c>
      <x:c r="C42" s="45" t="n">
        <x:v>0</x:v>
      </x:c>
      <x:c r="D42" s="45" t="n">
        <x:v>2</x:v>
      </x:c>
      <x:c r="E42" s="45" t="n">
        <x:v>0</x:v>
      </x:c>
      <x:c r="F42" s="45" t="n">
        <x:v>0</x:v>
      </x:c>
      <x:c r="G42" s="45" t="n">
        <x:v>0</x:v>
      </x:c>
      <x:c r="H42" s="45" t="n">
        <x:v>0</x:v>
      </x:c>
      <x:c r="I42" s="45" t="n">
        <x:v>0</x:v>
      </x:c>
      <x:c r="J42" s="45" t="n">
        <x:v>0</x:v>
      </x:c>
      <x:c r="K42" s="68" t="n">
        <x:v>1.3</x:v>
      </x:c>
      <x:c r="L42" s="68" t="n">
        <x:v>1</x:v>
      </x:c>
      <x:c r="M42" s="68" t="n">
        <x:v>0.07199999999999999</x:v>
      </x:c>
      <x:c r="N42" s="68" t="n">
        <x:v>0</x:v>
      </x:c>
      <x:c r="O42" s="68" t="n">
        <x:v>0</x:v>
      </x:c>
      <x:c r="P42" s="68" t="n">
        <x:v>0</x:v>
      </x:c>
      <x:c r="Q42" s="68" t="n">
        <x:v>0</x:v>
      </x:c>
      <x:c r="R42" s="68" t="n">
        <x:v>0</x:v>
      </x:c>
      <x:c r="S42" s="68" t="n">
        <x:v>0</x:v>
      </x:c>
      <x:c r="T42" s="45" t="n">
        <x:v>0</x:v>
      </x:c>
      <x:c r="U42" s="45" t="n">
        <x:v>0</x:v>
      </x:c>
      <x:c r="V42" s="45" t="n">
        <x:v>0</x:v>
      </x:c>
      <x:c r="W42" s="45" t="n">
        <x:v>0</x:v>
      </x:c>
    </x:row>
    <x:row r="43">
      <x:c r="A43" s="58" t="n">
        <x:v>1883</x:v>
      </x:c>
      <x:c r="B43" s="45" t="n">
        <x:v>0</x:v>
      </x:c>
      <x:c r="C43" s="45" t="n">
        <x:v>0</x:v>
      </x:c>
      <x:c r="D43" s="45" t="n">
        <x:v>0</x:v>
      </x:c>
      <x:c r="E43" s="45" t="n">
        <x:v>0</x:v>
      </x:c>
      <x:c r="F43" s="45" t="n">
        <x:v>0</x:v>
      </x:c>
      <x:c r="G43" s="45" t="n">
        <x:v>0</x:v>
      </x:c>
      <x:c r="H43" s="45" t="n">
        <x:v>0</x:v>
      </x:c>
      <x:c r="I43" s="45" t="n">
        <x:v>0</x:v>
      </x:c>
      <x:c r="J43" s="45" t="n">
        <x:v>0</x:v>
      </x:c>
      <x:c r="K43" s="68" t="n">
        <x:v>1.3</x:v>
      </x:c>
      <x:c r="L43" s="68" t="n">
        <x:v>1</x:v>
      </x:c>
      <x:c r="M43" s="68" t="n">
        <x:v>0.073</x:v>
      </x:c>
      <x:c r="N43" s="68" t="n">
        <x:v>0</x:v>
      </x:c>
      <x:c r="O43" s="68" t="n">
        <x:v>0</x:v>
      </x:c>
      <x:c r="P43" s="68" t="n">
        <x:v>0</x:v>
      </x:c>
      <x:c r="Q43" s="68" t="n">
        <x:v>0</x:v>
      </x:c>
      <x:c r="R43" s="68" t="n">
        <x:v>0</x:v>
      </x:c>
      <x:c r="S43" s="68" t="n">
        <x:v>0</x:v>
      </x:c>
      <x:c r="T43" s="45" t="n">
        <x:v>0</x:v>
      </x:c>
      <x:c r="U43" s="45" t="n">
        <x:v>0</x:v>
      </x:c>
      <x:c r="V43" s="45" t="n">
        <x:v>0</x:v>
      </x:c>
      <x:c r="W43" s="45" t="n">
        <x:v>0</x:v>
      </x:c>
    </x:row>
    <x:row r="44">
      <x:c r="A44" s="58" t="n">
        <x:v>1884</x:v>
      </x:c>
      <x:c r="B44" s="45" t="n">
        <x:v>1</x:v>
      </x:c>
      <x:c r="C44" s="45" t="n">
        <x:v>2</x:v>
      </x:c>
      <x:c r="D44" s="45" t="n">
        <x:v>4</x:v>
      </x:c>
      <x:c r="E44" s="45" t="n">
        <x:v>0</x:v>
      </x:c>
      <x:c r="F44" s="45" t="n">
        <x:v>0</x:v>
      </x:c>
      <x:c r="G44" s="45" t="n">
        <x:v>0</x:v>
      </x:c>
      <x:c r="H44" s="45" t="n">
        <x:v>0</x:v>
      </x:c>
      <x:c r="I44" s="45" t="n">
        <x:v>0</x:v>
      </x:c>
      <x:c r="J44" s="45" t="n">
        <x:v>0</x:v>
      </x:c>
      <x:c r="K44" s="68" t="n">
        <x:v>1.3</x:v>
      </x:c>
      <x:c r="L44" s="68" t="n">
        <x:v>1</x:v>
      </x:c>
      <x:c r="M44" s="68" t="n">
        <x:v>0.074</x:v>
      </x:c>
      <x:c r="N44" s="68" t="n">
        <x:v>0</x:v>
      </x:c>
      <x:c r="O44" s="68" t="n">
        <x:v>0</x:v>
      </x:c>
      <x:c r="P44" s="68" t="n">
        <x:v>0</x:v>
      </x:c>
      <x:c r="Q44" s="68" t="n">
        <x:v>0</x:v>
      </x:c>
      <x:c r="R44" s="68" t="n">
        <x:v>0</x:v>
      </x:c>
      <x:c r="S44" s="68" t="n">
        <x:v>0</x:v>
      </x:c>
      <x:c r="T44" s="45" t="n">
        <x:v>0</x:v>
      </x:c>
      <x:c r="U44" s="45" t="n">
        <x:v>0</x:v>
      </x:c>
      <x:c r="V44" s="45" t="n">
        <x:v>0</x:v>
      </x:c>
      <x:c r="W44" s="45" t="n">
        <x:v>0</x:v>
      </x:c>
    </x:row>
    <x:row r="45">
      <x:c r="A45" s="58" t="n">
        <x:v>1885</x:v>
      </x:c>
      <x:c r="B45" s="45" t="n">
        <x:v>0</x:v>
      </x:c>
      <x:c r="C45" s="45" t="n">
        <x:v>0</x:v>
      </x:c>
      <x:c r="D45" s="45" t="n">
        <x:v>0</x:v>
      </x:c>
      <x:c r="E45" s="45" t="n">
        <x:v>0</x:v>
      </x:c>
      <x:c r="F45" s="45" t="n">
        <x:v>0</x:v>
      </x:c>
      <x:c r="G45" s="45" t="n">
        <x:v>0</x:v>
      </x:c>
      <x:c r="H45" s="45" t="n">
        <x:v>0</x:v>
      </x:c>
      <x:c r="I45" s="45" t="n">
        <x:v>0</x:v>
      </x:c>
      <x:c r="J45" s="45" t="n">
        <x:v>0</x:v>
      </x:c>
      <x:c r="K45" s="68" t="n">
        <x:v>1.3</x:v>
      </x:c>
      <x:c r="L45" s="68" t="n">
        <x:v>1</x:v>
      </x:c>
      <x:c r="M45" s="68" t="n">
        <x:v>0.075</x:v>
      </x:c>
      <x:c r="N45" s="68" t="n">
        <x:v>0</x:v>
      </x:c>
      <x:c r="O45" s="68" t="n">
        <x:v>0</x:v>
      </x:c>
      <x:c r="P45" s="68" t="n">
        <x:v>0</x:v>
      </x:c>
      <x:c r="Q45" s="68" t="n">
        <x:v>0</x:v>
      </x:c>
      <x:c r="R45" s="68" t="n">
        <x:v>0</x:v>
      </x:c>
      <x:c r="S45" s="68" t="n">
        <x:v>0</x:v>
      </x:c>
      <x:c r="T45" s="45" t="n">
        <x:v>0</x:v>
      </x:c>
      <x:c r="U45" s="45" t="n">
        <x:v>0</x:v>
      </x:c>
      <x:c r="V45" s="45" t="n">
        <x:v>0</x:v>
      </x:c>
      <x:c r="W45" s="45" t="n">
        <x:v>0</x:v>
      </x:c>
    </x:row>
    <x:row r="46">
      <x:c r="A46" s="58" t="n">
        <x:v>1886</x:v>
      </x:c>
      <x:c r="B46" s="45" t="n">
        <x:v>0</x:v>
      </x:c>
      <x:c r="C46" s="45" t="n">
        <x:v>0</x:v>
      </x:c>
      <x:c r="D46" s="45" t="n">
        <x:v>6</x:v>
      </x:c>
      <x:c r="E46" s="45" t="n">
        <x:v>0</x:v>
      </x:c>
      <x:c r="F46" s="45" t="n">
        <x:v>0</x:v>
      </x:c>
      <x:c r="G46" s="45" t="n">
        <x:v>0</x:v>
      </x:c>
      <x:c r="H46" s="45" t="n">
        <x:v>0</x:v>
      </x:c>
      <x:c r="I46" s="45" t="n">
        <x:v>0</x:v>
      </x:c>
      <x:c r="J46" s="45" t="n">
        <x:v>0</x:v>
      </x:c>
      <x:c r="K46" s="68" t="n">
        <x:v>1.3</x:v>
      </x:c>
      <x:c r="L46" s="68" t="n">
        <x:v>1</x:v>
      </x:c>
      <x:c r="M46" s="68" t="n">
        <x:v>0.076</x:v>
      </x:c>
      <x:c r="N46" s="68" t="n">
        <x:v>0</x:v>
      </x:c>
      <x:c r="O46" s="68" t="n">
        <x:v>0</x:v>
      </x:c>
      <x:c r="P46" s="68" t="n">
        <x:v>0</x:v>
      </x:c>
      <x:c r="Q46" s="68" t="n">
        <x:v>0</x:v>
      </x:c>
      <x:c r="R46" s="68" t="n">
        <x:v>0</x:v>
      </x:c>
      <x:c r="S46" s="68" t="n">
        <x:v>0</x:v>
      </x:c>
      <x:c r="T46" s="45" t="n">
        <x:v>0</x:v>
      </x:c>
      <x:c r="U46" s="45" t="n">
        <x:v>0</x:v>
      </x:c>
      <x:c r="V46" s="45" t="n">
        <x:v>0</x:v>
      </x:c>
      <x:c r="W46" s="45" t="n">
        <x:v>0</x:v>
      </x:c>
    </x:row>
    <x:row r="47">
      <x:c r="A47" s="58" t="n">
        <x:v>1887</x:v>
      </x:c>
      <x:c r="B47" s="45" t="n">
        <x:v>0</x:v>
      </x:c>
      <x:c r="C47" s="45" t="n">
        <x:v>1</x:v>
      </x:c>
      <x:c r="D47" s="45" t="n">
        <x:v>0</x:v>
      </x:c>
      <x:c r="E47" s="45" t="n">
        <x:v>0</x:v>
      </x:c>
      <x:c r="F47" s="45" t="n">
        <x:v>0</x:v>
      </x:c>
      <x:c r="G47" s="45" t="n">
        <x:v>0</x:v>
      </x:c>
      <x:c r="H47" s="45" t="n">
        <x:v>0</x:v>
      </x:c>
      <x:c r="I47" s="45" t="n">
        <x:v>0</x:v>
      </x:c>
      <x:c r="J47" s="45" t="n">
        <x:v>0</x:v>
      </x:c>
      <x:c r="K47" s="68" t="n">
        <x:v>1.3</x:v>
      </x:c>
      <x:c r="L47" s="68" t="n">
        <x:v>1</x:v>
      </x:c>
      <x:c r="M47" s="68" t="n">
        <x:v>0.077</x:v>
      </x:c>
      <x:c r="N47" s="68" t="n">
        <x:v>0</x:v>
      </x:c>
      <x:c r="O47" s="68" t="n">
        <x:v>0</x:v>
      </x:c>
      <x:c r="P47" s="68" t="n">
        <x:v>0</x:v>
      </x:c>
      <x:c r="Q47" s="68" t="n">
        <x:v>0</x:v>
      </x:c>
      <x:c r="R47" s="68" t="n">
        <x:v>0</x:v>
      </x:c>
      <x:c r="S47" s="68" t="n">
        <x:v>0</x:v>
      </x:c>
      <x:c r="T47" s="45" t="n">
        <x:v>0</x:v>
      </x:c>
      <x:c r="U47" s="45" t="n">
        <x:v>0</x:v>
      </x:c>
      <x:c r="V47" s="45" t="n">
        <x:v>0</x:v>
      </x:c>
      <x:c r="W47" s="45" t="n">
        <x:v>0</x:v>
      </x:c>
    </x:row>
    <x:row r="48">
      <x:c r="A48" s="58" t="n">
        <x:v>1888</x:v>
      </x:c>
      <x:c r="B48" s="45" t="n">
        <x:v>0</x:v>
      </x:c>
      <x:c r="C48" s="45" t="n">
        <x:v>0</x:v>
      </x:c>
      <x:c r="D48" s="45" t="n">
        <x:v>6</x:v>
      </x:c>
      <x:c r="E48" s="45" t="n">
        <x:v>0</x:v>
      </x:c>
      <x:c r="F48" s="45" t="n">
        <x:v>0</x:v>
      </x:c>
      <x:c r="G48" s="45" t="n">
        <x:v>0</x:v>
      </x:c>
      <x:c r="H48" s="45" t="n">
        <x:v>0</x:v>
      </x:c>
      <x:c r="I48" s="45" t="n">
        <x:v>0</x:v>
      </x:c>
      <x:c r="J48" s="45" t="n">
        <x:v>0</x:v>
      </x:c>
      <x:c r="K48" s="68" t="n">
        <x:v>1.3</x:v>
      </x:c>
      <x:c r="L48" s="68" t="n">
        <x:v>1</x:v>
      </x:c>
      <x:c r="M48" s="68" t="n">
        <x:v>0.078</x:v>
      </x:c>
      <x:c r="N48" s="68" t="n">
        <x:v>1.6</x:v>
      </x:c>
      <x:c r="O48" s="68" t="n">
        <x:v>0</x:v>
      </x:c>
      <x:c r="P48" s="68" t="n">
        <x:v>0</x:v>
      </x:c>
      <x:c r="Q48" s="68" t="n">
        <x:v>0</x:v>
      </x:c>
      <x:c r="R48" s="68" t="n">
        <x:v>0</x:v>
      </x:c>
      <x:c r="S48" s="68" t="n">
        <x:v>0</x:v>
      </x:c>
      <x:c r="T48" s="45" t="n">
        <x:v>0</x:v>
      </x:c>
      <x:c r="U48" s="45" t="n">
        <x:v>0</x:v>
      </x:c>
      <x:c r="V48" s="45" t="n">
        <x:v>0</x:v>
      </x:c>
      <x:c r="W48" s="45" t="n">
        <x:v>0</x:v>
      </x:c>
    </x:row>
    <x:row r="49">
      <x:c r="A49" s="58" t="n">
        <x:v>1889</x:v>
      </x:c>
      <x:c r="B49" s="45" t="n">
        <x:v>0</x:v>
      </x:c>
      <x:c r="C49" s="45" t="n">
        <x:v>0</x:v>
      </x:c>
      <x:c r="D49" s="45" t="n">
        <x:v>0</x:v>
      </x:c>
      <x:c r="E49" s="45" t="n">
        <x:v>0</x:v>
      </x:c>
      <x:c r="F49" s="45" t="n">
        <x:v>0</x:v>
      </x:c>
      <x:c r="G49" s="45" t="n">
        <x:v>0</x:v>
      </x:c>
      <x:c r="H49" s="45" t="n">
        <x:v>0</x:v>
      </x:c>
      <x:c r="I49" s="45" t="n">
        <x:v>0</x:v>
      </x:c>
      <x:c r="J49" s="45" t="n">
        <x:v>0</x:v>
      </x:c>
      <x:c r="K49" s="68" t="n">
        <x:v>1.3</x:v>
      </x:c>
      <x:c r="L49" s="68" t="n">
        <x:v>1</x:v>
      </x:c>
      <x:c r="M49" s="68" t="n">
        <x:v>0.079</x:v>
      </x:c>
      <x:c r="N49" s="68" t="n">
        <x:v>1.7</x:v>
      </x:c>
      <x:c r="O49" s="68" t="n">
        <x:v>0</x:v>
      </x:c>
      <x:c r="P49" s="68" t="n">
        <x:v>0</x:v>
      </x:c>
      <x:c r="Q49" s="68" t="n">
        <x:v>0</x:v>
      </x:c>
      <x:c r="R49" s="68" t="n">
        <x:v>0</x:v>
      </x:c>
      <x:c r="S49" s="68" t="n">
        <x:v>0</x:v>
      </x:c>
      <x:c r="T49" s="45" t="n">
        <x:v>0</x:v>
      </x:c>
      <x:c r="U49" s="45" t="n">
        <x:v>0</x:v>
      </x:c>
      <x:c r="V49" s="45" t="n">
        <x:v>0</x:v>
      </x:c>
      <x:c r="W49" s="45" t="n">
        <x:v>0</x:v>
      </x:c>
    </x:row>
    <x:row r="50">
      <x:c r="A50" s="58" t="n">
        <x:v>1890</x:v>
      </x:c>
      <x:c r="B50" s="45" t="n">
        <x:v>0</x:v>
      </x:c>
      <x:c r="C50" s="45" t="n">
        <x:v>0</x:v>
      </x:c>
      <x:c r="D50" s="45" t="n">
        <x:v>4</x:v>
      </x:c>
      <x:c r="E50" s="45" t="n">
        <x:v>2</x:v>
      </x:c>
      <x:c r="F50" s="45" t="n">
        <x:v>0</x:v>
      </x:c>
      <x:c r="G50" s="45" t="n">
        <x:v>0</x:v>
      </x:c>
      <x:c r="H50" s="45" t="n">
        <x:v>0</x:v>
      </x:c>
      <x:c r="I50" s="45" t="n">
        <x:v>0</x:v>
      </x:c>
      <x:c r="J50" s="45" t="n">
        <x:v>0</x:v>
      </x:c>
      <x:c r="K50" s="68" t="n">
        <x:v>1.3</x:v>
      </x:c>
      <x:c r="L50" s="68" t="n">
        <x:v>1</x:v>
      </x:c>
      <x:c r="M50" s="68" t="n">
        <x:v>0.08</x:v>
      </x:c>
      <x:c r="N50" s="68" t="n">
        <x:v>1.8</x:v>
      </x:c>
      <x:c r="O50" s="68" t="n">
        <x:v>0</x:v>
      </x:c>
      <x:c r="P50" s="68" t="n">
        <x:v>0</x:v>
      </x:c>
      <x:c r="Q50" s="68" t="n">
        <x:v>0</x:v>
      </x:c>
      <x:c r="R50" s="68" t="n">
        <x:v>0</x:v>
      </x:c>
      <x:c r="S50" s="68" t="n">
        <x:v>0</x:v>
      </x:c>
      <x:c r="T50" s="45" t="n">
        <x:v>0</x:v>
      </x:c>
      <x:c r="U50" s="45" t="n">
        <x:v>0</x:v>
      </x:c>
      <x:c r="V50" s="45" t="n">
        <x:v>0</x:v>
      </x:c>
      <x:c r="W50" s="45" t="n">
        <x:v>0</x:v>
      </x:c>
    </x:row>
    <x:row r="51">
      <x:c r="A51" s="58" t="n">
        <x:v>1891</x:v>
      </x:c>
      <x:c r="B51" s="45" t="n">
        <x:v>0</x:v>
      </x:c>
      <x:c r="C51" s="45" t="n">
        <x:v>0</x:v>
      </x:c>
      <x:c r="D51" s="45" t="n">
        <x:v>0</x:v>
      </x:c>
      <x:c r="E51" s="45" t="n">
        <x:v>0</x:v>
      </x:c>
      <x:c r="F51" s="45" t="n">
        <x:v>0</x:v>
      </x:c>
      <x:c r="G51" s="45" t="n">
        <x:v>0</x:v>
      </x:c>
      <x:c r="H51" s="45" t="n">
        <x:v>0</x:v>
      </x:c>
      <x:c r="I51" s="45" t="n">
        <x:v>0</x:v>
      </x:c>
      <x:c r="J51" s="45" t="n">
        <x:v>0</x:v>
      </x:c>
      <x:c r="K51" s="68" t="n">
        <x:v>1.3</x:v>
      </x:c>
      <x:c r="L51" s="68" t="n">
        <x:v>1</x:v>
      </x:c>
      <x:c r="M51" s="68" t="n">
        <x:v>0.08</x:v>
      </x:c>
      <x:c r="N51" s="68" t="n">
        <x:v>1.81</x:v>
      </x:c>
      <x:c r="O51" s="68" t="n">
        <x:v>0</x:v>
      </x:c>
      <x:c r="P51" s="68" t="n">
        <x:v>0</x:v>
      </x:c>
      <x:c r="Q51" s="68" t="n">
        <x:v>0</x:v>
      </x:c>
      <x:c r="R51" s="68" t="n">
        <x:v>0</x:v>
      </x:c>
      <x:c r="S51" s="68" t="n">
        <x:v>0</x:v>
      </x:c>
      <x:c r="T51" s="45" t="n">
        <x:v>0</x:v>
      </x:c>
      <x:c r="U51" s="45" t="n">
        <x:v>0</x:v>
      </x:c>
      <x:c r="V51" s="45" t="n">
        <x:v>0</x:v>
      </x:c>
      <x:c r="W51" s="45" t="n">
        <x:v>0</x:v>
      </x:c>
    </x:row>
    <x:row r="52">
      <x:c r="A52" s="58" t="n">
        <x:v>1892</x:v>
      </x:c>
      <x:c r="B52" s="45" t="n">
        <x:v>0</x:v>
      </x:c>
      <x:c r="C52" s="45" t="n">
        <x:v>0</x:v>
      </x:c>
      <x:c r="D52" s="45" t="n">
        <x:v>4</x:v>
      </x:c>
      <x:c r="E52" s="45" t="n">
        <x:v>2</x:v>
      </x:c>
      <x:c r="F52" s="45" t="n">
        <x:v>0</x:v>
      </x:c>
      <x:c r="G52" s="45" t="n">
        <x:v>0</x:v>
      </x:c>
      <x:c r="H52" s="45" t="n">
        <x:v>0</x:v>
      </x:c>
      <x:c r="I52" s="45" t="n">
        <x:v>0</x:v>
      </x:c>
      <x:c r="J52" s="45" t="n">
        <x:v>0</x:v>
      </x:c>
      <x:c r="K52" s="68" t="n">
        <x:v>1.3</x:v>
      </x:c>
      <x:c r="L52" s="68" t="n">
        <x:v>1</x:v>
      </x:c>
      <x:c r="M52" s="68" t="n">
        <x:v>0.08</x:v>
      </x:c>
      <x:c r="N52" s="68" t="n">
        <x:v>1.82</x:v>
      </x:c>
      <x:c r="O52" s="68" t="n">
        <x:v>0</x:v>
      </x:c>
      <x:c r="P52" s="68" t="n">
        <x:v>0</x:v>
      </x:c>
      <x:c r="Q52" s="68" t="n">
        <x:v>0</x:v>
      </x:c>
      <x:c r="R52" s="68" t="n">
        <x:v>0</x:v>
      </x:c>
      <x:c r="S52" s="68" t="n">
        <x:v>0</x:v>
      </x:c>
      <x:c r="T52" s="45" t="n">
        <x:v>0</x:v>
      </x:c>
      <x:c r="U52" s="45" t="n">
        <x:v>0</x:v>
      </x:c>
      <x:c r="V52" s="45" t="n">
        <x:v>0</x:v>
      </x:c>
      <x:c r="W52" s="45" t="n">
        <x:v>0</x:v>
      </x:c>
    </x:row>
    <x:row r="53">
      <x:c r="A53" s="58" t="n">
        <x:v>1893</x:v>
      </x:c>
      <x:c r="B53" s="45" t="n">
        <x:v>0</x:v>
      </x:c>
      <x:c r="C53" s="45" t="n">
        <x:v>0</x:v>
      </x:c>
      <x:c r="D53" s="45" t="n">
        <x:v>0</x:v>
      </x:c>
      <x:c r="E53" s="45" t="n">
        <x:v>0</x:v>
      </x:c>
      <x:c r="F53" s="45" t="n">
        <x:v>0</x:v>
      </x:c>
      <x:c r="G53" s="45" t="n">
        <x:v>0</x:v>
      </x:c>
      <x:c r="H53" s="45" t="n">
        <x:v>0</x:v>
      </x:c>
      <x:c r="I53" s="45" t="n">
        <x:v>0</x:v>
      </x:c>
      <x:c r="J53" s="45" t="n">
        <x:v>0</x:v>
      </x:c>
      <x:c r="K53" s="68" t="n">
        <x:v>1.3</x:v>
      </x:c>
      <x:c r="L53" s="68" t="n">
        <x:v>1</x:v>
      </x:c>
      <x:c r="M53" s="68" t="n">
        <x:v>0.08</x:v>
      </x:c>
      <x:c r="N53" s="68" t="n">
        <x:v>1.83</x:v>
      </x:c>
      <x:c r="O53" s="68" t="n">
        <x:v>0.3</x:v>
      </x:c>
      <x:c r="P53" s="68" t="n">
        <x:v>0</x:v>
      </x:c>
      <x:c r="Q53" s="68" t="n">
        <x:v>0</x:v>
      </x:c>
      <x:c r="R53" s="68" t="n">
        <x:v>0</x:v>
      </x:c>
      <x:c r="S53" s="68" t="n">
        <x:v>0</x:v>
      </x:c>
      <x:c r="T53" s="45" t="n">
        <x:v>0</x:v>
      </x:c>
      <x:c r="U53" s="45" t="n">
        <x:v>0</x:v>
      </x:c>
      <x:c r="V53" s="45" t="n">
        <x:v>0</x:v>
      </x:c>
      <x:c r="W53" s="45" t="n">
        <x:v>0</x:v>
      </x:c>
    </x:row>
    <x:row r="54">
      <x:c r="A54" s="58" t="n">
        <x:v>1894</x:v>
      </x:c>
      <x:c r="B54" s="45" t="n">
        <x:v>0</x:v>
      </x:c>
      <x:c r="C54" s="45" t="n">
        <x:v>0</x:v>
      </x:c>
      <x:c r="D54" s="45" t="n">
        <x:v>0</x:v>
      </x:c>
      <x:c r="E54" s="45" t="n">
        <x:v>2</x:v>
      </x:c>
      <x:c r="F54" s="45" t="n">
        <x:v>2</x:v>
      </x:c>
      <x:c r="G54" s="45" t="n">
        <x:v>0</x:v>
      </x:c>
      <x:c r="H54" s="45" t="n">
        <x:v>0</x:v>
      </x:c>
      <x:c r="I54" s="45" t="n">
        <x:v>0</x:v>
      </x:c>
      <x:c r="J54" s="45" t="n">
        <x:v>0</x:v>
      </x:c>
      <x:c r="K54" s="68" t="n">
        <x:v>1.3</x:v>
      </x:c>
      <x:c r="L54" s="68" t="n">
        <x:v>1</x:v>
      </x:c>
      <x:c r="M54" s="68" t="n">
        <x:v>0.08</x:v>
      </x:c>
      <x:c r="N54" s="68" t="n">
        <x:v>1.84</x:v>
      </x:c>
      <x:c r="O54" s="68" t="n">
        <x:v>0.307</x:v>
      </x:c>
      <x:c r="P54" s="68" t="n">
        <x:v>0</x:v>
      </x:c>
      <x:c r="Q54" s="68" t="n">
        <x:v>0</x:v>
      </x:c>
      <x:c r="R54" s="68" t="n">
        <x:v>0</x:v>
      </x:c>
      <x:c r="S54" s="68" t="n">
        <x:v>0</x:v>
      </x:c>
      <x:c r="T54" s="45" t="n">
        <x:v>0</x:v>
      </x:c>
      <x:c r="U54" s="45" t="n">
        <x:v>0</x:v>
      </x:c>
      <x:c r="V54" s="45" t="n">
        <x:v>0</x:v>
      </x:c>
      <x:c r="W54" s="45" t="n">
        <x:v>0</x:v>
      </x:c>
    </x:row>
    <x:row r="55">
      <x:c r="A55" s="58" t="n">
        <x:v>1895</x:v>
      </x:c>
      <x:c r="B55" s="45" t="n">
        <x:v>0</x:v>
      </x:c>
      <x:c r="C55" s="45" t="n">
        <x:v>0</x:v>
      </x:c>
      <x:c r="D55" s="45" t="n">
        <x:v>0</x:v>
      </x:c>
      <x:c r="E55" s="45" t="n">
        <x:v>0</x:v>
      </x:c>
      <x:c r="F55" s="45" t="n">
        <x:v>3</x:v>
      </x:c>
      <x:c r="G55" s="45" t="n">
        <x:v>0</x:v>
      </x:c>
      <x:c r="H55" s="45" t="n">
        <x:v>0</x:v>
      </x:c>
      <x:c r="I55" s="45" t="n">
        <x:v>0</x:v>
      </x:c>
      <x:c r="J55" s="45" t="n">
        <x:v>0</x:v>
      </x:c>
      <x:c r="K55" s="68" t="n">
        <x:v>1.3</x:v>
      </x:c>
      <x:c r="L55" s="68" t="n">
        <x:v>1</x:v>
      </x:c>
      <x:c r="M55" s="68" t="n">
        <x:v>0.08</x:v>
      </x:c>
      <x:c r="N55" s="68" t="n">
        <x:v>1.85</x:v>
      </x:c>
      <x:c r="O55" s="68" t="n">
        <x:v>0.314</x:v>
      </x:c>
      <x:c r="P55" s="68" t="n">
        <x:v>0</x:v>
      </x:c>
      <x:c r="Q55" s="68" t="n">
        <x:v>0</x:v>
      </x:c>
      <x:c r="R55" s="68" t="n">
        <x:v>0</x:v>
      </x:c>
      <x:c r="S55" s="68" t="n">
        <x:v>0</x:v>
      </x:c>
      <x:c r="T55" s="45" t="n">
        <x:v>0</x:v>
      </x:c>
      <x:c r="U55" s="45" t="n">
        <x:v>0</x:v>
      </x:c>
      <x:c r="V55" s="45" t="n">
        <x:v>0</x:v>
      </x:c>
      <x:c r="W55" s="45" t="n">
        <x:v>0</x:v>
      </x:c>
    </x:row>
    <x:row r="56">
      <x:c r="A56" s="58" t="n">
        <x:v>1896</x:v>
      </x:c>
      <x:c r="B56" s="45" t="n">
        <x:v>0</x:v>
      </x:c>
      <x:c r="C56" s="45" t="n">
        <x:v>0</x:v>
      </x:c>
      <x:c r="D56" s="45" t="n">
        <x:v>0</x:v>
      </x:c>
      <x:c r="E56" s="45" t="n">
        <x:v>2</x:v>
      </x:c>
      <x:c r="F56" s="45" t="n">
        <x:v>3</x:v>
      </x:c>
      <x:c r="G56" s="45" t="n">
        <x:v>0</x:v>
      </x:c>
      <x:c r="H56" s="45" t="n">
        <x:v>0</x:v>
      </x:c>
      <x:c r="I56" s="45" t="n">
        <x:v>0</x:v>
      </x:c>
      <x:c r="J56" s="45" t="n">
        <x:v>0</x:v>
      </x:c>
      <x:c r="K56" s="68" t="n">
        <x:v>1.3</x:v>
      </x:c>
      <x:c r="L56" s="68" t="n">
        <x:v>1</x:v>
      </x:c>
      <x:c r="M56" s="68" t="n">
        <x:v>0.08</x:v>
      </x:c>
      <x:c r="N56" s="68" t="n">
        <x:v>1.86</x:v>
      </x:c>
      <x:c r="O56" s="68" t="n">
        <x:v>0.321</x:v>
      </x:c>
      <x:c r="P56" s="68" t="n">
        <x:v>0</x:v>
      </x:c>
      <x:c r="Q56" s="68" t="n">
        <x:v>0</x:v>
      </x:c>
      <x:c r="R56" s="68" t="n">
        <x:v>0</x:v>
      </x:c>
      <x:c r="S56" s="68" t="n">
        <x:v>0</x:v>
      </x:c>
      <x:c r="T56" s="45" t="n">
        <x:v>0</x:v>
      </x:c>
      <x:c r="U56" s="45" t="n">
        <x:v>0</x:v>
      </x:c>
      <x:c r="V56" s="45" t="n">
        <x:v>0</x:v>
      </x:c>
      <x:c r="W56" s="45" t="n">
        <x:v>0</x:v>
      </x:c>
    </x:row>
    <x:row r="57">
      <x:c r="A57" s="58" t="n">
        <x:v>1897</x:v>
      </x:c>
      <x:c r="B57" s="45" t="n">
        <x:v>0</x:v>
      </x:c>
      <x:c r="C57" s="45" t="n">
        <x:v>0</x:v>
      </x:c>
      <x:c r="D57" s="45" t="n">
        <x:v>0</x:v>
      </x:c>
      <x:c r="E57" s="45" t="n">
        <x:v>0</x:v>
      </x:c>
      <x:c r="F57" s="45" t="n">
        <x:v>3</x:v>
      </x:c>
      <x:c r="G57" s="45" t="n">
        <x:v>0</x:v>
      </x:c>
      <x:c r="H57" s="45" t="n">
        <x:v>0</x:v>
      </x:c>
      <x:c r="I57" s="45" t="n">
        <x:v>0</x:v>
      </x:c>
      <x:c r="J57" s="45" t="n">
        <x:v>0</x:v>
      </x:c>
      <x:c r="K57" s="68" t="n">
        <x:v>1.3</x:v>
      </x:c>
      <x:c r="L57" s="68" t="n">
        <x:v>1</x:v>
      </x:c>
      <x:c r="M57" s="68" t="n">
        <x:v>0.08</x:v>
      </x:c>
      <x:c r="N57" s="68" t="n">
        <x:v>1.87</x:v>
      </x:c>
      <x:c r="O57" s="68" t="n">
        <x:v>0.329</x:v>
      </x:c>
      <x:c r="P57" s="68" t="n">
        <x:v>2.5</x:v>
      </x:c>
      <x:c r="Q57" s="68" t="n">
        <x:v>0</x:v>
      </x:c>
      <x:c r="R57" s="68" t="n">
        <x:v>0</x:v>
      </x:c>
      <x:c r="S57" s="68" t="n">
        <x:v>0</x:v>
      </x:c>
      <x:c r="T57" s="45" t="n">
        <x:v>0</x:v>
      </x:c>
      <x:c r="U57" s="45" t="n">
        <x:v>0</x:v>
      </x:c>
      <x:c r="V57" s="45" t="n">
        <x:v>0</x:v>
      </x:c>
      <x:c r="W57" s="45" t="n">
        <x:v>0</x:v>
      </x:c>
    </x:row>
    <x:row r="58">
      <x:c r="A58" s="58" t="n">
        <x:v>1898</x:v>
      </x:c>
      <x:c r="B58" s="45" t="n">
        <x:v>0</x:v>
      </x:c>
      <x:c r="C58" s="45" t="n">
        <x:v>0</x:v>
      </x:c>
      <x:c r="D58" s="45" t="n">
        <x:v>0</x:v>
      </x:c>
      <x:c r="E58" s="45" t="n">
        <x:v>0</x:v>
      </x:c>
      <x:c r="F58" s="45" t="n">
        <x:v>4</x:v>
      </x:c>
      <x:c r="G58" s="45" t="n">
        <x:v>2</x:v>
      </x:c>
      <x:c r="H58" s="45" t="n">
        <x:v>0</x:v>
      </x:c>
      <x:c r="I58" s="45" t="n">
        <x:v>0</x:v>
      </x:c>
      <x:c r="J58" s="45" t="n">
        <x:v>0</x:v>
      </x:c>
      <x:c r="K58" s="68" t="n">
        <x:v>1.3</x:v>
      </x:c>
      <x:c r="L58" s="68" t="n">
        <x:v>1</x:v>
      </x:c>
      <x:c r="M58" s="68" t="n">
        <x:v>0.08</x:v>
      </x:c>
      <x:c r="N58" s="68" t="n">
        <x:v>1.88</x:v>
      </x:c>
      <x:c r="O58" s="68" t="n">
        <x:v>0.336</x:v>
      </x:c>
      <x:c r="P58" s="68" t="n">
        <x:v>2.625</x:v>
      </x:c>
      <x:c r="Q58" s="68" t="n">
        <x:v>0</x:v>
      </x:c>
      <x:c r="R58" s="68" t="n">
        <x:v>0</x:v>
      </x:c>
      <x:c r="S58" s="68" t="n">
        <x:v>0</x:v>
      </x:c>
      <x:c r="T58" s="45" t="n">
        <x:v>0</x:v>
      </x:c>
      <x:c r="U58" s="45" t="n">
        <x:v>0</x:v>
      </x:c>
      <x:c r="V58" s="45" t="n">
        <x:v>0</x:v>
      </x:c>
      <x:c r="W58" s="45" t="n">
        <x:v>0</x:v>
      </x:c>
    </x:row>
    <x:row r="59">
      <x:c r="A59" s="58" t="n">
        <x:v>1899</x:v>
      </x:c>
      <x:c r="B59" s="45" t="n">
        <x:v>0</x:v>
      </x:c>
      <x:c r="C59" s="45" t="n">
        <x:v>0</x:v>
      </x:c>
      <x:c r="D59" s="45" t="n">
        <x:v>0</x:v>
      </x:c>
      <x:c r="E59" s="45" t="n">
        <x:v>0</x:v>
      </x:c>
      <x:c r="F59" s="45" t="n">
        <x:v>4</x:v>
      </x:c>
      <x:c r="G59" s="45" t="n">
        <x:v>2</x:v>
      </x:c>
      <x:c r="H59" s="45" t="n">
        <x:v>0</x:v>
      </x:c>
      <x:c r="I59" s="45" t="n">
        <x:v>0</x:v>
      </x:c>
      <x:c r="J59" s="45" t="n">
        <x:v>0</x:v>
      </x:c>
      <x:c r="K59" s="68" t="n">
        <x:v>1.3</x:v>
      </x:c>
      <x:c r="L59" s="68" t="n">
        <x:v>1</x:v>
      </x:c>
      <x:c r="M59" s="68" t="n">
        <x:v>0.08</x:v>
      </x:c>
      <x:c r="N59" s="68" t="n">
        <x:v>1.89</x:v>
      </x:c>
      <x:c r="O59" s="68" t="n">
        <x:v>0.343</x:v>
      </x:c>
      <x:c r="P59" s="68" t="n">
        <x:v>2.75</x:v>
      </x:c>
      <x:c r="Q59" s="68" t="n">
        <x:v>0</x:v>
      </x:c>
      <x:c r="R59" s="68" t="n">
        <x:v>0.2</x:v>
      </x:c>
      <x:c r="S59" s="68" t="n">
        <x:v>0</x:v>
      </x:c>
      <x:c r="T59" s="45" t="n">
        <x:v>0</x:v>
      </x:c>
      <x:c r="U59" s="45" t="n">
        <x:v>0</x:v>
      </x:c>
      <x:c r="V59" s="45" t="n">
        <x:v>0</x:v>
      </x:c>
      <x:c r="W59" s="45" t="n">
        <x:v>0</x:v>
      </x:c>
    </x:row>
    <x:row r="60">
      <x:c r="A60" s="58" t="n">
        <x:v>1900</x:v>
      </x:c>
      <x:c r="B60" s="45" t="n">
        <x:v>0</x:v>
      </x:c>
      <x:c r="C60" s="45" t="n">
        <x:v>0</x:v>
      </x:c>
      <x:c r="D60" s="45" t="n">
        <x:v>0</x:v>
      </x:c>
      <x:c r="E60" s="45" t="n">
        <x:v>0</x:v>
      </x:c>
      <x:c r="F60" s="45" t="n">
        <x:v>3</x:v>
      </x:c>
      <x:c r="G60" s="45" t="n">
        <x:v>0</x:v>
      </x:c>
      <x:c r="H60" s="45" t="n">
        <x:v>0</x:v>
      </x:c>
      <x:c r="I60" s="45" t="n">
        <x:v>2</x:v>
      </x:c>
      <x:c r="J60" s="45" t="n">
        <x:v>0</x:v>
      </x:c>
      <x:c r="K60" s="68" t="n">
        <x:v>1.3</x:v>
      </x:c>
      <x:c r="L60" s="68" t="n">
        <x:v>1</x:v>
      </x:c>
      <x:c r="M60" s="68" t="n">
        <x:v>0.08</x:v>
      </x:c>
      <x:c r="N60" s="68" t="n">
        <x:v>1.9</x:v>
      </x:c>
      <x:c r="O60" s="68" t="n">
        <x:v>0.35</x:v>
      </x:c>
      <x:c r="P60" s="68" t="n">
        <x:v>2.875</x:v>
      </x:c>
      <x:c r="Q60" s="68" t="n">
        <x:v>0</x:v>
      </x:c>
      <x:c r="R60" s="68" t="n">
        <x:v>0.218</x:v>
      </x:c>
      <x:c r="S60" s="68" t="n">
        <x:v>0</x:v>
      </x:c>
      <x:c r="T60" s="45" t="n">
        <x:v>0</x:v>
      </x:c>
      <x:c r="U60" s="45" t="n">
        <x:v>0</x:v>
      </x:c>
      <x:c r="V60" s="45" t="n">
        <x:v>0</x:v>
      </x:c>
      <x:c r="W60" s="45" t="n">
        <x:v>0</x:v>
      </x:c>
    </x:row>
    <x:row r="61">
      <x:c r="A61" s="58" t="n">
        <x:v>1901</x:v>
      </x:c>
      <x:c r="B61" s="45" t="n">
        <x:v>0</x:v>
      </x:c>
      <x:c r="C61" s="45" t="n">
        <x:v>0</x:v>
      </x:c>
      <x:c r="D61" s="45" t="n">
        <x:v>0</x:v>
      </x:c>
      <x:c r="E61" s="45" t="n">
        <x:v>0</x:v>
      </x:c>
      <x:c r="F61" s="45" t="n">
        <x:v>3</x:v>
      </x:c>
      <x:c r="G61" s="45" t="n">
        <x:v>2</x:v>
      </x:c>
      <x:c r="H61" s="45" t="n">
        <x:v>0</x:v>
      </x:c>
      <x:c r="I61" s="45" t="n">
        <x:v>0</x:v>
      </x:c>
      <x:c r="J61" s="45" t="n">
        <x:v>0</x:v>
      </x:c>
      <x:c r="K61" s="68" t="n">
        <x:v>1.3</x:v>
      </x:c>
      <x:c r="L61" s="68" t="n">
        <x:v>1</x:v>
      </x:c>
      <x:c r="M61" s="68" t="n">
        <x:v>0.08</x:v>
      </x:c>
      <x:c r="N61" s="68" t="n">
        <x:v>1.938</x:v>
      </x:c>
      <x:c r="O61" s="68" t="n">
        <x:v>0.37</x:v>
      </x:c>
      <x:c r="P61" s="68" t="n">
        <x:v>3</x:v>
      </x:c>
      <x:c r="Q61" s="68" t="n">
        <x:v>0</x:v>
      </x:c>
      <x:c r="R61" s="68" t="n">
        <x:v>0.236</x:v>
      </x:c>
      <x:c r="S61" s="68" t="n">
        <x:v>0</x:v>
      </x:c>
      <x:c r="T61" s="45" t="n">
        <x:v>0</x:v>
      </x:c>
      <x:c r="U61" s="45" t="n">
        <x:v>0</x:v>
      </x:c>
      <x:c r="V61" s="45" t="n">
        <x:v>0</x:v>
      </x:c>
      <x:c r="W61" s="45" t="n">
        <x:v>0</x:v>
      </x:c>
    </x:row>
    <x:row r="62">
      <x:c r="A62" s="58" t="n">
        <x:v>1902</x:v>
      </x:c>
      <x:c r="B62" s="45" t="n">
        <x:v>0</x:v>
      </x:c>
      <x:c r="C62" s="45" t="n">
        <x:v>0</x:v>
      </x:c>
      <x:c r="D62" s="45" t="n">
        <x:v>0</x:v>
      </x:c>
      <x:c r="E62" s="45" t="n">
        <x:v>0</x:v>
      </x:c>
      <x:c r="F62" s="45" t="n">
        <x:v>3</x:v>
      </x:c>
      <x:c r="G62" s="45" t="n">
        <x:v>0</x:v>
      </x:c>
      <x:c r="H62" s="45" t="n">
        <x:v>0</x:v>
      </x:c>
      <x:c r="I62" s="45" t="n">
        <x:v>2</x:v>
      </x:c>
      <x:c r="J62" s="45" t="n">
        <x:v>0</x:v>
      </x:c>
      <x:c r="K62" s="68" t="n">
        <x:v>1.3</x:v>
      </x:c>
      <x:c r="L62" s="68" t="n">
        <x:v>1</x:v>
      </x:c>
      <x:c r="M62" s="68" t="n">
        <x:v>0.08</x:v>
      </x:c>
      <x:c r="N62" s="68" t="n">
        <x:v>1.977</x:v>
      </x:c>
      <x:c r="O62" s="68" t="n">
        <x:v>0.39</x:v>
      </x:c>
      <x:c r="P62" s="68" t="n">
        <x:v>3.125</x:v>
      </x:c>
      <x:c r="Q62" s="68" t="n">
        <x:v>6</x:v>
      </x:c>
      <x:c r="R62" s="68" t="n">
        <x:v>0.255</x:v>
      </x:c>
      <x:c r="S62" s="68" t="n">
        <x:v>0</x:v>
      </x:c>
      <x:c r="T62" s="45" t="n">
        <x:v>0</x:v>
      </x:c>
      <x:c r="U62" s="45" t="n">
        <x:v>0</x:v>
      </x:c>
      <x:c r="V62" s="45" t="n">
        <x:v>0</x:v>
      </x:c>
      <x:c r="W62" s="45" t="n">
        <x:v>0</x:v>
      </x:c>
    </x:row>
    <x:row r="63">
      <x:c r="A63" s="58" t="n">
        <x:v>1903</x:v>
      </x:c>
      <x:c r="B63" s="45" t="n">
        <x:v>0</x:v>
      </x:c>
      <x:c r="C63" s="45" t="n">
        <x:v>0</x:v>
      </x:c>
      <x:c r="D63" s="45" t="n">
        <x:v>0</x:v>
      </x:c>
      <x:c r="E63" s="45" t="n">
        <x:v>0</x:v>
      </x:c>
      <x:c r="F63" s="45" t="n">
        <x:v>3</x:v>
      </x:c>
      <x:c r="G63" s="45" t="n">
        <x:v>1</x:v>
      </x:c>
      <x:c r="H63" s="45" t="n">
        <x:v>1</x:v>
      </x:c>
      <x:c r="I63" s="45" t="n">
        <x:v>0</x:v>
      </x:c>
      <x:c r="J63" s="45" t="n">
        <x:v>0</x:v>
      </x:c>
      <x:c r="K63" s="68" t="n">
        <x:v>1.3</x:v>
      </x:c>
      <x:c r="L63" s="68" t="n">
        <x:v>1</x:v>
      </x:c>
      <x:c r="M63" s="68" t="n">
        <x:v>0.08</x:v>
      </x:c>
      <x:c r="N63" s="68" t="n">
        <x:v>2.015</x:v>
      </x:c>
      <x:c r="O63" s="68" t="n">
        <x:v>0.41</x:v>
      </x:c>
      <x:c r="P63" s="68" t="n">
        <x:v>3.25</x:v>
      </x:c>
      <x:c r="Q63" s="68" t="n">
        <x:v>6.5</x:v>
      </x:c>
      <x:c r="R63" s="68" t="n">
        <x:v>0.273</x:v>
      </x:c>
      <x:c r="S63" s="68" t="n">
        <x:v>0</x:v>
      </x:c>
      <x:c r="T63" s="45" t="n">
        <x:v>0</x:v>
      </x:c>
      <x:c r="U63" s="45" t="n">
        <x:v>0</x:v>
      </x:c>
      <x:c r="V63" s="45" t="n">
        <x:v>0</x:v>
      </x:c>
      <x:c r="W63" s="45" t="n">
        <x:v>0</x:v>
      </x:c>
    </x:row>
    <x:row r="64">
      <x:c r="A64" s="58" t="n">
        <x:v>1904</x:v>
      </x:c>
      <x:c r="B64" s="45" t="n">
        <x:v>0</x:v>
      </x:c>
      <x:c r="C64" s="45" t="n">
        <x:v>0</x:v>
      </x:c>
      <x:c r="D64" s="45" t="n">
        <x:v>0</x:v>
      </x:c>
      <x:c r="E64" s="45" t="n">
        <x:v>0</x:v>
      </x:c>
      <x:c r="F64" s="45" t="n">
        <x:v>3</x:v>
      </x:c>
      <x:c r="G64" s="45" t="n">
        <x:v>0</x:v>
      </x:c>
      <x:c r="H64" s="45" t="n">
        <x:v>0</x:v>
      </x:c>
      <x:c r="I64" s="45" t="n">
        <x:v>2</x:v>
      </x:c>
      <x:c r="J64" s="45" t="n">
        <x:v>0</x:v>
      </x:c>
      <x:c r="K64" s="68" t="n">
        <x:v>1.3</x:v>
      </x:c>
      <x:c r="L64" s="68" t="n">
        <x:v>1</x:v>
      </x:c>
      <x:c r="M64" s="68" t="n">
        <x:v>0.08</x:v>
      </x:c>
      <x:c r="N64" s="68" t="n">
        <x:v>2.054</x:v>
      </x:c>
      <x:c r="O64" s="68" t="n">
        <x:v>0.43</x:v>
      </x:c>
      <x:c r="P64" s="68" t="n">
        <x:v>3.375</x:v>
      </x:c>
      <x:c r="Q64" s="68" t="n">
        <x:v>7</x:v>
      </x:c>
      <x:c r="R64" s="68" t="n">
        <x:v>0.291</x:v>
      </x:c>
      <x:c r="S64" s="68" t="n">
        <x:v>0</x:v>
      </x:c>
      <x:c r="T64" s="45" t="n">
        <x:v>0</x:v>
      </x:c>
      <x:c r="U64" s="45" t="n">
        <x:v>0</x:v>
      </x:c>
      <x:c r="V64" s="45" t="n">
        <x:v>0</x:v>
      </x:c>
      <x:c r="W64" s="45" t="n">
        <x:v>0</x:v>
      </x:c>
    </x:row>
    <x:row r="65">
      <x:c r="A65" s="58" t="n">
        <x:v>1905</x:v>
      </x:c>
      <x:c r="B65" s="45" t="n">
        <x:v>0</x:v>
      </x:c>
      <x:c r="C65" s="45" t="n">
        <x:v>0</x:v>
      </x:c>
      <x:c r="D65" s="45" t="n">
        <x:v>0</x:v>
      </x:c>
      <x:c r="E65" s="45" t="n">
        <x:v>0</x:v>
      </x:c>
      <x:c r="F65" s="45" t="n">
        <x:v>3</x:v>
      </x:c>
      <x:c r="G65" s="45" t="n">
        <x:v>1</x:v>
      </x:c>
      <x:c r="H65" s="45" t="n">
        <x:v>1</x:v>
      </x:c>
      <x:c r="I65" s="45" t="n">
        <x:v>0</x:v>
      </x:c>
      <x:c r="J65" s="45" t="n">
        <x:v>0</x:v>
      </x:c>
      <x:c r="K65" s="68" t="n">
        <x:v>1.3</x:v>
      </x:c>
      <x:c r="L65" s="68" t="n">
        <x:v>1</x:v>
      </x:c>
      <x:c r="M65" s="68" t="n">
        <x:v>0.08</x:v>
      </x:c>
      <x:c r="N65" s="68" t="n">
        <x:v>2.092</x:v>
      </x:c>
      <x:c r="O65" s="68" t="n">
        <x:v>0.45</x:v>
      </x:c>
      <x:c r="P65" s="68" t="n">
        <x:v>3.5</x:v>
      </x:c>
      <x:c r="Q65" s="68" t="n">
        <x:v>7.5</x:v>
      </x:c>
      <x:c r="R65" s="68" t="n">
        <x:v>0.309</x:v>
      </x:c>
      <x:c r="S65" s="68" t="n">
        <x:v>0</x:v>
      </x:c>
      <x:c r="T65" s="45" t="n">
        <x:v>0</x:v>
      </x:c>
      <x:c r="U65" s="45" t="n">
        <x:v>0</x:v>
      </x:c>
      <x:c r="V65" s="45" t="n">
        <x:v>0</x:v>
      </x:c>
      <x:c r="W65" s="45" t="n">
        <x:v>0</x:v>
      </x:c>
    </x:row>
    <x:row r="66">
      <x:c r="A66" s="58" t="n">
        <x:v>1906</x:v>
      </x:c>
      <x:c r="B66" s="45" t="n">
        <x:v>0</x:v>
      </x:c>
      <x:c r="C66" s="45" t="n">
        <x:v>0</x:v>
      </x:c>
      <x:c r="D66" s="45" t="n">
        <x:v>0</x:v>
      </x:c>
      <x:c r="E66" s="45" t="n">
        <x:v>0</x:v>
      </x:c>
      <x:c r="F66" s="45" t="n">
        <x:v>4</x:v>
      </x:c>
      <x:c r="G66" s="45" t="n">
        <x:v>0</x:v>
      </x:c>
      <x:c r="H66" s="45" t="n">
        <x:v>1</x:v>
      </x:c>
      <x:c r="I66" s="45" t="n">
        <x:v>3</x:v>
      </x:c>
      <x:c r="J66" s="45" t="n">
        <x:v>0</x:v>
      </x:c>
      <x:c r="K66" s="68" t="n">
        <x:v>1.3</x:v>
      </x:c>
      <x:c r="L66" s="68" t="n">
        <x:v>1</x:v>
      </x:c>
      <x:c r="M66" s="68" t="n">
        <x:v>0.08</x:v>
      </x:c>
      <x:c r="N66" s="68" t="n">
        <x:v>2.131</x:v>
      </x:c>
      <x:c r="O66" s="68" t="n">
        <x:v>0.49</x:v>
      </x:c>
      <x:c r="P66" s="68" t="n">
        <x:v>3.688</x:v>
      </x:c>
      <x:c r="Q66" s="68" t="n">
        <x:v>8</x:v>
      </x:c>
      <x:c r="R66" s="68" t="n">
        <x:v>0.327</x:v>
      </x:c>
      <x:c r="S66" s="68" t="n">
        <x:v>0</x:v>
      </x:c>
      <x:c r="T66" s="45" t="n">
        <x:v>0</x:v>
      </x:c>
      <x:c r="U66" s="45" t="n">
        <x:v>1</x:v>
      </x:c>
      <x:c r="V66" s="45" t="n">
        <x:v>0</x:v>
      </x:c>
      <x:c r="W66" s="45" t="n">
        <x:v>0</x:v>
      </x:c>
    </x:row>
    <x:row r="67">
      <x:c r="A67" s="58" t="n">
        <x:v>1907</x:v>
      </x:c>
      <x:c r="B67" s="45" t="n">
        <x:v>0</x:v>
      </x:c>
      <x:c r="C67" s="45" t="n">
        <x:v>0</x:v>
      </x:c>
      <x:c r="D67" s="45" t="n">
        <x:v>0</x:v>
      </x:c>
      <x:c r="E67" s="45" t="n">
        <x:v>0</x:v>
      </x:c>
      <x:c r="F67" s="45" t="n">
        <x:v>4</x:v>
      </x:c>
      <x:c r="G67" s="45" t="n">
        <x:v>2</x:v>
      </x:c>
      <x:c r="H67" s="45" t="n">
        <x:v>1</x:v>
      </x:c>
      <x:c r="I67" s="45" t="n">
        <x:v>0</x:v>
      </x:c>
      <x:c r="J67" s="45" t="n">
        <x:v>0</x:v>
      </x:c>
      <x:c r="K67" s="68" t="n">
        <x:v>1.3</x:v>
      </x:c>
      <x:c r="L67" s="68" t="n">
        <x:v>1</x:v>
      </x:c>
      <x:c r="M67" s="68" t="n">
        <x:v>0.08</x:v>
      </x:c>
      <x:c r="N67" s="68" t="n">
        <x:v>2.169</x:v>
      </x:c>
      <x:c r="O67" s="68" t="n">
        <x:v>0.53</x:v>
      </x:c>
      <x:c r="P67" s="68" t="n">
        <x:v>3.875</x:v>
      </x:c>
      <x:c r="Q67" s="68" t="n">
        <x:v>8.75</x:v>
      </x:c>
      <x:c r="R67" s="68" t="n">
        <x:v>0.345</x:v>
      </x:c>
      <x:c r="S67" s="68" t="n">
        <x:v>0</x:v>
      </x:c>
      <x:c r="T67" s="45" t="n">
        <x:v>0</x:v>
      </x:c>
      <x:c r="U67" s="45" t="n">
        <x:v>3</x:v>
      </x:c>
      <x:c r="V67" s="45" t="n">
        <x:v>0</x:v>
      </x:c>
      <x:c r="W67" s="45" t="n">
        <x:v>0</x:v>
      </x:c>
    </x:row>
    <x:row r="68">
      <x:c r="A68" s="58" t="n">
        <x:v>1908</x:v>
      </x:c>
      <x:c r="B68" s="45" t="n">
        <x:v>0</x:v>
      </x:c>
      <x:c r="C68" s="45" t="n">
        <x:v>0</x:v>
      </x:c>
      <x:c r="D68" s="45" t="n">
        <x:v>0</x:v>
      </x:c>
      <x:c r="E68" s="45" t="n">
        <x:v>0</x:v>
      </x:c>
      <x:c r="F68" s="45" t="n">
        <x:v>4</x:v>
      </x:c>
      <x:c r="G68" s="45" t="n">
        <x:v>0</x:v>
      </x:c>
      <x:c r="H68" s="45" t="n">
        <x:v>0</x:v>
      </x:c>
      <x:c r="I68" s="45" t="n">
        <x:v>3</x:v>
      </x:c>
      <x:c r="J68" s="45" t="n">
        <x:v>0</x:v>
      </x:c>
      <x:c r="K68" s="68" t="n">
        <x:v>1.3</x:v>
      </x:c>
      <x:c r="L68" s="68" t="n">
        <x:v>1</x:v>
      </x:c>
      <x:c r="M68" s="68" t="n">
        <x:v>0.08</x:v>
      </x:c>
      <x:c r="N68" s="68" t="n">
        <x:v>2.208</x:v>
      </x:c>
      <x:c r="O68" s="68" t="n">
        <x:v>0.57</x:v>
      </x:c>
      <x:c r="P68" s="68" t="n">
        <x:v>4.062</x:v>
      </x:c>
      <x:c r="Q68" s="68" t="n">
        <x:v>9.5</x:v>
      </x:c>
      <x:c r="R68" s="68" t="n">
        <x:v>0.364</x:v>
      </x:c>
      <x:c r="S68" s="68" t="n">
        <x:v>0</x:v>
      </x:c>
      <x:c r="T68" s="45" t="n">
        <x:v>0</x:v>
      </x:c>
      <x:c r="U68" s="45" t="n">
        <x:v>5</x:v>
      </x:c>
      <x:c r="V68" s="45" t="n">
        <x:v>0</x:v>
      </x:c>
      <x:c r="W68" s="45" t="n">
        <x:v>0</x:v>
      </x:c>
    </x:row>
    <x:row r="69">
      <x:c r="A69" s="58" t="n">
        <x:v>1909</x:v>
      </x:c>
      <x:c r="B69" s="45" t="n">
        <x:v>0</x:v>
      </x:c>
      <x:c r="C69" s="45" t="n">
        <x:v>0</x:v>
      </x:c>
      <x:c r="D69" s="45" t="n">
        <x:v>0</x:v>
      </x:c>
      <x:c r="E69" s="45" t="n">
        <x:v>0</x:v>
      </x:c>
      <x:c r="F69" s="45" t="n">
        <x:v>4</x:v>
      </x:c>
      <x:c r="G69" s="45" t="n">
        <x:v>2</x:v>
      </x:c>
      <x:c r="H69" s="45" t="n">
        <x:v>1</x:v>
      </x:c>
      <x:c r="I69" s="45" t="n">
        <x:v>0</x:v>
      </x:c>
      <x:c r="J69" s="45" t="n">
        <x:v>0</x:v>
      </x:c>
      <x:c r="K69" s="68" t="n">
        <x:v>1.3</x:v>
      </x:c>
      <x:c r="L69" s="68" t="n">
        <x:v>1</x:v>
      </x:c>
      <x:c r="M69" s="68" t="n">
        <x:v>0.08</x:v>
      </x:c>
      <x:c r="N69" s="68" t="n">
        <x:v>2.246</x:v>
      </x:c>
      <x:c r="O69" s="68" t="n">
        <x:v>0.61</x:v>
      </x:c>
      <x:c r="P69" s="68" t="n">
        <x:v>4.25</x:v>
      </x:c>
      <x:c r="Q69" s="68" t="n">
        <x:v>10.25</x:v>
      </x:c>
      <x:c r="R69" s="68" t="n">
        <x:v>0.382</x:v>
      </x:c>
      <x:c r="S69" s="68" t="n">
        <x:v>0</x:v>
      </x:c>
      <x:c r="T69" s="45" t="n">
        <x:v>0</x:v>
      </x:c>
      <x:c r="U69" s="45" t="n">
        <x:v>8</x:v>
      </x:c>
      <x:c r="V69" s="45" t="n">
        <x:v>0</x:v>
      </x:c>
      <x:c r="W69" s="45" t="n">
        <x:v>4</x:v>
      </x:c>
    </x:row>
    <x:row r="70">
      <x:c r="A70" s="58" t="n">
        <x:v>1910</x:v>
      </x:c>
      <x:c r="B70" s="45" t="n">
        <x:v>0</x:v>
      </x:c>
      <x:c r="C70" s="45" t="n">
        <x:v>0</x:v>
      </x:c>
      <x:c r="D70" s="45" t="n">
        <x:v>0</x:v>
      </x:c>
      <x:c r="E70" s="45" t="n">
        <x:v>0</x:v>
      </x:c>
      <x:c r="F70" s="45" t="n">
        <x:v>4</x:v>
      </x:c>
      <x:c r="G70" s="45" t="n">
        <x:v>0</x:v>
      </x:c>
      <x:c r="H70" s="45" t="n">
        <x:v>1</x:v>
      </x:c>
      <x:c r="I70" s="45" t="n">
        <x:v>4</x:v>
      </x:c>
      <x:c r="J70" s="45" t="n">
        <x:v>0</x:v>
      </x:c>
      <x:c r="K70" s="68" t="n">
        <x:v>1.3</x:v>
      </x:c>
      <x:c r="L70" s="68" t="n">
        <x:v>1</x:v>
      </x:c>
      <x:c r="M70" s="68" t="n">
        <x:v>0.08</x:v>
      </x:c>
      <x:c r="N70" s="68" t="n">
        <x:v>2.285</x:v>
      </x:c>
      <x:c r="O70" s="68" t="n">
        <x:v>0.65</x:v>
      </x:c>
      <x:c r="P70" s="68" t="n">
        <x:v>4.438</x:v>
      </x:c>
      <x:c r="Q70" s="68" t="n">
        <x:v>11</x:v>
      </x:c>
      <x:c r="R70" s="68" t="n">
        <x:v>0.4</x:v>
      </x:c>
      <x:c r="S70" s="68" t="n">
        <x:v>0</x:v>
      </x:c>
      <x:c r="T70" s="45" t="n">
        <x:v>2</x:v>
      </x:c>
      <x:c r="U70" s="45" t="n">
        <x:v>10</x:v>
      </x:c>
      <x:c r="V70" s="45" t="n">
        <x:v>4</x:v>
      </x:c>
      <x:c r="W70" s="45" t="n">
        <x:v>8</x:v>
      </x:c>
    </x:row>
    <x:row r="71">
      <x:c r="A71" s="58" t="n">
        <x:v>1911</x:v>
      </x:c>
      <x:c r="B71" s="45" t="n">
        <x:v>0</x:v>
      </x:c>
      <x:c r="C71" s="45" t="n">
        <x:v>0</x:v>
      </x:c>
      <x:c r="D71" s="45" t="n">
        <x:v>0</x:v>
      </x:c>
      <x:c r="E71" s="45" t="n">
        <x:v>0</x:v>
      </x:c>
      <x:c r="F71" s="45" t="n">
        <x:v>4</x:v>
      </x:c>
      <x:c r="G71" s="45" t="n">
        <x:v>2</x:v>
      </x:c>
      <x:c r="H71" s="45" t="n">
        <x:v>1</x:v>
      </x:c>
      <x:c r="I71" s="45" t="n">
        <x:v>0</x:v>
      </x:c>
      <x:c r="J71" s="45" t="n">
        <x:v>0</x:v>
      </x:c>
      <x:c r="K71" s="68" t="n">
        <x:v>1.3</x:v>
      </x:c>
      <x:c r="L71" s="68" t="n">
        <x:v>1</x:v>
      </x:c>
      <x:c r="M71" s="68" t="n">
        <x:v>0.08</x:v>
      </x:c>
      <x:c r="N71" s="68" t="n">
        <x:v>2.323</x:v>
      </x:c>
      <x:c r="O71" s="68" t="n">
        <x:v>0.717</x:v>
      </x:c>
      <x:c r="P71" s="68" t="n">
        <x:v>4.625</x:v>
      </x:c>
      <x:c r="Q71" s="68" t="n">
        <x:v>12</x:v>
      </x:c>
      <x:c r="R71" s="68" t="n">
        <x:v>0.514</x:v>
      </x:c>
      <x:c r="S71" s="68" t="n">
        <x:v>0</x:v>
      </x:c>
      <x:c r="T71" s="45" t="n">
        <x:v>2</x:v>
      </x:c>
      <x:c r="U71" s="45" t="n">
        <x:v>14</x:v>
      </x:c>
      <x:c r="V71" s="45" t="n">
        <x:v>4</x:v>
      </x:c>
      <x:c r="W71" s="45" t="n">
        <x:v>8</x:v>
      </x:c>
    </x:row>
    <x:row r="72">
      <x:c r="A72" s="58" t="n">
        <x:v>1912</x:v>
      </x:c>
      <x:c r="B72" s="45" t="n">
        <x:v>0</x:v>
      </x:c>
      <x:c r="C72" s="45" t="n">
        <x:v>0</x:v>
      </x:c>
      <x:c r="D72" s="45" t="n">
        <x:v>0</x:v>
      </x:c>
      <x:c r="E72" s="45" t="n">
        <x:v>0</x:v>
      </x:c>
      <x:c r="F72" s="45" t="n">
        <x:v>4</x:v>
      </x:c>
      <x:c r="G72" s="45" t="n">
        <x:v>0</x:v>
      </x:c>
      <x:c r="H72" s="45" t="n">
        <x:v>1</x:v>
      </x:c>
      <x:c r="I72" s="45" t="n">
        <x:v>4</x:v>
      </x:c>
      <x:c r="J72" s="45" t="n">
        <x:v>0</x:v>
      </x:c>
      <x:c r="K72" s="68" t="n">
        <x:v>1.3</x:v>
      </x:c>
      <x:c r="L72" s="68" t="n">
        <x:v>1</x:v>
      </x:c>
      <x:c r="M72" s="68" t="n">
        <x:v>0.08</x:v>
      </x:c>
      <x:c r="N72" s="68" t="n">
        <x:v>2.362</x:v>
      </x:c>
      <x:c r="O72" s="68" t="n">
        <x:v>0.783</x:v>
      </x:c>
      <x:c r="P72" s="68" t="n">
        <x:v>4.812</x:v>
      </x:c>
      <x:c r="Q72" s="68" t="n">
        <x:v>13</x:v>
      </x:c>
      <x:c r="R72" s="68" t="n">
        <x:v>0.629</x:v>
      </x:c>
      <x:c r="S72" s="68" t="n">
        <x:v>0</x:v>
      </x:c>
      <x:c r="T72" s="45" t="n">
        <x:v>3</x:v>
      </x:c>
      <x:c r="U72" s="45" t="n">
        <x:v>18</x:v>
      </x:c>
      <x:c r="V72" s="45" t="n">
        <x:v>6</x:v>
      </x:c>
      <x:c r="W72" s="45" t="n">
        <x:v>12</x:v>
      </x:c>
    </x:row>
    <x:row r="73">
      <x:c r="A73" s="58" t="n">
        <x:v>1913</x:v>
      </x:c>
      <x:c r="B73" s="45" t="n">
        <x:v>0</x:v>
      </x:c>
      <x:c r="C73" s="45" t="n">
        <x:v>0</x:v>
      </x:c>
      <x:c r="D73" s="45" t="n">
        <x:v>0</x:v>
      </x:c>
      <x:c r="E73" s="45" t="n">
        <x:v>0</x:v>
      </x:c>
      <x:c r="F73" s="45" t="n">
        <x:v>4</x:v>
      </x:c>
      <x:c r="G73" s="45" t="n">
        <x:v>2</x:v>
      </x:c>
      <x:c r="H73" s="45" t="n">
        <x:v>1</x:v>
      </x:c>
      <x:c r="I73" s="45" t="n">
        <x:v>0</x:v>
      </x:c>
      <x:c r="J73" s="45" t="n">
        <x:v>0</x:v>
      </x:c>
      <x:c r="K73" s="68" t="n">
        <x:v>1.3</x:v>
      </x:c>
      <x:c r="L73" s="68" t="n">
        <x:v>1</x:v>
      </x:c>
      <x:c r="M73" s="68" t="n">
        <x:v>0.08</x:v>
      </x:c>
      <x:c r="N73" s="68" t="n">
        <x:v>2.4</x:v>
      </x:c>
      <x:c r="O73" s="68" t="n">
        <x:v>0.85</x:v>
      </x:c>
      <x:c r="P73" s="68" t="n">
        <x:v>5</x:v>
      </x:c>
      <x:c r="Q73" s="68" t="n">
        <x:v>14</x:v>
      </x:c>
      <x:c r="R73" s="68" t="n">
        <x:v>0.743</x:v>
      </x:c>
      <x:c r="S73" s="68" t="n">
        <x:v>0</x:v>
      </x:c>
      <x:c r="T73" s="45" t="n">
        <x:v>4</x:v>
      </x:c>
      <x:c r="U73" s="45" t="n">
        <x:v>22</x:v>
      </x:c>
      <x:c r="V73" s="45" t="n">
        <x:v>6</x:v>
      </x:c>
      <x:c r="W73" s="45" t="n">
        <x:v>12</x:v>
      </x:c>
    </x:row>
    <x:row r="74">
      <x:c r="A74" s="58" t="n">
        <x:v>1914</x:v>
      </x:c>
      <x:c r="B74" s="45" t="n">
        <x:v>0</x:v>
      </x:c>
      <x:c r="C74" s="45" t="n">
        <x:v>0</x:v>
      </x:c>
      <x:c r="D74" s="45" t="n">
        <x:v>0</x:v>
      </x:c>
      <x:c r="E74" s="45" t="n">
        <x:v>0</x:v>
      </x:c>
      <x:c r="F74" s="45" t="n">
        <x:v>6</x:v>
      </x:c>
      <x:c r="G74" s="45" t="n">
        <x:v>0</x:v>
      </x:c>
      <x:c r="H74" s="45" t="n">
        <x:v>1</x:v>
      </x:c>
      <x:c r="I74" s="45" t="n">
        <x:v>6</x:v>
      </x:c>
      <x:c r="J74" s="45" t="n">
        <x:v>0</x:v>
      </x:c>
      <x:c r="K74" s="68" t="n">
        <x:v>1.3</x:v>
      </x:c>
      <x:c r="L74" s="68" t="n">
        <x:v>1</x:v>
      </x:c>
      <x:c r="M74" s="68" t="n">
        <x:v>0.08</x:v>
      </x:c>
      <x:c r="N74" s="68" t="n">
        <x:v>2.7</x:v>
      </x:c>
      <x:c r="O74" s="68" t="n">
        <x:v>1.038</x:v>
      </x:c>
      <x:c r="P74" s="68" t="n">
        <x:v>5.8</x:v>
      </x:c>
      <x:c r="Q74" s="68" t="n">
        <x:v>15.5</x:v>
      </x:c>
      <x:c r="R74" s="68" t="n">
        <x:v>0.857</x:v>
      </x:c>
      <x:c r="S74" s="68" t="n">
        <x:v>0</x:v>
      </x:c>
      <x:c r="T74" s="45" t="n">
        <x:v>4</x:v>
      </x:c>
      <x:c r="U74" s="45" t="n">
        <x:v>29</x:v>
      </x:c>
      <x:c r="V74" s="45" t="n">
        <x:v>8</x:v>
      </x:c>
      <x:c r="W74" s="45" t="n">
        <x:v>17</x:v>
      </x:c>
    </x:row>
    <x:row r="75">
      <x:c r="A75" s="58" t="n">
        <x:v>1915</x:v>
      </x:c>
      <x:c r="B75" s="45" t="n">
        <x:v>0</x:v>
      </x:c>
      <x:c r="C75" s="45" t="n">
        <x:v>0</x:v>
      </x:c>
      <x:c r="D75" s="45" t="n">
        <x:v>0</x:v>
      </x:c>
      <x:c r="E75" s="45" t="n">
        <x:v>0</x:v>
      </x:c>
      <x:c r="F75" s="45" t="n">
        <x:v>10</x:v>
      </x:c>
      <x:c r="G75" s="45" t="n">
        <x:v>2</x:v>
      </x:c>
      <x:c r="H75" s="45" t="n">
        <x:v>1</x:v>
      </x:c>
      <x:c r="I75" s="45" t="n">
        <x:v>8</x:v>
      </x:c>
      <x:c r="J75" s="45" t="n">
        <x:v>0</x:v>
      </x:c>
      <x:c r="K75" s="68" t="n">
        <x:v>1.3</x:v>
      </x:c>
      <x:c r="L75" s="68" t="n">
        <x:v>1</x:v>
      </x:c>
      <x:c r="M75" s="68" t="n">
        <x:v>0.08</x:v>
      </x:c>
      <x:c r="N75" s="68" t="n">
        <x:v>3</x:v>
      </x:c>
      <x:c r="O75" s="68" t="n">
        <x:v>1.225</x:v>
      </x:c>
      <x:c r="P75" s="68" t="n">
        <x:v>6.6</x:v>
      </x:c>
      <x:c r="Q75" s="68" t="n">
        <x:v>17</x:v>
      </x:c>
      <x:c r="R75" s="68" t="n">
        <x:v>0.971</x:v>
      </x:c>
      <x:c r="S75" s="68" t="n">
        <x:v>0</x:v>
      </x:c>
      <x:c r="T75" s="45" t="n">
        <x:v>6</x:v>
      </x:c>
      <x:c r="U75" s="45" t="n">
        <x:v>33</x:v>
      </x:c>
      <x:c r="V75" s="45" t="n">
        <x:v>8</x:v>
      </x:c>
      <x:c r="W75" s="45" t="n">
        <x:v>17</x:v>
      </x:c>
    </x:row>
    <x:row r="76">
      <x:c r="A76" s="58" t="n">
        <x:v>1916</x:v>
      </x:c>
      <x:c r="B76" s="45" t="n">
        <x:v>0</x:v>
      </x:c>
      <x:c r="C76" s="45" t="n">
        <x:v>0</x:v>
      </x:c>
      <x:c r="D76" s="45" t="n">
        <x:v>0</x:v>
      </x:c>
      <x:c r="E76" s="45" t="n">
        <x:v>0</x:v>
      </x:c>
      <x:c r="F76" s="45" t="n">
        <x:v>10</x:v>
      </x:c>
      <x:c r="G76" s="45" t="n">
        <x:v>3</x:v>
      </x:c>
      <x:c r="H76" s="45" t="n">
        <x:v>1</x:v>
      </x:c>
      <x:c r="I76" s="45" t="n">
        <x:v>8</x:v>
      </x:c>
      <x:c r="J76" s="45" t="n">
        <x:v>0</x:v>
      </x:c>
      <x:c r="K76" s="68" t="n">
        <x:v>1.3</x:v>
      </x:c>
      <x:c r="L76" s="68" t="n">
        <x:v>1</x:v>
      </x:c>
      <x:c r="M76" s="68" t="n">
        <x:v>0.08</x:v>
      </x:c>
      <x:c r="N76" s="68" t="n">
        <x:v>3.3</x:v>
      </x:c>
      <x:c r="O76" s="68" t="n">
        <x:v>1.413</x:v>
      </x:c>
      <x:c r="P76" s="68" t="n">
        <x:v>7.4</x:v>
      </x:c>
      <x:c r="Q76" s="68" t="n">
        <x:v>18.5</x:v>
      </x:c>
      <x:c r="R76" s="68" t="n">
        <x:v>1.086</x:v>
      </x:c>
      <x:c r="S76" s="68" t="n">
        <x:v>0</x:v>
      </x:c>
      <x:c r="T76" s="45" t="n">
        <x:v>6</x:v>
      </x:c>
      <x:c r="U76" s="45" t="n">
        <x:v>37</x:v>
      </x:c>
      <x:c r="V76" s="45" t="n">
        <x:v>10</x:v>
      </x:c>
      <x:c r="W76" s="45" t="n">
        <x:v>21</x:v>
      </x:c>
    </x:row>
    <x:row r="77">
      <x:c r="A77" s="58" t="n">
        <x:v>1917</x:v>
      </x:c>
      <x:c r="B77" s="45" t="n">
        <x:v>0</x:v>
      </x:c>
      <x:c r="C77" s="45" t="n">
        <x:v>0</x:v>
      </x:c>
      <x:c r="D77" s="45" t="n">
        <x:v>0</x:v>
      </x:c>
      <x:c r="E77" s="45" t="n">
        <x:v>0</x:v>
      </x:c>
      <x:c r="F77" s="45" t="n">
        <x:v>10</x:v>
      </x:c>
      <x:c r="G77" s="45" t="n">
        <x:v>3</x:v>
      </x:c>
      <x:c r="H77" s="45" t="n">
        <x:v>1</x:v>
      </x:c>
      <x:c r="I77" s="45" t="n">
        <x:v>8</x:v>
      </x:c>
      <x:c r="J77" s="45" t="n">
        <x:v>0</x:v>
      </x:c>
      <x:c r="K77" s="68" t="n">
        <x:v>1.3</x:v>
      </x:c>
      <x:c r="L77" s="68" t="n">
        <x:v>1</x:v>
      </x:c>
      <x:c r="M77" s="68" t="n">
        <x:v>0.08</x:v>
      </x:c>
      <x:c r="N77" s="68" t="n">
        <x:v>3.6</x:v>
      </x:c>
      <x:c r="O77" s="68" t="n">
        <x:v>1.6</x:v>
      </x:c>
      <x:c r="P77" s="68" t="n">
        <x:v>8.199999999999999</x:v>
      </x:c>
      <x:c r="Q77" s="68" t="n">
        <x:v>20</x:v>
      </x:c>
      <x:c r="R77" s="68" t="n">
        <x:v>1.2</x:v>
      </x:c>
      <x:c r="S77" s="68" t="n">
        <x:v>0</x:v>
      </x:c>
      <x:c r="T77" s="45" t="n">
        <x:v>8</x:v>
      </x:c>
      <x:c r="U77" s="45" t="n">
        <x:v>40</x:v>
      </x:c>
      <x:c r="V77" s="45" t="n">
        <x:v>10</x:v>
      </x:c>
      <x:c r="W77" s="45" t="n">
        <x:v>21</x:v>
      </x:c>
    </x:row>
    <x:row r="78">
      <x:c r="A78" s="58" t="n">
        <x:v>1918</x:v>
      </x:c>
      <x:c r="B78" s="45" t="n">
        <x:v>0</x:v>
      </x:c>
      <x:c r="C78" s="45" t="n">
        <x:v>0</x:v>
      </x:c>
      <x:c r="D78" s="45" t="n">
        <x:v>0</x:v>
      </x:c>
      <x:c r="E78" s="45" t="n">
        <x:v>0</x:v>
      </x:c>
      <x:c r="F78" s="45" t="n">
        <x:v>8</x:v>
      </x:c>
      <x:c r="G78" s="45" t="n">
        <x:v>2</x:v>
      </x:c>
      <x:c r="H78" s="45" t="n">
        <x:v>1</x:v>
      </x:c>
      <x:c r="I78" s="45" t="n">
        <x:v>6</x:v>
      </x:c>
      <x:c r="J78" s="45" t="n">
        <x:v>0</x:v>
      </x:c>
      <x:c r="K78" s="68" t="n">
        <x:v>1.3</x:v>
      </x:c>
      <x:c r="L78" s="68" t="n">
        <x:v>1</x:v>
      </x:c>
      <x:c r="M78" s="68" t="n">
        <x:v>0.08</x:v>
      </x:c>
      <x:c r="N78" s="68" t="n">
        <x:v>3.9</x:v>
      </x:c>
      <x:c r="O78" s="68" t="n">
        <x:v>1.733</x:v>
      </x:c>
      <x:c r="P78" s="68" t="n">
        <x:v>9</x:v>
      </x:c>
      <x:c r="Q78" s="68" t="n">
        <x:v>23.333</x:v>
      </x:c>
      <x:c r="R78" s="68" t="n">
        <x:v>1.238</x:v>
      </x:c>
      <x:c r="S78" s="68" t="n">
        <x:v>0</x:v>
      </x:c>
      <x:c r="T78" s="45" t="n">
        <x:v>8</x:v>
      </x:c>
      <x:c r="U78" s="45" t="n">
        <x:v>42</x:v>
      </x:c>
      <x:c r="V78" s="45" t="n">
        <x:v>12</x:v>
      </x:c>
      <x:c r="W78" s="45" t="n">
        <x:v>24</x:v>
      </x:c>
    </x:row>
    <x:row r="79">
      <x:c r="A79" s="58" t="n">
        <x:v>1919</x:v>
      </x:c>
      <x:c r="B79" s="45" t="n">
        <x:v>0</x:v>
      </x:c>
      <x:c r="C79" s="45" t="n">
        <x:v>0</x:v>
      </x:c>
      <x:c r="D79" s="45" t="n">
        <x:v>0</x:v>
      </x:c>
      <x:c r="E79" s="45" t="n">
        <x:v>0</x:v>
      </x:c>
      <x:c r="F79" s="45" t="n">
        <x:v>2</x:v>
      </x:c>
      <x:c r="G79" s="45" t="n">
        <x:v>0</x:v>
      </x:c>
      <x:c r="H79" s="45" t="n">
        <x:v>0</x:v>
      </x:c>
      <x:c r="I79" s="45" t="n">
        <x:v>0</x:v>
      </x:c>
      <x:c r="J79" s="45" t="n">
        <x:v>0</x:v>
      </x:c>
      <x:c r="K79" s="68" t="n">
        <x:v>1.3</x:v>
      </x:c>
      <x:c r="L79" s="68" t="n">
        <x:v>1</x:v>
      </x:c>
      <x:c r="M79" s="68" t="n">
        <x:v>0.08</x:v>
      </x:c>
      <x:c r="N79" s="68" t="n">
        <x:v>4.2</x:v>
      </x:c>
      <x:c r="O79" s="68" t="n">
        <x:v>1.867</x:v>
      </x:c>
      <x:c r="P79" s="68" t="n">
        <x:v>9.143000000000001</x:v>
      </x:c>
      <x:c r="Q79" s="68" t="n">
        <x:v>26.667</x:v>
      </x:c>
      <x:c r="R79" s="68" t="n">
        <x:v>1.275</x:v>
      </x:c>
      <x:c r="S79" s="68" t="n">
        <x:v>0</x:v>
      </x:c>
      <x:c r="T79" s="45" t="n">
        <x:v>10</x:v>
      </x:c>
      <x:c r="U79" s="45" t="n">
        <x:v>42</x:v>
      </x:c>
      <x:c r="V79" s="45" t="n">
        <x:v>12</x:v>
      </x:c>
      <x:c r="W79" s="45" t="n">
        <x:v>24</x:v>
      </x:c>
    </x:row>
    <x:row r="80">
      <x:c r="A80" s="58" t="n">
        <x:v>1920</x:v>
      </x:c>
      <x:c r="B80" s="45" t="n">
        <x:v>0</x:v>
      </x:c>
      <x:c r="C80" s="45" t="n">
        <x:v>0</x:v>
      </x:c>
      <x:c r="D80" s="45" t="n">
        <x:v>0</x:v>
      </x:c>
      <x:c r="E80" s="45" t="n">
        <x:v>0</x:v>
      </x:c>
      <x:c r="F80" s="45" t="n">
        <x:v>3</x:v>
      </x:c>
      <x:c r="G80" s="45" t="n">
        <x:v>0</x:v>
      </x:c>
      <x:c r="H80" s="45" t="n">
        <x:v>0</x:v>
      </x:c>
      <x:c r="I80" s="45" t="n">
        <x:v>2</x:v>
      </x:c>
      <x:c r="J80" s="45" t="n">
        <x:v>0</x:v>
      </x:c>
      <x:c r="K80" s="68" t="n">
        <x:v>1.3</x:v>
      </x:c>
      <x:c r="L80" s="68" t="n">
        <x:v>1</x:v>
      </x:c>
      <x:c r="M80" s="68" t="n">
        <x:v>0.08</x:v>
      </x:c>
      <x:c r="N80" s="68" t="n">
        <x:v>4.5</x:v>
      </x:c>
      <x:c r="O80" s="68" t="n">
        <x:v>2</x:v>
      </x:c>
      <x:c r="P80" s="68" t="n">
        <x:v>9.286</x:v>
      </x:c>
      <x:c r="Q80" s="68" t="n">
        <x:v>30</x:v>
      </x:c>
      <x:c r="R80" s="68" t="n">
        <x:v>1.312</x:v>
      </x:c>
      <x:c r="S80" s="68" t="n">
        <x:v>0</x:v>
      </x:c>
      <x:c r="T80" s="45" t="n">
        <x:v>10</x:v>
      </x:c>
      <x:c r="U80" s="45" t="n">
        <x:v>36</x:v>
      </x:c>
      <x:c r="V80" s="45" t="n">
        <x:v>15</x:v>
      </x:c>
      <x:c r="W80" s="45" t="n">
        <x:v>21</x:v>
      </x:c>
    </x:row>
    <x:row r="81">
      <x:c r="A81" s="58" t="n">
        <x:v>1921</x:v>
      </x:c>
      <x:c r="B81" s="45" t="n">
        <x:v>0</x:v>
      </x:c>
      <x:c r="C81" s="45" t="n">
        <x:v>0</x:v>
      </x:c>
      <x:c r="D81" s="45" t="n">
        <x:v>0</x:v>
      </x:c>
      <x:c r="E81" s="45" t="n">
        <x:v>0</x:v>
      </x:c>
      <x:c r="F81" s="45" t="n">
        <x:v>3</x:v>
      </x:c>
      <x:c r="G81" s="45" t="n">
        <x:v>1</x:v>
      </x:c>
      <x:c r="H81" s="45" t="n">
        <x:v>0</x:v>
      </x:c>
      <x:c r="I81" s="45" t="n">
        <x:v>0</x:v>
      </x:c>
      <x:c r="J81" s="45" t="n">
        <x:v>0</x:v>
      </x:c>
      <x:c r="K81" s="68" t="n">
        <x:v>1.3</x:v>
      </x:c>
      <x:c r="L81" s="68" t="n">
        <x:v>1</x:v>
      </x:c>
      <x:c r="M81" s="68" t="n">
        <x:v>0.08</x:v>
      </x:c>
      <x:c r="N81" s="68" t="n">
        <x:v>4.417</x:v>
      </x:c>
      <x:c r="O81" s="68" t="n">
        <x:v>1.96</x:v>
      </x:c>
      <x:c r="P81" s="68" t="n">
        <x:v>9.429</x:v>
      </x:c>
      <x:c r="Q81" s="68" t="n">
        <x:v>29.6</x:v>
      </x:c>
      <x:c r="R81" s="68" t="n">
        <x:v>1.35</x:v>
      </x:c>
      <x:c r="S81" s="68" t="n">
        <x:v>15</x:v>
      </x:c>
      <x:c r="T81" s="45" t="n">
        <x:v>10</x:v>
      </x:c>
      <x:c r="U81" s="45" t="n">
        <x:v>30</x:v>
      </x:c>
      <x:c r="V81" s="45" t="n">
        <x:v>15</x:v>
      </x:c>
      <x:c r="W81" s="45" t="n">
        <x:v>18</x:v>
      </x:c>
    </x:row>
    <x:row r="82">
      <x:c r="A82" s="58" t="n">
        <x:v>1922</x:v>
      </x:c>
      <x:c r="B82" s="45" t="n">
        <x:v>0</x:v>
      </x:c>
      <x:c r="C82" s="45" t="n">
        <x:v>0</x:v>
      </x:c>
      <x:c r="D82" s="45" t="n">
        <x:v>0</x:v>
      </x:c>
      <x:c r="E82" s="45" t="n">
        <x:v>0</x:v>
      </x:c>
      <x:c r="F82" s="45" t="n">
        <x:v>3</x:v>
      </x:c>
      <x:c r="G82" s="45" t="n">
        <x:v>0</x:v>
      </x:c>
      <x:c r="H82" s="45" t="n">
        <x:v>0</x:v>
      </x:c>
      <x:c r="I82" s="45" t="n">
        <x:v>3</x:v>
      </x:c>
      <x:c r="J82" s="45" t="n">
        <x:v>1</x:v>
      </x:c>
      <x:c r="K82" s="68" t="n">
        <x:v>1.3</x:v>
      </x:c>
      <x:c r="L82" s="68" t="n">
        <x:v>1</x:v>
      </x:c>
      <x:c r="M82" s="68" t="n">
        <x:v>0.08</x:v>
      </x:c>
      <x:c r="N82" s="68" t="n">
        <x:v>4.333</x:v>
      </x:c>
      <x:c r="O82" s="68" t="n">
        <x:v>1.92</x:v>
      </x:c>
      <x:c r="P82" s="68" t="n">
        <x:v>9.571</x:v>
      </x:c>
      <x:c r="Q82" s="68" t="n">
        <x:v>29.2</x:v>
      </x:c>
      <x:c r="R82" s="68" t="n">
        <x:v>1.387</x:v>
      </x:c>
      <x:c r="S82" s="68" t="n">
        <x:v>16.75</x:v>
      </x:c>
      <x:c r="T82" s="45" t="n">
        <x:v>10</x:v>
      </x:c>
      <x:c r="U82" s="45" t="n">
        <x:v>24</x:v>
      </x:c>
      <x:c r="V82" s="45" t="n">
        <x:v>16</x:v>
      </x:c>
      <x:c r="W82" s="45" t="n">
        <x:v>16</x:v>
      </x:c>
    </x:row>
    <x:row r="83">
      <x:c r="A83" s="58" t="n">
        <x:v>1923</x:v>
      </x:c>
      <x:c r="B83" s="45" t="n">
        <x:v>0</x:v>
      </x:c>
      <x:c r="C83" s="45" t="n">
        <x:v>0</x:v>
      </x:c>
      <x:c r="D83" s="45" t="n">
        <x:v>0</x:v>
      </x:c>
      <x:c r="E83" s="45" t="n">
        <x:v>0</x:v>
      </x:c>
      <x:c r="F83" s="45" t="n">
        <x:v>3</x:v>
      </x:c>
      <x:c r="G83" s="45" t="n">
        <x:v>1</x:v>
      </x:c>
      <x:c r="H83" s="45" t="n">
        <x:v>0</x:v>
      </x:c>
      <x:c r="I83" s="45" t="n">
        <x:v>3</x:v>
      </x:c>
      <x:c r="J83" s="45" t="n">
        <x:v>0</x:v>
      </x:c>
      <x:c r="K83" s="68" t="n">
        <x:v>1.3</x:v>
      </x:c>
      <x:c r="L83" s="68" t="n">
        <x:v>1</x:v>
      </x:c>
      <x:c r="M83" s="68" t="n">
        <x:v>0.08</x:v>
      </x:c>
      <x:c r="N83" s="68" t="n">
        <x:v>4.25</x:v>
      </x:c>
      <x:c r="O83" s="68" t="n">
        <x:v>1.88</x:v>
      </x:c>
      <x:c r="P83" s="68" t="n">
        <x:v>9.714</x:v>
      </x:c>
      <x:c r="Q83" s="68" t="n">
        <x:v>28.8</x:v>
      </x:c>
      <x:c r="R83" s="68" t="n">
        <x:v>1.425</x:v>
      </x:c>
      <x:c r="S83" s="68" t="n">
        <x:v>18.5</x:v>
      </x:c>
      <x:c r="T83" s="45" t="n">
        <x:v>10</x:v>
      </x:c>
      <x:c r="U83" s="45" t="n">
        <x:v>24</x:v>
      </x:c>
      <x:c r="V83" s="45" t="n">
        <x:v>16</x:v>
      </x:c>
      <x:c r="W83" s="45" t="n">
        <x:v>16</x:v>
      </x:c>
    </x:row>
    <x:row r="84">
      <x:c r="A84" s="58" t="n">
        <x:v>1924</x:v>
      </x:c>
      <x:c r="B84" s="45" t="n">
        <x:v>0</x:v>
      </x:c>
      <x:c r="C84" s="45" t="n">
        <x:v>0</x:v>
      </x:c>
      <x:c r="D84" s="45" t="n">
        <x:v>0</x:v>
      </x:c>
      <x:c r="E84" s="45" t="n">
        <x:v>0</x:v>
      </x:c>
      <x:c r="F84" s="45" t="n">
        <x:v>3</x:v>
      </x:c>
      <x:c r="G84" s="45" t="n">
        <x:v>0</x:v>
      </x:c>
      <x:c r="H84" s="45" t="n">
        <x:v>0</x:v>
      </x:c>
      <x:c r="I84" s="45" t="n">
        <x:v>3</x:v>
      </x:c>
      <x:c r="J84" s="45" t="n">
        <x:v>0</x:v>
      </x:c>
      <x:c r="K84" s="68" t="n">
        <x:v>1.3</x:v>
      </x:c>
      <x:c r="L84" s="68" t="n">
        <x:v>1</x:v>
      </x:c>
      <x:c r="M84" s="68" t="n">
        <x:v>0.08</x:v>
      </x:c>
      <x:c r="N84" s="68" t="n">
        <x:v>4.167</x:v>
      </x:c>
      <x:c r="O84" s="68" t="n">
        <x:v>1.84</x:v>
      </x:c>
      <x:c r="P84" s="68" t="n">
        <x:v>9.856999999999999</x:v>
      </x:c>
      <x:c r="Q84" s="68" t="n">
        <x:v>28.4</x:v>
      </x:c>
      <x:c r="R84" s="68" t="n">
        <x:v>1.462</x:v>
      </x:c>
      <x:c r="S84" s="68" t="n">
        <x:v>20.25</x:v>
      </x:c>
      <x:c r="T84" s="45" t="n">
        <x:v>10</x:v>
      </x:c>
      <x:c r="U84" s="45" t="n">
        <x:v>24</x:v>
      </x:c>
      <x:c r="V84" s="45" t="n">
        <x:v>16</x:v>
      </x:c>
      <x:c r="W84" s="45" t="n">
        <x:v>16</x:v>
      </x:c>
    </x:row>
    <x:row r="85">
      <x:c r="A85" s="58" t="n">
        <x:v>1925</x:v>
      </x:c>
      <x:c r="B85" s="45" t="n">
        <x:v>0</x:v>
      </x:c>
      <x:c r="C85" s="45" t="n">
        <x:v>0</x:v>
      </x:c>
      <x:c r="D85" s="45" t="n">
        <x:v>0</x:v>
      </x:c>
      <x:c r="E85" s="45" t="n">
        <x:v>0</x:v>
      </x:c>
      <x:c r="F85" s="45" t="n">
        <x:v>3</x:v>
      </x:c>
      <x:c r="G85" s="45" t="n">
        <x:v>1</x:v>
      </x:c>
      <x:c r="H85" s="45" t="n">
        <x:v>1</x:v>
      </x:c>
      <x:c r="I85" s="45" t="n">
        <x:v>3</x:v>
      </x:c>
      <x:c r="J85" s="45" t="n">
        <x:v>1</x:v>
      </x:c>
      <x:c r="K85" s="68" t="n">
        <x:v>1.3</x:v>
      </x:c>
      <x:c r="L85" s="68" t="n">
        <x:v>1</x:v>
      </x:c>
      <x:c r="M85" s="68" t="n">
        <x:v>0.08</x:v>
      </x:c>
      <x:c r="N85" s="68" t="n">
        <x:v>4.083</x:v>
      </x:c>
      <x:c r="O85" s="68" t="n">
        <x:v>1.8</x:v>
      </x:c>
      <x:c r="P85" s="68" t="n">
        <x:v>10</x:v>
      </x:c>
      <x:c r="Q85" s="68" t="n">
        <x:v>28</x:v>
      </x:c>
      <x:c r="R85" s="68" t="n">
        <x:v>1.5</x:v>
      </x:c>
      <x:c r="S85" s="68" t="n">
        <x:v>22</x:v>
      </x:c>
      <x:c r="T85" s="45" t="n">
        <x:v>10</x:v>
      </x:c>
      <x:c r="U85" s="45" t="n">
        <x:v>24</x:v>
      </x:c>
      <x:c r="V85" s="45" t="n">
        <x:v>18</x:v>
      </x:c>
      <x:c r="W85" s="45" t="n">
        <x:v>16</x:v>
      </x:c>
    </x:row>
    <x:row r="86">
      <x:c r="A86" s="58" t="n">
        <x:v>1926</x:v>
      </x:c>
      <x:c r="B86" s="45" t="n">
        <x:v>0</x:v>
      </x:c>
      <x:c r="C86" s="45" t="n">
        <x:v>0</x:v>
      </x:c>
      <x:c r="D86" s="45" t="n">
        <x:v>0</x:v>
      </x:c>
      <x:c r="E86" s="45" t="n">
        <x:v>0</x:v>
      </x:c>
      <x:c r="F86" s="45" t="n">
        <x:v>3</x:v>
      </x:c>
      <x:c r="G86" s="45" t="n">
        <x:v>0</x:v>
      </x:c>
      <x:c r="H86" s="45" t="n">
        <x:v>0</x:v>
      </x:c>
      <x:c r="I86" s="45" t="n">
        <x:v>3</x:v>
      </x:c>
      <x:c r="J86" s="45" t="n">
        <x:v>0</x:v>
      </x:c>
      <x:c r="K86" s="68" t="n">
        <x:v>1.3</x:v>
      </x:c>
      <x:c r="L86" s="68" t="n">
        <x:v>1</x:v>
      </x:c>
      <x:c r="M86" s="68" t="n">
        <x:v>0.08</x:v>
      </x:c>
      <x:c r="N86" s="68" t="n">
        <x:v>4</x:v>
      </x:c>
      <x:c r="O86" s="68" t="n">
        <x:v>1.771</x:v>
      </x:c>
      <x:c r="P86" s="68" t="n">
        <x:v>9.856999999999999</x:v>
      </x:c>
      <x:c r="Q86" s="68" t="n">
        <x:v>27.571</x:v>
      </x:c>
      <x:c r="R86" s="68" t="n">
        <x:v>1.486</x:v>
      </x:c>
      <x:c r="S86" s="68" t="n">
        <x:v>23</x:v>
      </x:c>
      <x:c r="T86" s="45" t="n">
        <x:v>10</x:v>
      </x:c>
      <x:c r="U86" s="45" t="n">
        <x:v>24</x:v>
      </x:c>
      <x:c r="V86" s="45" t="n">
        <x:v>18</x:v>
      </x:c>
      <x:c r="W86" s="45" t="n">
        <x:v>16</x:v>
      </x:c>
    </x:row>
    <x:row r="87">
      <x:c r="A87" s="58" t="n">
        <x:v>1927</x:v>
      </x:c>
      <x:c r="B87" s="45" t="n">
        <x:v>0</x:v>
      </x:c>
      <x:c r="C87" s="45" t="n">
        <x:v>0</x:v>
      </x:c>
      <x:c r="D87" s="45" t="n">
        <x:v>0</x:v>
      </x:c>
      <x:c r="E87" s="45" t="n">
        <x:v>0</x:v>
      </x:c>
      <x:c r="F87" s="45" t="n">
        <x:v>3</x:v>
      </x:c>
      <x:c r="G87" s="45" t="n">
        <x:v>1</x:v>
      </x:c>
      <x:c r="H87" s="45" t="n">
        <x:v>1</x:v>
      </x:c>
      <x:c r="I87" s="45" t="n">
        <x:v>3</x:v>
      </x:c>
      <x:c r="J87" s="45" t="n">
        <x:v>0</x:v>
      </x:c>
      <x:c r="K87" s="68" t="n">
        <x:v>1.3</x:v>
      </x:c>
      <x:c r="L87" s="68" t="n">
        <x:v>1</x:v>
      </x:c>
      <x:c r="M87" s="68" t="n">
        <x:v>0.08</x:v>
      </x:c>
      <x:c r="N87" s="68" t="n">
        <x:v>3.917</x:v>
      </x:c>
      <x:c r="O87" s="68" t="n">
        <x:v>1.743</x:v>
      </x:c>
      <x:c r="P87" s="68" t="n">
        <x:v>9.714</x:v>
      </x:c>
      <x:c r="Q87" s="68" t="n">
        <x:v>27.143</x:v>
      </x:c>
      <x:c r="R87" s="68" t="n">
        <x:v>1.471</x:v>
      </x:c>
      <x:c r="S87" s="68" t="n">
        <x:v>24</x:v>
      </x:c>
      <x:c r="T87" s="45" t="n">
        <x:v>10</x:v>
      </x:c>
      <x:c r="U87" s="45" t="n">
        <x:v>24</x:v>
      </x:c>
      <x:c r="V87" s="45" t="n">
        <x:v>19</x:v>
      </x:c>
      <x:c r="W87" s="45" t="n">
        <x:v>16</x:v>
      </x:c>
    </x:row>
    <x:row r="88">
      <x:c r="A88" s="58" t="n">
        <x:v>1928</x:v>
      </x:c>
      <x:c r="B88" s="45" t="n">
        <x:v>0</x:v>
      </x:c>
      <x:c r="C88" s="45" t="n">
        <x:v>0</x:v>
      </x:c>
      <x:c r="D88" s="45" t="n">
        <x:v>0</x:v>
      </x:c>
      <x:c r="E88" s="45" t="n">
        <x:v>0</x:v>
      </x:c>
      <x:c r="F88" s="45" t="n">
        <x:v>3</x:v>
      </x:c>
      <x:c r="G88" s="45" t="n">
        <x:v>0</x:v>
      </x:c>
      <x:c r="H88" s="45" t="n">
        <x:v>1</x:v>
      </x:c>
      <x:c r="I88" s="45" t="n">
        <x:v>3</x:v>
      </x:c>
      <x:c r="J88" s="45" t="n">
        <x:v>1</x:v>
      </x:c>
      <x:c r="K88" s="68" t="n">
        <x:v>1.3</x:v>
      </x:c>
      <x:c r="L88" s="68" t="n">
        <x:v>1</x:v>
      </x:c>
      <x:c r="M88" s="68" t="n">
        <x:v>0.08</x:v>
      </x:c>
      <x:c r="N88" s="68" t="n">
        <x:v>3.833</x:v>
      </x:c>
      <x:c r="O88" s="68" t="n">
        <x:v>1.714</x:v>
      </x:c>
      <x:c r="P88" s="68" t="n">
        <x:v>9.571</x:v>
      </x:c>
      <x:c r="Q88" s="68" t="n">
        <x:v>26.714</x:v>
      </x:c>
      <x:c r="R88" s="68" t="n">
        <x:v>1.457</x:v>
      </x:c>
      <x:c r="S88" s="68" t="n">
        <x:v>25</x:v>
      </x:c>
      <x:c r="T88" s="45" t="n">
        <x:v>10</x:v>
      </x:c>
      <x:c r="U88" s="45" t="n">
        <x:v>24</x:v>
      </x:c>
      <x:c r="V88" s="45" t="n">
        <x:v>20</x:v>
      </x:c>
      <x:c r="W88" s="45" t="n">
        <x:v>16</x:v>
      </x:c>
    </x:row>
    <x:row r="89">
      <x:c r="A89" s="58" t="n">
        <x:v>1929</x:v>
      </x:c>
      <x:c r="B89" s="45" t="n">
        <x:v>0</x:v>
      </x:c>
      <x:c r="C89" s="45" t="n">
        <x:v>0</x:v>
      </x:c>
      <x:c r="D89" s="45" t="n">
        <x:v>0</x:v>
      </x:c>
      <x:c r="E89" s="45" t="n">
        <x:v>0</x:v>
      </x:c>
      <x:c r="F89" s="45" t="n">
        <x:v>3</x:v>
      </x:c>
      <x:c r="G89" s="45" t="n">
        <x:v>1</x:v>
      </x:c>
      <x:c r="H89" s="45" t="n">
        <x:v>1</x:v>
      </x:c>
      <x:c r="I89" s="45" t="n">
        <x:v>3</x:v>
      </x:c>
      <x:c r="J89" s="45" t="n">
        <x:v>0</x:v>
      </x:c>
      <x:c r="K89" s="68" t="n">
        <x:v>1.3</x:v>
      </x:c>
      <x:c r="L89" s="68" t="n">
        <x:v>1</x:v>
      </x:c>
      <x:c r="M89" s="68" t="n">
        <x:v>0.08</x:v>
      </x:c>
      <x:c r="N89" s="68" t="n">
        <x:v>3.75</x:v>
      </x:c>
      <x:c r="O89" s="68" t="n">
        <x:v>1.686</x:v>
      </x:c>
      <x:c r="P89" s="68" t="n">
        <x:v>9.429</x:v>
      </x:c>
      <x:c r="Q89" s="68" t="n">
        <x:v>26.286</x:v>
      </x:c>
      <x:c r="R89" s="68" t="n">
        <x:v>1.443</x:v>
      </x:c>
      <x:c r="S89" s="68" t="n">
        <x:v>25</x:v>
      </x:c>
      <x:c r="T89" s="45" t="n">
        <x:v>10</x:v>
      </x:c>
      <x:c r="U89" s="45" t="n">
        <x:v>24</x:v>
      </x:c>
      <x:c r="V89" s="45" t="n">
        <x:v>21</x:v>
      </x:c>
      <x:c r="W89" s="45" t="n">
        <x:v>16</x:v>
      </x:c>
    </x:row>
    <x:row r="90">
      <x:c r="A90" s="58" t="n">
        <x:v>1930</x:v>
      </x:c>
      <x:c r="B90" s="45" t="n">
        <x:v>0</x:v>
      </x:c>
      <x:c r="C90" s="45" t="n">
        <x:v>0</x:v>
      </x:c>
      <x:c r="D90" s="45" t="n">
        <x:v>0</x:v>
      </x:c>
      <x:c r="E90" s="45" t="n">
        <x:v>0</x:v>
      </x:c>
      <x:c r="F90" s="45" t="n">
        <x:v>4</x:v>
      </x:c>
      <x:c r="G90" s="45" t="n">
        <x:v>2</x:v>
      </x:c>
      <x:c r="H90" s="45" t="n">
        <x:v>0</x:v>
      </x:c>
      <x:c r="I90" s="45" t="n">
        <x:v>3</x:v>
      </x:c>
      <x:c r="J90" s="45" t="n">
        <x:v>0</x:v>
      </x:c>
      <x:c r="K90" s="68" t="n">
        <x:v>1.3</x:v>
      </x:c>
      <x:c r="L90" s="68" t="n">
        <x:v>1</x:v>
      </x:c>
      <x:c r="M90" s="68" t="n">
        <x:v>0.08</x:v>
      </x:c>
      <x:c r="N90" s="68" t="n">
        <x:v>3.667</x:v>
      </x:c>
      <x:c r="O90" s="68" t="n">
        <x:v>1.657</x:v>
      </x:c>
      <x:c r="P90" s="68" t="n">
        <x:v>9.286</x:v>
      </x:c>
      <x:c r="Q90" s="68" t="n">
        <x:v>25.857</x:v>
      </x:c>
      <x:c r="R90" s="68" t="n">
        <x:v>1.429</x:v>
      </x:c>
      <x:c r="S90" s="68" t="n">
        <x:v>25</x:v>
      </x:c>
      <x:c r="T90" s="45" t="n">
        <x:v>10</x:v>
      </x:c>
      <x:c r="U90" s="45" t="n">
        <x:v>24</x:v>
      </x:c>
      <x:c r="V90" s="45" t="n">
        <x:v>21</x:v>
      </x:c>
      <x:c r="W90" s="45" t="n">
        <x:v>16</x:v>
      </x:c>
    </x:row>
    <x:row r="91">
      <x:c r="A91" s="58" t="n">
        <x:v>1931</x:v>
      </x:c>
      <x:c r="B91" s="45" t="n">
        <x:v>0</x:v>
      </x:c>
      <x:c r="C91" s="45" t="n">
        <x:v>0</x:v>
      </x:c>
      <x:c r="D91" s="45" t="n">
        <x:v>0</x:v>
      </x:c>
      <x:c r="E91" s="45" t="n">
        <x:v>0</x:v>
      </x:c>
      <x:c r="F91" s="45" t="n">
        <x:v>4</x:v>
      </x:c>
      <x:c r="G91" s="45" t="n">
        <x:v>0</x:v>
      </x:c>
      <x:c r="H91" s="45" t="n">
        <x:v>1</x:v>
      </x:c>
      <x:c r="I91" s="45" t="n">
        <x:v>3</x:v>
      </x:c>
      <x:c r="J91" s="45" t="n">
        <x:v>1</x:v>
      </x:c>
      <x:c r="K91" s="68" t="n">
        <x:v>1.3</x:v>
      </x:c>
      <x:c r="L91" s="68" t="n">
        <x:v>1</x:v>
      </x:c>
      <x:c r="M91" s="68" t="n">
        <x:v>0.08</x:v>
      </x:c>
      <x:c r="N91" s="68" t="n">
        <x:v>3.583</x:v>
      </x:c>
      <x:c r="O91" s="68" t="n">
        <x:v>1.629</x:v>
      </x:c>
      <x:c r="P91" s="68" t="n">
        <x:v>9.143000000000001</x:v>
      </x:c>
      <x:c r="Q91" s="68" t="n">
        <x:v>25.429</x:v>
      </x:c>
      <x:c r="R91" s="68" t="n">
        <x:v>1.414</x:v>
      </x:c>
      <x:c r="S91" s="68" t="n">
        <x:v>25</x:v>
      </x:c>
      <x:c r="T91" s="45" t="n">
        <x:v>10</x:v>
      </x:c>
      <x:c r="U91" s="45" t="n">
        <x:v>24</x:v>
      </x:c>
      <x:c r="V91" s="45" t="n">
        <x:v>21</x:v>
      </x:c>
      <x:c r="W91" s="45" t="n">
        <x:v>16</x:v>
      </x:c>
    </x:row>
    <x:row r="92">
      <x:c r="A92" s="58" t="n">
        <x:v>1932</x:v>
      </x:c>
      <x:c r="B92" s="45" t="n">
        <x:v>0</x:v>
      </x:c>
      <x:c r="C92" s="45" t="n">
        <x:v>0</x:v>
      </x:c>
      <x:c r="D92" s="45" t="n">
        <x:v>0</x:v>
      </x:c>
      <x:c r="E92" s="45" t="n">
        <x:v>0</x:v>
      </x:c>
      <x:c r="F92" s="45" t="n">
        <x:v>4</x:v>
      </x:c>
      <x:c r="G92" s="45" t="n">
        <x:v>0</x:v>
      </x:c>
      <x:c r="H92" s="45" t="n">
        <x:v>1</x:v>
      </x:c>
      <x:c r="I92" s="45" t="n">
        <x:v>3</x:v>
      </x:c>
      <x:c r="J92" s="45" t="n">
        <x:v>0</x:v>
      </x:c>
      <x:c r="K92" s="68" t="n">
        <x:v>1.3</x:v>
      </x:c>
      <x:c r="L92" s="68" t="n">
        <x:v>1</x:v>
      </x:c>
      <x:c r="M92" s="68" t="n">
        <x:v>0.08</x:v>
      </x:c>
      <x:c r="N92" s="68" t="n">
        <x:v>3.5</x:v>
      </x:c>
      <x:c r="O92" s="68" t="n">
        <x:v>1.6</x:v>
      </x:c>
      <x:c r="P92" s="68" t="n">
        <x:v>9</x:v>
      </x:c>
      <x:c r="Q92" s="68" t="n">
        <x:v>25</x:v>
      </x:c>
      <x:c r="R92" s="68" t="n">
        <x:v>1.4</x:v>
      </x:c>
      <x:c r="S92" s="68" t="n">
        <x:v>25</x:v>
      </x:c>
      <x:c r="T92" s="45" t="n">
        <x:v>10</x:v>
      </x:c>
      <x:c r="U92" s="45" t="n">
        <x:v>24</x:v>
      </x:c>
      <x:c r="V92" s="45" t="n">
        <x:v>21</x:v>
      </x:c>
      <x:c r="W92" s="45" t="n">
        <x:v>16</x:v>
      </x:c>
    </x:row>
  </x:sheetData>
  <x:mergeCells>
    <x:mergeCell ref="T4:W4"/>
    <x:mergeCell ref="K4:S4"/>
    <x:mergeCell ref="B4:J4"/>
  </x:mergeCells>
  <x:pageMargins left="0.7" right="0.7" top="0.75" bottom="0.75" header="0.3" footer="0.3"/>
  <x:legacyDrawing xmlns:r="http://schemas.openxmlformats.org/officeDocument/2006/relationships" r:id="R730481b85b7941af"/>
</x:worksheet>
</file>

<file path=xl/worksheets/sheet17.xml><?xml version="1.0" encoding="utf-8"?>
<x:worksheet xmlns:x="http://schemas.openxmlformats.org/spreadsheetml/2006/main">
  <x:sheetPr>
    <x:tabColor rgb="FF2F5597"/>
  </x:sheetPr>
  <x:sheetViews>
    <x:sheetView showGridLines="0" workbookViewId="0">
      <x:pane xSplit="1" ySplit="5" topLeftCell="B6" activePane="bottomRight" state="frozen"/>
    </x:sheetView>
  </x:sheetViews>
  <x:sheetFormatPr baseColWidth="8" defaultRowHeight="15"/>
  <x:cols>
    <x:col min="1" max="1" width="7" customWidth="1"/>
    <x:col min="2" max="2" width="10" customWidth="1"/>
    <x:col min="3" max="3" width="10" customWidth="1"/>
    <x:col min="4" max="4" width="10" customWidth="1"/>
    <x:col min="5" max="5" width="10" customWidth="1"/>
    <x:col min="6" max="6" width="10" customWidth="1"/>
    <x:col min="7" max="7" width="10" customWidth="1"/>
    <x:col min="8" max="8" width="10" customWidth="1"/>
    <x:col min="9" max="9" width="10" customWidth="1"/>
    <x:col min="10" max="10" width="10"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2.5" customWidth="1"/>
    <x:col min="20" max="20" width="12.5" customWidth="1"/>
    <x:col min="21" max="21" width="12.5" customWidth="1"/>
    <x:col min="22" max="22" width="12.5" customWidth="1"/>
    <x:col min="23" max="23" width="12.5" customWidth="1"/>
    <x:col min="24" max="24" width="12.5" customWidth="1"/>
    <x:col min="25" max="25" width="12.5" customWidth="1"/>
    <x:col min="26" max="26" width="12.5" customWidth="1"/>
    <x:col min="27" max="27" width="12.5" customWidth="1"/>
    <x:col min="28" max="28" width="12.5" customWidth="1"/>
    <x:col min="29" max="29" width="12.5" customWidth="1"/>
    <x:col min="30" max="30" width="12.5" customWidth="1"/>
    <x:col min="31" max="31" width="12.5" customWidth="1"/>
  </x:cols>
  <x:sheetData>
    <x:row r="1">
      <x:c r="A1" s="18" t="inlineStr">
        <x:is>
          <x:t xml:space="preserve">Navy: fleet and cost</x:t>
        </x:is>
      </x:c>
    </x:row>
    <x:row r="2">
      <x:c r="A2" s="2" t="inlineStr">
        <x:is>
          <x:t xml:space="preserve">Fleet in service, its cost, and what oil firing saves. Change the plan on 'Navy plan'.</x:t>
        </x:is>
      </x:c>
    </x:row>
    <x:row r="3">
      <x:c r="A3" s="19" t="inlineStr">
        <x:is>
          <x:t xml:space="preserve">Years run down the page. Blue = input you can change · black = formula · green = link to another sheet. Hover a column heading for its definition.</x:t>
        </x:is>
      </x:c>
    </x:row>
    <x:row r="4">
      <x:c r="B4" s="56" t="inlineStr">
        <x:is>
          <x:t xml:space="preserve">Ships in service</x:t>
        </x:is>
      </x:c>
      <x:c r="K4" s="56" t="inlineStr">
        <x:is>
          <x:t xml:space="preserve">Fleet</x:t>
        </x:is>
      </x:c>
      <x:c r="L4" s="56" t="inlineStr">
        <x:is>
          <x:t xml:space="preserve">Cost, $m</x:t>
        </x:is>
      </x:c>
      <x:c r="M4" s="56" t="inlineStr">
        <x:is>
          <x:t xml:space="preserve">Fleet</x:t>
        </x:is>
      </x:c>
      <x:c r="N4" s="56" t="inlineStr">
        <x:is>
          <x:t xml:space="preserve">What oil saves</x:t>
        </x:is>
      </x:c>
      <x:c r="P4" s="56" t="inlineStr">
        <x:is>
          <x:t xml:space="preserve">Cost, $m</x:t>
        </x:is>
      </x:c>
      <x:c r="S4" s="56" t="inlineStr">
        <x:is>
          <x:t xml:space="preserve">What oil saves</x:t>
        </x:is>
      </x:c>
      <x:c r="U4" s="56" t="inlineStr">
        <x:is>
          <x:t xml:space="preserve">Cost, $m</x:t>
        </x:is>
      </x:c>
      <x:c r="W4" s="56" t="inlineStr">
        <x:is>
          <x:t xml:space="preserve">Common navy from 1927</x:t>
        </x:is>
      </x:c>
      <x:c r="Z4" s="56" t="inlineStr">
        <x:is>
          <x:t xml:space="preserve">Fleet</x:t>
        </x:is>
      </x:c>
      <x:c r="AA4" s="56" t="inlineStr">
        <x:is>
          <x:t xml:space="preserve">Capital ships</x:t>
        </x:is>
      </x:c>
    </x:row>
    <x:row r="5" ht="54" customHeight="1">
      <x:c r="A5" s="57" t="inlineStr">
        <x:is>
          <x:t xml:space="preserve">Year</x:t>
        </x:is>
      </x:c>
      <x:c r="B5" s="6" t="inlineStr">
        <x:is>
          <x:t xml:space="preserve">In service: Turret ships &amp; coastal ironclads</x:t>
        </x:is>
      </x:c>
      <x:c r="C5" s="6" t="inlineStr">
        <x:is>
          <x:t xml:space="preserve">In service: Steam cruisers (coal)</x:t>
        </x:is>
      </x:c>
      <x:c r="D5" s="6" t="inlineStr">
        <x:is>
          <x:t xml:space="preserve">In service: Oil-fired torpedo boats</x:t>
        </x:is>
      </x:c>
      <x:c r="E5" s="6" t="inlineStr">
        <x:is>
          <x:t xml:space="preserve">In service: Oil-fired protected cruisers</x:t>
        </x:is>
      </x:c>
      <x:c r="F5" s="6" t="inlineStr">
        <x:is>
          <x:t xml:space="preserve">In service: Turbine destroyers</x:t>
        </x:is>
      </x:c>
      <x:c r="G5" s="6" t="inlineStr">
        <x:is>
          <x:t xml:space="preserve">In service: Turbine cruisers</x:t>
        </x:is>
      </x:c>
      <x:c r="H5" s="6" t="inlineStr">
        <x:is>
          <x:t xml:space="preserve">In service: Turbine capital ships</x:t>
        </x:is>
      </x:c>
      <x:c r="I5" s="6" t="inlineStr">
        <x:is>
          <x:t xml:space="preserve">In service: Submarines</x:t>
        </x:is>
      </x:c>
      <x:c r="J5" s="6" t="inlineStr">
        <x:is>
          <x:t xml:space="preserve">In service: Aircraft carriers</x:t>
        </x:is>
      </x:c>
      <x:c r="K5" s="6" t="inlineStr">
        <x:is>
          <x:t xml:space="preserve">Ships in service</x:t>
        </x:is>
      </x:c>
      <x:c r="L5" s="6" t="inlineStr">
        <x:is>
          <x:t xml:space="preserve">Construction ($m)</x:t>
        </x:is>
      </x:c>
      <x:c r="M5" s="6" t="inlineStr">
        <x:is>
          <x:t xml:space="preserve">Sailors</x:t>
        </x:is>
      </x:c>
      <x:c r="N5" s="6" t="inlineStr">
        <x:is>
          <x:t xml:space="preserve">Sailors a coal-fired fleet would need</x:t>
        </x:is>
      </x:c>
      <x:c r="O5" s="6" t="inlineStr">
        <x:is>
          <x:t xml:space="preserve">Sailors saved by oil</x:t>
        </x:is>
      </x:c>
      <x:c r="P5" s="6" t="inlineStr">
        <x:is>
          <x:t xml:space="preserve">Pay and keep ($m)</x:t>
        </x:is>
      </x:c>
      <x:c r="Q5" s="6" t="inlineStr">
        <x:is>
          <x:t xml:space="preserve">Maintenance ($m)</x:t>
        </x:is>
      </x:c>
      <x:c r="R5" s="6" t="inlineStr">
        <x:is>
          <x:t xml:space="preserve">Fuel ($m)</x:t>
        </x:is>
      </x:c>
      <x:c r="S5" s="6" t="inlineStr">
        <x:is>
          <x:t xml:space="preserve">Fuel saved vs bought coal ($m)</x:t>
        </x:is>
      </x:c>
      <x:c r="T5" s="6" t="inlineStr">
        <x:is>
          <x:t xml:space="preserve">Total running cost saved by oil ($m)</x:t>
        </x:is>
      </x:c>
      <x:c r="U5" s="6" t="inlineStr">
        <x:is>
          <x:t xml:space="preserve">Bases, yards and training ($m)</x:t>
        </x:is>
      </x:c>
      <x:c r="V5" s="6" t="inlineStr">
        <x:is>
          <x:t xml:space="preserve">Pacifica's own fleet ($m)</x:t>
        </x:is>
      </x:c>
      <x:c r="W5" s="6" t="inlineStr">
        <x:is>
          <x:t xml:space="preserve">Japan's fleet ($m)</x:t>
        </x:is>
      </x:c>
      <x:c r="X5" s="6" t="inlineStr">
        <x:is>
          <x:t xml:space="preserve">Common navy ($m)</x:t>
        </x:is>
      </x:c>
      <x:c r="Y5" s="6" t="inlineStr">
        <x:is>
          <x:t xml:space="preserve">Pacifica's navy bill ($m)</x:t>
        </x:is>
      </x:c>
      <x:c r="Z5" s="6" t="inlineStr">
        <x:is>
          <x:t xml:space="preserve">Navy oil burned (m barrels)</x:t>
        </x:is>
      </x:c>
      <x:c r="AA5" s="6" t="inlineStr">
        <x:is>
          <x:t xml:space="preserve">Pacifica capital ships</x:t>
        </x:is>
      </x:c>
      <x:c r="AB5" s="6" t="inlineStr">
        <x:is>
          <x:t xml:space="preserve">Pacifica + Japan</x:t>
        </x:is>
      </x:c>
      <x:c r="AC5" s="6" t="inlineStr">
        <x:is>
          <x:t xml:space="preserve">Britain</x:t>
        </x:is>
      </x:c>
      <x:c r="AD5" s="6" t="inlineStr">
        <x:is>
          <x:t xml:space="preserve">Union</x:t>
        </x:is>
      </x:c>
      <x:c r="AE5" s="6" t="inlineStr">
        <x:is>
          <x:t xml:space="preserve">Pacifica + Japan / Britain</x:t>
        </x:is>
      </x:c>
    </x:row>
    <x:row r="6">
      <x:c r="A6" s="58" t="n">
        <x:v>1846</x:v>
      </x:c>
      <x:c r="B6" s="47" t="n">
        <x:f>'Navy plan'!B6</x:f>
        <x:v>0</x:v>
      </x:c>
      <x:c r="C6" s="47" t="n">
        <x:f>'Navy plan'!C6</x:f>
        <x:v>0</x:v>
      </x:c>
      <x:c r="D6" s="47" t="n">
        <x:f>'Navy plan'!D6</x:f>
        <x:v>0</x:v>
      </x:c>
      <x:c r="E6" s="47" t="n">
        <x:f>'Navy plan'!E6</x:f>
        <x:v>0</x:v>
      </x:c>
      <x:c r="F6" s="47" t="n">
        <x:f>'Navy plan'!F6</x:f>
        <x:v>0</x:v>
      </x:c>
      <x:c r="G6" s="47" t="n">
        <x:f>'Navy plan'!G6</x:f>
        <x:v>0</x:v>
      </x:c>
      <x:c r="H6" s="47" t="n">
        <x:f>'Navy plan'!H6</x:f>
        <x:v>0</x:v>
      </x:c>
      <x:c r="I6" s="47" t="n">
        <x:f>'Navy plan'!I6</x:f>
        <x:v>0</x:v>
      </x:c>
      <x:c r="J6" s="47" t="n">
        <x:f>'Navy plan'!J6</x:f>
        <x:v>0</x:v>
      </x:c>
      <x:c r="K6" s="47" t="n">
        <x:f>SUM(B6:J6)</x:f>
        <x:v>0</x:v>
      </x:c>
      <x:c r="L6" s="53" t="n">
        <x:f>0.5*SUMPRODUCT('Navy plan'!B6:'Navy plan'!J6,'Navy plan'!K6:'Navy plan'!S6)+0.5*SUMPRODUCT('Navy plan'!B7:'Navy plan'!J7,'Navy plan'!K7:'Navy plan'!S7)</x:f>
        <x:v>0</x:v>
      </x:c>
      <x:c r="M6" s="47" t="n">
        <x:f>SUMPRODUCT(B6:J6,Levers!$C$192:$K$192)</x:f>
        <x:v>0</x:v>
      </x:c>
      <x:c r="N6" s="47" t="n">
        <x:f>SUMPRODUCT(B6:J6,Levers!$C$195:$K$195)</x:f>
        <x:v>0</x:v>
      </x:c>
      <x:c r="O6" s="47" t="n">
        <x:f>N6-M6</x:f>
        <x:v>0</x:v>
      </x:c>
      <x:c r="P6" s="53" t="n">
        <x:f>M6*sailor_pay*Economy!H6/1000000</x:f>
        <x:v>0</x:v>
      </x:c>
      <x:c r="Q6" s="53" t="n">
        <x:f>SUMPRODUCT(B6:J6,'Navy plan'!K6:'Navy plan'!S6)*maint_rate</x:f>
        <x:v>0</x:v>
      </x:c>
      <x:c r="R6" s="53" t="n">
        <x:f>SUMPRODUCT(B6:J6,Levers!$C$193:$K$193)*Economy!H6</x:f>
        <x:v>0</x:v>
      </x:c>
      <x:c r="S6" s="53" t="n">
        <x:f>SUMPRODUCT(B6:J6,Levers!$C$193:$K$193,Levers!$C$194:$K$194)*(1/oil_fuel-1)*Economy!H6</x:f>
        <x:v>0</x:v>
      </x:c>
      <x:c r="T6" s="53" t="n">
        <x:f>S6+O6*sailor_pay*Economy!H6/1000000</x:f>
        <x:v>0</x:v>
      </x:c>
      <x:c r="U6" s="53" t="n">
        <x:f>(P6+Q6+R6)*navy_overhead</x:f>
        <x:v>0</x:v>
      </x:c>
      <x:c r="V6" s="53" t="n">
        <x:f>L6+P6+Q6+R6+U6</x:f>
        <x:v>0</x:v>
      </x:c>
      <x:c r="W6" s="69" t="n">
        <x:f>Japan!I6</x:f>
        <x:v>0</x:v>
      </x:c>
      <x:c r="X6" s="53" t="n">
        <x:f>IF($A6&gt;=1927,V6+W6,0)</x:f>
        <x:v>0</x:v>
      </x:c>
      <x:c r="Y6" s="53" t="n">
        <x:f>IF($A6&gt;=1927,pac_quota*X6,V6)</x:f>
        <x:v>0</x:v>
      </x:c>
      <x:c r="Z6" s="67" t="n">
        <x:f>SUMPRODUCT(B6:J6,Levers!$C$193:$K$193,Levers!$C$194:$K$194)/0.6</x:f>
        <x:v>0</x:v>
      </x:c>
      <x:c r="AA6" s="62" t="n">
        <x:f>H6</x:f>
        <x:v>0</x:v>
      </x:c>
      <x:c r="AB6" s="47" t="n">
        <x:f>AA6+'Navy plan'!T6</x:f>
        <x:v>0</x:v>
      </x:c>
      <x:c r="AC6" s="62" t="n">
        <x:f>'Navy plan'!U6</x:f>
        <x:v>0</x:v>
      </x:c>
      <x:c r="AD6" s="62" t="n">
        <x:f>'Navy plan'!V6</x:f>
        <x:v>0</x:v>
      </x:c>
      <x:c r="AE6" s="67" t="n">
        <x:f>IF(AC6&gt;0,AB6/AC6,0)</x:f>
        <x:v>0</x:v>
      </x:c>
    </x:row>
    <x:row r="7">
      <x:c r="A7" s="58" t="n">
        <x:v>1847</x:v>
      </x:c>
      <x:c r="B7" s="47" t="n">
        <x:f>B6+'Navy plan'!B7-IF($A7-Levers!$C$191&gt;=1846,INDEX('Navy plan'!B$6:B$92,$A7-1845-Levers!$C$191),0)</x:f>
        <x:v>0</x:v>
      </x:c>
      <x:c r="C7" s="47" t="n">
        <x:f>C6+'Navy plan'!C7-IF($A7-Levers!$D$191&gt;=1846,INDEX('Navy plan'!C$6:C$92,$A7-1845-Levers!$D$191),0)</x:f>
        <x:v>0</x:v>
      </x:c>
      <x:c r="D7" s="47" t="n">
        <x:f>D6+'Navy plan'!D7-IF($A7-Levers!$E$191&gt;=1846,INDEX('Navy plan'!D$6:D$92,$A7-1845-Levers!$E$191),0)</x:f>
        <x:v>0</x:v>
      </x:c>
      <x:c r="E7" s="47" t="n">
        <x:f>E6+'Navy plan'!E7-IF($A7-Levers!$F$191&gt;=1846,INDEX('Navy plan'!E$6:E$92,$A7-1845-Levers!$F$191),0)</x:f>
        <x:v>0</x:v>
      </x:c>
      <x:c r="F7" s="47" t="n">
        <x:f>F6+'Navy plan'!F7-IF($A7-Levers!$G$191&gt;=1846,INDEX('Navy plan'!F$6:F$92,$A7-1845-Levers!$G$191),0)</x:f>
        <x:v>0</x:v>
      </x:c>
      <x:c r="G7" s="47" t="n">
        <x:f>G6+'Navy plan'!G7-IF($A7-Levers!$H$191&gt;=1846,INDEX('Navy plan'!G$6:G$92,$A7-1845-Levers!$H$191),0)</x:f>
        <x:v>0</x:v>
      </x:c>
      <x:c r="H7" s="47" t="n">
        <x:f>H6+'Navy plan'!H7-IF($A7-Levers!$I$191&gt;=1846,INDEX('Navy plan'!H$6:H$92,$A7-1845-Levers!$I$191),0)</x:f>
        <x:v>0</x:v>
      </x:c>
      <x:c r="I7" s="47" t="n">
        <x:f>I6+'Navy plan'!I7-IF($A7-Levers!$J$191&gt;=1846,INDEX('Navy plan'!I$6:I$92,$A7-1845-Levers!$J$191),0)</x:f>
        <x:v>0</x:v>
      </x:c>
      <x:c r="J7" s="47" t="n">
        <x:f>J6+'Navy plan'!J7-IF($A7-Levers!$K$191&gt;=1846,INDEX('Navy plan'!J$6:J$92,$A7-1845-Levers!$K$191),0)</x:f>
        <x:v>0</x:v>
      </x:c>
      <x:c r="K7" s="47" t="n">
        <x:f>SUM(B7:J7)</x:f>
        <x:v>0</x:v>
      </x:c>
      <x:c r="L7" s="53" t="n">
        <x:f>0.5*SUMPRODUCT('Navy plan'!B7:'Navy plan'!J7,'Navy plan'!K7:'Navy plan'!S7)+0.5*SUMPRODUCT('Navy plan'!B8:'Navy plan'!J8,'Navy plan'!K8:'Navy plan'!S8)</x:f>
        <x:v>0</x:v>
      </x:c>
      <x:c r="M7" s="47" t="n">
        <x:f>SUMPRODUCT(B7:J7,Levers!$C$192:$K$192)</x:f>
        <x:v>0</x:v>
      </x:c>
      <x:c r="N7" s="47" t="n">
        <x:f>SUMPRODUCT(B7:J7,Levers!$C$195:$K$195)</x:f>
        <x:v>0</x:v>
      </x:c>
      <x:c r="O7" s="47" t="n">
        <x:f>N7-M7</x:f>
        <x:v>0</x:v>
      </x:c>
      <x:c r="P7" s="53" t="n">
        <x:f>M7*sailor_pay*Economy!H7/1000000</x:f>
        <x:v>0</x:v>
      </x:c>
      <x:c r="Q7" s="53" t="n">
        <x:f>SUMPRODUCT(B7:J7,'Navy plan'!K7:'Navy plan'!S7)*maint_rate</x:f>
        <x:v>0</x:v>
      </x:c>
      <x:c r="R7" s="53" t="n">
        <x:f>SUMPRODUCT(B7:J7,Levers!$C$193:$K$193)*Economy!H7</x:f>
        <x:v>0</x:v>
      </x:c>
      <x:c r="S7" s="53" t="n">
        <x:f>SUMPRODUCT(B7:J7,Levers!$C$193:$K$193,Levers!$C$194:$K$194)*(1/oil_fuel-1)*Economy!H7</x:f>
        <x:v>0</x:v>
      </x:c>
      <x:c r="T7" s="53" t="n">
        <x:f>S7+O7*sailor_pay*Economy!H7/1000000</x:f>
        <x:v>0</x:v>
      </x:c>
      <x:c r="U7" s="53" t="n">
        <x:f>(P7+Q7+R7)*navy_overhead</x:f>
        <x:v>0</x:v>
      </x:c>
      <x:c r="V7" s="53" t="n">
        <x:f>L7+P7+Q7+R7+U7</x:f>
        <x:v>0</x:v>
      </x:c>
      <x:c r="W7" s="69" t="n">
        <x:f>Japan!I7</x:f>
        <x:v>0</x:v>
      </x:c>
      <x:c r="X7" s="53" t="n">
        <x:f>IF($A7&gt;=1927,V7+W7,0)</x:f>
        <x:v>0</x:v>
      </x:c>
      <x:c r="Y7" s="53" t="n">
        <x:f>IF($A7&gt;=1927,pac_quota*X7,V7)</x:f>
        <x:v>0</x:v>
      </x:c>
      <x:c r="Z7" s="67" t="n">
        <x:f>SUMPRODUCT(B7:J7,Levers!$C$193:$K$193,Levers!$C$194:$K$194)/0.6</x:f>
        <x:v>0</x:v>
      </x:c>
      <x:c r="AA7" s="62" t="n">
        <x:f>H7</x:f>
        <x:v>0</x:v>
      </x:c>
      <x:c r="AB7" s="47" t="n">
        <x:f>AA7+'Navy plan'!T7</x:f>
        <x:v>0</x:v>
      </x:c>
      <x:c r="AC7" s="62" t="n">
        <x:f>'Navy plan'!U7</x:f>
        <x:v>0</x:v>
      </x:c>
      <x:c r="AD7" s="62" t="n">
        <x:f>'Navy plan'!V7</x:f>
        <x:v>0</x:v>
      </x:c>
      <x:c r="AE7" s="67" t="n">
        <x:f>IF(AC7&gt;0,AB7/AC7,0)</x:f>
        <x:v>0</x:v>
      </x:c>
    </x:row>
    <x:row r="8">
      <x:c r="A8" s="58" t="n">
        <x:v>1848</x:v>
      </x:c>
      <x:c r="B8" s="47" t="n">
        <x:f>B7+'Navy plan'!B8-IF($A8-Levers!$C$191&gt;=1846,INDEX('Navy plan'!B$6:B$92,$A8-1845-Levers!$C$191),0)</x:f>
        <x:v>0</x:v>
      </x:c>
      <x:c r="C8" s="47" t="n">
        <x:f>C7+'Navy plan'!C8-IF($A8-Levers!$D$191&gt;=1846,INDEX('Navy plan'!C$6:C$92,$A8-1845-Levers!$D$191),0)</x:f>
        <x:v>0</x:v>
      </x:c>
      <x:c r="D8" s="47" t="n">
        <x:f>D7+'Navy plan'!D8-IF($A8-Levers!$E$191&gt;=1846,INDEX('Navy plan'!D$6:D$92,$A8-1845-Levers!$E$191),0)</x:f>
        <x:v>0</x:v>
      </x:c>
      <x:c r="E8" s="47" t="n">
        <x:f>E7+'Navy plan'!E8-IF($A8-Levers!$F$191&gt;=1846,INDEX('Navy plan'!E$6:E$92,$A8-1845-Levers!$F$191),0)</x:f>
        <x:v>0</x:v>
      </x:c>
      <x:c r="F8" s="47" t="n">
        <x:f>F7+'Navy plan'!F8-IF($A8-Levers!$G$191&gt;=1846,INDEX('Navy plan'!F$6:F$92,$A8-1845-Levers!$G$191),0)</x:f>
        <x:v>0</x:v>
      </x:c>
      <x:c r="G8" s="47" t="n">
        <x:f>G7+'Navy plan'!G8-IF($A8-Levers!$H$191&gt;=1846,INDEX('Navy plan'!G$6:G$92,$A8-1845-Levers!$H$191),0)</x:f>
        <x:v>0</x:v>
      </x:c>
      <x:c r="H8" s="47" t="n">
        <x:f>H7+'Navy plan'!H8-IF($A8-Levers!$I$191&gt;=1846,INDEX('Navy plan'!H$6:H$92,$A8-1845-Levers!$I$191),0)</x:f>
        <x:v>0</x:v>
      </x:c>
      <x:c r="I8" s="47" t="n">
        <x:f>I7+'Navy plan'!I8-IF($A8-Levers!$J$191&gt;=1846,INDEX('Navy plan'!I$6:I$92,$A8-1845-Levers!$J$191),0)</x:f>
        <x:v>0</x:v>
      </x:c>
      <x:c r="J8" s="47" t="n">
        <x:f>J7+'Navy plan'!J8-IF($A8-Levers!$K$191&gt;=1846,INDEX('Navy plan'!J$6:J$92,$A8-1845-Levers!$K$191),0)</x:f>
        <x:v>0</x:v>
      </x:c>
      <x:c r="K8" s="47" t="n">
        <x:f>SUM(B8:J8)</x:f>
        <x:v>0</x:v>
      </x:c>
      <x:c r="L8" s="53" t="n">
        <x:f>0.5*SUMPRODUCT('Navy plan'!B8:'Navy plan'!J8,'Navy plan'!K8:'Navy plan'!S8)+0.5*SUMPRODUCT('Navy plan'!B9:'Navy plan'!J9,'Navy plan'!K9:'Navy plan'!S9)</x:f>
        <x:v>0</x:v>
      </x:c>
      <x:c r="M8" s="47" t="n">
        <x:f>SUMPRODUCT(B8:J8,Levers!$C$192:$K$192)</x:f>
        <x:v>0</x:v>
      </x:c>
      <x:c r="N8" s="47" t="n">
        <x:f>SUMPRODUCT(B8:J8,Levers!$C$195:$K$195)</x:f>
        <x:v>0</x:v>
      </x:c>
      <x:c r="O8" s="47" t="n">
        <x:f>N8-M8</x:f>
        <x:v>0</x:v>
      </x:c>
      <x:c r="P8" s="53" t="n">
        <x:f>M8*sailor_pay*Economy!H8/1000000</x:f>
        <x:v>0</x:v>
      </x:c>
      <x:c r="Q8" s="53" t="n">
        <x:f>SUMPRODUCT(B8:J8,'Navy plan'!K8:'Navy plan'!S8)*maint_rate</x:f>
        <x:v>0</x:v>
      </x:c>
      <x:c r="R8" s="53" t="n">
        <x:f>SUMPRODUCT(B8:J8,Levers!$C$193:$K$193)*Economy!H8</x:f>
        <x:v>0</x:v>
      </x:c>
      <x:c r="S8" s="53" t="n">
        <x:f>SUMPRODUCT(B8:J8,Levers!$C$193:$K$193,Levers!$C$194:$K$194)*(1/oil_fuel-1)*Economy!H8</x:f>
        <x:v>0</x:v>
      </x:c>
      <x:c r="T8" s="53" t="n">
        <x:f>S8+O8*sailor_pay*Economy!H8/1000000</x:f>
        <x:v>0</x:v>
      </x:c>
      <x:c r="U8" s="53" t="n">
        <x:f>(P8+Q8+R8)*navy_overhead</x:f>
        <x:v>0</x:v>
      </x:c>
      <x:c r="V8" s="53" t="n">
        <x:f>L8+P8+Q8+R8+U8</x:f>
        <x:v>0</x:v>
      </x:c>
      <x:c r="W8" s="69" t="n">
        <x:f>Japan!I8</x:f>
        <x:v>0</x:v>
      </x:c>
      <x:c r="X8" s="53" t="n">
        <x:f>IF($A8&gt;=1927,V8+W8,0)</x:f>
        <x:v>0</x:v>
      </x:c>
      <x:c r="Y8" s="53" t="n">
        <x:f>IF($A8&gt;=1927,pac_quota*X8,V8)</x:f>
        <x:v>0</x:v>
      </x:c>
      <x:c r="Z8" s="67" t="n">
        <x:f>SUMPRODUCT(B8:J8,Levers!$C$193:$K$193,Levers!$C$194:$K$194)/0.6</x:f>
        <x:v>0</x:v>
      </x:c>
      <x:c r="AA8" s="62" t="n">
        <x:f>H8</x:f>
        <x:v>0</x:v>
      </x:c>
      <x:c r="AB8" s="47" t="n">
        <x:f>AA8+'Navy plan'!T8</x:f>
        <x:v>0</x:v>
      </x:c>
      <x:c r="AC8" s="62" t="n">
        <x:f>'Navy plan'!U8</x:f>
        <x:v>0</x:v>
      </x:c>
      <x:c r="AD8" s="62" t="n">
        <x:f>'Navy plan'!V8</x:f>
        <x:v>0</x:v>
      </x:c>
      <x:c r="AE8" s="67" t="n">
        <x:f>IF(AC8&gt;0,AB8/AC8,0)</x:f>
        <x:v>0</x:v>
      </x:c>
    </x:row>
    <x:row r="9">
      <x:c r="A9" s="58" t="n">
        <x:v>1849</x:v>
      </x:c>
      <x:c r="B9" s="47" t="n">
        <x:f>B8+'Navy plan'!B9-IF($A9-Levers!$C$191&gt;=1846,INDEX('Navy plan'!B$6:B$92,$A9-1845-Levers!$C$191),0)</x:f>
        <x:v>0</x:v>
      </x:c>
      <x:c r="C9" s="47" t="n">
        <x:f>C8+'Navy plan'!C9-IF($A9-Levers!$D$191&gt;=1846,INDEX('Navy plan'!C$6:C$92,$A9-1845-Levers!$D$191),0)</x:f>
        <x:v>0</x:v>
      </x:c>
      <x:c r="D9" s="47" t="n">
        <x:f>D8+'Navy plan'!D9-IF($A9-Levers!$E$191&gt;=1846,INDEX('Navy plan'!D$6:D$92,$A9-1845-Levers!$E$191),0)</x:f>
        <x:v>0</x:v>
      </x:c>
      <x:c r="E9" s="47" t="n">
        <x:f>E8+'Navy plan'!E9-IF($A9-Levers!$F$191&gt;=1846,INDEX('Navy plan'!E$6:E$92,$A9-1845-Levers!$F$191),0)</x:f>
        <x:v>0</x:v>
      </x:c>
      <x:c r="F9" s="47" t="n">
        <x:f>F8+'Navy plan'!F9-IF($A9-Levers!$G$191&gt;=1846,INDEX('Navy plan'!F$6:F$92,$A9-1845-Levers!$G$191),0)</x:f>
        <x:v>0</x:v>
      </x:c>
      <x:c r="G9" s="47" t="n">
        <x:f>G8+'Navy plan'!G9-IF($A9-Levers!$H$191&gt;=1846,INDEX('Navy plan'!G$6:G$92,$A9-1845-Levers!$H$191),0)</x:f>
        <x:v>0</x:v>
      </x:c>
      <x:c r="H9" s="47" t="n">
        <x:f>H8+'Navy plan'!H9-IF($A9-Levers!$I$191&gt;=1846,INDEX('Navy plan'!H$6:H$92,$A9-1845-Levers!$I$191),0)</x:f>
        <x:v>0</x:v>
      </x:c>
      <x:c r="I9" s="47" t="n">
        <x:f>I8+'Navy plan'!I9-IF($A9-Levers!$J$191&gt;=1846,INDEX('Navy plan'!I$6:I$92,$A9-1845-Levers!$J$191),0)</x:f>
        <x:v>0</x:v>
      </x:c>
      <x:c r="J9" s="47" t="n">
        <x:f>J8+'Navy plan'!J9-IF($A9-Levers!$K$191&gt;=1846,INDEX('Navy plan'!J$6:J$92,$A9-1845-Levers!$K$191),0)</x:f>
        <x:v>0</x:v>
      </x:c>
      <x:c r="K9" s="47" t="n">
        <x:f>SUM(B9:J9)</x:f>
        <x:v>0</x:v>
      </x:c>
      <x:c r="L9" s="53" t="n">
        <x:f>0.5*SUMPRODUCT('Navy plan'!B9:'Navy plan'!J9,'Navy plan'!K9:'Navy plan'!S9)+0.5*SUMPRODUCT('Navy plan'!B10:'Navy plan'!J10,'Navy plan'!K10:'Navy plan'!S10)</x:f>
        <x:v>0</x:v>
      </x:c>
      <x:c r="M9" s="47" t="n">
        <x:f>SUMPRODUCT(B9:J9,Levers!$C$192:$K$192)</x:f>
        <x:v>0</x:v>
      </x:c>
      <x:c r="N9" s="47" t="n">
        <x:f>SUMPRODUCT(B9:J9,Levers!$C$195:$K$195)</x:f>
        <x:v>0</x:v>
      </x:c>
      <x:c r="O9" s="47" t="n">
        <x:f>N9-M9</x:f>
        <x:v>0</x:v>
      </x:c>
      <x:c r="P9" s="53" t="n">
        <x:f>M9*sailor_pay*Economy!H9/1000000</x:f>
        <x:v>0</x:v>
      </x:c>
      <x:c r="Q9" s="53" t="n">
        <x:f>SUMPRODUCT(B9:J9,'Navy plan'!K9:'Navy plan'!S9)*maint_rate</x:f>
        <x:v>0</x:v>
      </x:c>
      <x:c r="R9" s="53" t="n">
        <x:f>SUMPRODUCT(B9:J9,Levers!$C$193:$K$193)*Economy!H9</x:f>
        <x:v>0</x:v>
      </x:c>
      <x:c r="S9" s="53" t="n">
        <x:f>SUMPRODUCT(B9:J9,Levers!$C$193:$K$193,Levers!$C$194:$K$194)*(1/oil_fuel-1)*Economy!H9</x:f>
        <x:v>0</x:v>
      </x:c>
      <x:c r="T9" s="53" t="n">
        <x:f>S9+O9*sailor_pay*Economy!H9/1000000</x:f>
        <x:v>0</x:v>
      </x:c>
      <x:c r="U9" s="53" t="n">
        <x:f>(P9+Q9+R9)*navy_overhead</x:f>
        <x:v>0</x:v>
      </x:c>
      <x:c r="V9" s="53" t="n">
        <x:f>L9+P9+Q9+R9+U9</x:f>
        <x:v>0</x:v>
      </x:c>
      <x:c r="W9" s="69" t="n">
        <x:f>Japan!I9</x:f>
        <x:v>0</x:v>
      </x:c>
      <x:c r="X9" s="53" t="n">
        <x:f>IF($A9&gt;=1927,V9+W9,0)</x:f>
        <x:v>0</x:v>
      </x:c>
      <x:c r="Y9" s="53" t="n">
        <x:f>IF($A9&gt;=1927,pac_quota*X9,V9)</x:f>
        <x:v>0</x:v>
      </x:c>
      <x:c r="Z9" s="67" t="n">
        <x:f>SUMPRODUCT(B9:J9,Levers!$C$193:$K$193,Levers!$C$194:$K$194)/0.6</x:f>
        <x:v>0</x:v>
      </x:c>
      <x:c r="AA9" s="62" t="n">
        <x:f>H9</x:f>
        <x:v>0</x:v>
      </x:c>
      <x:c r="AB9" s="47" t="n">
        <x:f>AA9+'Navy plan'!T9</x:f>
        <x:v>0</x:v>
      </x:c>
      <x:c r="AC9" s="62" t="n">
        <x:f>'Navy plan'!U9</x:f>
        <x:v>0</x:v>
      </x:c>
      <x:c r="AD9" s="62" t="n">
        <x:f>'Navy plan'!V9</x:f>
        <x:v>0</x:v>
      </x:c>
      <x:c r="AE9" s="67" t="n">
        <x:f>IF(AC9&gt;0,AB9/AC9,0)</x:f>
        <x:v>0</x:v>
      </x:c>
    </x:row>
    <x:row r="10">
      <x:c r="A10" s="58" t="n">
        <x:v>1850</x:v>
      </x:c>
      <x:c r="B10" s="47" t="n">
        <x:f>B9+'Navy plan'!B10-IF($A10-Levers!$C$191&gt;=1846,INDEX('Navy plan'!B$6:B$92,$A10-1845-Levers!$C$191),0)</x:f>
        <x:v>0</x:v>
      </x:c>
      <x:c r="C10" s="47" t="n">
        <x:f>C9+'Navy plan'!C10-IF($A10-Levers!$D$191&gt;=1846,INDEX('Navy plan'!C$6:C$92,$A10-1845-Levers!$D$191),0)</x:f>
        <x:v>0</x:v>
      </x:c>
      <x:c r="D10" s="47" t="n">
        <x:f>D9+'Navy plan'!D10-IF($A10-Levers!$E$191&gt;=1846,INDEX('Navy plan'!D$6:D$92,$A10-1845-Levers!$E$191),0)</x:f>
        <x:v>0</x:v>
      </x:c>
      <x:c r="E10" s="47" t="n">
        <x:f>E9+'Navy plan'!E10-IF($A10-Levers!$F$191&gt;=1846,INDEX('Navy plan'!E$6:E$92,$A10-1845-Levers!$F$191),0)</x:f>
        <x:v>0</x:v>
      </x:c>
      <x:c r="F10" s="47" t="n">
        <x:f>F9+'Navy plan'!F10-IF($A10-Levers!$G$191&gt;=1846,INDEX('Navy plan'!F$6:F$92,$A10-1845-Levers!$G$191),0)</x:f>
        <x:v>0</x:v>
      </x:c>
      <x:c r="G10" s="47" t="n">
        <x:f>G9+'Navy plan'!G10-IF($A10-Levers!$H$191&gt;=1846,INDEX('Navy plan'!G$6:G$92,$A10-1845-Levers!$H$191),0)</x:f>
        <x:v>0</x:v>
      </x:c>
      <x:c r="H10" s="47" t="n">
        <x:f>H9+'Navy plan'!H10-IF($A10-Levers!$I$191&gt;=1846,INDEX('Navy plan'!H$6:H$92,$A10-1845-Levers!$I$191),0)</x:f>
        <x:v>0</x:v>
      </x:c>
      <x:c r="I10" s="47" t="n">
        <x:f>I9+'Navy plan'!I10-IF($A10-Levers!$J$191&gt;=1846,INDEX('Navy plan'!I$6:I$92,$A10-1845-Levers!$J$191),0)</x:f>
        <x:v>0</x:v>
      </x:c>
      <x:c r="J10" s="47" t="n">
        <x:f>J9+'Navy plan'!J10-IF($A10-Levers!$K$191&gt;=1846,INDEX('Navy plan'!J$6:J$92,$A10-1845-Levers!$K$191),0)</x:f>
        <x:v>0</x:v>
      </x:c>
      <x:c r="K10" s="47" t="n">
        <x:f>SUM(B10:J10)</x:f>
        <x:v>0</x:v>
      </x:c>
      <x:c r="L10" s="53" t="n">
        <x:f>0.5*SUMPRODUCT('Navy plan'!B10:'Navy plan'!J10,'Navy plan'!K10:'Navy plan'!S10)+0.5*SUMPRODUCT('Navy plan'!B11:'Navy plan'!J11,'Navy plan'!K11:'Navy plan'!S11)</x:f>
        <x:v>0</x:v>
      </x:c>
      <x:c r="M10" s="47" t="n">
        <x:f>SUMPRODUCT(B10:J10,Levers!$C$192:$K$192)</x:f>
        <x:v>0</x:v>
      </x:c>
      <x:c r="N10" s="47" t="n">
        <x:f>SUMPRODUCT(B10:J10,Levers!$C$195:$K$195)</x:f>
        <x:v>0</x:v>
      </x:c>
      <x:c r="O10" s="47" t="n">
        <x:f>N10-M10</x:f>
        <x:v>0</x:v>
      </x:c>
      <x:c r="P10" s="53" t="n">
        <x:f>M10*sailor_pay*Economy!H10/1000000</x:f>
        <x:v>0</x:v>
      </x:c>
      <x:c r="Q10" s="53" t="n">
        <x:f>SUMPRODUCT(B10:J10,'Navy plan'!K10:'Navy plan'!S10)*maint_rate</x:f>
        <x:v>0</x:v>
      </x:c>
      <x:c r="R10" s="53" t="n">
        <x:f>SUMPRODUCT(B10:J10,Levers!$C$193:$K$193)*Economy!H10</x:f>
        <x:v>0</x:v>
      </x:c>
      <x:c r="S10" s="53" t="n">
        <x:f>SUMPRODUCT(B10:J10,Levers!$C$193:$K$193,Levers!$C$194:$K$194)*(1/oil_fuel-1)*Economy!H10</x:f>
        <x:v>0</x:v>
      </x:c>
      <x:c r="T10" s="53" t="n">
        <x:f>S10+O10*sailor_pay*Economy!H10/1000000</x:f>
        <x:v>0</x:v>
      </x:c>
      <x:c r="U10" s="53" t="n">
        <x:f>(P10+Q10+R10)*navy_overhead</x:f>
        <x:v>0</x:v>
      </x:c>
      <x:c r="V10" s="53" t="n">
        <x:f>L10+P10+Q10+R10+U10</x:f>
        <x:v>0</x:v>
      </x:c>
      <x:c r="W10" s="69" t="n">
        <x:f>Japan!I10</x:f>
        <x:v>0</x:v>
      </x:c>
      <x:c r="X10" s="53" t="n">
        <x:f>IF($A10&gt;=1927,V10+W10,0)</x:f>
        <x:v>0</x:v>
      </x:c>
      <x:c r="Y10" s="53" t="n">
        <x:f>IF($A10&gt;=1927,pac_quota*X10,V10)</x:f>
        <x:v>0</x:v>
      </x:c>
      <x:c r="Z10" s="67" t="n">
        <x:f>SUMPRODUCT(B10:J10,Levers!$C$193:$K$193,Levers!$C$194:$K$194)/0.6</x:f>
        <x:v>0</x:v>
      </x:c>
      <x:c r="AA10" s="62" t="n">
        <x:f>H10</x:f>
        <x:v>0</x:v>
      </x:c>
      <x:c r="AB10" s="47" t="n">
        <x:f>AA10+'Navy plan'!T10</x:f>
        <x:v>0</x:v>
      </x:c>
      <x:c r="AC10" s="62" t="n">
        <x:f>'Navy plan'!U10</x:f>
        <x:v>0</x:v>
      </x:c>
      <x:c r="AD10" s="62" t="n">
        <x:f>'Navy plan'!V10</x:f>
        <x:v>0</x:v>
      </x:c>
      <x:c r="AE10" s="67" t="n">
        <x:f>IF(AC10&gt;0,AB10/AC10,0)</x:f>
        <x:v>0</x:v>
      </x:c>
    </x:row>
    <x:row r="11">
      <x:c r="A11" s="58" t="n">
        <x:v>1851</x:v>
      </x:c>
      <x:c r="B11" s="47" t="n">
        <x:f>B10+'Navy plan'!B11-IF($A11-Levers!$C$191&gt;=1846,INDEX('Navy plan'!B$6:B$92,$A11-1845-Levers!$C$191),0)</x:f>
        <x:v>0</x:v>
      </x:c>
      <x:c r="C11" s="47" t="n">
        <x:f>C10+'Navy plan'!C11-IF($A11-Levers!$D$191&gt;=1846,INDEX('Navy plan'!C$6:C$92,$A11-1845-Levers!$D$191),0)</x:f>
        <x:v>0</x:v>
      </x:c>
      <x:c r="D11" s="47" t="n">
        <x:f>D10+'Navy plan'!D11-IF($A11-Levers!$E$191&gt;=1846,INDEX('Navy plan'!D$6:D$92,$A11-1845-Levers!$E$191),0)</x:f>
        <x:v>0</x:v>
      </x:c>
      <x:c r="E11" s="47" t="n">
        <x:f>E10+'Navy plan'!E11-IF($A11-Levers!$F$191&gt;=1846,INDEX('Navy plan'!E$6:E$92,$A11-1845-Levers!$F$191),0)</x:f>
        <x:v>0</x:v>
      </x:c>
      <x:c r="F11" s="47" t="n">
        <x:f>F10+'Navy plan'!F11-IF($A11-Levers!$G$191&gt;=1846,INDEX('Navy plan'!F$6:F$92,$A11-1845-Levers!$G$191),0)</x:f>
        <x:v>0</x:v>
      </x:c>
      <x:c r="G11" s="47" t="n">
        <x:f>G10+'Navy plan'!G11-IF($A11-Levers!$H$191&gt;=1846,INDEX('Navy plan'!G$6:G$92,$A11-1845-Levers!$H$191),0)</x:f>
        <x:v>0</x:v>
      </x:c>
      <x:c r="H11" s="47" t="n">
        <x:f>H10+'Navy plan'!H11-IF($A11-Levers!$I$191&gt;=1846,INDEX('Navy plan'!H$6:H$92,$A11-1845-Levers!$I$191),0)</x:f>
        <x:v>0</x:v>
      </x:c>
      <x:c r="I11" s="47" t="n">
        <x:f>I10+'Navy plan'!I11-IF($A11-Levers!$J$191&gt;=1846,INDEX('Navy plan'!I$6:I$92,$A11-1845-Levers!$J$191),0)</x:f>
        <x:v>0</x:v>
      </x:c>
      <x:c r="J11" s="47" t="n">
        <x:f>J10+'Navy plan'!J11-IF($A11-Levers!$K$191&gt;=1846,INDEX('Navy plan'!J$6:J$92,$A11-1845-Levers!$K$191),0)</x:f>
        <x:v>0</x:v>
      </x:c>
      <x:c r="K11" s="47" t="n">
        <x:f>SUM(B11:J11)</x:f>
        <x:v>0</x:v>
      </x:c>
      <x:c r="L11" s="53" t="n">
        <x:f>0.5*SUMPRODUCT('Navy plan'!B11:'Navy plan'!J11,'Navy plan'!K11:'Navy plan'!S11)+0.5*SUMPRODUCT('Navy plan'!B12:'Navy plan'!J12,'Navy plan'!K12:'Navy plan'!S12)</x:f>
        <x:v>0.21</x:v>
      </x:c>
      <x:c r="M11" s="47" t="n">
        <x:f>SUMPRODUCT(B11:J11,Levers!$C$192:$K$192)</x:f>
        <x:v>0</x:v>
      </x:c>
      <x:c r="N11" s="47" t="n">
        <x:f>SUMPRODUCT(B11:J11,Levers!$C$195:$K$195)</x:f>
        <x:v>0</x:v>
      </x:c>
      <x:c r="O11" s="47" t="n">
        <x:f>N11-M11</x:f>
        <x:v>0</x:v>
      </x:c>
      <x:c r="P11" s="53" t="n">
        <x:f>M11*sailor_pay*Economy!H11/1000000</x:f>
        <x:v>0</x:v>
      </x:c>
      <x:c r="Q11" s="53" t="n">
        <x:f>SUMPRODUCT(B11:J11,'Navy plan'!K11:'Navy plan'!S11)*maint_rate</x:f>
        <x:v>0</x:v>
      </x:c>
      <x:c r="R11" s="53" t="n">
        <x:f>SUMPRODUCT(B11:J11,Levers!$C$193:$K$193)*Economy!H11</x:f>
        <x:v>0</x:v>
      </x:c>
      <x:c r="S11" s="53" t="n">
        <x:f>SUMPRODUCT(B11:J11,Levers!$C$193:$K$193,Levers!$C$194:$K$194)*(1/oil_fuel-1)*Economy!H11</x:f>
        <x:v>0</x:v>
      </x:c>
      <x:c r="T11" s="53" t="n">
        <x:f>S11+O11*sailor_pay*Economy!H11/1000000</x:f>
        <x:v>0</x:v>
      </x:c>
      <x:c r="U11" s="53" t="n">
        <x:f>(P11+Q11+R11)*navy_overhead</x:f>
        <x:v>0</x:v>
      </x:c>
      <x:c r="V11" s="53" t="n">
        <x:f>L11+P11+Q11+R11+U11</x:f>
        <x:v>0.21</x:v>
      </x:c>
      <x:c r="W11" s="69" t="n">
        <x:f>Japan!I11</x:f>
        <x:v>0</x:v>
      </x:c>
      <x:c r="X11" s="53" t="n">
        <x:f>IF($A11&gt;=1927,V11+W11,0)</x:f>
        <x:v>0</x:v>
      </x:c>
      <x:c r="Y11" s="53" t="n">
        <x:f>IF($A11&gt;=1927,pac_quota*X11,V11)</x:f>
        <x:v>0.21</x:v>
      </x:c>
      <x:c r="Z11" s="67" t="n">
        <x:f>SUMPRODUCT(B11:J11,Levers!$C$193:$K$193,Levers!$C$194:$K$194)/0.6</x:f>
        <x:v>0</x:v>
      </x:c>
      <x:c r="AA11" s="62" t="n">
        <x:f>H11</x:f>
        <x:v>0</x:v>
      </x:c>
      <x:c r="AB11" s="47" t="n">
        <x:f>AA11+'Navy plan'!T11</x:f>
        <x:v>0</x:v>
      </x:c>
      <x:c r="AC11" s="62" t="n">
        <x:f>'Navy plan'!U11</x:f>
        <x:v>0</x:v>
      </x:c>
      <x:c r="AD11" s="62" t="n">
        <x:f>'Navy plan'!V11</x:f>
        <x:v>0</x:v>
      </x:c>
      <x:c r="AE11" s="67" t="n">
        <x:f>IF(AC11&gt;0,AB11/AC11,0)</x:f>
        <x:v>0</x:v>
      </x:c>
    </x:row>
    <x:row r="12">
      <x:c r="A12" s="58" t="n">
        <x:v>1852</x:v>
      </x:c>
      <x:c r="B12" s="47" t="n">
        <x:f>B11+'Navy plan'!B12-IF($A12-Levers!$C$191&gt;=1846,INDEX('Navy plan'!B$6:B$92,$A12-1845-Levers!$C$191),0)</x:f>
        <x:v>0</x:v>
      </x:c>
      <x:c r="C12" s="47" t="n">
        <x:f>C11+'Navy plan'!C12-IF($A12-Levers!$D$191&gt;=1846,INDEX('Navy plan'!C$6:C$92,$A12-1845-Levers!$D$191),0)</x:f>
        <x:v>1</x:v>
      </x:c>
      <x:c r="D12" s="47" t="n">
        <x:f>D11+'Navy plan'!D12-IF($A12-Levers!$E$191&gt;=1846,INDEX('Navy plan'!D$6:D$92,$A12-1845-Levers!$E$191),0)</x:f>
        <x:v>0</x:v>
      </x:c>
      <x:c r="E12" s="47" t="n">
        <x:f>E11+'Navy plan'!E12-IF($A12-Levers!$F$191&gt;=1846,INDEX('Navy plan'!E$6:E$92,$A12-1845-Levers!$F$191),0)</x:f>
        <x:v>0</x:v>
      </x:c>
      <x:c r="F12" s="47" t="n">
        <x:f>F11+'Navy plan'!F12-IF($A12-Levers!$G$191&gt;=1846,INDEX('Navy plan'!F$6:F$92,$A12-1845-Levers!$G$191),0)</x:f>
        <x:v>0</x:v>
      </x:c>
      <x:c r="G12" s="47" t="n">
        <x:f>G11+'Navy plan'!G12-IF($A12-Levers!$H$191&gt;=1846,INDEX('Navy plan'!G$6:G$92,$A12-1845-Levers!$H$191),0)</x:f>
        <x:v>0</x:v>
      </x:c>
      <x:c r="H12" s="47" t="n">
        <x:f>H11+'Navy plan'!H12-IF($A12-Levers!$I$191&gt;=1846,INDEX('Navy plan'!H$6:H$92,$A12-1845-Levers!$I$191),0)</x:f>
        <x:v>0</x:v>
      </x:c>
      <x:c r="I12" s="47" t="n">
        <x:f>I11+'Navy plan'!I12-IF($A12-Levers!$J$191&gt;=1846,INDEX('Navy plan'!I$6:I$92,$A12-1845-Levers!$J$191),0)</x:f>
        <x:v>0</x:v>
      </x:c>
      <x:c r="J12" s="47" t="n">
        <x:f>J11+'Navy plan'!J12-IF($A12-Levers!$K$191&gt;=1846,INDEX('Navy plan'!J$6:J$92,$A12-1845-Levers!$K$191),0)</x:f>
        <x:v>0</x:v>
      </x:c>
      <x:c r="K12" s="47" t="n">
        <x:f>SUM(B12:J12)</x:f>
        <x:v>1</x:v>
      </x:c>
      <x:c r="L12" s="53" t="n">
        <x:f>0.5*SUMPRODUCT('Navy plan'!B12:'Navy plan'!J12,'Navy plan'!K12:'Navy plan'!S12)+0.5*SUMPRODUCT('Navy plan'!B13:'Navy plan'!J13,'Navy plan'!K13:'Navy plan'!S13)</x:f>
        <x:v>0.21</x:v>
      </x:c>
      <x:c r="M12" s="47" t="n">
        <x:f>SUMPRODUCT(B12:J12,Levers!$C$192:$K$192)</x:f>
        <x:v>250</x:v>
      </x:c>
      <x:c r="N12" s="47" t="n">
        <x:f>SUMPRODUCT(B12:J12,Levers!$C$195:$K$195)</x:f>
        <x:v>250</x:v>
      </x:c>
      <x:c r="O12" s="47" t="n">
        <x:f>N12-M12</x:f>
        <x:v>0</x:v>
      </x:c>
      <x:c r="P12" s="53" t="n">
        <x:f>M12*sailor_pay*Economy!H12/1000000</x:f>
        <x:v>0.225</x:v>
      </x:c>
      <x:c r="Q12" s="53" t="n">
        <x:f>SUMPRODUCT(B12:J12,'Navy plan'!K12:'Navy plan'!S12)*maint_rate</x:f>
        <x:v>0.021</x:v>
      </x:c>
      <x:c r="R12" s="53" t="n">
        <x:f>SUMPRODUCT(B12:J12,Levers!$C$193:$K$193)*Economy!H12</x:f>
        <x:v>0.05</x:v>
      </x:c>
      <x:c r="S12" s="53" t="n">
        <x:f>SUMPRODUCT(B12:J12,Levers!$C$193:$K$193,Levers!$C$194:$K$194)*(1/oil_fuel-1)*Economy!H12</x:f>
        <x:v>0</x:v>
      </x:c>
      <x:c r="T12" s="53" t="n">
        <x:f>S12+O12*sailor_pay*Economy!H12/1000000</x:f>
        <x:v>0</x:v>
      </x:c>
      <x:c r="U12" s="53" t="n">
        <x:f>(P12+Q12+R12)*navy_overhead</x:f>
        <x:v>0.044399999999999995</x:v>
      </x:c>
      <x:c r="V12" s="53" t="n">
        <x:f>L12+P12+Q12+R12+U12</x:f>
        <x:v>0.5504</x:v>
      </x:c>
      <x:c r="W12" s="69" t="n">
        <x:f>Japan!I12</x:f>
        <x:v>0</x:v>
      </x:c>
      <x:c r="X12" s="53" t="n">
        <x:f>IF($A12&gt;=1927,V12+W12,0)</x:f>
        <x:v>0</x:v>
      </x:c>
      <x:c r="Y12" s="53" t="n">
        <x:f>IF($A12&gt;=1927,pac_quota*X12,V12)</x:f>
        <x:v>0.5504</x:v>
      </x:c>
      <x:c r="Z12" s="67" t="n">
        <x:f>SUMPRODUCT(B12:J12,Levers!$C$193:$K$193,Levers!$C$194:$K$194)/0.6</x:f>
        <x:v>0</x:v>
      </x:c>
      <x:c r="AA12" s="62" t="n">
        <x:f>H12</x:f>
        <x:v>0</x:v>
      </x:c>
      <x:c r="AB12" s="47" t="n">
        <x:f>AA12+'Navy plan'!T12</x:f>
        <x:v>0</x:v>
      </x:c>
      <x:c r="AC12" s="62" t="n">
        <x:f>'Navy plan'!U12</x:f>
        <x:v>0</x:v>
      </x:c>
      <x:c r="AD12" s="62" t="n">
        <x:f>'Navy plan'!V12</x:f>
        <x:v>0</x:v>
      </x:c>
      <x:c r="AE12" s="67" t="n">
        <x:f>IF(AC12&gt;0,AB12/AC12,0)</x:f>
        <x:v>0</x:v>
      </x:c>
    </x:row>
    <x:row r="13">
      <x:c r="A13" s="58" t="n">
        <x:v>1853</x:v>
      </x:c>
      <x:c r="B13" s="47" t="n">
        <x:f>B12+'Navy plan'!B13-IF($A13-Levers!$C$191&gt;=1846,INDEX('Navy plan'!B$6:B$92,$A13-1845-Levers!$C$191),0)</x:f>
        <x:v>0</x:v>
      </x:c>
      <x:c r="C13" s="47" t="n">
        <x:f>C12+'Navy plan'!C13-IF($A13-Levers!$D$191&gt;=1846,INDEX('Navy plan'!C$6:C$92,$A13-1845-Levers!$D$191),0)</x:f>
        <x:v>1</x:v>
      </x:c>
      <x:c r="D13" s="47" t="n">
        <x:f>D12+'Navy plan'!D13-IF($A13-Levers!$E$191&gt;=1846,INDEX('Navy plan'!D$6:D$92,$A13-1845-Levers!$E$191),0)</x:f>
        <x:v>0</x:v>
      </x:c>
      <x:c r="E13" s="47" t="n">
        <x:f>E12+'Navy plan'!E13-IF($A13-Levers!$F$191&gt;=1846,INDEX('Navy plan'!E$6:E$92,$A13-1845-Levers!$F$191),0)</x:f>
        <x:v>0</x:v>
      </x:c>
      <x:c r="F13" s="47" t="n">
        <x:f>F12+'Navy plan'!F13-IF($A13-Levers!$G$191&gt;=1846,INDEX('Navy plan'!F$6:F$92,$A13-1845-Levers!$G$191),0)</x:f>
        <x:v>0</x:v>
      </x:c>
      <x:c r="G13" s="47" t="n">
        <x:f>G12+'Navy plan'!G13-IF($A13-Levers!$H$191&gt;=1846,INDEX('Navy plan'!G$6:G$92,$A13-1845-Levers!$H$191),0)</x:f>
        <x:v>0</x:v>
      </x:c>
      <x:c r="H13" s="47" t="n">
        <x:f>H12+'Navy plan'!H13-IF($A13-Levers!$I$191&gt;=1846,INDEX('Navy plan'!H$6:H$92,$A13-1845-Levers!$I$191),0)</x:f>
        <x:v>0</x:v>
      </x:c>
      <x:c r="I13" s="47" t="n">
        <x:f>I12+'Navy plan'!I13-IF($A13-Levers!$J$191&gt;=1846,INDEX('Navy plan'!I$6:I$92,$A13-1845-Levers!$J$191),0)</x:f>
        <x:v>0</x:v>
      </x:c>
      <x:c r="J13" s="47" t="n">
        <x:f>J12+'Navy plan'!J13-IF($A13-Levers!$K$191&gt;=1846,INDEX('Navy plan'!J$6:J$92,$A13-1845-Levers!$K$191),0)</x:f>
        <x:v>0</x:v>
      </x:c>
      <x:c r="K13" s="47" t="n">
        <x:f>SUM(B13:J13)</x:f>
        <x:v>1</x:v>
      </x:c>
      <x:c r="L13" s="53" t="n">
        <x:f>0.5*SUMPRODUCT('Navy plan'!B13:'Navy plan'!J13,'Navy plan'!K13:'Navy plan'!S13)+0.5*SUMPRODUCT('Navy plan'!B14:'Navy plan'!J14,'Navy plan'!K14:'Navy plan'!S14)</x:f>
        <x:v>0</x:v>
      </x:c>
      <x:c r="M13" s="47" t="n">
        <x:f>SUMPRODUCT(B13:J13,Levers!$C$192:$K$192)</x:f>
        <x:v>250</x:v>
      </x:c>
      <x:c r="N13" s="47" t="n">
        <x:f>SUMPRODUCT(B13:J13,Levers!$C$195:$K$195)</x:f>
        <x:v>250</x:v>
      </x:c>
      <x:c r="O13" s="47" t="n">
        <x:f>N13-M13</x:f>
        <x:v>0</x:v>
      </x:c>
      <x:c r="P13" s="53" t="n">
        <x:f>M13*sailor_pay*Economy!H13/1000000</x:f>
        <x:v>0.22275</x:v>
      </x:c>
      <x:c r="Q13" s="53" t="n">
        <x:f>SUMPRODUCT(B13:J13,'Navy plan'!K13:'Navy plan'!S13)*maint_rate</x:f>
        <x:v>0.021500000000000002</x:v>
      </x:c>
      <x:c r="R13" s="53" t="n">
        <x:f>SUMPRODUCT(B13:J13,Levers!$C$193:$K$193)*Economy!H13</x:f>
        <x:v>0.0495</x:v>
      </x:c>
      <x:c r="S13" s="53" t="n">
        <x:f>SUMPRODUCT(B13:J13,Levers!$C$193:$K$193,Levers!$C$194:$K$194)*(1/oil_fuel-1)*Economy!H13</x:f>
        <x:v>0</x:v>
      </x:c>
      <x:c r="T13" s="53" t="n">
        <x:f>S13+O13*sailor_pay*Economy!H13/1000000</x:f>
        <x:v>0</x:v>
      </x:c>
      <x:c r="U13" s="53" t="n">
        <x:f>(P13+Q13+R13)*navy_overhead</x:f>
        <x:v>0.0440625</x:v>
      </x:c>
      <x:c r="V13" s="53" t="n">
        <x:f>L13+P13+Q13+R13+U13</x:f>
        <x:v>0.3378125</x:v>
      </x:c>
      <x:c r="W13" s="69" t="n">
        <x:f>Japan!I13</x:f>
        <x:v>0</x:v>
      </x:c>
      <x:c r="X13" s="53" t="n">
        <x:f>IF($A13&gt;=1927,V13+W13,0)</x:f>
        <x:v>0</x:v>
      </x:c>
      <x:c r="Y13" s="53" t="n">
        <x:f>IF($A13&gt;=1927,pac_quota*X13,V13)</x:f>
        <x:v>0.3378125</x:v>
      </x:c>
      <x:c r="Z13" s="67" t="n">
        <x:f>SUMPRODUCT(B13:J13,Levers!$C$193:$K$193,Levers!$C$194:$K$194)/0.6</x:f>
        <x:v>0</x:v>
      </x:c>
      <x:c r="AA13" s="62" t="n">
        <x:f>H13</x:f>
        <x:v>0</x:v>
      </x:c>
      <x:c r="AB13" s="47" t="n">
        <x:f>AA13+'Navy plan'!T13</x:f>
        <x:v>0</x:v>
      </x:c>
      <x:c r="AC13" s="62" t="n">
        <x:f>'Navy plan'!U13</x:f>
        <x:v>0</x:v>
      </x:c>
      <x:c r="AD13" s="62" t="n">
        <x:f>'Navy plan'!V13</x:f>
        <x:v>0</x:v>
      </x:c>
      <x:c r="AE13" s="67" t="n">
        <x:f>IF(AC13&gt;0,AB13/AC13,0)</x:f>
        <x:v>0</x:v>
      </x:c>
    </x:row>
    <x:row r="14">
      <x:c r="A14" s="58" t="n">
        <x:v>1854</x:v>
      </x:c>
      <x:c r="B14" s="47" t="n">
        <x:f>B13+'Navy plan'!B14-IF($A14-Levers!$C$191&gt;=1846,INDEX('Navy plan'!B$6:B$92,$A14-1845-Levers!$C$191),0)</x:f>
        <x:v>0</x:v>
      </x:c>
      <x:c r="C14" s="47" t="n">
        <x:f>C13+'Navy plan'!C14-IF($A14-Levers!$D$191&gt;=1846,INDEX('Navy plan'!C$6:C$92,$A14-1845-Levers!$D$191),0)</x:f>
        <x:v>1</x:v>
      </x:c>
      <x:c r="D14" s="47" t="n">
        <x:f>D13+'Navy plan'!D14-IF($A14-Levers!$E$191&gt;=1846,INDEX('Navy plan'!D$6:D$92,$A14-1845-Levers!$E$191),0)</x:f>
        <x:v>0</x:v>
      </x:c>
      <x:c r="E14" s="47" t="n">
        <x:f>E13+'Navy plan'!E14-IF($A14-Levers!$F$191&gt;=1846,INDEX('Navy plan'!E$6:E$92,$A14-1845-Levers!$F$191),0)</x:f>
        <x:v>0</x:v>
      </x:c>
      <x:c r="F14" s="47" t="n">
        <x:f>F13+'Navy plan'!F14-IF($A14-Levers!$G$191&gt;=1846,INDEX('Navy plan'!F$6:F$92,$A14-1845-Levers!$G$191),0)</x:f>
        <x:v>0</x:v>
      </x:c>
      <x:c r="G14" s="47" t="n">
        <x:f>G13+'Navy plan'!G14-IF($A14-Levers!$H$191&gt;=1846,INDEX('Navy plan'!G$6:G$92,$A14-1845-Levers!$H$191),0)</x:f>
        <x:v>0</x:v>
      </x:c>
      <x:c r="H14" s="47" t="n">
        <x:f>H13+'Navy plan'!H14-IF($A14-Levers!$I$191&gt;=1846,INDEX('Navy plan'!H$6:H$92,$A14-1845-Levers!$I$191),0)</x:f>
        <x:v>0</x:v>
      </x:c>
      <x:c r="I14" s="47" t="n">
        <x:f>I13+'Navy plan'!I14-IF($A14-Levers!$J$191&gt;=1846,INDEX('Navy plan'!I$6:I$92,$A14-1845-Levers!$J$191),0)</x:f>
        <x:v>0</x:v>
      </x:c>
      <x:c r="J14" s="47" t="n">
        <x:f>J13+'Navy plan'!J14-IF($A14-Levers!$K$191&gt;=1846,INDEX('Navy plan'!J$6:J$92,$A14-1845-Levers!$K$191),0)</x:f>
        <x:v>0</x:v>
      </x:c>
      <x:c r="K14" s="47" t="n">
        <x:f>SUM(B14:J14)</x:f>
        <x:v>1</x:v>
      </x:c>
      <x:c r="L14" s="53" t="n">
        <x:f>0.5*SUMPRODUCT('Navy plan'!B14:'Navy plan'!J14,'Navy plan'!K14:'Navy plan'!S14)+0.5*SUMPRODUCT('Navy plan'!B15:'Navy plan'!J15,'Navy plan'!K15:'Navy plan'!S15)</x:f>
        <x:v>0.225</x:v>
      </x:c>
      <x:c r="M14" s="47" t="n">
        <x:f>SUMPRODUCT(B14:J14,Levers!$C$192:$K$192)</x:f>
        <x:v>250</x:v>
      </x:c>
      <x:c r="N14" s="47" t="n">
        <x:f>SUMPRODUCT(B14:J14,Levers!$C$195:$K$195)</x:f>
        <x:v>250</x:v>
      </x:c>
      <x:c r="O14" s="47" t="n">
        <x:f>N14-M14</x:f>
        <x:v>0</x:v>
      </x:c>
      <x:c r="P14" s="53" t="n">
        <x:f>M14*sailor_pay*Economy!H14/1000000</x:f>
        <x:v>0.21825</x:v>
      </x:c>
      <x:c r="Q14" s="53" t="n">
        <x:f>SUMPRODUCT(B14:J14,'Navy plan'!K14:'Navy plan'!S14)*maint_rate</x:f>
        <x:v>0.022000000000000002</x:v>
      </x:c>
      <x:c r="R14" s="53" t="n">
        <x:f>SUMPRODUCT(B14:J14,Levers!$C$193:$K$193)*Economy!H14</x:f>
        <x:v>0.0485</x:v>
      </x:c>
      <x:c r="S14" s="53" t="n">
        <x:f>SUMPRODUCT(B14:J14,Levers!$C$193:$K$193,Levers!$C$194:$K$194)*(1/oil_fuel-1)*Economy!H14</x:f>
        <x:v>0</x:v>
      </x:c>
      <x:c r="T14" s="53" t="n">
        <x:f>S14+O14*sailor_pay*Economy!H14/1000000</x:f>
        <x:v>0</x:v>
      </x:c>
      <x:c r="U14" s="53" t="n">
        <x:f>(P14+Q14+R14)*navy_overhead</x:f>
        <x:v>0.0433125</x:v>
      </x:c>
      <x:c r="V14" s="53" t="n">
        <x:f>L14+P14+Q14+R14+U14</x:f>
        <x:v>0.5570625</x:v>
      </x:c>
      <x:c r="W14" s="69" t="n">
        <x:f>Japan!I14</x:f>
        <x:v>0</x:v>
      </x:c>
      <x:c r="X14" s="53" t="n">
        <x:f>IF($A14&gt;=1927,V14+W14,0)</x:f>
        <x:v>0</x:v>
      </x:c>
      <x:c r="Y14" s="53" t="n">
        <x:f>IF($A14&gt;=1927,pac_quota*X14,V14)</x:f>
        <x:v>0.5570625</x:v>
      </x:c>
      <x:c r="Z14" s="67" t="n">
        <x:f>SUMPRODUCT(B14:J14,Levers!$C$193:$K$193,Levers!$C$194:$K$194)/0.6</x:f>
        <x:v>0</x:v>
      </x:c>
      <x:c r="AA14" s="62" t="n">
        <x:f>H14</x:f>
        <x:v>0</x:v>
      </x:c>
      <x:c r="AB14" s="47" t="n">
        <x:f>AA14+'Navy plan'!T14</x:f>
        <x:v>0</x:v>
      </x:c>
      <x:c r="AC14" s="62" t="n">
        <x:f>'Navy plan'!U14</x:f>
        <x:v>0</x:v>
      </x:c>
      <x:c r="AD14" s="62" t="n">
        <x:f>'Navy plan'!V14</x:f>
        <x:v>0</x:v>
      </x:c>
      <x:c r="AE14" s="67" t="n">
        <x:f>IF(AC14&gt;0,AB14/AC14,0)</x:f>
        <x:v>0</x:v>
      </x:c>
    </x:row>
    <x:row r="15">
      <x:c r="A15" s="58" t="n">
        <x:v>1855</x:v>
      </x:c>
      <x:c r="B15" s="47" t="n">
        <x:f>B14+'Navy plan'!B15-IF($A15-Levers!$C$191&gt;=1846,INDEX('Navy plan'!B$6:B$92,$A15-1845-Levers!$C$191),0)</x:f>
        <x:v>0</x:v>
      </x:c>
      <x:c r="C15" s="47" t="n">
        <x:f>C14+'Navy plan'!C15-IF($A15-Levers!$D$191&gt;=1846,INDEX('Navy plan'!C$6:C$92,$A15-1845-Levers!$D$191),0)</x:f>
        <x:v>2</x:v>
      </x:c>
      <x:c r="D15" s="47" t="n">
        <x:f>D14+'Navy plan'!D15-IF($A15-Levers!$E$191&gt;=1846,INDEX('Navy plan'!D$6:D$92,$A15-1845-Levers!$E$191),0)</x:f>
        <x:v>0</x:v>
      </x:c>
      <x:c r="E15" s="47" t="n">
        <x:f>E14+'Navy plan'!E15-IF($A15-Levers!$F$191&gt;=1846,INDEX('Navy plan'!E$6:E$92,$A15-1845-Levers!$F$191),0)</x:f>
        <x:v>0</x:v>
      </x:c>
      <x:c r="F15" s="47" t="n">
        <x:f>F14+'Navy plan'!F15-IF($A15-Levers!$G$191&gt;=1846,INDEX('Navy plan'!F$6:F$92,$A15-1845-Levers!$G$191),0)</x:f>
        <x:v>0</x:v>
      </x:c>
      <x:c r="G15" s="47" t="n">
        <x:f>G14+'Navy plan'!G15-IF($A15-Levers!$H$191&gt;=1846,INDEX('Navy plan'!G$6:G$92,$A15-1845-Levers!$H$191),0)</x:f>
        <x:v>0</x:v>
      </x:c>
      <x:c r="H15" s="47" t="n">
        <x:f>H14+'Navy plan'!H15-IF($A15-Levers!$I$191&gt;=1846,INDEX('Navy plan'!H$6:H$92,$A15-1845-Levers!$I$191),0)</x:f>
        <x:v>0</x:v>
      </x:c>
      <x:c r="I15" s="47" t="n">
        <x:f>I14+'Navy plan'!I15-IF($A15-Levers!$J$191&gt;=1846,INDEX('Navy plan'!I$6:I$92,$A15-1845-Levers!$J$191),0)</x:f>
        <x:v>0</x:v>
      </x:c>
      <x:c r="J15" s="47" t="n">
        <x:f>J14+'Navy plan'!J15-IF($A15-Levers!$K$191&gt;=1846,INDEX('Navy plan'!J$6:J$92,$A15-1845-Levers!$K$191),0)</x:f>
        <x:v>0</x:v>
      </x:c>
      <x:c r="K15" s="47" t="n">
        <x:f>SUM(B15:J15)</x:f>
        <x:v>2</x:v>
      </x:c>
      <x:c r="L15" s="53" t="n">
        <x:f>0.5*SUMPRODUCT('Navy plan'!B15:'Navy plan'!J15,'Navy plan'!K15:'Navy plan'!S15)+0.5*SUMPRODUCT('Navy plan'!B16:'Navy plan'!J16,'Navy plan'!K16:'Navy plan'!S16)</x:f>
        <x:v>0.225</x:v>
      </x:c>
      <x:c r="M15" s="47" t="n">
        <x:f>SUMPRODUCT(B15:J15,Levers!$C$192:$K$192)</x:f>
        <x:v>500</x:v>
      </x:c>
      <x:c r="N15" s="47" t="n">
        <x:f>SUMPRODUCT(B15:J15,Levers!$C$195:$K$195)</x:f>
        <x:v>500</x:v>
      </x:c>
      <x:c r="O15" s="47" t="n">
        <x:f>N15-M15</x:f>
        <x:v>0</x:v>
      </x:c>
      <x:c r="P15" s="53" t="n">
        <x:f>M15*sailor_pay*Economy!H15/1000000</x:f>
        <x:v>0.4275</x:v>
      </x:c>
      <x:c r="Q15" s="53" t="n">
        <x:f>SUMPRODUCT(B15:J15,'Navy plan'!K15:'Navy plan'!S15)*maint_rate</x:f>
        <x:v>0.045000000000000005</x:v>
      </x:c>
      <x:c r="R15" s="53" t="n">
        <x:f>SUMPRODUCT(B15:J15,Levers!$C$193:$K$193)*Economy!H15</x:f>
        <x:v>0.095</x:v>
      </x:c>
      <x:c r="S15" s="53" t="n">
        <x:f>SUMPRODUCT(B15:J15,Levers!$C$193:$K$193,Levers!$C$194:$K$194)*(1/oil_fuel-1)*Economy!H15</x:f>
        <x:v>0</x:v>
      </x:c>
      <x:c r="T15" s="53" t="n">
        <x:f>S15+O15*sailor_pay*Economy!H15/1000000</x:f>
        <x:v>0</x:v>
      </x:c>
      <x:c r="U15" s="53" t="n">
        <x:f>(P15+Q15+R15)*navy_overhead</x:f>
        <x:v>0.08512499999999999</x:v>
      </x:c>
      <x:c r="V15" s="53" t="n">
        <x:f>L15+P15+Q15+R15+U15</x:f>
        <x:v>0.877625</x:v>
      </x:c>
      <x:c r="W15" s="69" t="n">
        <x:f>Japan!I15</x:f>
        <x:v>0</x:v>
      </x:c>
      <x:c r="X15" s="53" t="n">
        <x:f>IF($A15&gt;=1927,V15+W15,0)</x:f>
        <x:v>0</x:v>
      </x:c>
      <x:c r="Y15" s="53" t="n">
        <x:f>IF($A15&gt;=1927,pac_quota*X15,V15)</x:f>
        <x:v>0.877625</x:v>
      </x:c>
      <x:c r="Z15" s="67" t="n">
        <x:f>SUMPRODUCT(B15:J15,Levers!$C$193:$K$193,Levers!$C$194:$K$194)/0.6</x:f>
        <x:v>0</x:v>
      </x:c>
      <x:c r="AA15" s="62" t="n">
        <x:f>H15</x:f>
        <x:v>0</x:v>
      </x:c>
      <x:c r="AB15" s="47" t="n">
        <x:f>AA15+'Navy plan'!T15</x:f>
        <x:v>0</x:v>
      </x:c>
      <x:c r="AC15" s="62" t="n">
        <x:f>'Navy plan'!U15</x:f>
        <x:v>0</x:v>
      </x:c>
      <x:c r="AD15" s="62" t="n">
        <x:f>'Navy plan'!V15</x:f>
        <x:v>0</x:v>
      </x:c>
      <x:c r="AE15" s="67" t="n">
        <x:f>IF(AC15&gt;0,AB15/AC15,0)</x:f>
        <x:v>0</x:v>
      </x:c>
    </x:row>
    <x:row r="16">
      <x:c r="A16" s="58" t="n">
        <x:v>1856</x:v>
      </x:c>
      <x:c r="B16" s="47" t="n">
        <x:f>B15+'Navy plan'!B16-IF($A16-Levers!$C$191&gt;=1846,INDEX('Navy plan'!B$6:B$92,$A16-1845-Levers!$C$191),0)</x:f>
        <x:v>0</x:v>
      </x:c>
      <x:c r="C16" s="47" t="n">
        <x:f>C15+'Navy plan'!C16-IF($A16-Levers!$D$191&gt;=1846,INDEX('Navy plan'!C$6:C$92,$A16-1845-Levers!$D$191),0)</x:f>
        <x:v>2</x:v>
      </x:c>
      <x:c r="D16" s="47" t="n">
        <x:f>D15+'Navy plan'!D16-IF($A16-Levers!$E$191&gt;=1846,INDEX('Navy plan'!D$6:D$92,$A16-1845-Levers!$E$191),0)</x:f>
        <x:v>0</x:v>
      </x:c>
      <x:c r="E16" s="47" t="n">
        <x:f>E15+'Navy plan'!E16-IF($A16-Levers!$F$191&gt;=1846,INDEX('Navy plan'!E$6:E$92,$A16-1845-Levers!$F$191),0)</x:f>
        <x:v>0</x:v>
      </x:c>
      <x:c r="F16" s="47" t="n">
        <x:f>F15+'Navy plan'!F16-IF($A16-Levers!$G$191&gt;=1846,INDEX('Navy plan'!F$6:F$92,$A16-1845-Levers!$G$191),0)</x:f>
        <x:v>0</x:v>
      </x:c>
      <x:c r="G16" s="47" t="n">
        <x:f>G15+'Navy plan'!G16-IF($A16-Levers!$H$191&gt;=1846,INDEX('Navy plan'!G$6:G$92,$A16-1845-Levers!$H$191),0)</x:f>
        <x:v>0</x:v>
      </x:c>
      <x:c r="H16" s="47" t="n">
        <x:f>H15+'Navy plan'!H16-IF($A16-Levers!$I$191&gt;=1846,INDEX('Navy plan'!H$6:H$92,$A16-1845-Levers!$I$191),0)</x:f>
        <x:v>0</x:v>
      </x:c>
      <x:c r="I16" s="47" t="n">
        <x:f>I15+'Navy plan'!I16-IF($A16-Levers!$J$191&gt;=1846,INDEX('Navy plan'!I$6:I$92,$A16-1845-Levers!$J$191),0)</x:f>
        <x:v>0</x:v>
      </x:c>
      <x:c r="J16" s="47" t="n">
        <x:f>J15+'Navy plan'!J16-IF($A16-Levers!$K$191&gt;=1846,INDEX('Navy plan'!J$6:J$92,$A16-1845-Levers!$K$191),0)</x:f>
        <x:v>0</x:v>
      </x:c>
      <x:c r="K16" s="47" t="n">
        <x:f>SUM(B16:J16)</x:f>
        <x:v>2</x:v>
      </x:c>
      <x:c r="L16" s="53" t="n">
        <x:f>0.5*SUMPRODUCT('Navy plan'!B16:'Navy plan'!J16,'Navy plan'!K16:'Navy plan'!S16)+0.5*SUMPRODUCT('Navy plan'!B17:'Navy plan'!J17,'Navy plan'!K17:'Navy plan'!S17)</x:f>
        <x:v>0</x:v>
      </x:c>
      <x:c r="M16" s="47" t="n">
        <x:f>SUMPRODUCT(B16:J16,Levers!$C$192:$K$192)</x:f>
        <x:v>500</x:v>
      </x:c>
      <x:c r="N16" s="47" t="n">
        <x:f>SUMPRODUCT(B16:J16,Levers!$C$195:$K$195)</x:f>
        <x:v>500</x:v>
      </x:c>
      <x:c r="O16" s="47" t="n">
        <x:f>N16-M16</x:f>
        <x:v>0</x:v>
      </x:c>
      <x:c r="P16" s="53" t="n">
        <x:f>M16*sailor_pay*Economy!H16/1000000</x:f>
        <x:v>0.42075</x:v>
      </x:c>
      <x:c r="Q16" s="53" t="n">
        <x:f>SUMPRODUCT(B16:J16,'Navy plan'!K16:'Navy plan'!S16)*maint_rate</x:f>
        <x:v>0.046000000000000006</x:v>
      </x:c>
      <x:c r="R16" s="53" t="n">
        <x:f>SUMPRODUCT(B16:J16,Levers!$C$193:$K$193)*Economy!H16</x:f>
        <x:v>0.09350000000000001</x:v>
      </x:c>
      <x:c r="S16" s="53" t="n">
        <x:f>SUMPRODUCT(B16:J16,Levers!$C$193:$K$193,Levers!$C$194:$K$194)*(1/oil_fuel-1)*Economy!H16</x:f>
        <x:v>0</x:v>
      </x:c>
      <x:c r="T16" s="53" t="n">
        <x:f>S16+O16*sailor_pay*Economy!H16/1000000</x:f>
        <x:v>0</x:v>
      </x:c>
      <x:c r="U16" s="53" t="n">
        <x:f>(P16+Q16+R16)*navy_overhead</x:f>
        <x:v>0.0840375</x:v>
      </x:c>
      <x:c r="V16" s="53" t="n">
        <x:f>L16+P16+Q16+R16+U16</x:f>
        <x:v>0.6442875</x:v>
      </x:c>
      <x:c r="W16" s="69" t="n">
        <x:f>Japan!I16</x:f>
        <x:v>0</x:v>
      </x:c>
      <x:c r="X16" s="53" t="n">
        <x:f>IF($A16&gt;=1927,V16+W16,0)</x:f>
        <x:v>0</x:v>
      </x:c>
      <x:c r="Y16" s="53" t="n">
        <x:f>IF($A16&gt;=1927,pac_quota*X16,V16)</x:f>
        <x:v>0.6442875</x:v>
      </x:c>
      <x:c r="Z16" s="67" t="n">
        <x:f>SUMPRODUCT(B16:J16,Levers!$C$193:$K$193,Levers!$C$194:$K$194)/0.6</x:f>
        <x:v>0</x:v>
      </x:c>
      <x:c r="AA16" s="62" t="n">
        <x:f>H16</x:f>
        <x:v>0</x:v>
      </x:c>
      <x:c r="AB16" s="47" t="n">
        <x:f>AA16+'Navy plan'!T16</x:f>
        <x:v>0</x:v>
      </x:c>
      <x:c r="AC16" s="62" t="n">
        <x:f>'Navy plan'!U16</x:f>
        <x:v>0</x:v>
      </x:c>
      <x:c r="AD16" s="62" t="n">
        <x:f>'Navy plan'!V16</x:f>
        <x:v>0</x:v>
      </x:c>
      <x:c r="AE16" s="67" t="n">
        <x:f>IF(AC16&gt;0,AB16/AC16,0)</x:f>
        <x:v>0</x:v>
      </x:c>
    </x:row>
    <x:row r="17">
      <x:c r="A17" s="58" t="n">
        <x:v>1857</x:v>
      </x:c>
      <x:c r="B17" s="47" t="n">
        <x:f>B16+'Navy plan'!B17-IF($A17-Levers!$C$191&gt;=1846,INDEX('Navy plan'!B$6:B$92,$A17-1845-Levers!$C$191),0)</x:f>
        <x:v>0</x:v>
      </x:c>
      <x:c r="C17" s="47" t="n">
        <x:f>C16+'Navy plan'!C17-IF($A17-Levers!$D$191&gt;=1846,INDEX('Navy plan'!C$6:C$92,$A17-1845-Levers!$D$191),0)</x:f>
        <x:v>2</x:v>
      </x:c>
      <x:c r="D17" s="47" t="n">
        <x:f>D16+'Navy plan'!D17-IF($A17-Levers!$E$191&gt;=1846,INDEX('Navy plan'!D$6:D$92,$A17-1845-Levers!$E$191),0)</x:f>
        <x:v>0</x:v>
      </x:c>
      <x:c r="E17" s="47" t="n">
        <x:f>E16+'Navy plan'!E17-IF($A17-Levers!$F$191&gt;=1846,INDEX('Navy plan'!E$6:E$92,$A17-1845-Levers!$F$191),0)</x:f>
        <x:v>0</x:v>
      </x:c>
      <x:c r="F17" s="47" t="n">
        <x:f>F16+'Navy plan'!F17-IF($A17-Levers!$G$191&gt;=1846,INDEX('Navy plan'!F$6:F$92,$A17-1845-Levers!$G$191),0)</x:f>
        <x:v>0</x:v>
      </x:c>
      <x:c r="G17" s="47" t="n">
        <x:f>G16+'Navy plan'!G17-IF($A17-Levers!$H$191&gt;=1846,INDEX('Navy plan'!G$6:G$92,$A17-1845-Levers!$H$191),0)</x:f>
        <x:v>0</x:v>
      </x:c>
      <x:c r="H17" s="47" t="n">
        <x:f>H16+'Navy plan'!H17-IF($A17-Levers!$I$191&gt;=1846,INDEX('Navy plan'!H$6:H$92,$A17-1845-Levers!$I$191),0)</x:f>
        <x:v>0</x:v>
      </x:c>
      <x:c r="I17" s="47" t="n">
        <x:f>I16+'Navy plan'!I17-IF($A17-Levers!$J$191&gt;=1846,INDEX('Navy plan'!I$6:I$92,$A17-1845-Levers!$J$191),0)</x:f>
        <x:v>0</x:v>
      </x:c>
      <x:c r="J17" s="47" t="n">
        <x:f>J16+'Navy plan'!J17-IF($A17-Levers!$K$191&gt;=1846,INDEX('Navy plan'!J$6:J$92,$A17-1845-Levers!$K$191),0)</x:f>
        <x:v>0</x:v>
      </x:c>
      <x:c r="K17" s="47" t="n">
        <x:f>SUM(B17:J17)</x:f>
        <x:v>2</x:v>
      </x:c>
      <x:c r="L17" s="53" t="n">
        <x:f>0.5*SUMPRODUCT('Navy plan'!B17:'Navy plan'!J17,'Navy plan'!K17:'Navy plan'!S17)+0.5*SUMPRODUCT('Navy plan'!B18:'Navy plan'!J18,'Navy plan'!K18:'Navy plan'!S18)</x:f>
        <x:v>0.24</x:v>
      </x:c>
      <x:c r="M17" s="47" t="n">
        <x:f>SUMPRODUCT(B17:J17,Levers!$C$192:$K$192)</x:f>
        <x:v>500</x:v>
      </x:c>
      <x:c r="N17" s="47" t="n">
        <x:f>SUMPRODUCT(B17:J17,Levers!$C$195:$K$195)</x:f>
        <x:v>500</x:v>
      </x:c>
      <x:c r="O17" s="47" t="n">
        <x:f>N17-M17</x:f>
        <x:v>0</x:v>
      </x:c>
      <x:c r="P17" s="53" t="n">
        <x:f>M17*sailor_pay*Economy!H17/1000000</x:f>
        <x:v>0.414</x:v>
      </x:c>
      <x:c r="Q17" s="53" t="n">
        <x:f>SUMPRODUCT(B17:J17,'Navy plan'!K17:'Navy plan'!S17)*maint_rate</x:f>
        <x:v>0.047</x:v>
      </x:c>
      <x:c r="R17" s="53" t="n">
        <x:f>SUMPRODUCT(B17:J17,Levers!$C$193:$K$193)*Economy!H17</x:f>
        <x:v>0.09200000000000001</x:v>
      </x:c>
      <x:c r="S17" s="53" t="n">
        <x:f>SUMPRODUCT(B17:J17,Levers!$C$193:$K$193,Levers!$C$194:$K$194)*(1/oil_fuel-1)*Economy!H17</x:f>
        <x:v>0</x:v>
      </x:c>
      <x:c r="T17" s="53" t="n">
        <x:f>S17+O17*sailor_pay*Economy!H17/1000000</x:f>
        <x:v>0</x:v>
      </x:c>
      <x:c r="U17" s="53" t="n">
        <x:f>(P17+Q17+R17)*navy_overhead</x:f>
        <x:v>0.08294999999999998</x:v>
      </x:c>
      <x:c r="V17" s="53" t="n">
        <x:f>L17+P17+Q17+R17+U17</x:f>
        <x:v>0.8759499999999999</x:v>
      </x:c>
      <x:c r="W17" s="69" t="n">
        <x:f>Japan!I17</x:f>
        <x:v>0</x:v>
      </x:c>
      <x:c r="X17" s="53" t="n">
        <x:f>IF($A17&gt;=1927,V17+W17,0)</x:f>
        <x:v>0</x:v>
      </x:c>
      <x:c r="Y17" s="53" t="n">
        <x:f>IF($A17&gt;=1927,pac_quota*X17,V17)</x:f>
        <x:v>0.8759499999999999</x:v>
      </x:c>
      <x:c r="Z17" s="67" t="n">
        <x:f>SUMPRODUCT(B17:J17,Levers!$C$193:$K$193,Levers!$C$194:$K$194)/0.6</x:f>
        <x:v>0</x:v>
      </x:c>
      <x:c r="AA17" s="62" t="n">
        <x:f>H17</x:f>
        <x:v>0</x:v>
      </x:c>
      <x:c r="AB17" s="47" t="n">
        <x:f>AA17+'Navy plan'!T17</x:f>
        <x:v>0</x:v>
      </x:c>
      <x:c r="AC17" s="62" t="n">
        <x:f>'Navy plan'!U17</x:f>
        <x:v>0</x:v>
      </x:c>
      <x:c r="AD17" s="62" t="n">
        <x:f>'Navy plan'!V17</x:f>
        <x:v>0</x:v>
      </x:c>
      <x:c r="AE17" s="67" t="n">
        <x:f>IF(AC17&gt;0,AB17/AC17,0)</x:f>
        <x:v>0</x:v>
      </x:c>
    </x:row>
    <x:row r="18">
      <x:c r="A18" s="58" t="n">
        <x:v>1858</x:v>
      </x:c>
      <x:c r="B18" s="47" t="n">
        <x:f>B17+'Navy plan'!B18-IF($A18-Levers!$C$191&gt;=1846,INDEX('Navy plan'!B$6:B$92,$A18-1845-Levers!$C$191),0)</x:f>
        <x:v>0</x:v>
      </x:c>
      <x:c r="C18" s="47" t="n">
        <x:f>C17+'Navy plan'!C18-IF($A18-Levers!$D$191&gt;=1846,INDEX('Navy plan'!C$6:C$92,$A18-1845-Levers!$D$191),0)</x:f>
        <x:v>3</x:v>
      </x:c>
      <x:c r="D18" s="47" t="n">
        <x:f>D17+'Navy plan'!D18-IF($A18-Levers!$E$191&gt;=1846,INDEX('Navy plan'!D$6:D$92,$A18-1845-Levers!$E$191),0)</x:f>
        <x:v>0</x:v>
      </x:c>
      <x:c r="E18" s="47" t="n">
        <x:f>E17+'Navy plan'!E18-IF($A18-Levers!$F$191&gt;=1846,INDEX('Navy plan'!E$6:E$92,$A18-1845-Levers!$F$191),0)</x:f>
        <x:v>0</x:v>
      </x:c>
      <x:c r="F18" s="47" t="n">
        <x:f>F17+'Navy plan'!F18-IF($A18-Levers!$G$191&gt;=1846,INDEX('Navy plan'!F$6:F$92,$A18-1845-Levers!$G$191),0)</x:f>
        <x:v>0</x:v>
      </x:c>
      <x:c r="G18" s="47" t="n">
        <x:f>G17+'Navy plan'!G18-IF($A18-Levers!$H$191&gt;=1846,INDEX('Navy plan'!G$6:G$92,$A18-1845-Levers!$H$191),0)</x:f>
        <x:v>0</x:v>
      </x:c>
      <x:c r="H18" s="47" t="n">
        <x:f>H17+'Navy plan'!H18-IF($A18-Levers!$I$191&gt;=1846,INDEX('Navy plan'!H$6:H$92,$A18-1845-Levers!$I$191),0)</x:f>
        <x:v>0</x:v>
      </x:c>
      <x:c r="I18" s="47" t="n">
        <x:f>I17+'Navy plan'!I18-IF($A18-Levers!$J$191&gt;=1846,INDEX('Navy plan'!I$6:I$92,$A18-1845-Levers!$J$191),0)</x:f>
        <x:v>0</x:v>
      </x:c>
      <x:c r="J18" s="47" t="n">
        <x:f>J17+'Navy plan'!J18-IF($A18-Levers!$K$191&gt;=1846,INDEX('Navy plan'!J$6:J$92,$A18-1845-Levers!$K$191),0)</x:f>
        <x:v>0</x:v>
      </x:c>
      <x:c r="K18" s="47" t="n">
        <x:f>SUM(B18:J18)</x:f>
        <x:v>3</x:v>
      </x:c>
      <x:c r="L18" s="53" t="n">
        <x:f>0.5*SUMPRODUCT('Navy plan'!B18:'Navy plan'!J18,'Navy plan'!K18:'Navy plan'!S18)+0.5*SUMPRODUCT('Navy plan'!B19:'Navy plan'!J19,'Navy plan'!K19:'Navy plan'!S19)</x:f>
        <x:v>0.24</x:v>
      </x:c>
      <x:c r="M18" s="47" t="n">
        <x:f>SUMPRODUCT(B18:J18,Levers!$C$192:$K$192)</x:f>
        <x:v>750</x:v>
      </x:c>
      <x:c r="N18" s="47" t="n">
        <x:f>SUMPRODUCT(B18:J18,Levers!$C$195:$K$195)</x:f>
        <x:v>750</x:v>
      </x:c>
      <x:c r="O18" s="47" t="n">
        <x:f>N18-M18</x:f>
        <x:v>0</x:v>
      </x:c>
      <x:c r="P18" s="53" t="n">
        <x:f>M18*sailor_pay*Economy!H18/1000000</x:f>
        <x:v>0.6120225</x:v>
      </x:c>
      <x:c r="Q18" s="53" t="n">
        <x:f>SUMPRODUCT(B18:J18,'Navy plan'!K18:'Navy plan'!S18)*maint_rate</x:f>
        <x:v>0.072</x:v>
      </x:c>
      <x:c r="R18" s="53" t="n">
        <x:f>SUMPRODUCT(B18:J18,Levers!$C$193:$K$193)*Economy!H18</x:f>
        <x:v>0.13600500000000001</x:v>
      </x:c>
      <x:c r="S18" s="53" t="n">
        <x:f>SUMPRODUCT(B18:J18,Levers!$C$193:$K$193,Levers!$C$194:$K$194)*(1/oil_fuel-1)*Economy!H18</x:f>
        <x:v>0</x:v>
      </x:c>
      <x:c r="T18" s="53" t="n">
        <x:f>S18+O18*sailor_pay*Economy!H18/1000000</x:f>
        <x:v>0</x:v>
      </x:c>
      <x:c r="U18" s="53" t="n">
        <x:f>(P18+Q18+R18)*navy_overhead</x:f>
        <x:v>0.12300412499999999</x:v>
      </x:c>
      <x:c r="V18" s="53" t="n">
        <x:f>L18+P18+Q18+R18+U18</x:f>
        <x:v>1.183031625</x:v>
      </x:c>
      <x:c r="W18" s="69" t="n">
        <x:f>Japan!I18</x:f>
        <x:v>0</x:v>
      </x:c>
      <x:c r="X18" s="53" t="n">
        <x:f>IF($A18&gt;=1927,V18+W18,0)</x:f>
        <x:v>0</x:v>
      </x:c>
      <x:c r="Y18" s="53" t="n">
        <x:f>IF($A18&gt;=1927,pac_quota*X18,V18)</x:f>
        <x:v>1.183031625</x:v>
      </x:c>
      <x:c r="Z18" s="67" t="n">
        <x:f>SUMPRODUCT(B18:J18,Levers!$C$193:$K$193,Levers!$C$194:$K$194)/0.6</x:f>
        <x:v>0</x:v>
      </x:c>
      <x:c r="AA18" s="62" t="n">
        <x:f>H18</x:f>
        <x:v>0</x:v>
      </x:c>
      <x:c r="AB18" s="47" t="n">
        <x:f>AA18+'Navy plan'!T18</x:f>
        <x:v>0</x:v>
      </x:c>
      <x:c r="AC18" s="62" t="n">
        <x:f>'Navy plan'!U18</x:f>
        <x:v>0</x:v>
      </x:c>
      <x:c r="AD18" s="62" t="n">
        <x:f>'Navy plan'!V18</x:f>
        <x:v>0</x:v>
      </x:c>
      <x:c r="AE18" s="67" t="n">
        <x:f>IF(AC18&gt;0,AB18/AC18,0)</x:f>
        <x:v>0</x:v>
      </x:c>
    </x:row>
    <x:row r="19">
      <x:c r="A19" s="58" t="n">
        <x:v>1859</x:v>
      </x:c>
      <x:c r="B19" s="47" t="n">
        <x:f>B18+'Navy plan'!B19-IF($A19-Levers!$C$191&gt;=1846,INDEX('Navy plan'!B$6:B$92,$A19-1845-Levers!$C$191),0)</x:f>
        <x:v>0</x:v>
      </x:c>
      <x:c r="C19" s="47" t="n">
        <x:f>C18+'Navy plan'!C19-IF($A19-Levers!$D$191&gt;=1846,INDEX('Navy plan'!C$6:C$92,$A19-1845-Levers!$D$191),0)</x:f>
        <x:v>3</x:v>
      </x:c>
      <x:c r="D19" s="47" t="n">
        <x:f>D18+'Navy plan'!D19-IF($A19-Levers!$E$191&gt;=1846,INDEX('Navy plan'!D$6:D$92,$A19-1845-Levers!$E$191),0)</x:f>
        <x:v>0</x:v>
      </x:c>
      <x:c r="E19" s="47" t="n">
        <x:f>E18+'Navy plan'!E19-IF($A19-Levers!$F$191&gt;=1846,INDEX('Navy plan'!E$6:E$92,$A19-1845-Levers!$F$191),0)</x:f>
        <x:v>0</x:v>
      </x:c>
      <x:c r="F19" s="47" t="n">
        <x:f>F18+'Navy plan'!F19-IF($A19-Levers!$G$191&gt;=1846,INDEX('Navy plan'!F$6:F$92,$A19-1845-Levers!$G$191),0)</x:f>
        <x:v>0</x:v>
      </x:c>
      <x:c r="G19" s="47" t="n">
        <x:f>G18+'Navy plan'!G19-IF($A19-Levers!$H$191&gt;=1846,INDEX('Navy plan'!G$6:G$92,$A19-1845-Levers!$H$191),0)</x:f>
        <x:v>0</x:v>
      </x:c>
      <x:c r="H19" s="47" t="n">
        <x:f>H18+'Navy plan'!H19-IF($A19-Levers!$I$191&gt;=1846,INDEX('Navy plan'!H$6:H$92,$A19-1845-Levers!$I$191),0)</x:f>
        <x:v>0</x:v>
      </x:c>
      <x:c r="I19" s="47" t="n">
        <x:f>I18+'Navy plan'!I19-IF($A19-Levers!$J$191&gt;=1846,INDEX('Navy plan'!I$6:I$92,$A19-1845-Levers!$J$191),0)</x:f>
        <x:v>0</x:v>
      </x:c>
      <x:c r="J19" s="47" t="n">
        <x:f>J18+'Navy plan'!J19-IF($A19-Levers!$K$191&gt;=1846,INDEX('Navy plan'!J$6:J$92,$A19-1845-Levers!$K$191),0)</x:f>
        <x:v>0</x:v>
      </x:c>
      <x:c r="K19" s="47" t="n">
        <x:f>SUM(B19:J19)</x:f>
        <x:v>3</x:v>
      </x:c>
      <x:c r="L19" s="53" t="n">
        <x:f>0.5*SUMPRODUCT('Navy plan'!B19:'Navy plan'!J19,'Navy plan'!K19:'Navy plan'!S19)+0.5*SUMPRODUCT('Navy plan'!B20:'Navy plan'!J20,'Navy plan'!K20:'Navy plan'!S20)</x:f>
        <x:v>0</x:v>
      </x:c>
      <x:c r="M19" s="47" t="n">
        <x:f>SUMPRODUCT(B19:J19,Levers!$C$192:$K$192)</x:f>
        <x:v>750</x:v>
      </x:c>
      <x:c r="N19" s="47" t="n">
        <x:f>SUMPRODUCT(B19:J19,Levers!$C$195:$K$195)</x:f>
        <x:v>750</x:v>
      </x:c>
      <x:c r="O19" s="47" t="n">
        <x:f>N19-M19</x:f>
        <x:v>0</x:v>
      </x:c>
      <x:c r="P19" s="53" t="n">
        <x:f>M19*sailor_pay*Economy!H19/1000000</x:f>
        <x:v>0.6029775</x:v>
      </x:c>
      <x:c r="Q19" s="53" t="n">
        <x:f>SUMPRODUCT(B19:J19,'Navy plan'!K19:'Navy plan'!S19)*maint_rate</x:f>
        <x:v>0.0735</x:v>
      </x:c>
      <x:c r="R19" s="53" t="n">
        <x:f>SUMPRODUCT(B19:J19,Levers!$C$193:$K$193)*Economy!H19</x:f>
        <x:v>0.13399500000000003</x:v>
      </x:c>
      <x:c r="S19" s="53" t="n">
        <x:f>SUMPRODUCT(B19:J19,Levers!$C$193:$K$193,Levers!$C$194:$K$194)*(1/oil_fuel-1)*Economy!H19</x:f>
        <x:v>0</x:v>
      </x:c>
      <x:c r="T19" s="53" t="n">
        <x:f>S19+O19*sailor_pay*Economy!H19/1000000</x:f>
        <x:v>0</x:v>
      </x:c>
      <x:c r="U19" s="53" t="n">
        <x:f>(P19+Q19+R19)*navy_overhead</x:f>
        <x:v>0.12157087500000002</x:v>
      </x:c>
      <x:c r="V19" s="53" t="n">
        <x:f>L19+P19+Q19+R19+U19</x:f>
        <x:v>0.9320433750000001</x:v>
      </x:c>
      <x:c r="W19" s="69" t="n">
        <x:f>Japan!I19</x:f>
        <x:v>0</x:v>
      </x:c>
      <x:c r="X19" s="53" t="n">
        <x:f>IF($A19&gt;=1927,V19+W19,0)</x:f>
        <x:v>0</x:v>
      </x:c>
      <x:c r="Y19" s="53" t="n">
        <x:f>IF($A19&gt;=1927,pac_quota*X19,V19)</x:f>
        <x:v>0.9320433750000001</x:v>
      </x:c>
      <x:c r="Z19" s="67" t="n">
        <x:f>SUMPRODUCT(B19:J19,Levers!$C$193:$K$193,Levers!$C$194:$K$194)/0.6</x:f>
        <x:v>0</x:v>
      </x:c>
      <x:c r="AA19" s="62" t="n">
        <x:f>H19</x:f>
        <x:v>0</x:v>
      </x:c>
      <x:c r="AB19" s="47" t="n">
        <x:f>AA19+'Navy plan'!T19</x:f>
        <x:v>0</x:v>
      </x:c>
      <x:c r="AC19" s="62" t="n">
        <x:f>'Navy plan'!U19</x:f>
        <x:v>0</x:v>
      </x:c>
      <x:c r="AD19" s="62" t="n">
        <x:f>'Navy plan'!V19</x:f>
        <x:v>0</x:v>
      </x:c>
      <x:c r="AE19" s="67" t="n">
        <x:f>IF(AC19&gt;0,AB19/AC19,0)</x:f>
        <x:v>0</x:v>
      </x:c>
    </x:row>
    <x:row r="20">
      <x:c r="A20" s="58" t="n">
        <x:v>1860</x:v>
      </x:c>
      <x:c r="B20" s="47" t="n">
        <x:f>B19+'Navy plan'!B20-IF($A20-Levers!$C$191&gt;=1846,INDEX('Navy plan'!B$6:B$92,$A20-1845-Levers!$C$191),0)</x:f>
        <x:v>0</x:v>
      </x:c>
      <x:c r="C20" s="47" t="n">
        <x:f>C19+'Navy plan'!C20-IF($A20-Levers!$D$191&gt;=1846,INDEX('Navy plan'!C$6:C$92,$A20-1845-Levers!$D$191),0)</x:f>
        <x:v>3</x:v>
      </x:c>
      <x:c r="D20" s="47" t="n">
        <x:f>D19+'Navy plan'!D20-IF($A20-Levers!$E$191&gt;=1846,INDEX('Navy plan'!D$6:D$92,$A20-1845-Levers!$E$191),0)</x:f>
        <x:v>0</x:v>
      </x:c>
      <x:c r="E20" s="47" t="n">
        <x:f>E19+'Navy plan'!E20-IF($A20-Levers!$F$191&gt;=1846,INDEX('Navy plan'!E$6:E$92,$A20-1845-Levers!$F$191),0)</x:f>
        <x:v>0</x:v>
      </x:c>
      <x:c r="F20" s="47" t="n">
        <x:f>F19+'Navy plan'!F20-IF($A20-Levers!$G$191&gt;=1846,INDEX('Navy plan'!F$6:F$92,$A20-1845-Levers!$G$191),0)</x:f>
        <x:v>0</x:v>
      </x:c>
      <x:c r="G20" s="47" t="n">
        <x:f>G19+'Navy plan'!G20-IF($A20-Levers!$H$191&gt;=1846,INDEX('Navy plan'!G$6:G$92,$A20-1845-Levers!$H$191),0)</x:f>
        <x:v>0</x:v>
      </x:c>
      <x:c r="H20" s="47" t="n">
        <x:f>H19+'Navy plan'!H20-IF($A20-Levers!$I$191&gt;=1846,INDEX('Navy plan'!H$6:H$92,$A20-1845-Levers!$I$191),0)</x:f>
        <x:v>0</x:v>
      </x:c>
      <x:c r="I20" s="47" t="n">
        <x:f>I19+'Navy plan'!I20-IF($A20-Levers!$J$191&gt;=1846,INDEX('Navy plan'!I$6:I$92,$A20-1845-Levers!$J$191),0)</x:f>
        <x:v>0</x:v>
      </x:c>
      <x:c r="J20" s="47" t="n">
        <x:f>J19+'Navy plan'!J20-IF($A20-Levers!$K$191&gt;=1846,INDEX('Navy plan'!J$6:J$92,$A20-1845-Levers!$K$191),0)</x:f>
        <x:v>0</x:v>
      </x:c>
      <x:c r="K20" s="47" t="n">
        <x:f>SUM(B20:J20)</x:f>
        <x:v>3</x:v>
      </x:c>
      <x:c r="L20" s="53" t="n">
        <x:f>0.5*SUMPRODUCT('Navy plan'!B20:'Navy plan'!J20,'Navy plan'!K20:'Navy plan'!S20)+0.5*SUMPRODUCT('Navy plan'!B21:'Navy plan'!J21,'Navy plan'!K21:'Navy plan'!S21)</x:f>
        <x:v>0.53</x:v>
      </x:c>
      <x:c r="M20" s="47" t="n">
        <x:f>SUMPRODUCT(B20:J20,Levers!$C$192:$K$192)</x:f>
        <x:v>750</x:v>
      </x:c>
      <x:c r="N20" s="47" t="n">
        <x:f>SUMPRODUCT(B20:J20,Levers!$C$195:$K$195)</x:f>
        <x:v>750</x:v>
      </x:c>
      <x:c r="O20" s="47" t="n">
        <x:f>N20-M20</x:f>
        <x:v>0</x:v>
      </x:c>
      <x:c r="P20" s="53" t="n">
        <x:f>M20*sailor_pay*Economy!H20/1000000</x:f>
        <x:v>0.594</x:v>
      </x:c>
      <x:c r="Q20" s="53" t="n">
        <x:f>SUMPRODUCT(B20:J20,'Navy plan'!K20:'Navy plan'!S20)*maint_rate</x:f>
        <x:v>0.07500000000000001</x:v>
      </x:c>
      <x:c r="R20" s="53" t="n">
        <x:f>SUMPRODUCT(B20:J20,Levers!$C$193:$K$193)*Economy!H20</x:f>
        <x:v>0.13200000000000003</x:v>
      </x:c>
      <x:c r="S20" s="53" t="n">
        <x:f>SUMPRODUCT(B20:J20,Levers!$C$193:$K$193,Levers!$C$194:$K$194)*(1/oil_fuel-1)*Economy!H20</x:f>
        <x:v>0</x:v>
      </x:c>
      <x:c r="T20" s="53" t="n">
        <x:f>S20+O20*sailor_pay*Economy!H20/1000000</x:f>
        <x:v>0</x:v>
      </x:c>
      <x:c r="U20" s="53" t="n">
        <x:f>(P20+Q20+R20)*navy_overhead</x:f>
        <x:v>0.12015</x:v>
      </x:c>
      <x:c r="V20" s="53" t="n">
        <x:f>L20+P20+Q20+R20+U20</x:f>
        <x:v>1.4511500000000002</x:v>
      </x:c>
      <x:c r="W20" s="69" t="n">
        <x:f>Japan!I20</x:f>
        <x:v>0</x:v>
      </x:c>
      <x:c r="X20" s="53" t="n">
        <x:f>IF($A20&gt;=1927,V20+W20,0)</x:f>
        <x:v>0</x:v>
      </x:c>
      <x:c r="Y20" s="53" t="n">
        <x:f>IF($A20&gt;=1927,pac_quota*X20,V20)</x:f>
        <x:v>1.4511500000000002</x:v>
      </x:c>
      <x:c r="Z20" s="67" t="n">
        <x:f>SUMPRODUCT(B20:J20,Levers!$C$193:$K$193,Levers!$C$194:$K$194)/0.6</x:f>
        <x:v>0</x:v>
      </x:c>
      <x:c r="AA20" s="62" t="n">
        <x:f>H20</x:f>
        <x:v>0</x:v>
      </x:c>
      <x:c r="AB20" s="47" t="n">
        <x:f>AA20+'Navy plan'!T20</x:f>
        <x:v>0</x:v>
      </x:c>
      <x:c r="AC20" s="62" t="n">
        <x:f>'Navy plan'!U20</x:f>
        <x:v>0</x:v>
      </x:c>
      <x:c r="AD20" s="62" t="n">
        <x:f>'Navy plan'!V20</x:f>
        <x:v>0</x:v>
      </x:c>
      <x:c r="AE20" s="67" t="n">
        <x:f>IF(AC20&gt;0,AB20/AC20,0)</x:f>
        <x:v>0</x:v>
      </x:c>
    </x:row>
    <x:row r="21">
      <x:c r="A21" s="58" t="n">
        <x:v>1861</x:v>
      </x:c>
      <x:c r="B21" s="47" t="n">
        <x:f>B20+'Navy plan'!B21-IF($A21-Levers!$C$191&gt;=1846,INDEX('Navy plan'!B$6:B$92,$A21-1845-Levers!$C$191),0)</x:f>
        <x:v>0</x:v>
      </x:c>
      <x:c r="C21" s="47" t="n">
        <x:f>C20+'Navy plan'!C21-IF($A21-Levers!$D$191&gt;=1846,INDEX('Navy plan'!C$6:C$92,$A21-1845-Levers!$D$191),0)</x:f>
        <x:v>5</x:v>
      </x:c>
      <x:c r="D21" s="47" t="n">
        <x:f>D20+'Navy plan'!D21-IF($A21-Levers!$E$191&gt;=1846,INDEX('Navy plan'!D$6:D$92,$A21-1845-Levers!$E$191),0)</x:f>
        <x:v>0</x:v>
      </x:c>
      <x:c r="E21" s="47" t="n">
        <x:f>E20+'Navy plan'!E21-IF($A21-Levers!$F$191&gt;=1846,INDEX('Navy plan'!E$6:E$92,$A21-1845-Levers!$F$191),0)</x:f>
        <x:v>0</x:v>
      </x:c>
      <x:c r="F21" s="47" t="n">
        <x:f>F20+'Navy plan'!F21-IF($A21-Levers!$G$191&gt;=1846,INDEX('Navy plan'!F$6:F$92,$A21-1845-Levers!$G$191),0)</x:f>
        <x:v>0</x:v>
      </x:c>
      <x:c r="G21" s="47" t="n">
        <x:f>G20+'Navy plan'!G21-IF($A21-Levers!$H$191&gt;=1846,INDEX('Navy plan'!G$6:G$92,$A21-1845-Levers!$H$191),0)</x:f>
        <x:v>0</x:v>
      </x:c>
      <x:c r="H21" s="47" t="n">
        <x:f>H20+'Navy plan'!H21-IF($A21-Levers!$I$191&gt;=1846,INDEX('Navy plan'!H$6:H$92,$A21-1845-Levers!$I$191),0)</x:f>
        <x:v>0</x:v>
      </x:c>
      <x:c r="I21" s="47" t="n">
        <x:f>I20+'Navy plan'!I21-IF($A21-Levers!$J$191&gt;=1846,INDEX('Navy plan'!I$6:I$92,$A21-1845-Levers!$J$191),0)</x:f>
        <x:v>0</x:v>
      </x:c>
      <x:c r="J21" s="47" t="n">
        <x:f>J20+'Navy plan'!J21-IF($A21-Levers!$K$191&gt;=1846,INDEX('Navy plan'!J$6:J$92,$A21-1845-Levers!$K$191),0)</x:f>
        <x:v>0</x:v>
      </x:c>
      <x:c r="K21" s="47" t="n">
        <x:f>SUM(B21:J21)</x:f>
        <x:v>5</x:v>
      </x:c>
      <x:c r="L21" s="53" t="n">
        <x:f>0.5*SUMPRODUCT('Navy plan'!B21:'Navy plan'!J21,'Navy plan'!K21:'Navy plan'!S21)+0.5*SUMPRODUCT('Navy plan'!B22:'Navy plan'!J22,'Navy plan'!K22:'Navy plan'!S22)</x:f>
        <x:v>1.03</x:v>
      </x:c>
      <x:c r="M21" s="47" t="n">
        <x:f>SUMPRODUCT(B21:J21,Levers!$C$192:$K$192)</x:f>
        <x:v>1250</x:v>
      </x:c>
      <x:c r="N21" s="47" t="n">
        <x:f>SUMPRODUCT(B21:J21,Levers!$C$195:$K$195)</x:f>
        <x:v>1250</x:v>
      </x:c>
      <x:c r="O21" s="47" t="n">
        <x:f>N21-M21</x:f>
        <x:v>0</x:v>
      </x:c>
      <x:c r="P21" s="53" t="n">
        <x:f>M21*sailor_pay*Economy!H21/1000000</x:f>
        <x:v>0.99</x:v>
      </x:c>
      <x:c r="Q21" s="53" t="n">
        <x:f>SUMPRODUCT(B21:J21,'Navy plan'!K21:'Navy plan'!S21)*maint_rate</x:f>
        <x:v>0.13250000000000003</x:v>
      </x:c>
      <x:c r="R21" s="53" t="n">
        <x:f>SUMPRODUCT(B21:J21,Levers!$C$193:$K$193)*Economy!H21</x:f>
        <x:v>0.22</x:v>
      </x:c>
      <x:c r="S21" s="53" t="n">
        <x:f>SUMPRODUCT(B21:J21,Levers!$C$193:$K$193,Levers!$C$194:$K$194)*(1/oil_fuel-1)*Economy!H21</x:f>
        <x:v>0</x:v>
      </x:c>
      <x:c r="T21" s="53" t="n">
        <x:f>S21+O21*sailor_pay*Economy!H21/1000000</x:f>
        <x:v>0</x:v>
      </x:c>
      <x:c r="U21" s="53" t="n">
        <x:f>(P21+Q21+R21)*navy_overhead</x:f>
        <x:v>0.201375</x:v>
      </x:c>
      <x:c r="V21" s="53" t="n">
        <x:f>L21+P21+Q21+R21+U21</x:f>
        <x:v>2.573875</x:v>
      </x:c>
      <x:c r="W21" s="69" t="n">
        <x:f>Japan!I21</x:f>
        <x:v>0</x:v>
      </x:c>
      <x:c r="X21" s="53" t="n">
        <x:f>IF($A21&gt;=1927,V21+W21,0)</x:f>
        <x:v>0</x:v>
      </x:c>
      <x:c r="Y21" s="53" t="n">
        <x:f>IF($A21&gt;=1927,pac_quota*X21,V21)</x:f>
        <x:v>2.573875</x:v>
      </x:c>
      <x:c r="Z21" s="67" t="n">
        <x:f>SUMPRODUCT(B21:J21,Levers!$C$193:$K$193,Levers!$C$194:$K$194)/0.6</x:f>
        <x:v>0</x:v>
      </x:c>
      <x:c r="AA21" s="62" t="n">
        <x:f>H21</x:f>
        <x:v>0</x:v>
      </x:c>
      <x:c r="AB21" s="47" t="n">
        <x:f>AA21+'Navy plan'!T21</x:f>
        <x:v>0</x:v>
      </x:c>
      <x:c r="AC21" s="62" t="n">
        <x:f>'Navy plan'!U21</x:f>
        <x:v>0</x:v>
      </x:c>
      <x:c r="AD21" s="62" t="n">
        <x:f>'Navy plan'!V21</x:f>
        <x:v>0</x:v>
      </x:c>
      <x:c r="AE21" s="67" t="n">
        <x:f>IF(AC21&gt;0,AB21/AC21,0)</x:f>
        <x:v>0</x:v>
      </x:c>
    </x:row>
    <x:row r="22">
      <x:c r="A22" s="58" t="n">
        <x:v>1862</x:v>
      </x:c>
      <x:c r="B22" s="47" t="n">
        <x:f>B21+'Navy plan'!B22-IF($A22-Levers!$C$191&gt;=1846,INDEX('Navy plan'!B$6:B$92,$A22-1845-Levers!$C$191),0)</x:f>
        <x:v>1</x:v>
      </x:c>
      <x:c r="C22" s="47" t="n">
        <x:f>C21+'Navy plan'!C22-IF($A22-Levers!$D$191&gt;=1846,INDEX('Navy plan'!C$6:C$92,$A22-1845-Levers!$D$191),0)</x:f>
        <x:v>5</x:v>
      </x:c>
      <x:c r="D22" s="47" t="n">
        <x:f>D21+'Navy plan'!D22-IF($A22-Levers!$E$191&gt;=1846,INDEX('Navy plan'!D$6:D$92,$A22-1845-Levers!$E$191),0)</x:f>
        <x:v>0</x:v>
      </x:c>
      <x:c r="E22" s="47" t="n">
        <x:f>E21+'Navy plan'!E22-IF($A22-Levers!$F$191&gt;=1846,INDEX('Navy plan'!E$6:E$92,$A22-1845-Levers!$F$191),0)</x:f>
        <x:v>0</x:v>
      </x:c>
      <x:c r="F22" s="47" t="n">
        <x:f>F21+'Navy plan'!F22-IF($A22-Levers!$G$191&gt;=1846,INDEX('Navy plan'!F$6:F$92,$A22-1845-Levers!$G$191),0)</x:f>
        <x:v>0</x:v>
      </x:c>
      <x:c r="G22" s="47" t="n">
        <x:f>G21+'Navy plan'!G22-IF($A22-Levers!$H$191&gt;=1846,INDEX('Navy plan'!G$6:G$92,$A22-1845-Levers!$H$191),0)</x:f>
        <x:v>0</x:v>
      </x:c>
      <x:c r="H22" s="47" t="n">
        <x:f>H21+'Navy plan'!H22-IF($A22-Levers!$I$191&gt;=1846,INDEX('Navy plan'!H$6:H$92,$A22-1845-Levers!$I$191),0)</x:f>
        <x:v>0</x:v>
      </x:c>
      <x:c r="I22" s="47" t="n">
        <x:f>I21+'Navy plan'!I22-IF($A22-Levers!$J$191&gt;=1846,INDEX('Navy plan'!I$6:I$92,$A22-1845-Levers!$J$191),0)</x:f>
        <x:v>0</x:v>
      </x:c>
      <x:c r="J22" s="47" t="n">
        <x:f>J21+'Navy plan'!J22-IF($A22-Levers!$K$191&gt;=1846,INDEX('Navy plan'!J$6:J$92,$A22-1845-Levers!$K$191),0)</x:f>
        <x:v>0</x:v>
      </x:c>
      <x:c r="K22" s="47" t="n">
        <x:f>SUM(B22:J22)</x:f>
        <x:v>6</x:v>
      </x:c>
      <x:c r="L22" s="53" t="n">
        <x:f>0.5*SUMPRODUCT('Navy plan'!B22:'Navy plan'!J22,'Navy plan'!K22:'Navy plan'!S22)+0.5*SUMPRODUCT('Navy plan'!B23:'Navy plan'!J23,'Navy plan'!K23:'Navy plan'!S23)</x:f>
        <x:v>1.525</x:v>
      </x:c>
      <x:c r="M22" s="47" t="n">
        <x:f>SUMPRODUCT(B22:J22,Levers!$C$192:$K$192)</x:f>
        <x:v>1370</x:v>
      </x:c>
      <x:c r="N22" s="47" t="n">
        <x:f>SUMPRODUCT(B22:J22,Levers!$C$195:$K$195)</x:f>
        <x:v>1370</x:v>
      </x:c>
      <x:c r="O22" s="47" t="n">
        <x:f>N22-M22</x:f>
        <x:v>0</x:v>
      </x:c>
      <x:c r="P22" s="53" t="n">
        <x:f>M22*sailor_pay*Economy!H22/1000000</x:f>
        <x:v>1.08504</x:v>
      </x:c>
      <x:c r="Q22" s="53" t="n">
        <x:f>SUMPRODUCT(B22:J22,'Navy plan'!K22:'Navy plan'!S22)*maint_rate</x:f>
        <x:v>0.19000000000000003</x:v>
      </x:c>
      <x:c r="R22" s="53" t="n">
        <x:f>SUMPRODUCT(B22:J22,Levers!$C$193:$K$193)*Economy!H22</x:f>
        <x:v>0.2376</x:v>
      </x:c>
      <x:c r="S22" s="53" t="n">
        <x:f>SUMPRODUCT(B22:J22,Levers!$C$193:$K$193,Levers!$C$194:$K$194)*(1/oil_fuel-1)*Economy!H22</x:f>
        <x:v>0</x:v>
      </x:c>
      <x:c r="T22" s="53" t="n">
        <x:f>S22+O22*sailor_pay*Economy!H22/1000000</x:f>
        <x:v>0</x:v>
      </x:c>
      <x:c r="U22" s="53" t="n">
        <x:f>(P22+Q22+R22)*navy_overhead</x:f>
        <x:v>0.226896</x:v>
      </x:c>
      <x:c r="V22" s="53" t="n">
        <x:f>L22+P22+Q22+R22+U22</x:f>
        <x:v>3.2645359999999997</x:v>
      </x:c>
      <x:c r="W22" s="69" t="n">
        <x:f>Japan!I22</x:f>
        <x:v>0</x:v>
      </x:c>
      <x:c r="X22" s="53" t="n">
        <x:f>IF($A22&gt;=1927,V22+W22,0)</x:f>
        <x:v>0</x:v>
      </x:c>
      <x:c r="Y22" s="53" t="n">
        <x:f>IF($A22&gt;=1927,pac_quota*X22,V22)</x:f>
        <x:v>3.2645359999999997</x:v>
      </x:c>
      <x:c r="Z22" s="67" t="n">
        <x:f>SUMPRODUCT(B22:J22,Levers!$C$193:$K$193,Levers!$C$194:$K$194)/0.6</x:f>
        <x:v>0</x:v>
      </x:c>
      <x:c r="AA22" s="62" t="n">
        <x:f>H22</x:f>
        <x:v>0</x:v>
      </x:c>
      <x:c r="AB22" s="47" t="n">
        <x:f>AA22+'Navy plan'!T22</x:f>
        <x:v>0</x:v>
      </x:c>
      <x:c r="AC22" s="62" t="n">
        <x:f>'Navy plan'!U22</x:f>
        <x:v>0</x:v>
      </x:c>
      <x:c r="AD22" s="62" t="n">
        <x:f>'Navy plan'!V22</x:f>
        <x:v>0</x:v>
      </x:c>
      <x:c r="AE22" s="67" t="n">
        <x:f>IF(AC22&gt;0,AB22/AC22,0)</x:f>
        <x:v>0</x:v>
      </x:c>
    </x:row>
    <x:row r="23">
      <x:c r="A23" s="58" t="n">
        <x:v>1863</x:v>
      </x:c>
      <x:c r="B23" s="47" t="n">
        <x:f>B22+'Navy plan'!B23-IF($A23-Levers!$C$191&gt;=1846,INDEX('Navy plan'!B$6:B$92,$A23-1845-Levers!$C$191),0)</x:f>
        <x:v>3</x:v>
      </x:c>
      <x:c r="C23" s="47" t="n">
        <x:f>C22+'Navy plan'!C23-IF($A23-Levers!$D$191&gt;=1846,INDEX('Navy plan'!C$6:C$92,$A23-1845-Levers!$D$191),0)</x:f>
        <x:v>5</x:v>
      </x:c>
      <x:c r="D23" s="47" t="n">
        <x:f>D22+'Navy plan'!D23-IF($A23-Levers!$E$191&gt;=1846,INDEX('Navy plan'!D$6:D$92,$A23-1845-Levers!$E$191),0)</x:f>
        <x:v>0</x:v>
      </x:c>
      <x:c r="E23" s="47" t="n">
        <x:f>E22+'Navy plan'!E23-IF($A23-Levers!$F$191&gt;=1846,INDEX('Navy plan'!E$6:E$92,$A23-1845-Levers!$F$191),0)</x:f>
        <x:v>0</x:v>
      </x:c>
      <x:c r="F23" s="47" t="n">
        <x:f>F22+'Navy plan'!F23-IF($A23-Levers!$G$191&gt;=1846,INDEX('Navy plan'!F$6:F$92,$A23-1845-Levers!$G$191),0)</x:f>
        <x:v>0</x:v>
      </x:c>
      <x:c r="G23" s="47" t="n">
        <x:f>G22+'Navy plan'!G23-IF($A23-Levers!$H$191&gt;=1846,INDEX('Navy plan'!G$6:G$92,$A23-1845-Levers!$H$191),0)</x:f>
        <x:v>0</x:v>
      </x:c>
      <x:c r="H23" s="47" t="n">
        <x:f>H22+'Navy plan'!H23-IF($A23-Levers!$I$191&gt;=1846,INDEX('Navy plan'!H$6:H$92,$A23-1845-Levers!$I$191),0)</x:f>
        <x:v>0</x:v>
      </x:c>
      <x:c r="I23" s="47" t="n">
        <x:f>I22+'Navy plan'!I23-IF($A23-Levers!$J$191&gt;=1846,INDEX('Navy plan'!I$6:I$92,$A23-1845-Levers!$J$191),0)</x:f>
        <x:v>0</x:v>
      </x:c>
      <x:c r="J23" s="47" t="n">
        <x:f>J22+'Navy plan'!J23-IF($A23-Levers!$K$191&gt;=1846,INDEX('Navy plan'!J$6:J$92,$A23-1845-Levers!$K$191),0)</x:f>
        <x:v>0</x:v>
      </x:c>
      <x:c r="K23" s="47" t="n">
        <x:f>SUM(B23:J23)</x:f>
        <x:v>8</x:v>
      </x:c>
      <x:c r="L23" s="53" t="n">
        <x:f>0.5*SUMPRODUCT('Navy plan'!B23:'Navy plan'!J23,'Navy plan'!K23:'Navy plan'!S23)+0.5*SUMPRODUCT('Navy plan'!B24:'Navy plan'!J24,'Navy plan'!K24:'Navy plan'!S24)</x:f>
        <x:v>2.385</x:v>
      </x:c>
      <x:c r="M23" s="47" t="n">
        <x:f>SUMPRODUCT(B23:J23,Levers!$C$192:$K$192)</x:f>
        <x:v>1610</x:v>
      </x:c>
      <x:c r="N23" s="47" t="n">
        <x:f>SUMPRODUCT(B23:J23,Levers!$C$195:$K$195)</x:f>
        <x:v>1610</x:v>
      </x:c>
      <x:c r="O23" s="47" t="n">
        <x:f>N23-M23</x:f>
        <x:v>0</x:v>
      </x:c>
      <x:c r="P23" s="53" t="n">
        <x:f>M23*sailor_pay*Economy!H23/1000000</x:f>
        <x:v>1.3088817</x:v>
      </x:c>
      <x:c r="Q23" s="53" t="n">
        <x:f>SUMPRODUCT(B23:J23,'Navy plan'!K23:'Navy plan'!S23)*maint_rate</x:f>
        <x:v>0.30125</x:v>
      </x:c>
      <x:c r="R23" s="53" t="n">
        <x:f>SUMPRODUCT(B23:J23,Levers!$C$193:$K$193)*Economy!H23</x:f>
        <x:v>0.280023</x:v>
      </x:c>
      <x:c r="S23" s="53" t="n">
        <x:f>SUMPRODUCT(B23:J23,Levers!$C$193:$K$193,Levers!$C$194:$K$194)*(1/oil_fuel-1)*Economy!H23</x:f>
        <x:v>0</x:v>
      </x:c>
      <x:c r="T23" s="53" t="n">
        <x:f>S23+O23*sailor_pay*Economy!H23/1000000</x:f>
        <x:v>0</x:v>
      </x:c>
      <x:c r="U23" s="53" t="n">
        <x:f>(P23+Q23+R23)*navy_overhead</x:f>
        <x:v>0.283523205</x:v>
      </x:c>
      <x:c r="V23" s="53" t="n">
        <x:f>L23+P23+Q23+R23+U23</x:f>
        <x:v>4.558677905</x:v>
      </x:c>
      <x:c r="W23" s="69" t="n">
        <x:f>Japan!I23</x:f>
        <x:v>0</x:v>
      </x:c>
      <x:c r="X23" s="53" t="n">
        <x:f>IF($A23&gt;=1927,V23+W23,0)</x:f>
        <x:v>0</x:v>
      </x:c>
      <x:c r="Y23" s="53" t="n">
        <x:f>IF($A23&gt;=1927,pac_quota*X23,V23)</x:f>
        <x:v>4.558677905</x:v>
      </x:c>
      <x:c r="Z23" s="67" t="n">
        <x:f>SUMPRODUCT(B23:J23,Levers!$C$193:$K$193,Levers!$C$194:$K$194)/0.6</x:f>
        <x:v>0</x:v>
      </x:c>
      <x:c r="AA23" s="62" t="n">
        <x:f>H23</x:f>
        <x:v>0</x:v>
      </x:c>
      <x:c r="AB23" s="47" t="n">
        <x:f>AA23+'Navy plan'!T23</x:f>
        <x:v>0</x:v>
      </x:c>
      <x:c r="AC23" s="62" t="n">
        <x:f>'Navy plan'!U23</x:f>
        <x:v>0</x:v>
      </x:c>
      <x:c r="AD23" s="62" t="n">
        <x:f>'Navy plan'!V23</x:f>
        <x:v>0</x:v>
      </x:c>
      <x:c r="AE23" s="67" t="n">
        <x:f>IF(AC23&gt;0,AB23/AC23,0)</x:f>
        <x:v>0</x:v>
      </x:c>
    </x:row>
    <x:row r="24">
      <x:c r="A24" s="58" t="n">
        <x:v>1864</x:v>
      </x:c>
      <x:c r="B24" s="47" t="n">
        <x:f>B23+'Navy plan'!B24-IF($A24-Levers!$C$191&gt;=1846,INDEX('Navy plan'!B$6:B$92,$A24-1845-Levers!$C$191),0)</x:f>
        <x:v>5</x:v>
      </x:c>
      <x:c r="C24" s="47" t="n">
        <x:f>C23+'Navy plan'!C24-IF($A24-Levers!$D$191&gt;=1846,INDEX('Navy plan'!C$6:C$92,$A24-1845-Levers!$D$191),0)</x:f>
        <x:v>6</x:v>
      </x:c>
      <x:c r="D24" s="47" t="n">
        <x:f>D23+'Navy plan'!D24-IF($A24-Levers!$E$191&gt;=1846,INDEX('Navy plan'!D$6:D$92,$A24-1845-Levers!$E$191),0)</x:f>
        <x:v>0</x:v>
      </x:c>
      <x:c r="E24" s="47" t="n">
        <x:f>E23+'Navy plan'!E24-IF($A24-Levers!$F$191&gt;=1846,INDEX('Navy plan'!E$6:E$92,$A24-1845-Levers!$F$191),0)</x:f>
        <x:v>0</x:v>
      </x:c>
      <x:c r="F24" s="47" t="n">
        <x:f>F23+'Navy plan'!F24-IF($A24-Levers!$G$191&gt;=1846,INDEX('Navy plan'!F$6:F$92,$A24-1845-Levers!$G$191),0)</x:f>
        <x:v>0</x:v>
      </x:c>
      <x:c r="G24" s="47" t="n">
        <x:f>G23+'Navy plan'!G24-IF($A24-Levers!$H$191&gt;=1846,INDEX('Navy plan'!G$6:G$92,$A24-1845-Levers!$H$191),0)</x:f>
        <x:v>0</x:v>
      </x:c>
      <x:c r="H24" s="47" t="n">
        <x:f>H23+'Navy plan'!H24-IF($A24-Levers!$I$191&gt;=1846,INDEX('Navy plan'!H$6:H$92,$A24-1845-Levers!$I$191),0)</x:f>
        <x:v>0</x:v>
      </x:c>
      <x:c r="I24" s="47" t="n">
        <x:f>I23+'Navy plan'!I24-IF($A24-Levers!$J$191&gt;=1846,INDEX('Navy plan'!I$6:I$92,$A24-1845-Levers!$J$191),0)</x:f>
        <x:v>0</x:v>
      </x:c>
      <x:c r="J24" s="47" t="n">
        <x:f>J23+'Navy plan'!J24-IF($A24-Levers!$K$191&gt;=1846,INDEX('Navy plan'!J$6:J$92,$A24-1845-Levers!$K$191),0)</x:f>
        <x:v>0</x:v>
      </x:c>
      <x:c r="K24" s="47" t="n">
        <x:f>SUM(B24:J24)</x:f>
        <x:v>11</x:v>
      </x:c>
      <x:c r="L24" s="53" t="n">
        <x:f>0.5*SUMPRODUCT('Navy plan'!B24:'Navy plan'!J24,'Navy plan'!K24:'Navy plan'!S24)+0.5*SUMPRODUCT('Navy plan'!B25:'Navy plan'!J25,'Navy plan'!K25:'Navy plan'!S25)</x:f>
        <x:v>1.8975</x:v>
      </x:c>
      <x:c r="M24" s="47" t="n">
        <x:f>SUMPRODUCT(B24:J24,Levers!$C$192:$K$192)</x:f>
        <x:v>2100</x:v>
      </x:c>
      <x:c r="N24" s="47" t="n">
        <x:f>SUMPRODUCT(B24:J24,Levers!$C$195:$K$195)</x:f>
        <x:v>2100</x:v>
      </x:c>
      <x:c r="O24" s="47" t="n">
        <x:f>N24-M24</x:f>
        <x:v>0</x:v>
      </x:c>
      <x:c r="P24" s="53" t="n">
        <x:f>M24*sailor_pay*Economy!H24/1000000</x:f>
        <x:v>1.751463</x:v>
      </x:c>
      <x:c r="Q24" s="53" t="n">
        <x:f>SUMPRODUCT(B24:J24,'Navy plan'!K24:'Navy plan'!S24)*maint_rate</x:f>
        <x:v>0.44849999999999995</x:v>
      </x:c>
      <x:c r="R24" s="53" t="n">
        <x:f>SUMPRODUCT(B24:J24,Levers!$C$193:$K$193)*Economy!H24</x:f>
        <x:v>0.37068</x:v>
      </x:c>
      <x:c r="S24" s="53" t="n">
        <x:f>SUMPRODUCT(B24:J24,Levers!$C$193:$K$193,Levers!$C$194:$K$194)*(1/oil_fuel-1)*Economy!H24</x:f>
        <x:v>0</x:v>
      </x:c>
      <x:c r="T24" s="53" t="n">
        <x:f>S24+O24*sailor_pay*Economy!H24/1000000</x:f>
        <x:v>0</x:v>
      </x:c>
      <x:c r="U24" s="53" t="n">
        <x:f>(P24+Q24+R24)*navy_overhead</x:f>
        <x:v>0.38559645</x:v>
      </x:c>
      <x:c r="V24" s="53" t="n">
        <x:f>L24+P24+Q24+R24+U24</x:f>
        <x:v>4.853739450000001</x:v>
      </x:c>
      <x:c r="W24" s="69" t="n">
        <x:f>Japan!I24</x:f>
        <x:v>0</x:v>
      </x:c>
      <x:c r="X24" s="53" t="n">
        <x:f>IF($A24&gt;=1927,V24+W24,0)</x:f>
        <x:v>0</x:v>
      </x:c>
      <x:c r="Y24" s="53" t="n">
        <x:f>IF($A24&gt;=1927,pac_quota*X24,V24)</x:f>
        <x:v>4.853739450000001</x:v>
      </x:c>
      <x:c r="Z24" s="67" t="n">
        <x:f>SUMPRODUCT(B24:J24,Levers!$C$193:$K$193,Levers!$C$194:$K$194)/0.6</x:f>
        <x:v>0</x:v>
      </x:c>
      <x:c r="AA24" s="62" t="n">
        <x:f>H24</x:f>
        <x:v>0</x:v>
      </x:c>
      <x:c r="AB24" s="47" t="n">
        <x:f>AA24+'Navy plan'!T24</x:f>
        <x:v>0</x:v>
      </x:c>
      <x:c r="AC24" s="62" t="n">
        <x:f>'Navy plan'!U24</x:f>
        <x:v>0</x:v>
      </x:c>
      <x:c r="AD24" s="62" t="n">
        <x:f>'Navy plan'!V24</x:f>
        <x:v>0</x:v>
      </x:c>
      <x:c r="AE24" s="67" t="n">
        <x:f>IF(AC24&gt;0,AB24/AC24,0)</x:f>
        <x:v>0</x:v>
      </x:c>
    </x:row>
    <x:row r="25">
      <x:c r="A25" s="58" t="n">
        <x:v>1865</x:v>
      </x:c>
      <x:c r="B25" s="47" t="n">
        <x:f>B24+'Navy plan'!B25-IF($A25-Levers!$C$191&gt;=1846,INDEX('Navy plan'!B$6:B$92,$A25-1845-Levers!$C$191),0)</x:f>
        <x:v>6</x:v>
      </x:c>
      <x:c r="C25" s="47" t="n">
        <x:f>C24+'Navy plan'!C25-IF($A25-Levers!$D$191&gt;=1846,INDEX('Navy plan'!C$6:C$92,$A25-1845-Levers!$D$191),0)</x:f>
        <x:v>6</x:v>
      </x:c>
      <x:c r="D25" s="47" t="n">
        <x:f>D24+'Navy plan'!D25-IF($A25-Levers!$E$191&gt;=1846,INDEX('Navy plan'!D$6:D$92,$A25-1845-Levers!$E$191),0)</x:f>
        <x:v>0</x:v>
      </x:c>
      <x:c r="E25" s="47" t="n">
        <x:f>E24+'Navy plan'!E25-IF($A25-Levers!$F$191&gt;=1846,INDEX('Navy plan'!E$6:E$92,$A25-1845-Levers!$F$191),0)</x:f>
        <x:v>0</x:v>
      </x:c>
      <x:c r="F25" s="47" t="n">
        <x:f>F24+'Navy plan'!F25-IF($A25-Levers!$G$191&gt;=1846,INDEX('Navy plan'!F$6:F$92,$A25-1845-Levers!$G$191),0)</x:f>
        <x:v>0</x:v>
      </x:c>
      <x:c r="G25" s="47" t="n">
        <x:f>G24+'Navy plan'!G25-IF($A25-Levers!$H$191&gt;=1846,INDEX('Navy plan'!G$6:G$92,$A25-1845-Levers!$H$191),0)</x:f>
        <x:v>0</x:v>
      </x:c>
      <x:c r="H25" s="47" t="n">
        <x:f>H24+'Navy plan'!H25-IF($A25-Levers!$I$191&gt;=1846,INDEX('Navy plan'!H$6:H$92,$A25-1845-Levers!$I$191),0)</x:f>
        <x:v>0</x:v>
      </x:c>
      <x:c r="I25" s="47" t="n">
        <x:f>I24+'Navy plan'!I25-IF($A25-Levers!$J$191&gt;=1846,INDEX('Navy plan'!I$6:I$92,$A25-1845-Levers!$J$191),0)</x:f>
        <x:v>0</x:v>
      </x:c>
      <x:c r="J25" s="47" t="n">
        <x:f>J24+'Navy plan'!J25-IF($A25-Levers!$K$191&gt;=1846,INDEX('Navy plan'!J$6:J$92,$A25-1845-Levers!$K$191),0)</x:f>
        <x:v>0</x:v>
      </x:c>
      <x:c r="K25" s="47" t="n">
        <x:f>SUM(B25:J25)</x:f>
        <x:v>12</x:v>
      </x:c>
      <x:c r="L25" s="53" t="n">
        <x:f>0.5*SUMPRODUCT('Navy plan'!B25:'Navy plan'!J25,'Navy plan'!K25:'Navy plan'!S25)+0.5*SUMPRODUCT('Navy plan'!B26:'Navy plan'!J26,'Navy plan'!K26:'Navy plan'!S26)</x:f>
        <x:v>0.5375</x:v>
      </x:c>
      <x:c r="M25" s="47" t="n">
        <x:f>SUMPRODUCT(B25:J25,Levers!$C$192:$K$192)</x:f>
        <x:v>2220</x:v>
      </x:c>
      <x:c r="N25" s="47" t="n">
        <x:f>SUMPRODUCT(B25:J25,Levers!$C$195:$K$195)</x:f>
        <x:v>2220</x:v>
      </x:c>
      <x:c r="O25" s="47" t="n">
        <x:f>N25-M25</x:f>
        <x:v>0</x:v>
      </x:c>
      <x:c r="P25" s="53" t="n">
        <x:f>M25*sailor_pay*Economy!H25/1000000</x:f>
        <x:v>1.8981</x:v>
      </x:c>
      <x:c r="Q25" s="53" t="n">
        <x:f>SUMPRODUCT(B25:J25,'Navy plan'!K25:'Navy plan'!S25)*maint_rate</x:f>
        <x:v>0.5175</x:v>
      </x:c>
      <x:c r="R25" s="53" t="n">
        <x:f>SUMPRODUCT(B25:J25,Levers!$C$193:$K$193)*Economy!H25</x:f>
        <x:v>0.399</x:v>
      </x:c>
      <x:c r="S25" s="53" t="n">
        <x:f>SUMPRODUCT(B25:J25,Levers!$C$193:$K$193,Levers!$C$194:$K$194)*(1/oil_fuel-1)*Economy!H25</x:f>
        <x:v>0</x:v>
      </x:c>
      <x:c r="T25" s="53" t="n">
        <x:f>S25+O25*sailor_pay*Economy!H25/1000000</x:f>
        <x:v>0</x:v>
      </x:c>
      <x:c r="U25" s="53" t="n">
        <x:f>(P25+Q25+R25)*navy_overhead</x:f>
        <x:v>0.42219</x:v>
      </x:c>
      <x:c r="V25" s="53" t="n">
        <x:f>L25+P25+Q25+R25+U25</x:f>
        <x:v>3.77429</x:v>
      </x:c>
      <x:c r="W25" s="69" t="n">
        <x:f>Japan!I25</x:f>
        <x:v>0</x:v>
      </x:c>
      <x:c r="X25" s="53" t="n">
        <x:f>IF($A25&gt;=1927,V25+W25,0)</x:f>
        <x:v>0</x:v>
      </x:c>
      <x:c r="Y25" s="53" t="n">
        <x:f>IF($A25&gt;=1927,pac_quota*X25,V25)</x:f>
        <x:v>3.77429</x:v>
      </x:c>
      <x:c r="Z25" s="67" t="n">
        <x:f>SUMPRODUCT(B25:J25,Levers!$C$193:$K$193,Levers!$C$194:$K$194)/0.6</x:f>
        <x:v>0</x:v>
      </x:c>
      <x:c r="AA25" s="62" t="n">
        <x:f>H25</x:f>
        <x:v>0</x:v>
      </x:c>
      <x:c r="AB25" s="47" t="n">
        <x:f>AA25+'Navy plan'!T25</x:f>
        <x:v>0</x:v>
      </x:c>
      <x:c r="AC25" s="62" t="n">
        <x:f>'Navy plan'!U25</x:f>
        <x:v>0</x:v>
      </x:c>
      <x:c r="AD25" s="62" t="n">
        <x:f>'Navy plan'!V25</x:f>
        <x:v>0</x:v>
      </x:c>
      <x:c r="AE25" s="67" t="n">
        <x:f>IF(AC25&gt;0,AB25/AC25,0)</x:f>
        <x:v>0</x:v>
      </x:c>
    </x:row>
    <x:row r="26">
      <x:c r="A26" s="58" t="n">
        <x:v>1866</x:v>
      </x:c>
      <x:c r="B26" s="47" t="n">
        <x:f>B25+'Navy plan'!B26-IF($A26-Levers!$C$191&gt;=1846,INDEX('Navy plan'!B$6:B$92,$A26-1845-Levers!$C$191),0)</x:f>
        <x:v>6</x:v>
      </x:c>
      <x:c r="C26" s="47" t="n">
        <x:f>C25+'Navy plan'!C26-IF($A26-Levers!$D$191&gt;=1846,INDEX('Navy plan'!C$6:C$92,$A26-1845-Levers!$D$191),0)</x:f>
        <x:v>6</x:v>
      </x:c>
      <x:c r="D26" s="47" t="n">
        <x:f>D25+'Navy plan'!D26-IF($A26-Levers!$E$191&gt;=1846,INDEX('Navy plan'!D$6:D$92,$A26-1845-Levers!$E$191),0)</x:f>
        <x:v>0</x:v>
      </x:c>
      <x:c r="E26" s="47" t="n">
        <x:f>E25+'Navy plan'!E26-IF($A26-Levers!$F$191&gt;=1846,INDEX('Navy plan'!E$6:E$92,$A26-1845-Levers!$F$191),0)</x:f>
        <x:v>0</x:v>
      </x:c>
      <x:c r="F26" s="47" t="n">
        <x:f>F25+'Navy plan'!F26-IF($A26-Levers!$G$191&gt;=1846,INDEX('Navy plan'!F$6:F$92,$A26-1845-Levers!$G$191),0)</x:f>
        <x:v>0</x:v>
      </x:c>
      <x:c r="G26" s="47" t="n">
        <x:f>G25+'Navy plan'!G26-IF($A26-Levers!$H$191&gt;=1846,INDEX('Navy plan'!G$6:G$92,$A26-1845-Levers!$H$191),0)</x:f>
        <x:v>0</x:v>
      </x:c>
      <x:c r="H26" s="47" t="n">
        <x:f>H25+'Navy plan'!H26-IF($A26-Levers!$I$191&gt;=1846,INDEX('Navy plan'!H$6:H$92,$A26-1845-Levers!$I$191),0)</x:f>
        <x:v>0</x:v>
      </x:c>
      <x:c r="I26" s="47" t="n">
        <x:f>I25+'Navy plan'!I26-IF($A26-Levers!$J$191&gt;=1846,INDEX('Navy plan'!I$6:I$92,$A26-1845-Levers!$J$191),0)</x:f>
        <x:v>0</x:v>
      </x:c>
      <x:c r="J26" s="47" t="n">
        <x:f>J25+'Navy plan'!J26-IF($A26-Levers!$K$191&gt;=1846,INDEX('Navy plan'!J$6:J$92,$A26-1845-Levers!$K$191),0)</x:f>
        <x:v>0</x:v>
      </x:c>
      <x:c r="K26" s="47" t="n">
        <x:f>SUM(B26:J26)</x:f>
        <x:v>12</x:v>
      </x:c>
      <x:c r="L26" s="53" t="n">
        <x:f>0.5*SUMPRODUCT('Navy plan'!B26:'Navy plan'!J26,'Navy plan'!K26:'Navy plan'!S26)+0.5*SUMPRODUCT('Navy plan'!B27:'Navy plan'!J27,'Navy plan'!K27:'Navy plan'!S27)</x:f>
        <x:v>0.5625</x:v>
      </x:c>
      <x:c r="M26" s="47" t="n">
        <x:f>SUMPRODUCT(B26:J26,Levers!$C$192:$K$192)</x:f>
        <x:v>2220</x:v>
      </x:c>
      <x:c r="N26" s="47" t="n">
        <x:f>SUMPRODUCT(B26:J26,Levers!$C$195:$K$195)</x:f>
        <x:v>2220</x:v>
      </x:c>
      <x:c r="O26" s="47" t="n">
        <x:f>N26-M26</x:f>
        <x:v>0</x:v>
      </x:c>
      <x:c r="P26" s="53" t="n">
        <x:f>M26*sailor_pay*Economy!H26/1000000</x:f>
        <x:v>1.8981</x:v>
      </x:c>
      <x:c r="Q26" s="53" t="n">
        <x:f>SUMPRODUCT(B26:J26,'Navy plan'!K26:'Navy plan'!S26)*maint_rate</x:f>
        <x:v>0.534</x:v>
      </x:c>
      <x:c r="R26" s="53" t="n">
        <x:f>SUMPRODUCT(B26:J26,Levers!$C$193:$K$193)*Economy!H26</x:f>
        <x:v>0.399</x:v>
      </x:c>
      <x:c r="S26" s="53" t="n">
        <x:f>SUMPRODUCT(B26:J26,Levers!$C$193:$K$193,Levers!$C$194:$K$194)*(1/oil_fuel-1)*Economy!H26</x:f>
        <x:v>0</x:v>
      </x:c>
      <x:c r="T26" s="53" t="n">
        <x:f>S26+O26*sailor_pay*Economy!H26/1000000</x:f>
        <x:v>0</x:v>
      </x:c>
      <x:c r="U26" s="53" t="n">
        <x:f>(P26+Q26+R26)*navy_overhead</x:f>
        <x:v>0.424665</x:v>
      </x:c>
      <x:c r="V26" s="53" t="n">
        <x:f>L26+P26+Q26+R26+U26</x:f>
        <x:v>3.8182650000000002</x:v>
      </x:c>
      <x:c r="W26" s="69" t="n">
        <x:f>Japan!I26</x:f>
        <x:v>0</x:v>
      </x:c>
      <x:c r="X26" s="53" t="n">
        <x:f>IF($A26&gt;=1927,V26+W26,0)</x:f>
        <x:v>0</x:v>
      </x:c>
      <x:c r="Y26" s="53" t="n">
        <x:f>IF($A26&gt;=1927,pac_quota*X26,V26)</x:f>
        <x:v>3.8182650000000002</x:v>
      </x:c>
      <x:c r="Z26" s="67" t="n">
        <x:f>SUMPRODUCT(B26:J26,Levers!$C$193:$K$193,Levers!$C$194:$K$194)/0.6</x:f>
        <x:v>0</x:v>
      </x:c>
      <x:c r="AA26" s="62" t="n">
        <x:f>H26</x:f>
        <x:v>0</x:v>
      </x:c>
      <x:c r="AB26" s="47" t="n">
        <x:f>AA26+'Navy plan'!T26</x:f>
        <x:v>0</x:v>
      </x:c>
      <x:c r="AC26" s="62" t="n">
        <x:f>'Navy plan'!U26</x:f>
        <x:v>0</x:v>
      </x:c>
      <x:c r="AD26" s="62" t="n">
        <x:f>'Navy plan'!V26</x:f>
        <x:v>0</x:v>
      </x:c>
      <x:c r="AE26" s="67" t="n">
        <x:f>IF(AC26&gt;0,AB26/AC26,0)</x:f>
        <x:v>0</x:v>
      </x:c>
    </x:row>
    <x:row r="27">
      <x:c r="A27" s="58" t="n">
        <x:v>1867</x:v>
      </x:c>
      <x:c r="B27" s="47" t="n">
        <x:f>B26+'Navy plan'!B27-IF($A27-Levers!$C$191&gt;=1846,INDEX('Navy plan'!B$6:B$92,$A27-1845-Levers!$C$191),0)</x:f>
        <x:v>7</x:v>
      </x:c>
      <x:c r="C27" s="47" t="n">
        <x:f>C26+'Navy plan'!C27-IF($A27-Levers!$D$191&gt;=1846,INDEX('Navy plan'!C$6:C$92,$A27-1845-Levers!$D$191),0)</x:f>
        <x:v>6</x:v>
      </x:c>
      <x:c r="D27" s="47" t="n">
        <x:f>D26+'Navy plan'!D27-IF($A27-Levers!$E$191&gt;=1846,INDEX('Navy plan'!D$6:D$92,$A27-1845-Levers!$E$191),0)</x:f>
        <x:v>0</x:v>
      </x:c>
      <x:c r="E27" s="47" t="n">
        <x:f>E26+'Navy plan'!E27-IF($A27-Levers!$F$191&gt;=1846,INDEX('Navy plan'!E$6:E$92,$A27-1845-Levers!$F$191),0)</x:f>
        <x:v>0</x:v>
      </x:c>
      <x:c r="F27" s="47" t="n">
        <x:f>F26+'Navy plan'!F27-IF($A27-Levers!$G$191&gt;=1846,INDEX('Navy plan'!F$6:F$92,$A27-1845-Levers!$G$191),0)</x:f>
        <x:v>0</x:v>
      </x:c>
      <x:c r="G27" s="47" t="n">
        <x:f>G26+'Navy plan'!G27-IF($A27-Levers!$H$191&gt;=1846,INDEX('Navy plan'!G$6:G$92,$A27-1845-Levers!$H$191),0)</x:f>
        <x:v>0</x:v>
      </x:c>
      <x:c r="H27" s="47" t="n">
        <x:f>H26+'Navy plan'!H27-IF($A27-Levers!$I$191&gt;=1846,INDEX('Navy plan'!H$6:H$92,$A27-1845-Levers!$I$191),0)</x:f>
        <x:v>0</x:v>
      </x:c>
      <x:c r="I27" s="47" t="n">
        <x:f>I26+'Navy plan'!I27-IF($A27-Levers!$J$191&gt;=1846,INDEX('Navy plan'!I$6:I$92,$A27-1845-Levers!$J$191),0)</x:f>
        <x:v>0</x:v>
      </x:c>
      <x:c r="J27" s="47" t="n">
        <x:f>J26+'Navy plan'!J27-IF($A27-Levers!$K$191&gt;=1846,INDEX('Navy plan'!J$6:J$92,$A27-1845-Levers!$K$191),0)</x:f>
        <x:v>0</x:v>
      </x:c>
      <x:c r="K27" s="47" t="n">
        <x:f>SUM(B27:J27)</x:f>
        <x:v>13</x:v>
      </x:c>
      <x:c r="L27" s="53" t="n">
        <x:f>0.5*SUMPRODUCT('Navy plan'!B27:'Navy plan'!J27,'Navy plan'!K27:'Navy plan'!S27)+0.5*SUMPRODUCT('Navy plan'!B28:'Navy plan'!J28,'Navy plan'!K28:'Navy plan'!S28)</x:f>
        <x:v>1.3025</x:v>
      </x:c>
      <x:c r="M27" s="47" t="n">
        <x:f>SUMPRODUCT(B27:J27,Levers!$C$192:$K$192)</x:f>
        <x:v>2340</x:v>
      </x:c>
      <x:c r="N27" s="47" t="n">
        <x:f>SUMPRODUCT(B27:J27,Levers!$C$195:$K$195)</x:f>
        <x:v>2340</x:v>
      </x:c>
      <x:c r="O27" s="47" t="n">
        <x:f>N27-M27</x:f>
        <x:v>0</x:v>
      </x:c>
      <x:c r="P27" s="53" t="n">
        <x:f>M27*sailor_pay*Economy!H27/1000000</x:f>
        <x:v>2.0007</x:v>
      </x:c>
      <x:c r="Q27" s="53" t="n">
        <x:f>SUMPRODUCT(B27:J27,'Navy plan'!K27:'Navy plan'!S27)*maint_rate</x:f>
        <x:v>0.60675</x:v>
      </x:c>
      <x:c r="R27" s="53" t="n">
        <x:f>SUMPRODUCT(B27:J27,Levers!$C$193:$K$193)*Economy!H27</x:f>
        <x:v>0.41800000000000004</x:v>
      </x:c>
      <x:c r="S27" s="53" t="n">
        <x:f>SUMPRODUCT(B27:J27,Levers!$C$193:$K$193,Levers!$C$194:$K$194)*(1/oil_fuel-1)*Economy!H27</x:f>
        <x:v>0</x:v>
      </x:c>
      <x:c r="T27" s="53" t="n">
        <x:f>S27+O27*sailor_pay*Economy!H27/1000000</x:f>
        <x:v>0</x:v>
      </x:c>
      <x:c r="U27" s="53" t="n">
        <x:f>(P27+Q27+R27)*navy_overhead</x:f>
        <x:v>0.4538175</x:v>
      </x:c>
      <x:c r="V27" s="53" t="n">
        <x:f>L27+P27+Q27+R27+U27</x:f>
        <x:v>4.781767500000001</x:v>
      </x:c>
      <x:c r="W27" s="69" t="n">
        <x:f>Japan!I27</x:f>
        <x:v>0</x:v>
      </x:c>
      <x:c r="X27" s="53" t="n">
        <x:f>IF($A27&gt;=1927,V27+W27,0)</x:f>
        <x:v>0</x:v>
      </x:c>
      <x:c r="Y27" s="53" t="n">
        <x:f>IF($A27&gt;=1927,pac_quota*X27,V27)</x:f>
        <x:v>4.781767500000001</x:v>
      </x:c>
      <x:c r="Z27" s="67" t="n">
        <x:f>SUMPRODUCT(B27:J27,Levers!$C$193:$K$193,Levers!$C$194:$K$194)/0.6</x:f>
        <x:v>0</x:v>
      </x:c>
      <x:c r="AA27" s="62" t="n">
        <x:f>H27</x:f>
        <x:v>0</x:v>
      </x:c>
      <x:c r="AB27" s="47" t="n">
        <x:f>AA27+'Navy plan'!T27</x:f>
        <x:v>0</x:v>
      </x:c>
      <x:c r="AC27" s="62" t="n">
        <x:f>'Navy plan'!U27</x:f>
        <x:v>0</x:v>
      </x:c>
      <x:c r="AD27" s="62" t="n">
        <x:f>'Navy plan'!V27</x:f>
        <x:v>0</x:v>
      </x:c>
      <x:c r="AE27" s="67" t="n">
        <x:f>IF(AC27&gt;0,AB27/AC27,0)</x:f>
        <x:v>0</x:v>
      </x:c>
    </x:row>
    <x:row r="28">
      <x:c r="A28" s="58" t="n">
        <x:v>1868</x:v>
      </x:c>
      <x:c r="B28" s="47" t="n">
        <x:f>B27+'Navy plan'!B28-IF($A28-Levers!$C$191&gt;=1846,INDEX('Navy plan'!B$6:B$92,$A28-1845-Levers!$C$191),0)</x:f>
        <x:v>7</x:v>
      </x:c>
      <x:c r="C28" s="47" t="n">
        <x:f>C27+'Navy plan'!C28-IF($A28-Levers!$D$191&gt;=1846,INDEX('Navy plan'!C$6:C$92,$A28-1845-Levers!$D$191),0)</x:f>
        <x:v>8</x:v>
      </x:c>
      <x:c r="D28" s="47" t="n">
        <x:f>D27+'Navy plan'!D28-IF($A28-Levers!$E$191&gt;=1846,INDEX('Navy plan'!D$6:D$92,$A28-1845-Levers!$E$191),0)</x:f>
        <x:v>0</x:v>
      </x:c>
      <x:c r="E28" s="47" t="n">
        <x:f>E27+'Navy plan'!E28-IF($A28-Levers!$F$191&gt;=1846,INDEX('Navy plan'!E$6:E$92,$A28-1845-Levers!$F$191),0)</x:f>
        <x:v>0</x:v>
      </x:c>
      <x:c r="F28" s="47" t="n">
        <x:f>F27+'Navy plan'!F28-IF($A28-Levers!$G$191&gt;=1846,INDEX('Navy plan'!F$6:F$92,$A28-1845-Levers!$G$191),0)</x:f>
        <x:v>0</x:v>
      </x:c>
      <x:c r="G28" s="47" t="n">
        <x:f>G27+'Navy plan'!G28-IF($A28-Levers!$H$191&gt;=1846,INDEX('Navy plan'!G$6:G$92,$A28-1845-Levers!$H$191),0)</x:f>
        <x:v>0</x:v>
      </x:c>
      <x:c r="H28" s="47" t="n">
        <x:f>H27+'Navy plan'!H28-IF($A28-Levers!$I$191&gt;=1846,INDEX('Navy plan'!H$6:H$92,$A28-1845-Levers!$I$191),0)</x:f>
        <x:v>0</x:v>
      </x:c>
      <x:c r="I28" s="47" t="n">
        <x:f>I27+'Navy plan'!I28-IF($A28-Levers!$J$191&gt;=1846,INDEX('Navy plan'!I$6:I$92,$A28-1845-Levers!$J$191),0)</x:f>
        <x:v>0</x:v>
      </x:c>
      <x:c r="J28" s="47" t="n">
        <x:f>J27+'Navy plan'!J28-IF($A28-Levers!$K$191&gt;=1846,INDEX('Navy plan'!J$6:J$92,$A28-1845-Levers!$K$191),0)</x:f>
        <x:v>0</x:v>
      </x:c>
      <x:c r="K28" s="47" t="n">
        <x:f>SUM(B28:J28)</x:f>
        <x:v>15</x:v>
      </x:c>
      <x:c r="L28" s="53" t="n">
        <x:f>0.5*SUMPRODUCT('Navy plan'!B28:'Navy plan'!J28,'Navy plan'!K28:'Navy plan'!S28)+0.5*SUMPRODUCT('Navy plan'!B29:'Navy plan'!J29,'Navy plan'!K29:'Navy plan'!S29)</x:f>
        <x:v>1.915</x:v>
      </x:c>
      <x:c r="M28" s="47" t="n">
        <x:f>SUMPRODUCT(B28:J28,Levers!$C$192:$K$192)</x:f>
        <x:v>2840</x:v>
      </x:c>
      <x:c r="N28" s="47" t="n">
        <x:f>SUMPRODUCT(B28:J28,Levers!$C$195:$K$195)</x:f>
        <x:v>2840</x:v>
      </x:c>
      <x:c r="O28" s="47" t="n">
        <x:f>N28-M28</x:f>
        <x:v>0</x:v>
      </x:c>
      <x:c r="P28" s="53" t="n">
        <x:f>M28*sailor_pay*Economy!H28/1000000</x:f>
        <x:v>2.4282</x:v>
      </x:c>
      <x:c r="Q28" s="53" t="n">
        <x:f>SUMPRODUCT(B28:J28,'Navy plan'!K28:'Navy plan'!S28)*maint_rate</x:f>
        <x:v>0.6985</x:v>
      </x:c>
      <x:c r="R28" s="53" t="n">
        <x:f>SUMPRODUCT(B28:J28,Levers!$C$193:$K$193)*Economy!H28</x:f>
        <x:v>0.513</x:v>
      </x:c>
      <x:c r="S28" s="53" t="n">
        <x:f>SUMPRODUCT(B28:J28,Levers!$C$193:$K$193,Levers!$C$194:$K$194)*(1/oil_fuel-1)*Economy!H28</x:f>
        <x:v>0</x:v>
      </x:c>
      <x:c r="T28" s="53" t="n">
        <x:f>S28+O28*sailor_pay*Economy!H28/1000000</x:f>
        <x:v>0</x:v>
      </x:c>
      <x:c r="U28" s="53" t="n">
        <x:f>(P28+Q28+R28)*navy_overhead</x:f>
        <x:v>0.545955</x:v>
      </x:c>
      <x:c r="V28" s="53" t="n">
        <x:f>L28+P28+Q28+R28+U28</x:f>
        <x:v>6.100655</x:v>
      </x:c>
      <x:c r="W28" s="69" t="n">
        <x:f>Japan!I28</x:f>
        <x:v>0</x:v>
      </x:c>
      <x:c r="X28" s="53" t="n">
        <x:f>IF($A28&gt;=1927,V28+W28,0)</x:f>
        <x:v>0</x:v>
      </x:c>
      <x:c r="Y28" s="53" t="n">
        <x:f>IF($A28&gt;=1927,pac_quota*X28,V28)</x:f>
        <x:v>6.100655</x:v>
      </x:c>
      <x:c r="Z28" s="67" t="n">
        <x:f>SUMPRODUCT(B28:J28,Levers!$C$193:$K$193,Levers!$C$194:$K$194)/0.6</x:f>
        <x:v>0</x:v>
      </x:c>
      <x:c r="AA28" s="62" t="n">
        <x:f>H28</x:f>
        <x:v>0</x:v>
      </x:c>
      <x:c r="AB28" s="47" t="n">
        <x:f>AA28+'Navy plan'!T28</x:f>
        <x:v>0</x:v>
      </x:c>
      <x:c r="AC28" s="62" t="n">
        <x:f>'Navy plan'!U28</x:f>
        <x:v>0</x:v>
      </x:c>
      <x:c r="AD28" s="62" t="n">
        <x:f>'Navy plan'!V28</x:f>
        <x:v>0</x:v>
      </x:c>
      <x:c r="AE28" s="67" t="n">
        <x:f>IF(AC28&gt;0,AB28/AC28,0)</x:f>
        <x:v>0</x:v>
      </x:c>
    </x:row>
    <x:row r="29">
      <x:c r="A29" s="58" t="n">
        <x:v>1869</x:v>
      </x:c>
      <x:c r="B29" s="47" t="n">
        <x:f>B28+'Navy plan'!B29-IF($A29-Levers!$C$191&gt;=1846,INDEX('Navy plan'!B$6:B$92,$A29-1845-Levers!$C$191),0)</x:f>
        <x:v>9</x:v>
      </x:c>
      <x:c r="C29" s="47" t="n">
        <x:f>C28+'Navy plan'!C29-IF($A29-Levers!$D$191&gt;=1846,INDEX('Navy plan'!C$6:C$92,$A29-1845-Levers!$D$191),0)</x:f>
        <x:v>8</x:v>
      </x:c>
      <x:c r="D29" s="47" t="n">
        <x:f>D28+'Navy plan'!D29-IF($A29-Levers!$E$191&gt;=1846,INDEX('Navy plan'!D$6:D$92,$A29-1845-Levers!$E$191),0)</x:f>
        <x:v>0</x:v>
      </x:c>
      <x:c r="E29" s="47" t="n">
        <x:f>E28+'Navy plan'!E29-IF($A29-Levers!$F$191&gt;=1846,INDEX('Navy plan'!E$6:E$92,$A29-1845-Levers!$F$191),0)</x:f>
        <x:v>0</x:v>
      </x:c>
      <x:c r="F29" s="47" t="n">
        <x:f>F28+'Navy plan'!F29-IF($A29-Levers!$G$191&gt;=1846,INDEX('Navy plan'!F$6:F$92,$A29-1845-Levers!$G$191),0)</x:f>
        <x:v>0</x:v>
      </x:c>
      <x:c r="G29" s="47" t="n">
        <x:f>G28+'Navy plan'!G29-IF($A29-Levers!$H$191&gt;=1846,INDEX('Navy plan'!G$6:G$92,$A29-1845-Levers!$H$191),0)</x:f>
        <x:v>0</x:v>
      </x:c>
      <x:c r="H29" s="47" t="n">
        <x:f>H28+'Navy plan'!H29-IF($A29-Levers!$I$191&gt;=1846,INDEX('Navy plan'!H$6:H$92,$A29-1845-Levers!$I$191),0)</x:f>
        <x:v>0</x:v>
      </x:c>
      <x:c r="I29" s="47" t="n">
        <x:f>I28+'Navy plan'!I29-IF($A29-Levers!$J$191&gt;=1846,INDEX('Navy plan'!I$6:I$92,$A29-1845-Levers!$J$191),0)</x:f>
        <x:v>0</x:v>
      </x:c>
      <x:c r="J29" s="47" t="n">
        <x:f>J28+'Navy plan'!J29-IF($A29-Levers!$K$191&gt;=1846,INDEX('Navy plan'!J$6:J$92,$A29-1845-Levers!$K$191),0)</x:f>
        <x:v>0</x:v>
      </x:c>
      <x:c r="K29" s="47" t="n">
        <x:f>SUM(B29:J29)</x:f>
        <x:v>17</x:v>
      </x:c>
      <x:c r="L29" s="53" t="n">
        <x:f>0.5*SUMPRODUCT('Navy plan'!B29:'Navy plan'!J29,'Navy plan'!K29:'Navy plan'!S29)+0.5*SUMPRODUCT('Navy plan'!B30:'Navy plan'!J30,'Navy plan'!K30:'Navy plan'!S30)</x:f>
        <x:v>2.375</x:v>
      </x:c>
      <x:c r="M29" s="47" t="n">
        <x:f>SUMPRODUCT(B29:J29,Levers!$C$192:$K$192)</x:f>
        <x:v>3080</x:v>
      </x:c>
      <x:c r="N29" s="47" t="n">
        <x:f>SUMPRODUCT(B29:J29,Levers!$C$195:$K$195)</x:f>
        <x:v>3080</x:v>
      </x:c>
      <x:c r="O29" s="47" t="n">
        <x:f>N29-M29</x:f>
        <x:v>0</x:v>
      </x:c>
      <x:c r="P29" s="53" t="n">
        <x:f>M29*sailor_pay*Economy!H29/1000000</x:f>
        <x:v>2.6334</x:v>
      </x:c>
      <x:c r="Q29" s="53" t="n">
        <x:f>SUMPRODUCT(B29:J29,'Navy plan'!K29:'Navy plan'!S29)*maint_rate</x:f>
        <x:v>0.83675</x:v>
      </x:c>
      <x:c r="R29" s="53" t="n">
        <x:f>SUMPRODUCT(B29:J29,Levers!$C$193:$K$193)*Economy!H29</x:f>
        <x:v>0.551</x:v>
      </x:c>
      <x:c r="S29" s="53" t="n">
        <x:f>SUMPRODUCT(B29:J29,Levers!$C$193:$K$193,Levers!$C$194:$K$194)*(1/oil_fuel-1)*Economy!H29</x:f>
        <x:v>0</x:v>
      </x:c>
      <x:c r="T29" s="53" t="n">
        <x:f>S29+O29*sailor_pay*Economy!H29/1000000</x:f>
        <x:v>0</x:v>
      </x:c>
      <x:c r="U29" s="53" t="n">
        <x:f>(P29+Q29+R29)*navy_overhead</x:f>
        <x:v>0.6031724999999999</x:v>
      </x:c>
      <x:c r="V29" s="53" t="n">
        <x:f>L29+P29+Q29+R29+U29</x:f>
        <x:v>6.9993225</x:v>
      </x:c>
      <x:c r="W29" s="69" t="n">
        <x:f>Japan!I29</x:f>
        <x:v>0</x:v>
      </x:c>
      <x:c r="X29" s="53" t="n">
        <x:f>IF($A29&gt;=1927,V29+W29,0)</x:f>
        <x:v>0</x:v>
      </x:c>
      <x:c r="Y29" s="53" t="n">
        <x:f>IF($A29&gt;=1927,pac_quota*X29,V29)</x:f>
        <x:v>6.9993225</x:v>
      </x:c>
      <x:c r="Z29" s="67" t="n">
        <x:f>SUMPRODUCT(B29:J29,Levers!$C$193:$K$193,Levers!$C$194:$K$194)/0.6</x:f>
        <x:v>0</x:v>
      </x:c>
      <x:c r="AA29" s="62" t="n">
        <x:f>H29</x:f>
        <x:v>0</x:v>
      </x:c>
      <x:c r="AB29" s="47" t="n">
        <x:f>AA29+'Navy plan'!T29</x:f>
        <x:v>0</x:v>
      </x:c>
      <x:c r="AC29" s="62" t="n">
        <x:f>'Navy plan'!U29</x:f>
        <x:v>0</x:v>
      </x:c>
      <x:c r="AD29" s="62" t="n">
        <x:f>'Navy plan'!V29</x:f>
        <x:v>0</x:v>
      </x:c>
      <x:c r="AE29" s="67" t="n">
        <x:f>IF(AC29&gt;0,AB29/AC29,0)</x:f>
        <x:v>0</x:v>
      </x:c>
    </x:row>
    <x:row r="30">
      <x:c r="A30" s="58" t="n">
        <x:v>1870</x:v>
      </x:c>
      <x:c r="B30" s="47" t="n">
        <x:f>B29+'Navy plan'!B30-IF($A30-Levers!$C$191&gt;=1846,INDEX('Navy plan'!B$6:B$92,$A30-1845-Levers!$C$191),0)</x:f>
        <x:v>11</x:v>
      </x:c>
      <x:c r="C30" s="47" t="n">
        <x:f>C29+'Navy plan'!C30-IF($A30-Levers!$D$191&gt;=1846,INDEX('Navy plan'!C$6:C$92,$A30-1845-Levers!$D$191),0)</x:f>
        <x:v>8</x:v>
      </x:c>
      <x:c r="D30" s="47" t="n">
        <x:f>D29+'Navy plan'!D30-IF($A30-Levers!$E$191&gt;=1846,INDEX('Navy plan'!D$6:D$92,$A30-1845-Levers!$E$191),0)</x:f>
        <x:v>0</x:v>
      </x:c>
      <x:c r="E30" s="47" t="n">
        <x:f>E29+'Navy plan'!E30-IF($A30-Levers!$F$191&gt;=1846,INDEX('Navy plan'!E$6:E$92,$A30-1845-Levers!$F$191),0)</x:f>
        <x:v>0</x:v>
      </x:c>
      <x:c r="F30" s="47" t="n">
        <x:f>F29+'Navy plan'!F30-IF($A30-Levers!$G$191&gt;=1846,INDEX('Navy plan'!F$6:F$92,$A30-1845-Levers!$G$191),0)</x:f>
        <x:v>0</x:v>
      </x:c>
      <x:c r="G30" s="47" t="n">
        <x:f>G29+'Navy plan'!G30-IF($A30-Levers!$H$191&gt;=1846,INDEX('Navy plan'!G$6:G$92,$A30-1845-Levers!$H$191),0)</x:f>
        <x:v>0</x:v>
      </x:c>
      <x:c r="H30" s="47" t="n">
        <x:f>H29+'Navy plan'!H30-IF($A30-Levers!$I$191&gt;=1846,INDEX('Navy plan'!H$6:H$92,$A30-1845-Levers!$I$191),0)</x:f>
        <x:v>0</x:v>
      </x:c>
      <x:c r="I30" s="47" t="n">
        <x:f>I29+'Navy plan'!I30-IF($A30-Levers!$J$191&gt;=1846,INDEX('Navy plan'!I$6:I$92,$A30-1845-Levers!$J$191),0)</x:f>
        <x:v>0</x:v>
      </x:c>
      <x:c r="J30" s="47" t="n">
        <x:f>J29+'Navy plan'!J30-IF($A30-Levers!$K$191&gt;=1846,INDEX('Navy plan'!J$6:J$92,$A30-1845-Levers!$K$191),0)</x:f>
        <x:v>0</x:v>
      </x:c>
      <x:c r="K30" s="47" t="n">
        <x:f>SUM(B30:J30)</x:f>
        <x:v>19</x:v>
      </x:c>
      <x:c r="L30" s="53" t="n">
        <x:f>0.5*SUMPRODUCT('Navy plan'!B30:'Navy plan'!J30,'Navy plan'!K30:'Navy plan'!S30)+0.5*SUMPRODUCT('Navy plan'!B31:'Navy plan'!J31,'Navy plan'!K31:'Navy plan'!S31)</x:f>
        <x:v>1.2</x:v>
      </x:c>
      <x:c r="M30" s="47" t="n">
        <x:f>SUMPRODUCT(B30:J30,Levers!$C$192:$K$192)</x:f>
        <x:v>3320</x:v>
      </x:c>
      <x:c r="N30" s="47" t="n">
        <x:f>SUMPRODUCT(B30:J30,Levers!$C$195:$K$195)</x:f>
        <x:v>3320</x:v>
      </x:c>
      <x:c r="O30" s="47" t="n">
        <x:f>N30-M30</x:f>
        <x:v>0</x:v>
      </x:c>
      <x:c r="P30" s="53" t="n">
        <x:f>M30*sailor_pay*Economy!H30/1000000</x:f>
        <x:v>2.8386</x:v>
      </x:c>
      <x:c r="Q30" s="53" t="n">
        <x:f>SUMPRODUCT(B30:J30,'Navy plan'!K30:'Navy plan'!S30)*maint_rate</x:f>
        <x:v>0.9800000000000001</x:v>
      </x:c>
      <x:c r="R30" s="53" t="n">
        <x:f>SUMPRODUCT(B30:J30,Levers!$C$193:$K$193)*Economy!H30</x:f>
        <x:v>0.589</x:v>
      </x:c>
      <x:c r="S30" s="53" t="n">
        <x:f>SUMPRODUCT(B30:J30,Levers!$C$193:$K$193,Levers!$C$194:$K$194)*(1/oil_fuel-1)*Economy!H30</x:f>
        <x:v>0</x:v>
      </x:c>
      <x:c r="T30" s="53" t="n">
        <x:f>S30+O30*sailor_pay*Economy!H30/1000000</x:f>
        <x:v>0</x:v>
      </x:c>
      <x:c r="U30" s="53" t="n">
        <x:f>(P30+Q30+R30)*navy_overhead</x:f>
        <x:v>0.6611400000000001</x:v>
      </x:c>
      <x:c r="V30" s="53" t="n">
        <x:f>L30+P30+Q30+R30+U30</x:f>
        <x:v>6.268739999999999</x:v>
      </x:c>
      <x:c r="W30" s="69" t="n">
        <x:f>Japan!I30</x:f>
        <x:v>2</x:v>
      </x:c>
      <x:c r="X30" s="53" t="n">
        <x:f>IF($A30&gt;=1927,V30+W30,0)</x:f>
        <x:v>0</x:v>
      </x:c>
      <x:c r="Y30" s="53" t="n">
        <x:f>IF($A30&gt;=1927,pac_quota*X30,V30)</x:f>
        <x:v>6.268739999999999</x:v>
      </x:c>
      <x:c r="Z30" s="67" t="n">
        <x:f>SUMPRODUCT(B30:J30,Levers!$C$193:$K$193,Levers!$C$194:$K$194)/0.6</x:f>
        <x:v>0</x:v>
      </x:c>
      <x:c r="AA30" s="62" t="n">
        <x:f>H30</x:f>
        <x:v>0</x:v>
      </x:c>
      <x:c r="AB30" s="47" t="n">
        <x:f>AA30+'Navy plan'!T30</x:f>
        <x:v>0</x:v>
      </x:c>
      <x:c r="AC30" s="62" t="n">
        <x:f>'Navy plan'!U30</x:f>
        <x:v>0</x:v>
      </x:c>
      <x:c r="AD30" s="62" t="n">
        <x:f>'Navy plan'!V30</x:f>
        <x:v>0</x:v>
      </x:c>
      <x:c r="AE30" s="67" t="n">
        <x:f>IF(AC30&gt;0,AB30/AC30,0)</x:f>
        <x:v>0</x:v>
      </x:c>
    </x:row>
    <x:row r="31">
      <x:c r="A31" s="58" t="n">
        <x:v>1871</x:v>
      </x:c>
      <x:c r="B31" s="47" t="n">
        <x:f>B30+'Navy plan'!B31-IF($A31-Levers!$C$191&gt;=1846,INDEX('Navy plan'!B$6:B$92,$A31-1845-Levers!$C$191),0)</x:f>
        <x:v>11</x:v>
      </x:c>
      <x:c r="C31" s="47" t="n">
        <x:f>C30+'Navy plan'!C31-IF($A31-Levers!$D$191&gt;=1846,INDEX('Navy plan'!C$6:C$92,$A31-1845-Levers!$D$191),0)</x:f>
        <x:v>8</x:v>
      </x:c>
      <x:c r="D31" s="47" t="n">
        <x:f>D30+'Navy plan'!D31-IF($A31-Levers!$E$191&gt;=1846,INDEX('Navy plan'!D$6:D$92,$A31-1845-Levers!$E$191),0)</x:f>
        <x:v>0</x:v>
      </x:c>
      <x:c r="E31" s="47" t="n">
        <x:f>E30+'Navy plan'!E31-IF($A31-Levers!$F$191&gt;=1846,INDEX('Navy plan'!E$6:E$92,$A31-1845-Levers!$F$191),0)</x:f>
        <x:v>0</x:v>
      </x:c>
      <x:c r="F31" s="47" t="n">
        <x:f>F30+'Navy plan'!F31-IF($A31-Levers!$G$191&gt;=1846,INDEX('Navy plan'!F$6:F$92,$A31-1845-Levers!$G$191),0)</x:f>
        <x:v>0</x:v>
      </x:c>
      <x:c r="G31" s="47" t="n">
        <x:f>G30+'Navy plan'!G31-IF($A31-Levers!$H$191&gt;=1846,INDEX('Navy plan'!G$6:G$92,$A31-1845-Levers!$H$191),0)</x:f>
        <x:v>0</x:v>
      </x:c>
      <x:c r="H31" s="47" t="n">
        <x:f>H30+'Navy plan'!H31-IF($A31-Levers!$I$191&gt;=1846,INDEX('Navy plan'!H$6:H$92,$A31-1845-Levers!$I$191),0)</x:f>
        <x:v>0</x:v>
      </x:c>
      <x:c r="I31" s="47" t="n">
        <x:f>I30+'Navy plan'!I31-IF($A31-Levers!$J$191&gt;=1846,INDEX('Navy plan'!I$6:I$92,$A31-1845-Levers!$J$191),0)</x:f>
        <x:v>0</x:v>
      </x:c>
      <x:c r="J31" s="47" t="n">
        <x:f>J30+'Navy plan'!J31-IF($A31-Levers!$K$191&gt;=1846,INDEX('Navy plan'!J$6:J$92,$A31-1845-Levers!$K$191),0)</x:f>
        <x:v>0</x:v>
      </x:c>
      <x:c r="K31" s="47" t="n">
        <x:f>SUM(B31:J31)</x:f>
        <x:v>19</x:v>
      </x:c>
      <x:c r="L31" s="53" t="n">
        <x:f>0.5*SUMPRODUCT('Navy plan'!B31:'Navy plan'!J31,'Navy plan'!K31:'Navy plan'!S31)+0.5*SUMPRODUCT('Navy plan'!B32:'Navy plan'!J32,'Navy plan'!K32:'Navy plan'!S32)</x:f>
        <x:v>1.45</x:v>
      </x:c>
      <x:c r="M31" s="47" t="n">
        <x:f>SUMPRODUCT(B31:J31,Levers!$C$192:$K$192)</x:f>
        <x:v>3320</x:v>
      </x:c>
      <x:c r="N31" s="47" t="n">
        <x:f>SUMPRODUCT(B31:J31,Levers!$C$195:$K$195)</x:f>
        <x:v>3320</x:v>
      </x:c>
      <x:c r="O31" s="47" t="n">
        <x:f>N31-M31</x:f>
        <x:v>0</x:v>
      </x:c>
      <x:c r="P31" s="53" t="n">
        <x:f>M31*sailor_pay*Economy!H31/1000000</x:f>
        <x:v>2.796768</x:v>
      </x:c>
      <x:c r="Q31" s="53" t="n">
        <x:f>SUMPRODUCT(B31:J31,'Navy plan'!K31:'Navy plan'!S31)*maint_rate</x:f>
        <x:v>0.9934999999999999</x:v>
      </x:c>
      <x:c r="R31" s="53" t="n">
        <x:f>SUMPRODUCT(B31:J31,Levers!$C$193:$K$193)*Economy!H31</x:f>
        <x:v>0.5803200000000001</x:v>
      </x:c>
      <x:c r="S31" s="53" t="n">
        <x:f>SUMPRODUCT(B31:J31,Levers!$C$193:$K$193,Levers!$C$194:$K$194)*(1/oil_fuel-1)*Economy!H31</x:f>
        <x:v>0</x:v>
      </x:c>
      <x:c r="T31" s="53" t="n">
        <x:f>S31+O31*sailor_pay*Economy!H31/1000000</x:f>
        <x:v>0</x:v>
      </x:c>
      <x:c r="U31" s="53" t="n">
        <x:f>(P31+Q31+R31)*navy_overhead</x:f>
        <x:v>0.6555882000000001</x:v>
      </x:c>
      <x:c r="V31" s="53" t="n">
        <x:f>L31+P31+Q31+R31+U31</x:f>
        <x:v>6.476176200000001</x:v>
      </x:c>
      <x:c r="W31" s="69" t="n">
        <x:f>Japan!I31</x:f>
        <x:v>2.2</x:v>
      </x:c>
      <x:c r="X31" s="53" t="n">
        <x:f>IF($A31&gt;=1927,V31+W31,0)</x:f>
        <x:v>0</x:v>
      </x:c>
      <x:c r="Y31" s="53" t="n">
        <x:f>IF($A31&gt;=1927,pac_quota*X31,V31)</x:f>
        <x:v>6.476176200000001</x:v>
      </x:c>
      <x:c r="Z31" s="67" t="n">
        <x:f>SUMPRODUCT(B31:J31,Levers!$C$193:$K$193,Levers!$C$194:$K$194)/0.6</x:f>
        <x:v>0</x:v>
      </x:c>
      <x:c r="AA31" s="62" t="n">
        <x:f>H31</x:f>
        <x:v>0</x:v>
      </x:c>
      <x:c r="AB31" s="47" t="n">
        <x:f>AA31+'Navy plan'!T31</x:f>
        <x:v>0</x:v>
      </x:c>
      <x:c r="AC31" s="62" t="n">
        <x:f>'Navy plan'!U31</x:f>
        <x:v>0</x:v>
      </x:c>
      <x:c r="AD31" s="62" t="n">
        <x:f>'Navy plan'!V31</x:f>
        <x:v>0</x:v>
      </x:c>
      <x:c r="AE31" s="67" t="n">
        <x:f>IF(AC31&gt;0,AB31/AC31,0)</x:f>
        <x:v>0</x:v>
      </x:c>
    </x:row>
    <x:row r="32">
      <x:c r="A32" s="58" t="n">
        <x:v>1872</x:v>
      </x:c>
      <x:c r="B32" s="47" t="n">
        <x:f>B31+'Navy plan'!B32-IF($A32-Levers!$C$191&gt;=1846,INDEX('Navy plan'!B$6:B$92,$A32-1845-Levers!$C$191),0)</x:f>
        <x:v>12</x:v>
      </x:c>
      <x:c r="C32" s="47" t="n">
        <x:f>C31+'Navy plan'!C32-IF($A32-Levers!$D$191&gt;=1846,INDEX('Navy plan'!C$6:C$92,$A32-1845-Levers!$D$191),0)</x:f>
        <x:v>9</x:v>
      </x:c>
      <x:c r="D32" s="47" t="n">
        <x:f>D31+'Navy plan'!D32-IF($A32-Levers!$E$191&gt;=1846,INDEX('Navy plan'!D$6:D$92,$A32-1845-Levers!$E$191),0)</x:f>
        <x:v>0</x:v>
      </x:c>
      <x:c r="E32" s="47" t="n">
        <x:f>E31+'Navy plan'!E32-IF($A32-Levers!$F$191&gt;=1846,INDEX('Navy plan'!E$6:E$92,$A32-1845-Levers!$F$191),0)</x:f>
        <x:v>0</x:v>
      </x:c>
      <x:c r="F32" s="47" t="n">
        <x:f>F31+'Navy plan'!F32-IF($A32-Levers!$G$191&gt;=1846,INDEX('Navy plan'!F$6:F$92,$A32-1845-Levers!$G$191),0)</x:f>
        <x:v>0</x:v>
      </x:c>
      <x:c r="G32" s="47" t="n">
        <x:f>G31+'Navy plan'!G32-IF($A32-Levers!$H$191&gt;=1846,INDEX('Navy plan'!G$6:G$92,$A32-1845-Levers!$H$191),0)</x:f>
        <x:v>0</x:v>
      </x:c>
      <x:c r="H32" s="47" t="n">
        <x:f>H31+'Navy plan'!H32-IF($A32-Levers!$I$191&gt;=1846,INDEX('Navy plan'!H$6:H$92,$A32-1845-Levers!$I$191),0)</x:f>
        <x:v>0</x:v>
      </x:c>
      <x:c r="I32" s="47" t="n">
        <x:f>I31+'Navy plan'!I32-IF($A32-Levers!$J$191&gt;=1846,INDEX('Navy plan'!I$6:I$92,$A32-1845-Levers!$J$191),0)</x:f>
        <x:v>0</x:v>
      </x:c>
      <x:c r="J32" s="47" t="n">
        <x:f>J31+'Navy plan'!J32-IF($A32-Levers!$K$191&gt;=1846,INDEX('Navy plan'!J$6:J$92,$A32-1845-Levers!$K$191),0)</x:f>
        <x:v>0</x:v>
      </x:c>
      <x:c r="K32" s="47" t="n">
        <x:f>SUM(B32:J32)</x:f>
        <x:v>21</x:v>
      </x:c>
      <x:c r="L32" s="53" t="n">
        <x:f>0.5*SUMPRODUCT('Navy plan'!B32:'Navy plan'!J32,'Navy plan'!K32:'Navy plan'!S32)+0.5*SUMPRODUCT('Navy plan'!B33:'Navy plan'!J33,'Navy plan'!K33:'Navy plan'!S33)</x:f>
        <x:v>1.45</x:v>
      </x:c>
      <x:c r="M32" s="47" t="n">
        <x:f>SUMPRODUCT(B32:J32,Levers!$C$192:$K$192)</x:f>
        <x:v>3690</x:v>
      </x:c>
      <x:c r="N32" s="47" t="n">
        <x:f>SUMPRODUCT(B32:J32,Levers!$C$195:$K$195)</x:f>
        <x:v>3690</x:v>
      </x:c>
      <x:c r="O32" s="47" t="n">
        <x:f>N32-M32</x:f>
        <x:v>0</x:v>
      </x:c>
      <x:c r="P32" s="53" t="n">
        <x:f>M32*sailor_pay*Economy!H32/1000000</x:f>
        <x:v>3.061962</x:v>
      </x:c>
      <x:c r="Q32" s="53" t="n">
        <x:f>SUMPRODUCT(B32:J32,'Navy plan'!K32:'Navy plan'!S32)*maint_rate</x:f>
        <x:v>1.11</x:v>
      </x:c>
      <x:c r="R32" s="53" t="n">
        <x:f>SUMPRODUCT(B32:J32,Levers!$C$193:$K$193)*Economy!H32</x:f>
        <x:v>0.63618</x:v>
      </x:c>
      <x:c r="S32" s="53" t="n">
        <x:f>SUMPRODUCT(B32:J32,Levers!$C$193:$K$193,Levers!$C$194:$K$194)*(1/oil_fuel-1)*Economy!H32</x:f>
        <x:v>0</x:v>
      </x:c>
      <x:c r="T32" s="53" t="n">
        <x:f>S32+O32*sailor_pay*Economy!H32/1000000</x:f>
        <x:v>0</x:v>
      </x:c>
      <x:c r="U32" s="53" t="n">
        <x:f>(P32+Q32+R32)*navy_overhead</x:f>
        <x:v>0.7212213</x:v>
      </x:c>
      <x:c r="V32" s="53" t="n">
        <x:f>L32+P32+Q32+R32+U32</x:f>
        <x:v>6.979363299999999</x:v>
      </x:c>
      <x:c r="W32" s="69" t="n">
        <x:f>Japan!I32</x:f>
        <x:v>2.4</x:v>
      </x:c>
      <x:c r="X32" s="53" t="n">
        <x:f>IF($A32&gt;=1927,V32+W32,0)</x:f>
        <x:v>0</x:v>
      </x:c>
      <x:c r="Y32" s="53" t="n">
        <x:f>IF($A32&gt;=1927,pac_quota*X32,V32)</x:f>
        <x:v>6.979363299999999</x:v>
      </x:c>
      <x:c r="Z32" s="67" t="n">
        <x:f>SUMPRODUCT(B32:J32,Levers!$C$193:$K$193,Levers!$C$194:$K$194)/0.6</x:f>
        <x:v>0</x:v>
      </x:c>
      <x:c r="AA32" s="62" t="n">
        <x:f>H32</x:f>
        <x:v>0</x:v>
      </x:c>
      <x:c r="AB32" s="47" t="n">
        <x:f>AA32+'Navy plan'!T32</x:f>
        <x:v>0</x:v>
      </x:c>
      <x:c r="AC32" s="62" t="n">
        <x:f>'Navy plan'!U32</x:f>
        <x:v>0</x:v>
      </x:c>
      <x:c r="AD32" s="62" t="n">
        <x:f>'Navy plan'!V32</x:f>
        <x:v>0</x:v>
      </x:c>
      <x:c r="AE32" s="67" t="n">
        <x:f>IF(AC32&gt;0,AB32/AC32,0)</x:f>
        <x:v>0</x:v>
      </x:c>
    </x:row>
    <x:row r="33">
      <x:c r="A33" s="58" t="n">
        <x:v>1873</x:v>
      </x:c>
      <x:c r="B33" s="47" t="n">
        <x:f>B32+'Navy plan'!B33-IF($A33-Levers!$C$191&gt;=1846,INDEX('Navy plan'!B$6:B$92,$A33-1845-Levers!$C$191),0)</x:f>
        <x:v>12</x:v>
      </x:c>
      <x:c r="C33" s="47" t="n">
        <x:f>C32+'Navy plan'!C33-IF($A33-Levers!$D$191&gt;=1846,INDEX('Navy plan'!C$6:C$92,$A33-1845-Levers!$D$191),0)</x:f>
        <x:v>9</x:v>
      </x:c>
      <x:c r="D33" s="47" t="n">
        <x:f>D32+'Navy plan'!D33-IF($A33-Levers!$E$191&gt;=1846,INDEX('Navy plan'!D$6:D$92,$A33-1845-Levers!$E$191),0)</x:f>
        <x:v>0</x:v>
      </x:c>
      <x:c r="E33" s="47" t="n">
        <x:f>E32+'Navy plan'!E33-IF($A33-Levers!$F$191&gt;=1846,INDEX('Navy plan'!E$6:E$92,$A33-1845-Levers!$F$191),0)</x:f>
        <x:v>0</x:v>
      </x:c>
      <x:c r="F33" s="47" t="n">
        <x:f>F32+'Navy plan'!F33-IF($A33-Levers!$G$191&gt;=1846,INDEX('Navy plan'!F$6:F$92,$A33-1845-Levers!$G$191),0)</x:f>
        <x:v>0</x:v>
      </x:c>
      <x:c r="G33" s="47" t="n">
        <x:f>G32+'Navy plan'!G33-IF($A33-Levers!$H$191&gt;=1846,INDEX('Navy plan'!G$6:G$92,$A33-1845-Levers!$H$191),0)</x:f>
        <x:v>0</x:v>
      </x:c>
      <x:c r="H33" s="47" t="n">
        <x:f>H32+'Navy plan'!H33-IF($A33-Levers!$I$191&gt;=1846,INDEX('Navy plan'!H$6:H$92,$A33-1845-Levers!$I$191),0)</x:f>
        <x:v>0</x:v>
      </x:c>
      <x:c r="I33" s="47" t="n">
        <x:f>I32+'Navy plan'!I33-IF($A33-Levers!$J$191&gt;=1846,INDEX('Navy plan'!I$6:I$92,$A33-1845-Levers!$J$191),0)</x:f>
        <x:v>0</x:v>
      </x:c>
      <x:c r="J33" s="47" t="n">
        <x:f>J32+'Navy plan'!J33-IF($A33-Levers!$K$191&gt;=1846,INDEX('Navy plan'!J$6:J$92,$A33-1845-Levers!$K$191),0)</x:f>
        <x:v>0</x:v>
      </x:c>
      <x:c r="K33" s="47" t="n">
        <x:f>SUM(B33:J33)</x:f>
        <x:v>21</x:v>
      </x:c>
      <x:c r="L33" s="53" t="n">
        <x:f>0.5*SUMPRODUCT('Navy plan'!B33:'Navy plan'!J33,'Navy plan'!K33:'Navy plan'!S33)+0.5*SUMPRODUCT('Navy plan'!B34:'Navy plan'!J34,'Navy plan'!K34:'Navy plan'!S34)</x:f>
        <x:v>0</x:v>
      </x:c>
      <x:c r="M33" s="47" t="n">
        <x:f>SUMPRODUCT(B33:J33,Levers!$C$192:$K$192)</x:f>
        <x:v>3690</x:v>
      </x:c>
      <x:c r="N33" s="47" t="n">
        <x:f>SUMPRODUCT(B33:J33,Levers!$C$195:$K$195)</x:f>
        <x:v>3690</x:v>
      </x:c>
      <x:c r="O33" s="47" t="n">
        <x:f>N33-M33</x:f>
        <x:v>0</x:v>
      </x:c>
      <x:c r="P33" s="53" t="n">
        <x:f>M33*sailor_pay*Economy!H33/1000000</x:f>
        <x:v>3.015468</x:v>
      </x:c>
      <x:c r="Q33" s="53" t="n">
        <x:f>SUMPRODUCT(B33:J33,'Navy plan'!K33:'Navy plan'!S33)*maint_rate</x:f>
        <x:v>1.125</x:v>
      </x:c>
      <x:c r="R33" s="53" t="n">
        <x:f>SUMPRODUCT(B33:J33,Levers!$C$193:$K$193)*Economy!H33</x:f>
        <x:v>0.62652</x:v>
      </x:c>
      <x:c r="S33" s="53" t="n">
        <x:f>SUMPRODUCT(B33:J33,Levers!$C$193:$K$193,Levers!$C$194:$K$194)*(1/oil_fuel-1)*Economy!H33</x:f>
        <x:v>0</x:v>
      </x:c>
      <x:c r="T33" s="53" t="n">
        <x:f>S33+O33*sailor_pay*Economy!H33/1000000</x:f>
        <x:v>0</x:v>
      </x:c>
      <x:c r="U33" s="53" t="n">
        <x:f>(P33+Q33+R33)*navy_overhead</x:f>
        <x:v>0.7150482</x:v>
      </x:c>
      <x:c r="V33" s="53" t="n">
        <x:f>L33+P33+Q33+R33+U33</x:f>
        <x:v>5.4820362000000005</x:v>
      </x:c>
      <x:c r="W33" s="69" t="n">
        <x:f>Japan!I33</x:f>
        <x:v>2.6</x:v>
      </x:c>
      <x:c r="X33" s="53" t="n">
        <x:f>IF($A33&gt;=1927,V33+W33,0)</x:f>
        <x:v>0</x:v>
      </x:c>
      <x:c r="Y33" s="53" t="n">
        <x:f>IF($A33&gt;=1927,pac_quota*X33,V33)</x:f>
        <x:v>5.4820362000000005</x:v>
      </x:c>
      <x:c r="Z33" s="67" t="n">
        <x:f>SUMPRODUCT(B33:J33,Levers!$C$193:$K$193,Levers!$C$194:$K$194)/0.6</x:f>
        <x:v>0</x:v>
      </x:c>
      <x:c r="AA33" s="62" t="n">
        <x:f>H33</x:f>
        <x:v>0</x:v>
      </x:c>
      <x:c r="AB33" s="47" t="n">
        <x:f>AA33+'Navy plan'!T33</x:f>
        <x:v>0</x:v>
      </x:c>
      <x:c r="AC33" s="62" t="n">
        <x:f>'Navy plan'!U33</x:f>
        <x:v>0</x:v>
      </x:c>
      <x:c r="AD33" s="62" t="n">
        <x:f>'Navy plan'!V33</x:f>
        <x:v>0</x:v>
      </x:c>
      <x:c r="AE33" s="67" t="n">
        <x:f>IF(AC33&gt;0,AB33/AC33,0)</x:f>
        <x:v>0</x:v>
      </x:c>
    </x:row>
    <x:row r="34">
      <x:c r="A34" s="58" t="n">
        <x:v>1874</x:v>
      </x:c>
      <x:c r="B34" s="47" t="n">
        <x:f>B33+'Navy plan'!B34-IF($A34-Levers!$C$191&gt;=1846,INDEX('Navy plan'!B$6:B$92,$A34-1845-Levers!$C$191),0)</x:f>
        <x:v>12</x:v>
      </x:c>
      <x:c r="C34" s="47" t="n">
        <x:f>C33+'Navy plan'!C34-IF($A34-Levers!$D$191&gt;=1846,INDEX('Navy plan'!C$6:C$92,$A34-1845-Levers!$D$191),0)</x:f>
        <x:v>9</x:v>
      </x:c>
      <x:c r="D34" s="47" t="n">
        <x:f>D33+'Navy plan'!D34-IF($A34-Levers!$E$191&gt;=1846,INDEX('Navy plan'!D$6:D$92,$A34-1845-Levers!$E$191),0)</x:f>
        <x:v>0</x:v>
      </x:c>
      <x:c r="E34" s="47" t="n">
        <x:f>E33+'Navy plan'!E34-IF($A34-Levers!$F$191&gt;=1846,INDEX('Navy plan'!E$6:E$92,$A34-1845-Levers!$F$191),0)</x:f>
        <x:v>0</x:v>
      </x:c>
      <x:c r="F34" s="47" t="n">
        <x:f>F33+'Navy plan'!F34-IF($A34-Levers!$G$191&gt;=1846,INDEX('Navy plan'!F$6:F$92,$A34-1845-Levers!$G$191),0)</x:f>
        <x:v>0</x:v>
      </x:c>
      <x:c r="G34" s="47" t="n">
        <x:f>G33+'Navy plan'!G34-IF($A34-Levers!$H$191&gt;=1846,INDEX('Navy plan'!G$6:G$92,$A34-1845-Levers!$H$191),0)</x:f>
        <x:v>0</x:v>
      </x:c>
      <x:c r="H34" s="47" t="n">
        <x:f>H33+'Navy plan'!H34-IF($A34-Levers!$I$191&gt;=1846,INDEX('Navy plan'!H$6:H$92,$A34-1845-Levers!$I$191),0)</x:f>
        <x:v>0</x:v>
      </x:c>
      <x:c r="I34" s="47" t="n">
        <x:f>I33+'Navy plan'!I34-IF($A34-Levers!$J$191&gt;=1846,INDEX('Navy plan'!I$6:I$92,$A34-1845-Levers!$J$191),0)</x:f>
        <x:v>0</x:v>
      </x:c>
      <x:c r="J34" s="47" t="n">
        <x:f>J33+'Navy plan'!J34-IF($A34-Levers!$K$191&gt;=1846,INDEX('Navy plan'!J$6:J$92,$A34-1845-Levers!$K$191),0)</x:f>
        <x:v>0</x:v>
      </x:c>
      <x:c r="K34" s="47" t="n">
        <x:f>SUM(B34:J34)</x:f>
        <x:v>21</x:v>
      </x:c>
      <x:c r="L34" s="53" t="n">
        <x:f>0.5*SUMPRODUCT('Navy plan'!B34:'Navy plan'!J34,'Navy plan'!K34:'Navy plan'!S34)+0.5*SUMPRODUCT('Navy plan'!B35:'Navy plan'!J35,'Navy plan'!K35:'Navy plan'!S35)</x:f>
        <x:v>1.525</x:v>
      </x:c>
      <x:c r="M34" s="47" t="n">
        <x:f>SUMPRODUCT(B34:J34,Levers!$C$192:$K$192)</x:f>
        <x:v>3690</x:v>
      </x:c>
      <x:c r="N34" s="47" t="n">
        <x:f>SUMPRODUCT(B34:J34,Levers!$C$195:$K$195)</x:f>
        <x:v>3690</x:v>
      </x:c>
      <x:c r="O34" s="47" t="n">
        <x:f>N34-M34</x:f>
        <x:v>0</x:v>
      </x:c>
      <x:c r="P34" s="53" t="n">
        <x:f>M34*sailor_pay*Economy!H34/1000000</x:f>
        <x:v>2.968974</x:v>
      </x:c>
      <x:c r="Q34" s="53" t="n">
        <x:f>SUMPRODUCT(B34:J34,'Navy plan'!K34:'Navy plan'!S34)*maint_rate</x:f>
        <x:v>1.14</x:v>
      </x:c>
      <x:c r="R34" s="53" t="n">
        <x:f>SUMPRODUCT(B34:J34,Levers!$C$193:$K$193)*Economy!H34</x:f>
        <x:v>0.61686</x:v>
      </x:c>
      <x:c r="S34" s="53" t="n">
        <x:f>SUMPRODUCT(B34:J34,Levers!$C$193:$K$193,Levers!$C$194:$K$194)*(1/oil_fuel-1)*Economy!H34</x:f>
        <x:v>0</x:v>
      </x:c>
      <x:c r="T34" s="53" t="n">
        <x:f>S34+O34*sailor_pay*Economy!H34/1000000</x:f>
        <x:v>0</x:v>
      </x:c>
      <x:c r="U34" s="53" t="n">
        <x:f>(P34+Q34+R34)*navy_overhead</x:f>
        <x:v>0.7088751</x:v>
      </x:c>
      <x:c r="V34" s="53" t="n">
        <x:f>L34+P34+Q34+R34+U34</x:f>
        <x:v>6.9597090999999995</x:v>
      </x:c>
      <x:c r="W34" s="69" t="n">
        <x:f>Japan!I34</x:f>
        <x:v>2.8</x:v>
      </x:c>
      <x:c r="X34" s="53" t="n">
        <x:f>IF($A34&gt;=1927,V34+W34,0)</x:f>
        <x:v>0</x:v>
      </x:c>
      <x:c r="Y34" s="53" t="n">
        <x:f>IF($A34&gt;=1927,pac_quota*X34,V34)</x:f>
        <x:v>6.9597090999999995</x:v>
      </x:c>
      <x:c r="Z34" s="67" t="n">
        <x:f>SUMPRODUCT(B34:J34,Levers!$C$193:$K$193,Levers!$C$194:$K$194)/0.6</x:f>
        <x:v>0</x:v>
      </x:c>
      <x:c r="AA34" s="62" t="n">
        <x:f>H34</x:f>
        <x:v>0</x:v>
      </x:c>
      <x:c r="AB34" s="47" t="n">
        <x:f>AA34+'Navy plan'!T34</x:f>
        <x:v>0</x:v>
      </x:c>
      <x:c r="AC34" s="62" t="n">
        <x:f>'Navy plan'!U34</x:f>
        <x:v>0</x:v>
      </x:c>
      <x:c r="AD34" s="62" t="n">
        <x:f>'Navy plan'!V34</x:f>
        <x:v>0</x:v>
      </x:c>
      <x:c r="AE34" s="67" t="n">
        <x:f>IF(AC34&gt;0,AB34/AC34,0)</x:f>
        <x:v>0</x:v>
      </x:c>
    </x:row>
    <x:row r="35">
      <x:c r="A35" s="58" t="n">
        <x:v>1875</x:v>
      </x:c>
      <x:c r="B35" s="47" t="n">
        <x:f>B34+'Navy plan'!B35-IF($A35-Levers!$C$191&gt;=1846,INDEX('Navy plan'!B$6:B$92,$A35-1845-Levers!$C$191),0)</x:f>
        <x:v>13</x:v>
      </x:c>
      <x:c r="C35" s="47" t="n">
        <x:f>C34+'Navy plan'!C35-IF($A35-Levers!$D$191&gt;=1846,INDEX('Navy plan'!C$6:C$92,$A35-1845-Levers!$D$191),0)</x:f>
        <x:v>10</x:v>
      </x:c>
      <x:c r="D35" s="47" t="n">
        <x:f>D34+'Navy plan'!D35-IF($A35-Levers!$E$191&gt;=1846,INDEX('Navy plan'!D$6:D$92,$A35-1845-Levers!$E$191),0)</x:f>
        <x:v>0</x:v>
      </x:c>
      <x:c r="E35" s="47" t="n">
        <x:f>E34+'Navy plan'!E35-IF($A35-Levers!$F$191&gt;=1846,INDEX('Navy plan'!E$6:E$92,$A35-1845-Levers!$F$191),0)</x:f>
        <x:v>0</x:v>
      </x:c>
      <x:c r="F35" s="47" t="n">
        <x:f>F34+'Navy plan'!F35-IF($A35-Levers!$G$191&gt;=1846,INDEX('Navy plan'!F$6:F$92,$A35-1845-Levers!$G$191),0)</x:f>
        <x:v>0</x:v>
      </x:c>
      <x:c r="G35" s="47" t="n">
        <x:f>G34+'Navy plan'!G35-IF($A35-Levers!$H$191&gt;=1846,INDEX('Navy plan'!G$6:G$92,$A35-1845-Levers!$H$191),0)</x:f>
        <x:v>0</x:v>
      </x:c>
      <x:c r="H35" s="47" t="n">
        <x:f>H34+'Navy plan'!H35-IF($A35-Levers!$I$191&gt;=1846,INDEX('Navy plan'!H$6:H$92,$A35-1845-Levers!$I$191),0)</x:f>
        <x:v>0</x:v>
      </x:c>
      <x:c r="I35" s="47" t="n">
        <x:f>I34+'Navy plan'!I35-IF($A35-Levers!$J$191&gt;=1846,INDEX('Navy plan'!I$6:I$92,$A35-1845-Levers!$J$191),0)</x:f>
        <x:v>0</x:v>
      </x:c>
      <x:c r="J35" s="47" t="n">
        <x:f>J34+'Navy plan'!J35-IF($A35-Levers!$K$191&gt;=1846,INDEX('Navy plan'!J$6:J$92,$A35-1845-Levers!$K$191),0)</x:f>
        <x:v>0</x:v>
      </x:c>
      <x:c r="K35" s="47" t="n">
        <x:f>SUM(B35:J35)</x:f>
        <x:v>23</x:v>
      </x:c>
      <x:c r="L35" s="53" t="n">
        <x:f>0.5*SUMPRODUCT('Navy plan'!B35:'Navy plan'!J35,'Navy plan'!K35:'Navy plan'!S35)+0.5*SUMPRODUCT('Navy plan'!B36:'Navy plan'!J36,'Navy plan'!K36:'Navy plan'!S36)</x:f>
        <x:v>1.525</x:v>
      </x:c>
      <x:c r="M35" s="47" t="n">
        <x:f>SUMPRODUCT(B35:J35,Levers!$C$192:$K$192)</x:f>
        <x:v>4060</x:v>
      </x:c>
      <x:c r="N35" s="47" t="n">
        <x:f>SUMPRODUCT(B35:J35,Levers!$C$195:$K$195)</x:f>
        <x:v>4060</x:v>
      </x:c>
      <x:c r="O35" s="47" t="n">
        <x:f>N35-M35</x:f>
        <x:v>0</x:v>
      </x:c>
      <x:c r="P35" s="53" t="n">
        <x:f>M35*sailor_pay*Economy!H35/1000000</x:f>
        <x:v>3.21552</x:v>
      </x:c>
      <x:c r="Q35" s="53" t="n">
        <x:f>SUMPRODUCT(B35:J35,'Navy plan'!K35:'Navy plan'!S35)*maint_rate</x:f>
        <x:v>1.2625000000000002</x:v>
      </x:c>
      <x:c r="R35" s="53" t="n">
        <x:f>SUMPRODUCT(B35:J35,Levers!$C$193:$K$193)*Economy!H35</x:f>
        <x:v>0.6688000000000001</x:v>
      </x:c>
      <x:c r="S35" s="53" t="n">
        <x:f>SUMPRODUCT(B35:J35,Levers!$C$193:$K$193,Levers!$C$194:$K$194)*(1/oil_fuel-1)*Economy!H35</x:f>
        <x:v>0</x:v>
      </x:c>
      <x:c r="T35" s="53" t="n">
        <x:f>S35+O35*sailor_pay*Economy!H35/1000000</x:f>
        <x:v>0</x:v>
      </x:c>
      <x:c r="U35" s="53" t="n">
        <x:f>(P35+Q35+R35)*navy_overhead</x:f>
        <x:v>0.7720230000000001</x:v>
      </x:c>
      <x:c r="V35" s="53" t="n">
        <x:f>L35+P35+Q35+R35+U35</x:f>
        <x:v>7.443843</x:v>
      </x:c>
      <x:c r="W35" s="69" t="n">
        <x:f>Japan!I35</x:f>
        <x:v>3</x:v>
      </x:c>
      <x:c r="X35" s="53" t="n">
        <x:f>IF($A35&gt;=1927,V35+W35,0)</x:f>
        <x:v>0</x:v>
      </x:c>
      <x:c r="Y35" s="53" t="n">
        <x:f>IF($A35&gt;=1927,pac_quota*X35,V35)</x:f>
        <x:v>7.443843</x:v>
      </x:c>
      <x:c r="Z35" s="67" t="n">
        <x:f>SUMPRODUCT(B35:J35,Levers!$C$193:$K$193,Levers!$C$194:$K$194)/0.6</x:f>
        <x:v>0</x:v>
      </x:c>
      <x:c r="AA35" s="62" t="n">
        <x:f>H35</x:f>
        <x:v>0</x:v>
      </x:c>
      <x:c r="AB35" s="47" t="n">
        <x:f>AA35+'Navy plan'!T35</x:f>
        <x:v>0</x:v>
      </x:c>
      <x:c r="AC35" s="62" t="n">
        <x:f>'Navy plan'!U35</x:f>
        <x:v>0</x:v>
      </x:c>
      <x:c r="AD35" s="62" t="n">
        <x:f>'Navy plan'!V35</x:f>
        <x:v>0</x:v>
      </x:c>
      <x:c r="AE35" s="67" t="n">
        <x:f>IF(AC35&gt;0,AB35/AC35,0)</x:f>
        <x:v>0</x:v>
      </x:c>
    </x:row>
    <x:row r="36">
      <x:c r="A36" s="58" t="n">
        <x:v>1876</x:v>
      </x:c>
      <x:c r="B36" s="47" t="n">
        <x:f>B35+'Navy plan'!B36-IF($A36-Levers!$C$191&gt;=1846,INDEX('Navy plan'!B$6:B$92,$A36-1845-Levers!$C$191),0)</x:f>
        <x:v>13</x:v>
      </x:c>
      <x:c r="C36" s="47" t="n">
        <x:f>C35+'Navy plan'!C36-IF($A36-Levers!$D$191&gt;=1846,INDEX('Navy plan'!C$6:C$92,$A36-1845-Levers!$D$191),0)</x:f>
        <x:v>10</x:v>
      </x:c>
      <x:c r="D36" s="47" t="n">
        <x:f>D35+'Navy plan'!D36-IF($A36-Levers!$E$191&gt;=1846,INDEX('Navy plan'!D$6:D$92,$A36-1845-Levers!$E$191),0)</x:f>
        <x:v>0</x:v>
      </x:c>
      <x:c r="E36" s="47" t="n">
        <x:f>E35+'Navy plan'!E36-IF($A36-Levers!$F$191&gt;=1846,INDEX('Navy plan'!E$6:E$92,$A36-1845-Levers!$F$191),0)</x:f>
        <x:v>0</x:v>
      </x:c>
      <x:c r="F36" s="47" t="n">
        <x:f>F35+'Navy plan'!F36-IF($A36-Levers!$G$191&gt;=1846,INDEX('Navy plan'!F$6:F$92,$A36-1845-Levers!$G$191),0)</x:f>
        <x:v>0</x:v>
      </x:c>
      <x:c r="G36" s="47" t="n">
        <x:f>G35+'Navy plan'!G36-IF($A36-Levers!$H$191&gt;=1846,INDEX('Navy plan'!G$6:G$92,$A36-1845-Levers!$H$191),0)</x:f>
        <x:v>0</x:v>
      </x:c>
      <x:c r="H36" s="47" t="n">
        <x:f>H35+'Navy plan'!H36-IF($A36-Levers!$I$191&gt;=1846,INDEX('Navy plan'!H$6:H$92,$A36-1845-Levers!$I$191),0)</x:f>
        <x:v>0</x:v>
      </x:c>
      <x:c r="I36" s="47" t="n">
        <x:f>I35+'Navy plan'!I36-IF($A36-Levers!$J$191&gt;=1846,INDEX('Navy plan'!I$6:I$92,$A36-1845-Levers!$J$191),0)</x:f>
        <x:v>0</x:v>
      </x:c>
      <x:c r="J36" s="47" t="n">
        <x:f>J35+'Navy plan'!J36-IF($A36-Levers!$K$191&gt;=1846,INDEX('Navy plan'!J$6:J$92,$A36-1845-Levers!$K$191),0)</x:f>
        <x:v>0</x:v>
      </x:c>
      <x:c r="K36" s="47" t="n">
        <x:f>SUM(B36:J36)</x:f>
        <x:v>23</x:v>
      </x:c>
      <x:c r="L36" s="53" t="n">
        <x:f>0.5*SUMPRODUCT('Navy plan'!B36:'Navy plan'!J36,'Navy plan'!K36:'Navy plan'!S36)+0.5*SUMPRODUCT('Navy plan'!B37:'Navy plan'!J37,'Navy plan'!K37:'Navy plan'!S37)</x:f>
        <x:v>0</x:v>
      </x:c>
      <x:c r="M36" s="47" t="n">
        <x:f>SUMPRODUCT(B36:J36,Levers!$C$192:$K$192)</x:f>
        <x:v>4060</x:v>
      </x:c>
      <x:c r="N36" s="47" t="n">
        <x:f>SUMPRODUCT(B36:J36,Levers!$C$195:$K$195)</x:f>
        <x:v>4060</x:v>
      </x:c>
      <x:c r="O36" s="47" t="n">
        <x:f>N36-M36</x:f>
        <x:v>0</x:v>
      </x:c>
      <x:c r="P36" s="53" t="n">
        <x:f>M36*sailor_pay*Economy!H36/1000000</x:f>
        <x:v>3.157056</x:v>
      </x:c>
      <x:c r="Q36" s="53" t="n">
        <x:f>SUMPRODUCT(B36:J36,'Navy plan'!K36:'Navy plan'!S36)*maint_rate</x:f>
        <x:v>1.279</x:v>
      </x:c>
      <x:c r="R36" s="53" t="n">
        <x:f>SUMPRODUCT(B36:J36,Levers!$C$193:$K$193)*Economy!H36</x:f>
        <x:v>0.65664</x:v>
      </x:c>
      <x:c r="S36" s="53" t="n">
        <x:f>SUMPRODUCT(B36:J36,Levers!$C$193:$K$193,Levers!$C$194:$K$194)*(1/oil_fuel-1)*Economy!H36</x:f>
        <x:v>0</x:v>
      </x:c>
      <x:c r="T36" s="53" t="n">
        <x:f>S36+O36*sailor_pay*Economy!H36/1000000</x:f>
        <x:v>0</x:v>
      </x:c>
      <x:c r="U36" s="53" t="n">
        <x:f>(P36+Q36+R36)*navy_overhead</x:f>
        <x:v>0.7639044</x:v>
      </x:c>
      <x:c r="V36" s="53" t="n">
        <x:f>L36+P36+Q36+R36+U36</x:f>
        <x:v>5.8566004000000005</x:v>
      </x:c>
      <x:c r="W36" s="69" t="n">
        <x:f>Japan!I36</x:f>
        <x:v>3.2</x:v>
      </x:c>
      <x:c r="X36" s="53" t="n">
        <x:f>IF($A36&gt;=1927,V36+W36,0)</x:f>
        <x:v>0</x:v>
      </x:c>
      <x:c r="Y36" s="53" t="n">
        <x:f>IF($A36&gt;=1927,pac_quota*X36,V36)</x:f>
        <x:v>5.8566004000000005</x:v>
      </x:c>
      <x:c r="Z36" s="67" t="n">
        <x:f>SUMPRODUCT(B36:J36,Levers!$C$193:$K$193,Levers!$C$194:$K$194)/0.6</x:f>
        <x:v>0</x:v>
      </x:c>
      <x:c r="AA36" s="62" t="n">
        <x:f>H36</x:f>
        <x:v>0</x:v>
      </x:c>
      <x:c r="AB36" s="47" t="n">
        <x:f>AA36+'Navy plan'!T36</x:f>
        <x:v>0</x:v>
      </x:c>
      <x:c r="AC36" s="62" t="n">
        <x:f>'Navy plan'!U36</x:f>
        <x:v>0</x:v>
      </x:c>
      <x:c r="AD36" s="62" t="n">
        <x:f>'Navy plan'!V36</x:f>
        <x:v>0</x:v>
      </x:c>
      <x:c r="AE36" s="67" t="n">
        <x:f>IF(AC36&gt;0,AB36/AC36,0)</x:f>
        <x:v>0</x:v>
      </x:c>
    </x:row>
    <x:row r="37">
      <x:c r="A37" s="58" t="n">
        <x:v>1877</x:v>
      </x:c>
      <x:c r="B37" s="47" t="n">
        <x:f>B36+'Navy plan'!B37-IF($A37-Levers!$C$191&gt;=1846,INDEX('Navy plan'!B$6:B$92,$A37-1845-Levers!$C$191),0)</x:f>
        <x:v>13</x:v>
      </x:c>
      <x:c r="C37" s="47" t="n">
        <x:f>C36+'Navy plan'!C37-IF($A37-Levers!$D$191&gt;=1846,INDEX('Navy plan'!C$6:C$92,$A37-1845-Levers!$D$191),0)</x:f>
        <x:v>10</x:v>
      </x:c>
      <x:c r="D37" s="47" t="n">
        <x:f>D36+'Navy plan'!D37-IF($A37-Levers!$E$191&gt;=1846,INDEX('Navy plan'!D$6:D$92,$A37-1845-Levers!$E$191),0)</x:f>
        <x:v>0</x:v>
      </x:c>
      <x:c r="E37" s="47" t="n">
        <x:f>E36+'Navy plan'!E37-IF($A37-Levers!$F$191&gt;=1846,INDEX('Navy plan'!E$6:E$92,$A37-1845-Levers!$F$191),0)</x:f>
        <x:v>0</x:v>
      </x:c>
      <x:c r="F37" s="47" t="n">
        <x:f>F36+'Navy plan'!F37-IF($A37-Levers!$G$191&gt;=1846,INDEX('Navy plan'!F$6:F$92,$A37-1845-Levers!$G$191),0)</x:f>
        <x:v>0</x:v>
      </x:c>
      <x:c r="G37" s="47" t="n">
        <x:f>G36+'Navy plan'!G37-IF($A37-Levers!$H$191&gt;=1846,INDEX('Navy plan'!G$6:G$92,$A37-1845-Levers!$H$191),0)</x:f>
        <x:v>0</x:v>
      </x:c>
      <x:c r="H37" s="47" t="n">
        <x:f>H36+'Navy plan'!H37-IF($A37-Levers!$I$191&gt;=1846,INDEX('Navy plan'!H$6:H$92,$A37-1845-Levers!$I$191),0)</x:f>
        <x:v>0</x:v>
      </x:c>
      <x:c r="I37" s="47" t="n">
        <x:f>I36+'Navy plan'!I37-IF($A37-Levers!$J$191&gt;=1846,INDEX('Navy plan'!I$6:I$92,$A37-1845-Levers!$J$191),0)</x:f>
        <x:v>0</x:v>
      </x:c>
      <x:c r="J37" s="47" t="n">
        <x:f>J36+'Navy plan'!J37-IF($A37-Levers!$K$191&gt;=1846,INDEX('Navy plan'!J$6:J$92,$A37-1845-Levers!$K$191),0)</x:f>
        <x:v>0</x:v>
      </x:c>
      <x:c r="K37" s="47" t="n">
        <x:f>SUM(B37:J37)</x:f>
        <x:v>23</x:v>
      </x:c>
      <x:c r="L37" s="53" t="n">
        <x:f>0.5*SUMPRODUCT('Navy plan'!B37:'Navy plan'!J37,'Navy plan'!K37:'Navy plan'!S37)+0.5*SUMPRODUCT('Navy plan'!B38:'Navy plan'!J38,'Navy plan'!K38:'Navy plan'!S38)</x:f>
        <x:v>1.6</x:v>
      </x:c>
      <x:c r="M37" s="47" t="n">
        <x:f>SUMPRODUCT(B37:J37,Levers!$C$192:$K$192)</x:f>
        <x:v>4060</x:v>
      </x:c>
      <x:c r="N37" s="47" t="n">
        <x:f>SUMPRODUCT(B37:J37,Levers!$C$195:$K$195)</x:f>
        <x:v>4060</x:v>
      </x:c>
      <x:c r="O37" s="47" t="n">
        <x:f>N37-M37</x:f>
        <x:v>0</x:v>
      </x:c>
      <x:c r="P37" s="53" t="n">
        <x:f>M37*sailor_pay*Economy!H37/1000000</x:f>
        <x:v>3.098592</x:v>
      </x:c>
      <x:c r="Q37" s="53" t="n">
        <x:f>SUMPRODUCT(B37:J37,'Navy plan'!K37:'Navy plan'!S37)*maint_rate</x:f>
        <x:v>1.2955</x:v>
      </x:c>
      <x:c r="R37" s="53" t="n">
        <x:f>SUMPRODUCT(B37:J37,Levers!$C$193:$K$193)*Economy!H37</x:f>
        <x:v>0.6444799999999999</x:v>
      </x:c>
      <x:c r="S37" s="53" t="n">
        <x:f>SUMPRODUCT(B37:J37,Levers!$C$193:$K$193,Levers!$C$194:$K$194)*(1/oil_fuel-1)*Economy!H37</x:f>
        <x:v>0</x:v>
      </x:c>
      <x:c r="T37" s="53" t="n">
        <x:f>S37+O37*sailor_pay*Economy!H37/1000000</x:f>
        <x:v>0</x:v>
      </x:c>
      <x:c r="U37" s="53" t="n">
        <x:f>(P37+Q37+R37)*navy_overhead</x:f>
        <x:v>0.7557858000000001</x:v>
      </x:c>
      <x:c r="V37" s="53" t="n">
        <x:f>L37+P37+Q37+R37+U37</x:f>
        <x:v>7.3943578</x:v>
      </x:c>
      <x:c r="W37" s="69" t="n">
        <x:f>Japan!I37</x:f>
        <x:v>3.4</x:v>
      </x:c>
      <x:c r="X37" s="53" t="n">
        <x:f>IF($A37&gt;=1927,V37+W37,0)</x:f>
        <x:v>0</x:v>
      </x:c>
      <x:c r="Y37" s="53" t="n">
        <x:f>IF($A37&gt;=1927,pac_quota*X37,V37)</x:f>
        <x:v>7.3943578</x:v>
      </x:c>
      <x:c r="Z37" s="67" t="n">
        <x:f>SUMPRODUCT(B37:J37,Levers!$C$193:$K$193,Levers!$C$194:$K$194)/0.6</x:f>
        <x:v>0</x:v>
      </x:c>
      <x:c r="AA37" s="62" t="n">
        <x:f>H37</x:f>
        <x:v>0</x:v>
      </x:c>
      <x:c r="AB37" s="47" t="n">
        <x:f>AA37+'Navy plan'!T37</x:f>
        <x:v>0</x:v>
      </x:c>
      <x:c r="AC37" s="62" t="n">
        <x:f>'Navy plan'!U37</x:f>
        <x:v>0</x:v>
      </x:c>
      <x:c r="AD37" s="62" t="n">
        <x:f>'Navy plan'!V37</x:f>
        <x:v>0</x:v>
      </x:c>
      <x:c r="AE37" s="67" t="n">
        <x:f>IF(AC37&gt;0,AB37/AC37,0)</x:f>
        <x:v>0</x:v>
      </x:c>
    </x:row>
    <x:row r="38">
      <x:c r="A38" s="58" t="n">
        <x:v>1878</x:v>
      </x:c>
      <x:c r="B38" s="47" t="n">
        <x:f>B37+'Navy plan'!B38-IF($A38-Levers!$C$191&gt;=1846,INDEX('Navy plan'!B$6:B$92,$A38-1845-Levers!$C$191),0)</x:f>
        <x:v>14</x:v>
      </x:c>
      <x:c r="C38" s="47" t="n">
        <x:f>C37+'Navy plan'!C38-IF($A38-Levers!$D$191&gt;=1846,INDEX('Navy plan'!C$6:C$92,$A38-1845-Levers!$D$191),0)</x:f>
        <x:v>11</x:v>
      </x:c>
      <x:c r="D38" s="47" t="n">
        <x:f>D37+'Navy plan'!D38-IF($A38-Levers!$E$191&gt;=1846,INDEX('Navy plan'!D$6:D$92,$A38-1845-Levers!$E$191),0)</x:f>
        <x:v>0</x:v>
      </x:c>
      <x:c r="E38" s="47" t="n">
        <x:f>E37+'Navy plan'!E38-IF($A38-Levers!$F$191&gt;=1846,INDEX('Navy plan'!E$6:E$92,$A38-1845-Levers!$F$191),0)</x:f>
        <x:v>0</x:v>
      </x:c>
      <x:c r="F38" s="47" t="n">
        <x:f>F37+'Navy plan'!F38-IF($A38-Levers!$G$191&gt;=1846,INDEX('Navy plan'!F$6:F$92,$A38-1845-Levers!$G$191),0)</x:f>
        <x:v>0</x:v>
      </x:c>
      <x:c r="G38" s="47" t="n">
        <x:f>G37+'Navy plan'!G38-IF($A38-Levers!$H$191&gt;=1846,INDEX('Navy plan'!G$6:G$92,$A38-1845-Levers!$H$191),0)</x:f>
        <x:v>0</x:v>
      </x:c>
      <x:c r="H38" s="47" t="n">
        <x:f>H37+'Navy plan'!H38-IF($A38-Levers!$I$191&gt;=1846,INDEX('Navy plan'!H$6:H$92,$A38-1845-Levers!$I$191),0)</x:f>
        <x:v>0</x:v>
      </x:c>
      <x:c r="I38" s="47" t="n">
        <x:f>I37+'Navy plan'!I38-IF($A38-Levers!$J$191&gt;=1846,INDEX('Navy plan'!I$6:I$92,$A38-1845-Levers!$J$191),0)</x:f>
        <x:v>0</x:v>
      </x:c>
      <x:c r="J38" s="47" t="n">
        <x:f>J37+'Navy plan'!J38-IF($A38-Levers!$K$191&gt;=1846,INDEX('Navy plan'!J$6:J$92,$A38-1845-Levers!$K$191),0)</x:f>
        <x:v>0</x:v>
      </x:c>
      <x:c r="K38" s="47" t="n">
        <x:f>SUM(B38:J38)</x:f>
        <x:v>25</x:v>
      </x:c>
      <x:c r="L38" s="53" t="n">
        <x:f>0.5*SUMPRODUCT('Navy plan'!B38:'Navy plan'!J38,'Navy plan'!K38:'Navy plan'!S38)+0.5*SUMPRODUCT('Navy plan'!B39:'Navy plan'!J39,'Navy plan'!K39:'Navy plan'!S39)</x:f>
        <x:v>1.6</x:v>
      </x:c>
      <x:c r="M38" s="47" t="n">
        <x:f>SUMPRODUCT(B38:J38,Levers!$C$192:$K$192)</x:f>
        <x:v>4430</x:v>
      </x:c>
      <x:c r="N38" s="47" t="n">
        <x:f>SUMPRODUCT(B38:J38,Levers!$C$195:$K$195)</x:f>
        <x:v>4430</x:v>
      </x:c>
      <x:c r="O38" s="47" t="n">
        <x:f>N38-M38</x:f>
        <x:v>0</x:v>
      </x:c>
      <x:c r="P38" s="53" t="n">
        <x:f>M38*sailor_pay*Economy!H38/1000000</x:f>
        <x:v>3.317184</x:v>
      </x:c>
      <x:c r="Q38" s="53" t="n">
        <x:f>SUMPRODUCT(B38:J38,'Navy plan'!K38:'Navy plan'!S38)*maint_rate</x:f>
        <x:v>1.4240000000000002</x:v>
      </x:c>
      <x:c r="R38" s="53" t="n">
        <x:f>SUMPRODUCT(B38:J38,Levers!$C$193:$K$193)*Economy!H38</x:f>
        <x:v>0.6905600000000001</x:v>
      </x:c>
      <x:c r="S38" s="53" t="n">
        <x:f>SUMPRODUCT(B38:J38,Levers!$C$193:$K$193,Levers!$C$194:$K$194)*(1/oil_fuel-1)*Economy!H38</x:f>
        <x:v>0</x:v>
      </x:c>
      <x:c r="T38" s="53" t="n">
        <x:f>S38+O38*sailor_pay*Economy!H38/1000000</x:f>
        <x:v>0</x:v>
      </x:c>
      <x:c r="U38" s="53" t="n">
        <x:f>(P38+Q38+R38)*navy_overhead</x:f>
        <x:v>0.8147616</x:v>
      </x:c>
      <x:c r="V38" s="53" t="n">
        <x:f>L38+P38+Q38+R38+U38</x:f>
        <x:v>7.846505600000001</x:v>
      </x:c>
      <x:c r="W38" s="69" t="n">
        <x:f>Japan!I38</x:f>
        <x:v>3.6</x:v>
      </x:c>
      <x:c r="X38" s="53" t="n">
        <x:f>IF($A38&gt;=1927,V38+W38,0)</x:f>
        <x:v>0</x:v>
      </x:c>
      <x:c r="Y38" s="53" t="n">
        <x:f>IF($A38&gt;=1927,pac_quota*X38,V38)</x:f>
        <x:v>7.846505600000001</x:v>
      </x:c>
      <x:c r="Z38" s="67" t="n">
        <x:f>SUMPRODUCT(B38:J38,Levers!$C$193:$K$193,Levers!$C$194:$K$194)/0.6</x:f>
        <x:v>0</x:v>
      </x:c>
      <x:c r="AA38" s="62" t="n">
        <x:f>H38</x:f>
        <x:v>0</x:v>
      </x:c>
      <x:c r="AB38" s="47" t="n">
        <x:f>AA38+'Navy plan'!T38</x:f>
        <x:v>0</x:v>
      </x:c>
      <x:c r="AC38" s="62" t="n">
        <x:f>'Navy plan'!U38</x:f>
        <x:v>0</x:v>
      </x:c>
      <x:c r="AD38" s="62" t="n">
        <x:f>'Navy plan'!V38</x:f>
        <x:v>0</x:v>
      </x:c>
      <x:c r="AE38" s="67" t="n">
        <x:f>IF(AC38&gt;0,AB38/AC38,0)</x:f>
        <x:v>0</x:v>
      </x:c>
    </x:row>
    <x:row r="39">
      <x:c r="A39" s="58" t="n">
        <x:v>1879</x:v>
      </x:c>
      <x:c r="B39" s="47" t="n">
        <x:f>B38+'Navy plan'!B39-IF($A39-Levers!$C$191&gt;=1846,INDEX('Navy plan'!B$6:B$92,$A39-1845-Levers!$C$191),0)</x:f>
        <x:v>14</x:v>
      </x:c>
      <x:c r="C39" s="47" t="n">
        <x:f>C38+'Navy plan'!C39-IF($A39-Levers!$D$191&gt;=1846,INDEX('Navy plan'!C$6:C$92,$A39-1845-Levers!$D$191),0)</x:f>
        <x:v>11</x:v>
      </x:c>
      <x:c r="D39" s="47" t="n">
        <x:f>D38+'Navy plan'!D39-IF($A39-Levers!$E$191&gt;=1846,INDEX('Navy plan'!D$6:D$92,$A39-1845-Levers!$E$191),0)</x:f>
        <x:v>0</x:v>
      </x:c>
      <x:c r="E39" s="47" t="n">
        <x:f>E38+'Navy plan'!E39-IF($A39-Levers!$F$191&gt;=1846,INDEX('Navy plan'!E$6:E$92,$A39-1845-Levers!$F$191),0)</x:f>
        <x:v>0</x:v>
      </x:c>
      <x:c r="F39" s="47" t="n">
        <x:f>F38+'Navy plan'!F39-IF($A39-Levers!$G$191&gt;=1846,INDEX('Navy plan'!F$6:F$92,$A39-1845-Levers!$G$191),0)</x:f>
        <x:v>0</x:v>
      </x:c>
      <x:c r="G39" s="47" t="n">
        <x:f>G38+'Navy plan'!G39-IF($A39-Levers!$H$191&gt;=1846,INDEX('Navy plan'!G$6:G$92,$A39-1845-Levers!$H$191),0)</x:f>
        <x:v>0</x:v>
      </x:c>
      <x:c r="H39" s="47" t="n">
        <x:f>H38+'Navy plan'!H39-IF($A39-Levers!$I$191&gt;=1846,INDEX('Navy plan'!H$6:H$92,$A39-1845-Levers!$I$191),0)</x:f>
        <x:v>0</x:v>
      </x:c>
      <x:c r="I39" s="47" t="n">
        <x:f>I38+'Navy plan'!I39-IF($A39-Levers!$J$191&gt;=1846,INDEX('Navy plan'!I$6:I$92,$A39-1845-Levers!$J$191),0)</x:f>
        <x:v>0</x:v>
      </x:c>
      <x:c r="J39" s="47" t="n">
        <x:f>J38+'Navy plan'!J39-IF($A39-Levers!$K$191&gt;=1846,INDEX('Navy plan'!J$6:J$92,$A39-1845-Levers!$K$191),0)</x:f>
        <x:v>0</x:v>
      </x:c>
      <x:c r="K39" s="47" t="n">
        <x:f>SUM(B39:J39)</x:f>
        <x:v>25</x:v>
      </x:c>
      <x:c r="L39" s="53" t="n">
        <x:f>0.5*SUMPRODUCT('Navy plan'!B39:'Navy plan'!J39,'Navy plan'!K39:'Navy plan'!S39)+0.5*SUMPRODUCT('Navy plan'!B40:'Navy plan'!J40,'Navy plan'!K40:'Navy plan'!S40)</x:f>
        <x:v>0</x:v>
      </x:c>
      <x:c r="M39" s="47" t="n">
        <x:f>SUMPRODUCT(B39:J39,Levers!$C$192:$K$192)</x:f>
        <x:v>4430</x:v>
      </x:c>
      <x:c r="N39" s="47" t="n">
        <x:f>SUMPRODUCT(B39:J39,Levers!$C$195:$K$195)</x:f>
        <x:v>4430</x:v>
      </x:c>
      <x:c r="O39" s="47" t="n">
        <x:f>N39-M39</x:f>
        <x:v>0</x:v>
      </x:c>
      <x:c r="P39" s="53" t="n">
        <x:f>M39*sailor_pay*Economy!H39/1000000</x:f>
        <x:v>3.253392</x:v>
      </x:c>
      <x:c r="Q39" s="53" t="n">
        <x:f>SUMPRODUCT(B39:J39,'Navy plan'!K39:'Navy plan'!S39)*maint_rate</x:f>
        <x:v>1.4420000000000002</x:v>
      </x:c>
      <x:c r="R39" s="53" t="n">
        <x:f>SUMPRODUCT(B39:J39,Levers!$C$193:$K$193)*Economy!H39</x:f>
        <x:v>0.67728</x:v>
      </x:c>
      <x:c r="S39" s="53" t="n">
        <x:f>SUMPRODUCT(B39:J39,Levers!$C$193:$K$193,Levers!$C$194:$K$194)*(1/oil_fuel-1)*Economy!H39</x:f>
        <x:v>0</x:v>
      </x:c>
      <x:c r="T39" s="53" t="n">
        <x:f>S39+O39*sailor_pay*Economy!H39/1000000</x:f>
        <x:v>0</x:v>
      </x:c>
      <x:c r="U39" s="53" t="n">
        <x:f>(P39+Q39+R39)*navy_overhead</x:f>
        <x:v>0.8059008</x:v>
      </x:c>
      <x:c r="V39" s="53" t="n">
        <x:f>L39+P39+Q39+R39+U39</x:f>
        <x:v>6.1785727999999995</x:v>
      </x:c>
      <x:c r="W39" s="69" t="n">
        <x:f>Japan!I39</x:f>
        <x:v>3.8</x:v>
      </x:c>
      <x:c r="X39" s="53" t="n">
        <x:f>IF($A39&gt;=1927,V39+W39,0)</x:f>
        <x:v>0</x:v>
      </x:c>
      <x:c r="Y39" s="53" t="n">
        <x:f>IF($A39&gt;=1927,pac_quota*X39,V39)</x:f>
        <x:v>6.1785727999999995</x:v>
      </x:c>
      <x:c r="Z39" s="67" t="n">
        <x:f>SUMPRODUCT(B39:J39,Levers!$C$193:$K$193,Levers!$C$194:$K$194)/0.6</x:f>
        <x:v>0</x:v>
      </x:c>
      <x:c r="AA39" s="62" t="n">
        <x:f>H39</x:f>
        <x:v>0</x:v>
      </x:c>
      <x:c r="AB39" s="47" t="n">
        <x:f>AA39+'Navy plan'!T39</x:f>
        <x:v>0</x:v>
      </x:c>
      <x:c r="AC39" s="62" t="n">
        <x:f>'Navy plan'!U39</x:f>
        <x:v>0</x:v>
      </x:c>
      <x:c r="AD39" s="62" t="n">
        <x:f>'Navy plan'!V39</x:f>
        <x:v>0</x:v>
      </x:c>
      <x:c r="AE39" s="67" t="n">
        <x:f>IF(AC39&gt;0,AB39/AC39,0)</x:f>
        <x:v>0</x:v>
      </x:c>
    </x:row>
    <x:row r="40">
      <x:c r="A40" s="58" t="n">
        <x:v>1880</x:v>
      </x:c>
      <x:c r="B40" s="47" t="n">
        <x:f>B39+'Navy plan'!B40-IF($A40-Levers!$C$191&gt;=1846,INDEX('Navy plan'!B$6:B$92,$A40-1845-Levers!$C$191),0)</x:f>
        <x:v>14</x:v>
      </x:c>
      <x:c r="C40" s="47" t="n">
        <x:f>C39+'Navy plan'!C40-IF($A40-Levers!$D$191&gt;=1846,INDEX('Navy plan'!C$6:C$92,$A40-1845-Levers!$D$191),0)</x:f>
        <x:v>11</x:v>
      </x:c>
      <x:c r="D40" s="47" t="n">
        <x:f>D39+'Navy plan'!D40-IF($A40-Levers!$E$191&gt;=1846,INDEX('Navy plan'!D$6:D$92,$A40-1845-Levers!$E$191),0)</x:f>
        <x:v>0</x:v>
      </x:c>
      <x:c r="E40" s="47" t="n">
        <x:f>E39+'Navy plan'!E40-IF($A40-Levers!$F$191&gt;=1846,INDEX('Navy plan'!E$6:E$92,$A40-1845-Levers!$F$191),0)</x:f>
        <x:v>0</x:v>
      </x:c>
      <x:c r="F40" s="47" t="n">
        <x:f>F39+'Navy plan'!F40-IF($A40-Levers!$G$191&gt;=1846,INDEX('Navy plan'!F$6:F$92,$A40-1845-Levers!$G$191),0)</x:f>
        <x:v>0</x:v>
      </x:c>
      <x:c r="G40" s="47" t="n">
        <x:f>G39+'Navy plan'!G40-IF($A40-Levers!$H$191&gt;=1846,INDEX('Navy plan'!G$6:G$92,$A40-1845-Levers!$H$191),0)</x:f>
        <x:v>0</x:v>
      </x:c>
      <x:c r="H40" s="47" t="n">
        <x:f>H39+'Navy plan'!H40-IF($A40-Levers!$I$191&gt;=1846,INDEX('Navy plan'!H$6:H$92,$A40-1845-Levers!$I$191),0)</x:f>
        <x:v>0</x:v>
      </x:c>
      <x:c r="I40" s="47" t="n">
        <x:f>I39+'Navy plan'!I40-IF($A40-Levers!$J$191&gt;=1846,INDEX('Navy plan'!I$6:I$92,$A40-1845-Levers!$J$191),0)</x:f>
        <x:v>0</x:v>
      </x:c>
      <x:c r="J40" s="47" t="n">
        <x:f>J39+'Navy plan'!J40-IF($A40-Levers!$K$191&gt;=1846,INDEX('Navy plan'!J$6:J$92,$A40-1845-Levers!$K$191),0)</x:f>
        <x:v>0</x:v>
      </x:c>
      <x:c r="K40" s="47" t="n">
        <x:f>SUM(B40:J40)</x:f>
        <x:v>25</x:v>
      </x:c>
      <x:c r="L40" s="53" t="n">
        <x:f>0.5*SUMPRODUCT('Navy plan'!B40:'Navy plan'!J40,'Navy plan'!K40:'Navy plan'!S40)+0.5*SUMPRODUCT('Navy plan'!B41:'Navy plan'!J41,'Navy plan'!K41:'Navy plan'!S41)</x:f>
        <x:v>1.65</x:v>
      </x:c>
      <x:c r="M40" s="47" t="n">
        <x:f>SUMPRODUCT(B40:J40,Levers!$C$192:$K$192)</x:f>
        <x:v>4430</x:v>
      </x:c>
      <x:c r="N40" s="47" t="n">
        <x:f>SUMPRODUCT(B40:J40,Levers!$C$195:$K$195)</x:f>
        <x:v>4430</x:v>
      </x:c>
      <x:c r="O40" s="47" t="n">
        <x:f>N40-M40</x:f>
        <x:v>0</x:v>
      </x:c>
      <x:c r="P40" s="53" t="n">
        <x:f>M40*sailor_pay*Economy!H40/1000000</x:f>
        <x:v>3.1896</x:v>
      </x:c>
      <x:c r="Q40" s="53" t="n">
        <x:f>SUMPRODUCT(B40:J40,'Navy plan'!K40:'Navy plan'!S40)*maint_rate</x:f>
        <x:v>1.46</x:v>
      </x:c>
      <x:c r="R40" s="53" t="n">
        <x:f>SUMPRODUCT(B40:J40,Levers!$C$193:$K$193)*Economy!H40</x:f>
        <x:v>0.6640000000000001</x:v>
      </x:c>
      <x:c r="S40" s="53" t="n">
        <x:f>SUMPRODUCT(B40:J40,Levers!$C$193:$K$193,Levers!$C$194:$K$194)*(1/oil_fuel-1)*Economy!H40</x:f>
        <x:v>0</x:v>
      </x:c>
      <x:c r="T40" s="53" t="n">
        <x:f>S40+O40*sailor_pay*Economy!H40/1000000</x:f>
        <x:v>0</x:v>
      </x:c>
      <x:c r="U40" s="53" t="n">
        <x:f>(P40+Q40+R40)*navy_overhead</x:f>
        <x:v>0.7970399999999999</x:v>
      </x:c>
      <x:c r="V40" s="53" t="n">
        <x:f>L40+P40+Q40+R40+U40</x:f>
        <x:v>7.7606399999999995</x:v>
      </x:c>
      <x:c r="W40" s="69" t="n">
        <x:f>Japan!I40</x:f>
        <x:v>4</x:v>
      </x:c>
      <x:c r="X40" s="53" t="n">
        <x:f>IF($A40&gt;=1927,V40+W40,0)</x:f>
        <x:v>0</x:v>
      </x:c>
      <x:c r="Y40" s="53" t="n">
        <x:f>IF($A40&gt;=1927,pac_quota*X40,V40)</x:f>
        <x:v>7.7606399999999995</x:v>
      </x:c>
      <x:c r="Z40" s="67" t="n">
        <x:f>SUMPRODUCT(B40:J40,Levers!$C$193:$K$193,Levers!$C$194:$K$194)/0.6</x:f>
        <x:v>0</x:v>
      </x:c>
      <x:c r="AA40" s="62" t="n">
        <x:f>H40</x:f>
        <x:v>0</x:v>
      </x:c>
      <x:c r="AB40" s="47" t="n">
        <x:f>AA40+'Navy plan'!T40</x:f>
        <x:v>0</x:v>
      </x:c>
      <x:c r="AC40" s="62" t="n">
        <x:f>'Navy plan'!U40</x:f>
        <x:v>0</x:v>
      </x:c>
      <x:c r="AD40" s="62" t="n">
        <x:f>'Navy plan'!V40</x:f>
        <x:v>0</x:v>
      </x:c>
      <x:c r="AE40" s="67" t="n">
        <x:f>IF(AC40&gt;0,AB40/AC40,0)</x:f>
        <x:v>0</x:v>
      </x:c>
    </x:row>
    <x:row r="41">
      <x:c r="A41" s="58" t="n">
        <x:v>1881</x:v>
      </x:c>
      <x:c r="B41" s="47" t="n">
        <x:f>B40+'Navy plan'!B41-IF($A41-Levers!$C$191&gt;=1846,INDEX('Navy plan'!B$6:B$92,$A41-1845-Levers!$C$191),0)</x:f>
        <x:v>15</x:v>
      </x:c>
      <x:c r="C41" s="47" t="n">
        <x:f>C40+'Navy plan'!C41-IF($A41-Levers!$D$191&gt;=1846,INDEX('Navy plan'!C$6:C$92,$A41-1845-Levers!$D$191),0)</x:f>
        <x:v>11</x:v>
      </x:c>
      <x:c r="D41" s="47" t="n">
        <x:f>D40+'Navy plan'!D41-IF($A41-Levers!$E$191&gt;=1846,INDEX('Navy plan'!D$6:D$92,$A41-1845-Levers!$E$191),0)</x:f>
        <x:v>0</x:v>
      </x:c>
      <x:c r="E41" s="47" t="n">
        <x:f>E40+'Navy plan'!E41-IF($A41-Levers!$F$191&gt;=1846,INDEX('Navy plan'!E$6:E$92,$A41-1845-Levers!$F$191),0)</x:f>
        <x:v>0</x:v>
      </x:c>
      <x:c r="F41" s="47" t="n">
        <x:f>F40+'Navy plan'!F41-IF($A41-Levers!$G$191&gt;=1846,INDEX('Navy plan'!F$6:F$92,$A41-1845-Levers!$G$191),0)</x:f>
        <x:v>0</x:v>
      </x:c>
      <x:c r="G41" s="47" t="n">
        <x:f>G40+'Navy plan'!G41-IF($A41-Levers!$H$191&gt;=1846,INDEX('Navy plan'!G$6:G$92,$A41-1845-Levers!$H$191),0)</x:f>
        <x:v>0</x:v>
      </x:c>
      <x:c r="H41" s="47" t="n">
        <x:f>H40+'Navy plan'!H41-IF($A41-Levers!$I$191&gt;=1846,INDEX('Navy plan'!H$6:H$92,$A41-1845-Levers!$I$191),0)</x:f>
        <x:v>0</x:v>
      </x:c>
      <x:c r="I41" s="47" t="n">
        <x:f>I40+'Navy plan'!I41-IF($A41-Levers!$J$191&gt;=1846,INDEX('Navy plan'!I$6:I$92,$A41-1845-Levers!$J$191),0)</x:f>
        <x:v>0</x:v>
      </x:c>
      <x:c r="J41" s="47" t="n">
        <x:f>J40+'Navy plan'!J41-IF($A41-Levers!$K$191&gt;=1846,INDEX('Navy plan'!J$6:J$92,$A41-1845-Levers!$K$191),0)</x:f>
        <x:v>0</x:v>
      </x:c>
      <x:c r="K41" s="47" t="n">
        <x:f>SUM(B41:J41)</x:f>
        <x:v>26</x:v>
      </x:c>
      <x:c r="L41" s="53" t="n">
        <x:f>0.5*SUMPRODUCT('Navy plan'!B41:'Navy plan'!J41,'Navy plan'!K41:'Navy plan'!S41)+0.5*SUMPRODUCT('Navy plan'!B42:'Navy plan'!J42,'Navy plan'!K42:'Navy plan'!S42)</x:f>
        <x:v>1.722</x:v>
      </x:c>
      <x:c r="M41" s="47" t="n">
        <x:f>SUMPRODUCT(B41:J41,Levers!$C$192:$K$192)</x:f>
        <x:v>4550</x:v>
      </x:c>
      <x:c r="N41" s="47" t="n">
        <x:f>SUMPRODUCT(B41:J41,Levers!$C$195:$K$195)</x:f>
        <x:v>4550</x:v>
      </x:c>
      <x:c r="O41" s="47" t="n">
        <x:f>N41-M41</x:f>
        <x:v>0</x:v>
      </x:c>
      <x:c r="P41" s="53" t="n">
        <x:f>M41*sailor_pay*Economy!H41/1000000</x:f>
        <x:v>3.22686</x:v>
      </x:c>
      <x:c r="Q41" s="53" t="n">
        <x:f>SUMPRODUCT(B41:J41,'Navy plan'!K41:'Navy plan'!S41)*maint_rate</x:f>
        <x:v>1.5250000000000001</x:v>
      </x:c>
      <x:c r="R41" s="53" t="n">
        <x:f>SUMPRODUCT(B41:J41,Levers!$C$193:$K$193)*Economy!H41</x:f>
        <x:v>0.6698000000000001</x:v>
      </x:c>
      <x:c r="S41" s="53" t="n">
        <x:f>SUMPRODUCT(B41:J41,Levers!$C$193:$K$193,Levers!$C$194:$K$194)*(1/oil_fuel-1)*Economy!H41</x:f>
        <x:v>0</x:v>
      </x:c>
      <x:c r="T41" s="53" t="n">
        <x:f>S41+O41*sailor_pay*Economy!H41/1000000</x:f>
        <x:v>0</x:v>
      </x:c>
      <x:c r="U41" s="53" t="n">
        <x:f>(P41+Q41+R41)*navy_overhead</x:f>
        <x:v>0.813249</x:v>
      </x:c>
      <x:c r="V41" s="53" t="n">
        <x:f>L41+P41+Q41+R41+U41</x:f>
        <x:v>7.9569090000000005</x:v>
      </x:c>
      <x:c r="W41" s="69" t="n">
        <x:f>Japan!I41</x:f>
        <x:v>4.4</x:v>
      </x:c>
      <x:c r="X41" s="53" t="n">
        <x:f>IF($A41&gt;=1927,V41+W41,0)</x:f>
        <x:v>0</x:v>
      </x:c>
      <x:c r="Y41" s="53" t="n">
        <x:f>IF($A41&gt;=1927,pac_quota*X41,V41)</x:f>
        <x:v>7.9569090000000005</x:v>
      </x:c>
      <x:c r="Z41" s="67" t="n">
        <x:f>SUMPRODUCT(B41:J41,Levers!$C$193:$K$193,Levers!$C$194:$K$194)/0.6</x:f>
        <x:v>0</x:v>
      </x:c>
      <x:c r="AA41" s="62" t="n">
        <x:f>H41</x:f>
        <x:v>0</x:v>
      </x:c>
      <x:c r="AB41" s="47" t="n">
        <x:f>AA41+'Navy plan'!T41</x:f>
        <x:v>0</x:v>
      </x:c>
      <x:c r="AC41" s="62" t="n">
        <x:f>'Navy plan'!U41</x:f>
        <x:v>0</x:v>
      </x:c>
      <x:c r="AD41" s="62" t="n">
        <x:f>'Navy plan'!V41</x:f>
        <x:v>0</x:v>
      </x:c>
      <x:c r="AE41" s="67" t="n">
        <x:f>IF(AC41&gt;0,AB41/AC41,0)</x:f>
        <x:v>0</x:v>
      </x:c>
    </x:row>
    <x:row r="42">
      <x:c r="A42" s="58" t="n">
        <x:v>1882</x:v>
      </x:c>
      <x:c r="B42" s="47" t="n">
        <x:f>B41+'Navy plan'!B42-IF($A42-Levers!$C$191&gt;=1846,INDEX('Navy plan'!B$6:B$92,$A42-1845-Levers!$C$191),0)</x:f>
        <x:v>15</x:v>
      </x:c>
      <x:c r="C42" s="47" t="n">
        <x:f>C41+'Navy plan'!C42-IF($A42-Levers!$D$191&gt;=1846,INDEX('Navy plan'!C$6:C$92,$A42-1845-Levers!$D$191),0)</x:f>
        <x:v>11</x:v>
      </x:c>
      <x:c r="D42" s="47" t="n">
        <x:f>D41+'Navy plan'!D42-IF($A42-Levers!$E$191&gt;=1846,INDEX('Navy plan'!D$6:D$92,$A42-1845-Levers!$E$191),0)</x:f>
        <x:v>2</x:v>
      </x:c>
      <x:c r="E42" s="47" t="n">
        <x:f>E41+'Navy plan'!E42-IF($A42-Levers!$F$191&gt;=1846,INDEX('Navy plan'!E$6:E$92,$A42-1845-Levers!$F$191),0)</x:f>
        <x:v>0</x:v>
      </x:c>
      <x:c r="F42" s="47" t="n">
        <x:f>F41+'Navy plan'!F42-IF($A42-Levers!$G$191&gt;=1846,INDEX('Navy plan'!F$6:F$92,$A42-1845-Levers!$G$191),0)</x:f>
        <x:v>0</x:v>
      </x:c>
      <x:c r="G42" s="47" t="n">
        <x:f>G41+'Navy plan'!G42-IF($A42-Levers!$H$191&gt;=1846,INDEX('Navy plan'!G$6:G$92,$A42-1845-Levers!$H$191),0)</x:f>
        <x:v>0</x:v>
      </x:c>
      <x:c r="H42" s="47" t="n">
        <x:f>H41+'Navy plan'!H42-IF($A42-Levers!$I$191&gt;=1846,INDEX('Navy plan'!H$6:H$92,$A42-1845-Levers!$I$191),0)</x:f>
        <x:v>0</x:v>
      </x:c>
      <x:c r="I42" s="47" t="n">
        <x:f>I41+'Navy plan'!I42-IF($A42-Levers!$J$191&gt;=1846,INDEX('Navy plan'!I$6:I$92,$A42-1845-Levers!$J$191),0)</x:f>
        <x:v>0</x:v>
      </x:c>
      <x:c r="J42" s="47" t="n">
        <x:f>J41+'Navy plan'!J42-IF($A42-Levers!$K$191&gt;=1846,INDEX('Navy plan'!J$6:J$92,$A42-1845-Levers!$K$191),0)</x:f>
        <x:v>0</x:v>
      </x:c>
      <x:c r="K42" s="47" t="n">
        <x:f>SUM(B42:J42)</x:f>
        <x:v>28</x:v>
      </x:c>
      <x:c r="L42" s="53" t="n">
        <x:f>0.5*SUMPRODUCT('Navy plan'!B42:'Navy plan'!J42,'Navy plan'!K42:'Navy plan'!S42)+0.5*SUMPRODUCT('Navy plan'!B43:'Navy plan'!J43,'Navy plan'!K43:'Navy plan'!S43)</x:f>
        <x:v>0.072</x:v>
      </x:c>
      <x:c r="M42" s="47" t="n">
        <x:f>SUMPRODUCT(B42:J42,Levers!$C$192:$K$192)</x:f>
        <x:v>4590</x:v>
      </x:c>
      <x:c r="N42" s="47" t="n">
        <x:f>SUMPRODUCT(B42:J42,Levers!$C$195:$K$195)</x:f>
        <x:v>4601.282051282052</x:v>
      </x:c>
      <x:c r="O42" s="47" t="n">
        <x:f>N42-M42</x:f>
        <x:v>11.282051282051725</x:v>
      </x:c>
      <x:c r="P42" s="53" t="n">
        <x:f>M42*sailor_pay*Economy!H42/1000000</x:f>
        <x:v>3.205656</x:v>
      </x:c>
      <x:c r="Q42" s="53" t="n">
        <x:f>SUMPRODUCT(B42:J42,'Navy plan'!K42:'Navy plan'!S42)*maint_rate</x:f>
        <x:v>1.5322</x:v>
      </x:c>
      <x:c r="R42" s="53" t="n">
        <x:f>SUMPRODUCT(B42:J42,Levers!$C$193:$K$193)*Economy!H42</x:f>
        <x:v>0.6673600000000001</x:v>
      </x:c>
      <x:c r="S42" s="53" t="n">
        <x:f>SUMPRODUCT(B42:J42,Levers!$C$193:$K$193,Levers!$C$194:$K$194)*(1/oil_fuel-1)*Economy!H42</x:f>
        <x:v>0.003325714285714286</x:v>
      </x:c>
      <x:c r="T42" s="53" t="n">
        <x:f>S42+O42*sailor_pay*Economy!H42/1000000</x:f>
        <x:v>0.011205098901099211</x:v>
      </x:c>
      <x:c r="U42" s="53" t="n">
        <x:f>(P42+Q42+R42)*navy_overhead</x:f>
        <x:v>0.8107824</x:v>
      </x:c>
      <x:c r="V42" s="53" t="n">
        <x:f>L42+P42+Q42+R42+U42</x:f>
        <x:v>6.2879984</x:v>
      </x:c>
      <x:c r="W42" s="69" t="n">
        <x:f>Japan!I42</x:f>
        <x:v>4.8</x:v>
      </x:c>
      <x:c r="X42" s="53" t="n">
        <x:f>IF($A42&gt;=1927,V42+W42,0)</x:f>
        <x:v>0</x:v>
      </x:c>
      <x:c r="Y42" s="53" t="n">
        <x:f>IF($A42&gt;=1927,pac_quota*X42,V42)</x:f>
        <x:v>6.2879984</x:v>
      </x:c>
      <x:c r="Z42" s="67" t="n">
        <x:f>SUMPRODUCT(B42:J42,Levers!$C$193:$K$193,Levers!$C$194:$K$194)/0.6</x:f>
        <x:v>0.016666666666666666</x:v>
      </x:c>
      <x:c r="AA42" s="62" t="n">
        <x:f>H42</x:f>
        <x:v>0</x:v>
      </x:c>
      <x:c r="AB42" s="47" t="n">
        <x:f>AA42+'Navy plan'!T42</x:f>
        <x:v>0</x:v>
      </x:c>
      <x:c r="AC42" s="62" t="n">
        <x:f>'Navy plan'!U42</x:f>
        <x:v>0</x:v>
      </x:c>
      <x:c r="AD42" s="62" t="n">
        <x:f>'Navy plan'!V42</x:f>
        <x:v>0</x:v>
      </x:c>
      <x:c r="AE42" s="67" t="n">
        <x:f>IF(AC42&gt;0,AB42/AC42,0)</x:f>
        <x:v>0</x:v>
      </x:c>
    </x:row>
    <x:row r="43">
      <x:c r="A43" s="58" t="n">
        <x:v>1883</x:v>
      </x:c>
      <x:c r="B43" s="47" t="n">
        <x:f>B42+'Navy plan'!B43-IF($A43-Levers!$C$191&gt;=1846,INDEX('Navy plan'!B$6:B$92,$A43-1845-Levers!$C$191),0)</x:f>
        <x:v>15</x:v>
      </x:c>
      <x:c r="C43" s="47" t="n">
        <x:f>C42+'Navy plan'!C43-IF($A43-Levers!$D$191&gt;=1846,INDEX('Navy plan'!C$6:C$92,$A43-1845-Levers!$D$191),0)</x:f>
        <x:v>11</x:v>
      </x:c>
      <x:c r="D43" s="47" t="n">
        <x:f>D42+'Navy plan'!D43-IF($A43-Levers!$E$191&gt;=1846,INDEX('Navy plan'!D$6:D$92,$A43-1845-Levers!$E$191),0)</x:f>
        <x:v>2</x:v>
      </x:c>
      <x:c r="E43" s="47" t="n">
        <x:f>E42+'Navy plan'!E43-IF($A43-Levers!$F$191&gt;=1846,INDEX('Navy plan'!E$6:E$92,$A43-1845-Levers!$F$191),0)</x:f>
        <x:v>0</x:v>
      </x:c>
      <x:c r="F43" s="47" t="n">
        <x:f>F42+'Navy plan'!F43-IF($A43-Levers!$G$191&gt;=1846,INDEX('Navy plan'!F$6:F$92,$A43-1845-Levers!$G$191),0)</x:f>
        <x:v>0</x:v>
      </x:c>
      <x:c r="G43" s="47" t="n">
        <x:f>G42+'Navy plan'!G43-IF($A43-Levers!$H$191&gt;=1846,INDEX('Navy plan'!G$6:G$92,$A43-1845-Levers!$H$191),0)</x:f>
        <x:v>0</x:v>
      </x:c>
      <x:c r="H43" s="47" t="n">
        <x:f>H42+'Navy plan'!H43-IF($A43-Levers!$I$191&gt;=1846,INDEX('Navy plan'!H$6:H$92,$A43-1845-Levers!$I$191),0)</x:f>
        <x:v>0</x:v>
      </x:c>
      <x:c r="I43" s="47" t="n">
        <x:f>I42+'Navy plan'!I43-IF($A43-Levers!$J$191&gt;=1846,INDEX('Navy plan'!I$6:I$92,$A43-1845-Levers!$J$191),0)</x:f>
        <x:v>0</x:v>
      </x:c>
      <x:c r="J43" s="47" t="n">
        <x:f>J42+'Navy plan'!J43-IF($A43-Levers!$K$191&gt;=1846,INDEX('Navy plan'!J$6:J$92,$A43-1845-Levers!$K$191),0)</x:f>
        <x:v>0</x:v>
      </x:c>
      <x:c r="K43" s="47" t="n">
        <x:f>SUM(B43:J43)</x:f>
        <x:v>28</x:v>
      </x:c>
      <x:c r="L43" s="53" t="n">
        <x:f>0.5*SUMPRODUCT('Navy plan'!B43:'Navy plan'!J43,'Navy plan'!K43:'Navy plan'!S43)+0.5*SUMPRODUCT('Navy plan'!B44:'Navy plan'!J44,'Navy plan'!K44:'Navy plan'!S44)</x:f>
        <x:v>1.7979999999999998</x:v>
      </x:c>
      <x:c r="M43" s="47" t="n">
        <x:f>SUMPRODUCT(B43:J43,Levers!$C$192:$K$192)</x:f>
        <x:v>4590</x:v>
      </x:c>
      <x:c r="N43" s="47" t="n">
        <x:f>SUMPRODUCT(B43:J43,Levers!$C$195:$K$195)</x:f>
        <x:v>4601.282051282052</x:v>
      </x:c>
      <x:c r="O43" s="47" t="n">
        <x:f>N43-M43</x:f>
        <x:v>11.282051282051725</x:v>
      </x:c>
      <x:c r="P43" s="53" t="n">
        <x:f>M43*sailor_pay*Economy!H43/1000000</x:f>
        <x:v>3.156084</x:v>
      </x:c>
      <x:c r="Q43" s="53" t="n">
        <x:f>SUMPRODUCT(B43:J43,'Navy plan'!K43:'Navy plan'!S43)*maint_rate</x:f>
        <x:v>1.5323000000000002</x:v>
      </x:c>
      <x:c r="R43" s="53" t="n">
        <x:f>SUMPRODUCT(B43:J43,Levers!$C$193:$K$193)*Economy!H43</x:f>
        <x:v>0.6570400000000001</x:v>
      </x:c>
      <x:c r="S43" s="53" t="n">
        <x:f>SUMPRODUCT(B43:J43,Levers!$C$193:$K$193,Levers!$C$194:$K$194)*(1/oil_fuel-1)*Economy!H43</x:f>
        <x:v>0.0032742857142857144</x:v>
      </x:c>
      <x:c r="T43" s="53" t="n">
        <x:f>S43+O43*sailor_pay*Economy!H43/1000000</x:f>
        <x:v>0.01103182417582448</x:v>
      </x:c>
      <x:c r="U43" s="53" t="n">
        <x:f>(P43+Q43+R43)*navy_overhead</x:f>
        <x:v>0.8018136</x:v>
      </x:c>
      <x:c r="V43" s="53" t="n">
        <x:f>L43+P43+Q43+R43+U43</x:f>
        <x:v>7.9452376000000005</x:v>
      </x:c>
      <x:c r="W43" s="69" t="n">
        <x:f>Japan!I43</x:f>
        <x:v>5.2</x:v>
      </x:c>
      <x:c r="X43" s="53" t="n">
        <x:f>IF($A43&gt;=1927,V43+W43,0)</x:f>
        <x:v>0</x:v>
      </x:c>
      <x:c r="Y43" s="53" t="n">
        <x:f>IF($A43&gt;=1927,pac_quota*X43,V43)</x:f>
        <x:v>7.9452376000000005</x:v>
      </x:c>
      <x:c r="Z43" s="67" t="n">
        <x:f>SUMPRODUCT(B43:J43,Levers!$C$193:$K$193,Levers!$C$194:$K$194)/0.6</x:f>
        <x:v>0.016666666666666666</x:v>
      </x:c>
      <x:c r="AA43" s="62" t="n">
        <x:f>H43</x:f>
        <x:v>0</x:v>
      </x:c>
      <x:c r="AB43" s="47" t="n">
        <x:f>AA43+'Navy plan'!T43</x:f>
        <x:v>0</x:v>
      </x:c>
      <x:c r="AC43" s="62" t="n">
        <x:f>'Navy plan'!U43</x:f>
        <x:v>0</x:v>
      </x:c>
      <x:c r="AD43" s="62" t="n">
        <x:f>'Navy plan'!V43</x:f>
        <x:v>0</x:v>
      </x:c>
      <x:c r="AE43" s="67" t="n">
        <x:f>IF(AC43&gt;0,AB43/AC43,0)</x:f>
        <x:v>0</x:v>
      </x:c>
    </x:row>
    <x:row r="44">
      <x:c r="A44" s="58" t="n">
        <x:v>1884</x:v>
      </x:c>
      <x:c r="B44" s="47" t="n">
        <x:f>B43+'Navy plan'!B44-IF($A44-Levers!$C$191&gt;=1846,INDEX('Navy plan'!B$6:B$92,$A44-1845-Levers!$C$191),0)</x:f>
        <x:v>16</x:v>
      </x:c>
      <x:c r="C44" s="47" t="n">
        <x:f>C43+'Navy plan'!C44-IF($A44-Levers!$D$191&gt;=1846,INDEX('Navy plan'!C$6:C$92,$A44-1845-Levers!$D$191),0)</x:f>
        <x:v>12</x:v>
      </x:c>
      <x:c r="D44" s="47" t="n">
        <x:f>D43+'Navy plan'!D44-IF($A44-Levers!$E$191&gt;=1846,INDEX('Navy plan'!D$6:D$92,$A44-1845-Levers!$E$191),0)</x:f>
        <x:v>6</x:v>
      </x:c>
      <x:c r="E44" s="47" t="n">
        <x:f>E43+'Navy plan'!E44-IF($A44-Levers!$F$191&gt;=1846,INDEX('Navy plan'!E$6:E$92,$A44-1845-Levers!$F$191),0)</x:f>
        <x:v>0</x:v>
      </x:c>
      <x:c r="F44" s="47" t="n">
        <x:f>F43+'Navy plan'!F44-IF($A44-Levers!$G$191&gt;=1846,INDEX('Navy plan'!F$6:F$92,$A44-1845-Levers!$G$191),0)</x:f>
        <x:v>0</x:v>
      </x:c>
      <x:c r="G44" s="47" t="n">
        <x:f>G43+'Navy plan'!G44-IF($A44-Levers!$H$191&gt;=1846,INDEX('Navy plan'!G$6:G$92,$A44-1845-Levers!$H$191),0)</x:f>
        <x:v>0</x:v>
      </x:c>
      <x:c r="H44" s="47" t="n">
        <x:f>H43+'Navy plan'!H44-IF($A44-Levers!$I$191&gt;=1846,INDEX('Navy plan'!H$6:H$92,$A44-1845-Levers!$I$191),0)</x:f>
        <x:v>0</x:v>
      </x:c>
      <x:c r="I44" s="47" t="n">
        <x:f>I43+'Navy plan'!I44-IF($A44-Levers!$J$191&gt;=1846,INDEX('Navy plan'!I$6:I$92,$A44-1845-Levers!$J$191),0)</x:f>
        <x:v>0</x:v>
      </x:c>
      <x:c r="J44" s="47" t="n">
        <x:f>J43+'Navy plan'!J44-IF($A44-Levers!$K$191&gt;=1846,INDEX('Navy plan'!J$6:J$92,$A44-1845-Levers!$K$191),0)</x:f>
        <x:v>0</x:v>
      </x:c>
      <x:c r="K44" s="47" t="n">
        <x:f>SUM(B44:J44)</x:f>
        <x:v>34</x:v>
      </x:c>
      <x:c r="L44" s="53" t="n">
        <x:f>0.5*SUMPRODUCT('Navy plan'!B44:'Navy plan'!J44,'Navy plan'!K44:'Navy plan'!S44)+0.5*SUMPRODUCT('Navy plan'!B45:'Navy plan'!J45,'Navy plan'!K45:'Navy plan'!S45)</x:f>
        <x:v>1.7979999999999998</x:v>
      </x:c>
      <x:c r="M44" s="47" t="n">
        <x:f>SUMPRODUCT(B44:J44,Levers!$C$192:$K$192)</x:f>
        <x:v>5040</x:v>
      </x:c>
      <x:c r="N44" s="47" t="n">
        <x:f>SUMPRODUCT(B44:J44,Levers!$C$195:$K$195)</x:f>
        <x:v>5073.846153846154</x:v>
      </x:c>
      <x:c r="O44" s="47" t="n">
        <x:f>N44-M44</x:f>
        <x:v>33.846153846154266</x:v>
      </x:c>
      <x:c r="P44" s="53" t="n">
        <x:f>M44*sailor_pay*Economy!H44/1000000</x:f>
        <x:v>3.411072</x:v>
      </x:c>
      <x:c r="Q44" s="53" t="n">
        <x:f>SUMPRODUCT(B44:J44,'Navy plan'!K44:'Navy plan'!S44)*maint_rate</x:f>
        <x:v>1.6622000000000001</x:v>
      </x:c>
      <x:c r="R44" s="53" t="n">
        <x:f>SUMPRODUCT(B44:J44,Levers!$C$193:$K$193)*Economy!H44</x:f>
        <x:v>0.7144000000000001</x:v>
      </x:c>
      <x:c r="S44" s="53" t="n">
        <x:f>SUMPRODUCT(B44:J44,Levers!$C$193:$K$193,Levers!$C$194:$K$194)*(1/oil_fuel-1)*Economy!H44</x:f>
        <x:v>0.00966857142857143</x:v>
      </x:c>
      <x:c r="T44" s="53" t="n">
        <x:f>S44+O44*sailor_pay*Economy!H44/1000000</x:f>
        <x:v>0.03257564835164864</x:v>
      </x:c>
      <x:c r="U44" s="53" t="n">
        <x:f>(P44+Q44+R44)*navy_overhead</x:f>
        <x:v>0.8681508000000001</x:v>
      </x:c>
      <x:c r="V44" s="53" t="n">
        <x:f>L44+P44+Q44+R44+U44</x:f>
        <x:v>8.453822800000001</x:v>
      </x:c>
      <x:c r="W44" s="69" t="n">
        <x:f>Japan!I44</x:f>
        <x:v>5.6</x:v>
      </x:c>
      <x:c r="X44" s="53" t="n">
        <x:f>IF($A44&gt;=1927,V44+W44,0)</x:f>
        <x:v>0</x:v>
      </x:c>
      <x:c r="Y44" s="53" t="n">
        <x:f>IF($A44&gt;=1927,pac_quota*X44,V44)</x:f>
        <x:v>8.453822800000001</x:v>
      </x:c>
      <x:c r="Z44" s="67" t="n">
        <x:f>SUMPRODUCT(B44:J44,Levers!$C$193:$K$193,Levers!$C$194:$K$194)/0.6</x:f>
        <x:v>0.05</x:v>
      </x:c>
      <x:c r="AA44" s="62" t="n">
        <x:f>H44</x:f>
        <x:v>0</x:v>
      </x:c>
      <x:c r="AB44" s="47" t="n">
        <x:f>AA44+'Navy plan'!T44</x:f>
        <x:v>0</x:v>
      </x:c>
      <x:c r="AC44" s="62" t="n">
        <x:f>'Navy plan'!U44</x:f>
        <x:v>0</x:v>
      </x:c>
      <x:c r="AD44" s="62" t="n">
        <x:f>'Navy plan'!V44</x:f>
        <x:v>0</x:v>
      </x:c>
      <x:c r="AE44" s="67" t="n">
        <x:f>IF(AC44&gt;0,AB44/AC44,0)</x:f>
        <x:v>0</x:v>
      </x:c>
    </x:row>
    <x:row r="45">
      <x:c r="A45" s="58" t="n">
        <x:v>1885</x:v>
      </x:c>
      <x:c r="B45" s="47" t="n">
        <x:f>B44+'Navy plan'!B45-IF($A45-Levers!$C$191&gt;=1846,INDEX('Navy plan'!B$6:B$92,$A45-1845-Levers!$C$191),0)</x:f>
        <x:v>16</x:v>
      </x:c>
      <x:c r="C45" s="47" t="n">
        <x:f>C44+'Navy plan'!C45-IF($A45-Levers!$D$191&gt;=1846,INDEX('Navy plan'!C$6:C$92,$A45-1845-Levers!$D$191),0)</x:f>
        <x:v>12</x:v>
      </x:c>
      <x:c r="D45" s="47" t="n">
        <x:f>D44+'Navy plan'!D45-IF($A45-Levers!$E$191&gt;=1846,INDEX('Navy plan'!D$6:D$92,$A45-1845-Levers!$E$191),0)</x:f>
        <x:v>6</x:v>
      </x:c>
      <x:c r="E45" s="47" t="n">
        <x:f>E44+'Navy plan'!E45-IF($A45-Levers!$F$191&gt;=1846,INDEX('Navy plan'!E$6:E$92,$A45-1845-Levers!$F$191),0)</x:f>
        <x:v>0</x:v>
      </x:c>
      <x:c r="F45" s="47" t="n">
        <x:f>F44+'Navy plan'!F45-IF($A45-Levers!$G$191&gt;=1846,INDEX('Navy plan'!F$6:F$92,$A45-1845-Levers!$G$191),0)</x:f>
        <x:v>0</x:v>
      </x:c>
      <x:c r="G45" s="47" t="n">
        <x:f>G44+'Navy plan'!G45-IF($A45-Levers!$H$191&gt;=1846,INDEX('Navy plan'!G$6:G$92,$A45-1845-Levers!$H$191),0)</x:f>
        <x:v>0</x:v>
      </x:c>
      <x:c r="H45" s="47" t="n">
        <x:f>H44+'Navy plan'!H45-IF($A45-Levers!$I$191&gt;=1846,INDEX('Navy plan'!H$6:H$92,$A45-1845-Levers!$I$191),0)</x:f>
        <x:v>0</x:v>
      </x:c>
      <x:c r="I45" s="47" t="n">
        <x:f>I44+'Navy plan'!I45-IF($A45-Levers!$J$191&gt;=1846,INDEX('Navy plan'!I$6:I$92,$A45-1845-Levers!$J$191),0)</x:f>
        <x:v>0</x:v>
      </x:c>
      <x:c r="J45" s="47" t="n">
        <x:f>J44+'Navy plan'!J45-IF($A45-Levers!$K$191&gt;=1846,INDEX('Navy plan'!J$6:J$92,$A45-1845-Levers!$K$191),0)</x:f>
        <x:v>0</x:v>
      </x:c>
      <x:c r="K45" s="47" t="n">
        <x:f>SUM(B45:J45)</x:f>
        <x:v>34</x:v>
      </x:c>
      <x:c r="L45" s="53" t="n">
        <x:f>0.5*SUMPRODUCT('Navy plan'!B45:'Navy plan'!J45,'Navy plan'!K45:'Navy plan'!S45)+0.5*SUMPRODUCT('Navy plan'!B46:'Navy plan'!J46,'Navy plan'!K46:'Navy plan'!S46)</x:f>
        <x:v>0.22799999999999998</x:v>
      </x:c>
      <x:c r="M45" s="47" t="n">
        <x:f>SUMPRODUCT(B45:J45,Levers!$C$192:$K$192)</x:f>
        <x:v>5040</x:v>
      </x:c>
      <x:c r="N45" s="47" t="n">
        <x:f>SUMPRODUCT(B45:J45,Levers!$C$195:$K$195)</x:f>
        <x:v>5073.846153846154</x:v>
      </x:c>
      <x:c r="O45" s="47" t="n">
        <x:f>N45-M45</x:f>
        <x:v>33.846153846154266</x:v>
      </x:c>
      <x:c r="P45" s="53" t="n">
        <x:f>M45*sailor_pay*Economy!H45/1000000</x:f>
        <x:v>3.35664</x:v>
      </x:c>
      <x:c r="Q45" s="53" t="n">
        <x:f>SUMPRODUCT(B45:J45,'Navy plan'!K45:'Navy plan'!S45)*maint_rate</x:f>
        <x:v>1.6625</x:v>
      </x:c>
      <x:c r="R45" s="53" t="n">
        <x:f>SUMPRODUCT(B45:J45,Levers!$C$193:$K$193)*Economy!H45</x:f>
        <x:v>0.7030000000000001</x:v>
      </x:c>
      <x:c r="S45" s="53" t="n">
        <x:f>SUMPRODUCT(B45:J45,Levers!$C$193:$K$193,Levers!$C$194:$K$194)*(1/oil_fuel-1)*Economy!H45</x:f>
        <x:v>0.009514285714285715</x:v>
      </x:c>
      <x:c r="T45" s="53" t="n">
        <x:f>S45+O45*sailor_pay*Economy!H45/1000000</x:f>
        <x:v>0.032055824175824456</x:v>
      </x:c>
      <x:c r="U45" s="53" t="n">
        <x:f>(P45+Q45+R45)*navy_overhead</x:f>
        <x:v>0.858321</x:v>
      </x:c>
      <x:c r="V45" s="53" t="n">
        <x:f>L45+P45+Q45+R45+U45</x:f>
        <x:v>6.808461</x:v>
      </x:c>
      <x:c r="W45" s="69" t="n">
        <x:f>Japan!I45</x:f>
        <x:v>6</x:v>
      </x:c>
      <x:c r="X45" s="53" t="n">
        <x:f>IF($A45&gt;=1927,V45+W45,0)</x:f>
        <x:v>0</x:v>
      </x:c>
      <x:c r="Y45" s="53" t="n">
        <x:f>IF($A45&gt;=1927,pac_quota*X45,V45)</x:f>
        <x:v>6.808461</x:v>
      </x:c>
      <x:c r="Z45" s="67" t="n">
        <x:f>SUMPRODUCT(B45:J45,Levers!$C$193:$K$193,Levers!$C$194:$K$194)/0.6</x:f>
        <x:v>0.05</x:v>
      </x:c>
      <x:c r="AA45" s="62" t="n">
        <x:f>H45</x:f>
        <x:v>0</x:v>
      </x:c>
      <x:c r="AB45" s="47" t="n">
        <x:f>AA45+'Navy plan'!T45</x:f>
        <x:v>0</x:v>
      </x:c>
      <x:c r="AC45" s="62" t="n">
        <x:f>'Navy plan'!U45</x:f>
        <x:v>0</x:v>
      </x:c>
      <x:c r="AD45" s="62" t="n">
        <x:f>'Navy plan'!V45</x:f>
        <x:v>0</x:v>
      </x:c>
      <x:c r="AE45" s="67" t="n">
        <x:f>IF(AC45&gt;0,AB45/AC45,0)</x:f>
        <x:v>0</x:v>
      </x:c>
    </x:row>
    <x:row r="46">
      <x:c r="A46" s="58" t="n">
        <x:v>1886</x:v>
      </x:c>
      <x:c r="B46" s="47" t="n">
        <x:f>B45+'Navy plan'!B46-IF($A46-Levers!$C$191&gt;=1846,INDEX('Navy plan'!B$6:B$92,$A46-1845-Levers!$C$191),0)</x:f>
        <x:v>16</x:v>
      </x:c>
      <x:c r="C46" s="47" t="n">
        <x:f>C45+'Navy plan'!C46-IF($A46-Levers!$D$191&gt;=1846,INDEX('Navy plan'!C$6:C$92,$A46-1845-Levers!$D$191),0)</x:f>
        <x:v>12</x:v>
      </x:c>
      <x:c r="D46" s="47" t="n">
        <x:f>D45+'Navy plan'!D46-IF($A46-Levers!$E$191&gt;=1846,INDEX('Navy plan'!D$6:D$92,$A46-1845-Levers!$E$191),0)</x:f>
        <x:v>12</x:v>
      </x:c>
      <x:c r="E46" s="47" t="n">
        <x:f>E45+'Navy plan'!E46-IF($A46-Levers!$F$191&gt;=1846,INDEX('Navy plan'!E$6:E$92,$A46-1845-Levers!$F$191),0)</x:f>
        <x:v>0</x:v>
      </x:c>
      <x:c r="F46" s="47" t="n">
        <x:f>F45+'Navy plan'!F46-IF($A46-Levers!$G$191&gt;=1846,INDEX('Navy plan'!F$6:F$92,$A46-1845-Levers!$G$191),0)</x:f>
        <x:v>0</x:v>
      </x:c>
      <x:c r="G46" s="47" t="n">
        <x:f>G45+'Navy plan'!G46-IF($A46-Levers!$H$191&gt;=1846,INDEX('Navy plan'!G$6:G$92,$A46-1845-Levers!$H$191),0)</x:f>
        <x:v>0</x:v>
      </x:c>
      <x:c r="H46" s="47" t="n">
        <x:f>H45+'Navy plan'!H46-IF($A46-Levers!$I$191&gt;=1846,INDEX('Navy plan'!H$6:H$92,$A46-1845-Levers!$I$191),0)</x:f>
        <x:v>0</x:v>
      </x:c>
      <x:c r="I46" s="47" t="n">
        <x:f>I45+'Navy plan'!I46-IF($A46-Levers!$J$191&gt;=1846,INDEX('Navy plan'!I$6:I$92,$A46-1845-Levers!$J$191),0)</x:f>
        <x:v>0</x:v>
      </x:c>
      <x:c r="J46" s="47" t="n">
        <x:f>J45+'Navy plan'!J46-IF($A46-Levers!$K$191&gt;=1846,INDEX('Navy plan'!J$6:J$92,$A46-1845-Levers!$K$191),0)</x:f>
        <x:v>0</x:v>
      </x:c>
      <x:c r="K46" s="47" t="n">
        <x:f>SUM(B46:J46)</x:f>
        <x:v>40</x:v>
      </x:c>
      <x:c r="L46" s="53" t="n">
        <x:f>0.5*SUMPRODUCT('Navy plan'!B46:'Navy plan'!J46,'Navy plan'!K46:'Navy plan'!S46)+0.5*SUMPRODUCT('Navy plan'!B47:'Navy plan'!J47,'Navy plan'!K47:'Navy plan'!S47)</x:f>
        <x:v>0.728</x:v>
      </x:c>
      <x:c r="M46" s="47" t="n">
        <x:f>SUMPRODUCT(B46:J46,Levers!$C$192:$K$192)</x:f>
        <x:v>5160</x:v>
      </x:c>
      <x:c r="N46" s="47" t="n">
        <x:f>SUMPRODUCT(B46:J46,Levers!$C$195:$K$195)</x:f>
        <x:v>5227.692307692308</x:v>
      </x:c>
      <x:c r="O46" s="47" t="n">
        <x:f>N46-M46</x:f>
        <x:v>67.69230769230762</x:v>
      </x:c>
      <x:c r="P46" s="53" t="n">
        <x:f>M46*sailor_pay*Economy!H46/1000000</x:f>
        <x:v>3.427272</x:v>
      </x:c>
      <x:c r="Q46" s="53" t="n">
        <x:f>SUMPRODUCT(B46:J46,'Navy plan'!K46:'Navy plan'!S46)*maint_rate</x:f>
        <x:v>1.6856</x:v>
      </x:c>
      <x:c r="R46" s="53" t="n">
        <x:f>SUMPRODUCT(B46:J46,Levers!$C$193:$K$193)*Economy!H46</x:f>
        <x:v>0.7232400000000001</x:v>
      </x:c>
      <x:c r="S46" s="53" t="n">
        <x:f>SUMPRODUCT(B46:J46,Levers!$C$193:$K$193,Levers!$C$194:$K$194)*(1/oil_fuel-1)*Economy!H46</x:f>
        <x:v>0.018977142857142856</x:v>
      </x:c>
      <x:c r="T46" s="53" t="n">
        <x:f>S46+O46*sailor_pay*Economy!H46/1000000</x:f>
        <x:v>0.06393837362637358</x:v>
      </x:c>
      <x:c r="U46" s="53" t="n">
        <x:f>(P46+Q46+R46)*navy_overhead</x:f>
        <x:v>0.8754168</x:v>
      </x:c>
      <x:c r="V46" s="53" t="n">
        <x:f>L46+P46+Q46+R46+U46</x:f>
        <x:v>7.4395288</x:v>
      </x:c>
      <x:c r="W46" s="69" t="n">
        <x:f>Japan!I46</x:f>
        <x:v>6.4</x:v>
      </x:c>
      <x:c r="X46" s="53" t="n">
        <x:f>IF($A46&gt;=1927,V46+W46,0)</x:f>
        <x:v>0</x:v>
      </x:c>
      <x:c r="Y46" s="53" t="n">
        <x:f>IF($A46&gt;=1927,pac_quota*X46,V46)</x:f>
        <x:v>7.4395288</x:v>
      </x:c>
      <x:c r="Z46" s="67" t="n">
        <x:f>SUMPRODUCT(B46:J46,Levers!$C$193:$K$193,Levers!$C$194:$K$194)/0.6</x:f>
        <x:v>0.1</x:v>
      </x:c>
      <x:c r="AA46" s="62" t="n">
        <x:f>H46</x:f>
        <x:v>0</x:v>
      </x:c>
      <x:c r="AB46" s="47" t="n">
        <x:f>AA46+'Navy plan'!T46</x:f>
        <x:v>0</x:v>
      </x:c>
      <x:c r="AC46" s="62" t="n">
        <x:f>'Navy plan'!U46</x:f>
        <x:v>0</x:v>
      </x:c>
      <x:c r="AD46" s="62" t="n">
        <x:f>'Navy plan'!V46</x:f>
        <x:v>0</x:v>
      </x:c>
      <x:c r="AE46" s="67" t="n">
        <x:f>IF(AC46&gt;0,AB46/AC46,0)</x:f>
        <x:v>0</x:v>
      </x:c>
    </x:row>
    <x:row r="47">
      <x:c r="A47" s="58" t="n">
        <x:v>1887</x:v>
      </x:c>
      <x:c r="B47" s="47" t="n">
        <x:f>B46+'Navy plan'!B47-IF($A47-Levers!$C$191&gt;=1846,INDEX('Navy plan'!B$6:B$92,$A47-1845-Levers!$C$191),0)</x:f>
        <x:v>15</x:v>
      </x:c>
      <x:c r="C47" s="47" t="n">
        <x:f>C46+'Navy plan'!C47-IF($A47-Levers!$D$191&gt;=1846,INDEX('Navy plan'!C$6:C$92,$A47-1845-Levers!$D$191),0)</x:f>
        <x:v>13</x:v>
      </x:c>
      <x:c r="D47" s="47" t="n">
        <x:f>D46+'Navy plan'!D47-IF($A47-Levers!$E$191&gt;=1846,INDEX('Navy plan'!D$6:D$92,$A47-1845-Levers!$E$191),0)</x:f>
        <x:v>12</x:v>
      </x:c>
      <x:c r="E47" s="47" t="n">
        <x:f>E46+'Navy plan'!E47-IF($A47-Levers!$F$191&gt;=1846,INDEX('Navy plan'!E$6:E$92,$A47-1845-Levers!$F$191),0)</x:f>
        <x:v>0</x:v>
      </x:c>
      <x:c r="F47" s="47" t="n">
        <x:f>F46+'Navy plan'!F47-IF($A47-Levers!$G$191&gt;=1846,INDEX('Navy plan'!F$6:F$92,$A47-1845-Levers!$G$191),0)</x:f>
        <x:v>0</x:v>
      </x:c>
      <x:c r="G47" s="47" t="n">
        <x:f>G46+'Navy plan'!G47-IF($A47-Levers!$H$191&gt;=1846,INDEX('Navy plan'!G$6:G$92,$A47-1845-Levers!$H$191),0)</x:f>
        <x:v>0</x:v>
      </x:c>
      <x:c r="H47" s="47" t="n">
        <x:f>H46+'Navy plan'!H47-IF($A47-Levers!$I$191&gt;=1846,INDEX('Navy plan'!H$6:H$92,$A47-1845-Levers!$I$191),0)</x:f>
        <x:v>0</x:v>
      </x:c>
      <x:c r="I47" s="47" t="n">
        <x:f>I46+'Navy plan'!I47-IF($A47-Levers!$J$191&gt;=1846,INDEX('Navy plan'!I$6:I$92,$A47-1845-Levers!$J$191),0)</x:f>
        <x:v>0</x:v>
      </x:c>
      <x:c r="J47" s="47" t="n">
        <x:f>J46+'Navy plan'!J47-IF($A47-Levers!$K$191&gt;=1846,INDEX('Navy plan'!J$6:J$92,$A47-1845-Levers!$K$191),0)</x:f>
        <x:v>0</x:v>
      </x:c>
      <x:c r="K47" s="47" t="n">
        <x:f>SUM(B47:J47)</x:f>
        <x:v>40</x:v>
      </x:c>
      <x:c r="L47" s="53" t="n">
        <x:f>0.5*SUMPRODUCT('Navy plan'!B47:'Navy plan'!J47,'Navy plan'!K47:'Navy plan'!S47)+0.5*SUMPRODUCT('Navy plan'!B48:'Navy plan'!J48,'Navy plan'!K48:'Navy plan'!S48)</x:f>
        <x:v>0.734</x:v>
      </x:c>
      <x:c r="M47" s="47" t="n">
        <x:f>SUMPRODUCT(B47:J47,Levers!$C$192:$K$192)</x:f>
        <x:v>5290</x:v>
      </x:c>
      <x:c r="N47" s="47" t="n">
        <x:f>SUMPRODUCT(B47:J47,Levers!$C$195:$K$195)</x:f>
        <x:v>5357.692307692308</x:v>
      </x:c>
      <x:c r="O47" s="47" t="n">
        <x:f>N47-M47</x:f>
        <x:v>67.69230769230762</x:v>
      </x:c>
      <x:c r="P47" s="53" t="n">
        <x:f>M47*sailor_pay*Economy!H47/1000000</x:f>
        <x:v>3.504096</x:v>
      </x:c>
      <x:c r="Q47" s="53" t="n">
        <x:f>SUMPRODUCT(B47:J47,'Navy plan'!K47:'Navy plan'!S47)*maint_rate</x:f>
        <x:v>1.6712</x:v>
      </x:c>
      <x:c r="R47" s="53" t="n">
        <x:f>SUMPRODUCT(B47:J47,Levers!$C$193:$K$193)*Economy!H47</x:f>
        <x:v>0.74336</x:v>
      </x:c>
      <x:c r="S47" s="53" t="n">
        <x:f>SUMPRODUCT(B47:J47,Levers!$C$193:$K$193,Levers!$C$194:$K$194)*(1/oil_fuel-1)*Economy!H47</x:f>
        <x:v>0.018925714285714285</x:v>
      </x:c>
      <x:c r="T47" s="53" t="n">
        <x:f>S47+O47*sailor_pay*Economy!H47/1000000</x:f>
        <x:v>0.06376509890109885</x:v>
      </x:c>
      <x:c r="U47" s="53" t="n">
        <x:f>(P47+Q47+R47)*navy_overhead</x:f>
        <x:v>0.8877984</x:v>
      </x:c>
      <x:c r="V47" s="53" t="n">
        <x:f>L47+P47+Q47+R47+U47</x:f>
        <x:v>7.540454400000001</x:v>
      </x:c>
      <x:c r="W47" s="69" t="n">
        <x:f>Japan!I47</x:f>
        <x:v>6.8</x:v>
      </x:c>
      <x:c r="X47" s="53" t="n">
        <x:f>IF($A47&gt;=1927,V47+W47,0)</x:f>
        <x:v>0</x:v>
      </x:c>
      <x:c r="Y47" s="53" t="n">
        <x:f>IF($A47&gt;=1927,pac_quota*X47,V47)</x:f>
        <x:v>7.540454400000001</x:v>
      </x:c>
      <x:c r="Z47" s="67" t="n">
        <x:f>SUMPRODUCT(B47:J47,Levers!$C$193:$K$193,Levers!$C$194:$K$194)/0.6</x:f>
        <x:v>0.1</x:v>
      </x:c>
      <x:c r="AA47" s="62" t="n">
        <x:f>H47</x:f>
        <x:v>0</x:v>
      </x:c>
      <x:c r="AB47" s="47" t="n">
        <x:f>AA47+'Navy plan'!T47</x:f>
        <x:v>0</x:v>
      </x:c>
      <x:c r="AC47" s="62" t="n">
        <x:f>'Navy plan'!U47</x:f>
        <x:v>0</x:v>
      </x:c>
      <x:c r="AD47" s="62" t="n">
        <x:f>'Navy plan'!V47</x:f>
        <x:v>0</x:v>
      </x:c>
      <x:c r="AE47" s="67" t="n">
        <x:f>IF(AC47&gt;0,AB47/AC47,0)</x:f>
        <x:v>0</x:v>
      </x:c>
    </x:row>
    <x:row r="48">
      <x:c r="A48" s="58" t="n">
        <x:v>1888</x:v>
      </x:c>
      <x:c r="B48" s="47" t="n">
        <x:f>B47+'Navy plan'!B48-IF($A48-Levers!$C$191&gt;=1846,INDEX('Navy plan'!B$6:B$92,$A48-1845-Levers!$C$191),0)</x:f>
        <x:v>13</x:v>
      </x:c>
      <x:c r="C48" s="47" t="n">
        <x:f>C47+'Navy plan'!C48-IF($A48-Levers!$D$191&gt;=1846,INDEX('Navy plan'!C$6:C$92,$A48-1845-Levers!$D$191),0)</x:f>
        <x:v>11</x:v>
      </x:c>
      <x:c r="D48" s="47" t="n">
        <x:f>D47+'Navy plan'!D48-IF($A48-Levers!$E$191&gt;=1846,INDEX('Navy plan'!D$6:D$92,$A48-1845-Levers!$E$191),0)</x:f>
        <x:v>18</x:v>
      </x:c>
      <x:c r="E48" s="47" t="n">
        <x:f>E47+'Navy plan'!E48-IF($A48-Levers!$F$191&gt;=1846,INDEX('Navy plan'!E$6:E$92,$A48-1845-Levers!$F$191),0)</x:f>
        <x:v>0</x:v>
      </x:c>
      <x:c r="F48" s="47" t="n">
        <x:f>F47+'Navy plan'!F48-IF($A48-Levers!$G$191&gt;=1846,INDEX('Navy plan'!F$6:F$92,$A48-1845-Levers!$G$191),0)</x:f>
        <x:v>0</x:v>
      </x:c>
      <x:c r="G48" s="47" t="n">
        <x:f>G47+'Navy plan'!G48-IF($A48-Levers!$H$191&gt;=1846,INDEX('Navy plan'!G$6:G$92,$A48-1845-Levers!$H$191),0)</x:f>
        <x:v>0</x:v>
      </x:c>
      <x:c r="H48" s="47" t="n">
        <x:f>H47+'Navy plan'!H48-IF($A48-Levers!$I$191&gt;=1846,INDEX('Navy plan'!H$6:H$92,$A48-1845-Levers!$I$191),0)</x:f>
        <x:v>0</x:v>
      </x:c>
      <x:c r="I48" s="47" t="n">
        <x:f>I47+'Navy plan'!I48-IF($A48-Levers!$J$191&gt;=1846,INDEX('Navy plan'!I$6:I$92,$A48-1845-Levers!$J$191),0)</x:f>
        <x:v>0</x:v>
      </x:c>
      <x:c r="J48" s="47" t="n">
        <x:f>J47+'Navy plan'!J48-IF($A48-Levers!$K$191&gt;=1846,INDEX('Navy plan'!J$6:J$92,$A48-1845-Levers!$K$191),0)</x:f>
        <x:v>0</x:v>
      </x:c>
      <x:c r="K48" s="47" t="n">
        <x:f>SUM(B48:J48)</x:f>
        <x:v>42</x:v>
      </x:c>
      <x:c r="L48" s="53" t="n">
        <x:f>0.5*SUMPRODUCT('Navy plan'!B48:'Navy plan'!J48,'Navy plan'!K48:'Navy plan'!S48)+0.5*SUMPRODUCT('Navy plan'!B49:'Navy plan'!J49,'Navy plan'!K49:'Navy plan'!S49)</x:f>
        <x:v>0.23399999999999999</x:v>
      </x:c>
      <x:c r="M48" s="47" t="n">
        <x:f>SUMPRODUCT(B48:J48,Levers!$C$192:$K$192)</x:f>
        <x:v>4670</x:v>
      </x:c>
      <x:c r="N48" s="47" t="n">
        <x:f>SUMPRODUCT(B48:J48,Levers!$C$195:$K$195)</x:f>
        <x:v>4771.538461538462</x:v>
      </x:c>
      <x:c r="O48" s="47" t="n">
        <x:f>N48-M48</x:f>
        <x:v>101.53846153846189</x:v>
      </x:c>
      <x:c r="P48" s="53" t="n">
        <x:f>M48*sailor_pay*Economy!H48/1000000</x:f>
        <x:v>3.085002</x:v>
      </x:c>
      <x:c r="Q48" s="53" t="n">
        <x:f>SUMPRODUCT(B48:J48,'Navy plan'!K48:'Navy plan'!S48)*maint_rate</x:f>
        <x:v>1.4652000000000003</x:v>
      </x:c>
      <x:c r="R48" s="53" t="n">
        <x:f>SUMPRODUCT(B48:J48,Levers!$C$193:$K$193)*Economy!H48</x:f>
        <x:v>0.6606</x:v>
      </x:c>
      <x:c r="S48" s="53" t="n">
        <x:f>SUMPRODUCT(B48:J48,Levers!$C$193:$K$193,Levers!$C$194:$K$194)*(1/oil_fuel-1)*Economy!H48</x:f>
        <x:v>0.028311428571428574</x:v>
      </x:c>
      <x:c r="T48" s="53" t="n">
        <x:f>S48+O48*sailor_pay*Economy!H48/1000000</x:f>
        <x:v>0.09538773626373649</x:v>
      </x:c>
      <x:c r="U48" s="53" t="n">
        <x:f>(P48+Q48+R48)*navy_overhead</x:f>
        <x:v>0.7816203</x:v>
      </x:c>
      <x:c r="V48" s="53" t="n">
        <x:f>L48+P48+Q48+R48+U48</x:f>
        <x:v>6.2264223</x:v>
      </x:c>
      <x:c r="W48" s="69" t="n">
        <x:f>Japan!I48</x:f>
        <x:v>7.2</x:v>
      </x:c>
      <x:c r="X48" s="53" t="n">
        <x:f>IF($A48&gt;=1927,V48+W48,0)</x:f>
        <x:v>0</x:v>
      </x:c>
      <x:c r="Y48" s="53" t="n">
        <x:f>IF($A48&gt;=1927,pac_quota*X48,V48)</x:f>
        <x:v>6.2264223</x:v>
      </x:c>
      <x:c r="Z48" s="67" t="n">
        <x:f>SUMPRODUCT(B48:J48,Levers!$C$193:$K$193,Levers!$C$194:$K$194)/0.6</x:f>
        <x:v>0.15</x:v>
      </x:c>
      <x:c r="AA48" s="62" t="n">
        <x:f>H48</x:f>
        <x:v>0</x:v>
      </x:c>
      <x:c r="AB48" s="47" t="n">
        <x:f>AA48+'Navy plan'!T48</x:f>
        <x:v>0</x:v>
      </x:c>
      <x:c r="AC48" s="62" t="n">
        <x:f>'Navy plan'!U48</x:f>
        <x:v>0</x:v>
      </x:c>
      <x:c r="AD48" s="62" t="n">
        <x:f>'Navy plan'!V48</x:f>
        <x:v>0</x:v>
      </x:c>
      <x:c r="AE48" s="67" t="n">
        <x:f>IF(AC48&gt;0,AB48/AC48,0)</x:f>
        <x:v>0</x:v>
      </x:c>
    </x:row>
    <x:row r="49">
      <x:c r="A49" s="58" t="n">
        <x:v>1889</x:v>
      </x:c>
      <x:c r="B49" s="47" t="n">
        <x:f>B48+'Navy plan'!B49-IF($A49-Levers!$C$191&gt;=1846,INDEX('Navy plan'!B$6:B$92,$A49-1845-Levers!$C$191),0)</x:f>
        <x:v>11</x:v>
      </x:c>
      <x:c r="C49" s="47" t="n">
        <x:f>C48+'Navy plan'!C49-IF($A49-Levers!$D$191&gt;=1846,INDEX('Navy plan'!C$6:C$92,$A49-1845-Levers!$D$191),0)</x:f>
        <x:v>11</x:v>
      </x:c>
      <x:c r="D49" s="47" t="n">
        <x:f>D48+'Navy plan'!D49-IF($A49-Levers!$E$191&gt;=1846,INDEX('Navy plan'!D$6:D$92,$A49-1845-Levers!$E$191),0)</x:f>
        <x:v>18</x:v>
      </x:c>
      <x:c r="E49" s="47" t="n">
        <x:f>E48+'Navy plan'!E49-IF($A49-Levers!$F$191&gt;=1846,INDEX('Navy plan'!E$6:E$92,$A49-1845-Levers!$F$191),0)</x:f>
        <x:v>0</x:v>
      </x:c>
      <x:c r="F49" s="47" t="n">
        <x:f>F48+'Navy plan'!F49-IF($A49-Levers!$G$191&gt;=1846,INDEX('Navy plan'!F$6:F$92,$A49-1845-Levers!$G$191),0)</x:f>
        <x:v>0</x:v>
      </x:c>
      <x:c r="G49" s="47" t="n">
        <x:f>G48+'Navy plan'!G49-IF($A49-Levers!$H$191&gt;=1846,INDEX('Navy plan'!G$6:G$92,$A49-1845-Levers!$H$191),0)</x:f>
        <x:v>0</x:v>
      </x:c>
      <x:c r="H49" s="47" t="n">
        <x:f>H48+'Navy plan'!H49-IF($A49-Levers!$I$191&gt;=1846,INDEX('Navy plan'!H$6:H$92,$A49-1845-Levers!$I$191),0)</x:f>
        <x:v>0</x:v>
      </x:c>
      <x:c r="I49" s="47" t="n">
        <x:f>I48+'Navy plan'!I49-IF($A49-Levers!$J$191&gt;=1846,INDEX('Navy plan'!I$6:I$92,$A49-1845-Levers!$J$191),0)</x:f>
        <x:v>0</x:v>
      </x:c>
      <x:c r="J49" s="47" t="n">
        <x:f>J48+'Navy plan'!J49-IF($A49-Levers!$K$191&gt;=1846,INDEX('Navy plan'!J$6:J$92,$A49-1845-Levers!$K$191),0)</x:f>
        <x:v>0</x:v>
      </x:c>
      <x:c r="K49" s="47" t="n">
        <x:f>SUM(B49:J49)</x:f>
        <x:v>40</x:v>
      </x:c>
      <x:c r="L49" s="53" t="n">
        <x:f>0.5*SUMPRODUCT('Navy plan'!B49:'Navy plan'!J49,'Navy plan'!K49:'Navy plan'!S49)+0.5*SUMPRODUCT('Navy plan'!B50:'Navy plan'!J50,'Navy plan'!K50:'Navy plan'!S50)</x:f>
        <x:v>1.96</x:v>
      </x:c>
      <x:c r="M49" s="47" t="n">
        <x:f>SUMPRODUCT(B49:J49,Levers!$C$192:$K$192)</x:f>
        <x:v>4430</x:v>
      </x:c>
      <x:c r="N49" s="47" t="n">
        <x:f>SUMPRODUCT(B49:J49,Levers!$C$195:$K$195)</x:f>
        <x:v>4531.538461538462</x:v>
      </x:c>
      <x:c r="O49" s="47" t="n">
        <x:f>N49-M49</x:f>
        <x:v>101.53846153846189</x:v>
      </x:c>
      <x:c r="P49" s="53" t="n">
        <x:f>M49*sailor_pay*Economy!H49/1000000</x:f>
        <x:v>2.918484</x:v>
      </x:c>
      <x:c r="Q49" s="53" t="n">
        <x:f>SUMPRODUCT(B49:J49,'Navy plan'!K49:'Navy plan'!S49)*maint_rate</x:f>
        <x:v>1.3361</x:v>
      </x:c>
      <x:c r="R49" s="53" t="n">
        <x:f>SUMPRODUCT(B49:J49,Levers!$C$193:$K$193)*Economy!H49</x:f>
        <x:v>0.62952</x:v>
      </x:c>
      <x:c r="S49" s="53" t="n">
        <x:f>SUMPRODUCT(B49:J49,Levers!$C$193:$K$193,Levers!$C$194:$K$194)*(1/oil_fuel-1)*Economy!H49</x:f>
        <x:v>0.02823428571428572</x:v>
      </x:c>
      <x:c r="T49" s="53" t="n">
        <x:f>S49+O49*sailor_pay*Economy!H49/1000000</x:f>
        <x:v>0.09512782417582441</x:v>
      </x:c>
      <x:c r="U49" s="53" t="n">
        <x:f>(P49+Q49+R49)*navy_overhead</x:f>
        <x:v>0.7326155999999999</x:v>
      </x:c>
      <x:c r="V49" s="53" t="n">
        <x:f>L49+P49+Q49+R49+U49</x:f>
        <x:v>7.5767196000000006</x:v>
      </x:c>
      <x:c r="W49" s="69" t="n">
        <x:f>Japan!I49</x:f>
        <x:v>7.6</x:v>
      </x:c>
      <x:c r="X49" s="53" t="n">
        <x:f>IF($A49&gt;=1927,V49+W49,0)</x:f>
        <x:v>0</x:v>
      </x:c>
      <x:c r="Y49" s="53" t="n">
        <x:f>IF($A49&gt;=1927,pac_quota*X49,V49)</x:f>
        <x:v>7.5767196000000006</x:v>
      </x:c>
      <x:c r="Z49" s="67" t="n">
        <x:f>SUMPRODUCT(B49:J49,Levers!$C$193:$K$193,Levers!$C$194:$K$194)/0.6</x:f>
        <x:v>0.15</x:v>
      </x:c>
      <x:c r="AA49" s="62" t="n">
        <x:f>H49</x:f>
        <x:v>0</x:v>
      </x:c>
      <x:c r="AB49" s="47" t="n">
        <x:f>AA49+'Navy plan'!T49</x:f>
        <x:v>0</x:v>
      </x:c>
      <x:c r="AC49" s="62" t="n">
        <x:f>'Navy plan'!U49</x:f>
        <x:v>0</x:v>
      </x:c>
      <x:c r="AD49" s="62" t="n">
        <x:f>'Navy plan'!V49</x:f>
        <x:v>0</x:v>
      </x:c>
      <x:c r="AE49" s="67" t="n">
        <x:f>IF(AC49&gt;0,AB49/AC49,0)</x:f>
        <x:v>0</x:v>
      </x:c>
    </x:row>
    <x:row r="50">
      <x:c r="A50" s="58" t="n">
        <x:v>1890</x:v>
      </x:c>
      <x:c r="B50" s="47" t="n">
        <x:f>B49+'Navy plan'!B50-IF($A50-Levers!$C$191&gt;=1846,INDEX('Navy plan'!B$6:B$92,$A50-1845-Levers!$C$191),0)</x:f>
        <x:v>10</x:v>
      </x:c>
      <x:c r="C50" s="47" t="n">
        <x:f>C49+'Navy plan'!C50-IF($A50-Levers!$D$191&gt;=1846,INDEX('Navy plan'!C$6:C$92,$A50-1845-Levers!$D$191),0)</x:f>
        <x:v>11</x:v>
      </x:c>
      <x:c r="D50" s="47" t="n">
        <x:f>D49+'Navy plan'!D50-IF($A50-Levers!$E$191&gt;=1846,INDEX('Navy plan'!D$6:D$92,$A50-1845-Levers!$E$191),0)</x:f>
        <x:v>22</x:v>
      </x:c>
      <x:c r="E50" s="47" t="n">
        <x:f>E49+'Navy plan'!E50-IF($A50-Levers!$F$191&gt;=1846,INDEX('Navy plan'!E$6:E$92,$A50-1845-Levers!$F$191),0)</x:f>
        <x:v>2</x:v>
      </x:c>
      <x:c r="F50" s="47" t="n">
        <x:f>F49+'Navy plan'!F50-IF($A50-Levers!$G$191&gt;=1846,INDEX('Navy plan'!F$6:F$92,$A50-1845-Levers!$G$191),0)</x:f>
        <x:v>0</x:v>
      </x:c>
      <x:c r="G50" s="47" t="n">
        <x:f>G49+'Navy plan'!G50-IF($A50-Levers!$H$191&gt;=1846,INDEX('Navy plan'!G$6:G$92,$A50-1845-Levers!$H$191),0)</x:f>
        <x:v>0</x:v>
      </x:c>
      <x:c r="H50" s="47" t="n">
        <x:f>H49+'Navy plan'!H50-IF($A50-Levers!$I$191&gt;=1846,INDEX('Navy plan'!H$6:H$92,$A50-1845-Levers!$I$191),0)</x:f>
        <x:v>0</x:v>
      </x:c>
      <x:c r="I50" s="47" t="n">
        <x:f>I49+'Navy plan'!I50-IF($A50-Levers!$J$191&gt;=1846,INDEX('Navy plan'!I$6:I$92,$A50-1845-Levers!$J$191),0)</x:f>
        <x:v>0</x:v>
      </x:c>
      <x:c r="J50" s="47" t="n">
        <x:f>J49+'Navy plan'!J50-IF($A50-Levers!$K$191&gt;=1846,INDEX('Navy plan'!J$6:J$92,$A50-1845-Levers!$K$191),0)</x:f>
        <x:v>0</x:v>
      </x:c>
      <x:c r="K50" s="47" t="n">
        <x:f>SUM(B50:J50)</x:f>
        <x:v>45</x:v>
      </x:c>
      <x:c r="L50" s="53" t="n">
        <x:f>0.5*SUMPRODUCT('Navy plan'!B50:'Navy plan'!J50,'Navy plan'!K50:'Navy plan'!S50)+0.5*SUMPRODUCT('Navy plan'!B51:'Navy plan'!J51,'Navy plan'!K51:'Navy plan'!S51)</x:f>
        <x:v>1.96</x:v>
      </x:c>
      <x:c r="M50" s="47" t="n">
        <x:f>SUMPRODUCT(B50:J50,Levers!$C$192:$K$192)</x:f>
        <x:v>4950</x:v>
      </x:c>
      <x:c r="N50" s="47" t="n">
        <x:f>SUMPRODUCT(B50:J50,Levers!$C$195:$K$195)</x:f>
        <x:v>5232.051282051282</x:v>
      </x:c>
      <x:c r="O50" s="47" t="n">
        <x:f>N50-M50</x:f>
        <x:v>282.0512820512822</x:v>
      </x:c>
      <x:c r="P50" s="53" t="n">
        <x:f>M50*sailor_pay*Economy!H50/1000000</x:f>
        <x:v>3.25215</x:v>
      </x:c>
      <x:c r="Q50" s="53" t="n">
        <x:f>SUMPRODUCT(B50:J50,'Navy plan'!K50:'Navy plan'!S50)*maint_rate</x:f>
        <x:v>1.4680000000000002</x:v>
      </x:c>
      <x:c r="R50" s="53" t="n">
        <x:f>SUMPRODUCT(B50:J50,Levers!$C$193:$K$193)*Economy!H50</x:f>
        <x:v>0.7008</x:v>
      </x:c>
      <x:c r="S50" s="53" t="n">
        <x:f>SUMPRODUCT(B50:J50,Levers!$C$193:$K$193,Levers!$C$194:$K$194)*(1/oil_fuel-1)*Economy!H50</x:f>
        <x:v>0.06570000000000001</x:v>
      </x:c>
      <x:c r="T50" s="53" t="n">
        <x:f>S50+O50*sailor_pay*Economy!H50/1000000</x:f>
        <x:v>0.2510076923076924</x:v>
      </x:c>
      <x:c r="U50" s="53" t="n">
        <x:f>(P50+Q50+R50)*navy_overhead</x:f>
        <x:v>0.8131425</x:v>
      </x:c>
      <x:c r="V50" s="53" t="n">
        <x:f>L50+P50+Q50+R50+U50</x:f>
        <x:v>8.1940925</x:v>
      </x:c>
      <x:c r="W50" s="69" t="n">
        <x:f>Japan!I50</x:f>
        <x:v>8</x:v>
      </x:c>
      <x:c r="X50" s="53" t="n">
        <x:f>IF($A50&gt;=1927,V50+W50,0)</x:f>
        <x:v>0</x:v>
      </x:c>
      <x:c r="Y50" s="53" t="n">
        <x:f>IF($A50&gt;=1927,pac_quota*X50,V50)</x:f>
        <x:v>8.1940925</x:v>
      </x:c>
      <x:c r="Z50" s="67" t="n">
        <x:f>SUMPRODUCT(B50:J50,Levers!$C$193:$K$193,Levers!$C$194:$K$194)/0.6</x:f>
        <x:v>0.35000000000000003</x:v>
      </x:c>
      <x:c r="AA50" s="62" t="n">
        <x:f>H50</x:f>
        <x:v>0</x:v>
      </x:c>
      <x:c r="AB50" s="47" t="n">
        <x:f>AA50+'Navy plan'!T50</x:f>
        <x:v>0</x:v>
      </x:c>
      <x:c r="AC50" s="62" t="n">
        <x:f>'Navy plan'!U50</x:f>
        <x:v>0</x:v>
      </x:c>
      <x:c r="AD50" s="62" t="n">
        <x:f>'Navy plan'!V50</x:f>
        <x:v>0</x:v>
      </x:c>
      <x:c r="AE50" s="67" t="n">
        <x:f>IF(AC50&gt;0,AB50/AC50,0)</x:f>
        <x:v>0</x:v>
      </x:c>
    </x:row>
    <x:row r="51">
      <x:c r="A51" s="58" t="n">
        <x:v>1891</x:v>
      </x:c>
      <x:c r="B51" s="47" t="n">
        <x:f>B50+'Navy plan'!B51-IF($A51-Levers!$C$191&gt;=1846,INDEX('Navy plan'!B$6:B$92,$A51-1845-Levers!$C$191),0)</x:f>
        <x:v>10</x:v>
      </x:c>
      <x:c r="C51" s="47" t="n">
        <x:f>C50+'Navy plan'!C51-IF($A51-Levers!$D$191&gt;=1846,INDEX('Navy plan'!C$6:C$92,$A51-1845-Levers!$D$191),0)</x:f>
        <x:v>11</x:v>
      </x:c>
      <x:c r="D51" s="47" t="n">
        <x:f>D50+'Navy plan'!D51-IF($A51-Levers!$E$191&gt;=1846,INDEX('Navy plan'!D$6:D$92,$A51-1845-Levers!$E$191),0)</x:f>
        <x:v>22</x:v>
      </x:c>
      <x:c r="E51" s="47" t="n">
        <x:f>E50+'Navy plan'!E51-IF($A51-Levers!$F$191&gt;=1846,INDEX('Navy plan'!E$6:E$92,$A51-1845-Levers!$F$191),0)</x:f>
        <x:v>2</x:v>
      </x:c>
      <x:c r="F51" s="47" t="n">
        <x:f>F50+'Navy plan'!F51-IF($A51-Levers!$G$191&gt;=1846,INDEX('Navy plan'!F$6:F$92,$A51-1845-Levers!$G$191),0)</x:f>
        <x:v>0</x:v>
      </x:c>
      <x:c r="G51" s="47" t="n">
        <x:f>G50+'Navy plan'!G51-IF($A51-Levers!$H$191&gt;=1846,INDEX('Navy plan'!G$6:G$92,$A51-1845-Levers!$H$191),0)</x:f>
        <x:v>0</x:v>
      </x:c>
      <x:c r="H51" s="47" t="n">
        <x:f>H50+'Navy plan'!H51-IF($A51-Levers!$I$191&gt;=1846,INDEX('Navy plan'!H$6:H$92,$A51-1845-Levers!$I$191),0)</x:f>
        <x:v>0</x:v>
      </x:c>
      <x:c r="I51" s="47" t="n">
        <x:f>I50+'Navy plan'!I51-IF($A51-Levers!$J$191&gt;=1846,INDEX('Navy plan'!I$6:I$92,$A51-1845-Levers!$J$191),0)</x:f>
        <x:v>0</x:v>
      </x:c>
      <x:c r="J51" s="47" t="n">
        <x:f>J50+'Navy plan'!J51-IF($A51-Levers!$K$191&gt;=1846,INDEX('Navy plan'!J$6:J$92,$A51-1845-Levers!$K$191),0)</x:f>
        <x:v>0</x:v>
      </x:c>
      <x:c r="K51" s="47" t="n">
        <x:f>SUM(B51:J51)</x:f>
        <x:v>45</x:v>
      </x:c>
      <x:c r="L51" s="53" t="n">
        <x:f>0.5*SUMPRODUCT('Navy plan'!B51:'Navy plan'!J51,'Navy plan'!K51:'Navy plan'!S51)+0.5*SUMPRODUCT('Navy plan'!B52:'Navy plan'!J52,'Navy plan'!K52:'Navy plan'!S52)</x:f>
        <x:v>1.98</x:v>
      </x:c>
      <x:c r="M51" s="47" t="n">
        <x:f>SUMPRODUCT(B51:J51,Levers!$C$192:$K$192)</x:f>
        <x:v>4950</x:v>
      </x:c>
      <x:c r="N51" s="47" t="n">
        <x:f>SUMPRODUCT(B51:J51,Levers!$C$195:$K$195)</x:f>
        <x:v>5232.051282051282</x:v>
      </x:c>
      <x:c r="O51" s="47" t="n">
        <x:f>N51-M51</x:f>
        <x:v>282.0512820512822</x:v>
      </x:c>
      <x:c r="P51" s="53" t="n">
        <x:f>M51*sailor_pay*Economy!H51/1000000</x:f>
        <x:v>3.2151735</x:v>
      </x:c>
      <x:c r="Q51" s="53" t="n">
        <x:f>SUMPRODUCT(B51:J51,'Navy plan'!K51:'Navy plan'!S51)*maint_rate</x:f>
        <x:v>1.4690000000000003</x:v>
      </x:c>
      <x:c r="R51" s="53" t="n">
        <x:f>SUMPRODUCT(B51:J51,Levers!$C$193:$K$193)*Economy!H51</x:f>
        <x:v>0.692832</x:v>
      </x:c>
      <x:c r="S51" s="53" t="n">
        <x:f>SUMPRODUCT(B51:J51,Levers!$C$193:$K$193,Levers!$C$194:$K$194)*(1/oil_fuel-1)*Economy!H51</x:f>
        <x:v>0.06495300000000001</x:v>
      </x:c>
      <x:c r="T51" s="53" t="n">
        <x:f>S51+O51*sailor_pay*Economy!H51/1000000</x:f>
        <x:v>0.24815376923076934</x:v>
      </x:c>
      <x:c r="U51" s="53" t="n">
        <x:f>(P51+Q51+R51)*navy_overhead</x:f>
        <x:v>0.806550825</x:v>
      </x:c>
      <x:c r="V51" s="53" t="n">
        <x:f>L51+P51+Q51+R51+U51</x:f>
        <x:v>8.163556325</x:v>
      </x:c>
      <x:c r="W51" s="69" t="n">
        <x:f>Japan!I51</x:f>
        <x:v>9</x:v>
      </x:c>
      <x:c r="X51" s="53" t="n">
        <x:f>IF($A51&gt;=1927,V51+W51,0)</x:f>
        <x:v>0</x:v>
      </x:c>
      <x:c r="Y51" s="53" t="n">
        <x:f>IF($A51&gt;=1927,pac_quota*X51,V51)</x:f>
        <x:v>8.163556325</x:v>
      </x:c>
      <x:c r="Z51" s="67" t="n">
        <x:f>SUMPRODUCT(B51:J51,Levers!$C$193:$K$193,Levers!$C$194:$K$194)/0.6</x:f>
        <x:v>0.35000000000000003</x:v>
      </x:c>
      <x:c r="AA51" s="62" t="n">
        <x:f>H51</x:f>
        <x:v>0</x:v>
      </x:c>
      <x:c r="AB51" s="47" t="n">
        <x:f>AA51+'Navy plan'!T51</x:f>
        <x:v>0</x:v>
      </x:c>
      <x:c r="AC51" s="62" t="n">
        <x:f>'Navy plan'!U51</x:f>
        <x:v>0</x:v>
      </x:c>
      <x:c r="AD51" s="62" t="n">
        <x:f>'Navy plan'!V51</x:f>
        <x:v>0</x:v>
      </x:c>
      <x:c r="AE51" s="67" t="n">
        <x:f>IF(AC51&gt;0,AB51/AC51,0)</x:f>
        <x:v>0</x:v>
      </x:c>
    </x:row>
    <x:row r="52">
      <x:c r="A52" s="58" t="n">
        <x:v>1892</x:v>
      </x:c>
      <x:c r="B52" s="47" t="n">
        <x:f>B51+'Navy plan'!B52-IF($A52-Levers!$C$191&gt;=1846,INDEX('Navy plan'!B$6:B$92,$A52-1845-Levers!$C$191),0)</x:f>
        <x:v>9</x:v>
      </x:c>
      <x:c r="C52" s="47" t="n">
        <x:f>C51+'Navy plan'!C52-IF($A52-Levers!$D$191&gt;=1846,INDEX('Navy plan'!C$6:C$92,$A52-1845-Levers!$D$191),0)</x:f>
        <x:v>9</x:v>
      </x:c>
      <x:c r="D52" s="47" t="n">
        <x:f>D51+'Navy plan'!D52-IF($A52-Levers!$E$191&gt;=1846,INDEX('Navy plan'!D$6:D$92,$A52-1845-Levers!$E$191),0)</x:f>
        <x:v>26</x:v>
      </x:c>
      <x:c r="E52" s="47" t="n">
        <x:f>E51+'Navy plan'!E52-IF($A52-Levers!$F$191&gt;=1846,INDEX('Navy plan'!E$6:E$92,$A52-1845-Levers!$F$191),0)</x:f>
        <x:v>4</x:v>
      </x:c>
      <x:c r="F52" s="47" t="n">
        <x:f>F51+'Navy plan'!F52-IF($A52-Levers!$G$191&gt;=1846,INDEX('Navy plan'!F$6:F$92,$A52-1845-Levers!$G$191),0)</x:f>
        <x:v>0</x:v>
      </x:c>
      <x:c r="G52" s="47" t="n">
        <x:f>G51+'Navy plan'!G52-IF($A52-Levers!$H$191&gt;=1846,INDEX('Navy plan'!G$6:G$92,$A52-1845-Levers!$H$191),0)</x:f>
        <x:v>0</x:v>
      </x:c>
      <x:c r="H52" s="47" t="n">
        <x:f>H51+'Navy plan'!H52-IF($A52-Levers!$I$191&gt;=1846,INDEX('Navy plan'!H$6:H$92,$A52-1845-Levers!$I$191),0)</x:f>
        <x:v>0</x:v>
      </x:c>
      <x:c r="I52" s="47" t="n">
        <x:f>I51+'Navy plan'!I52-IF($A52-Levers!$J$191&gt;=1846,INDEX('Navy plan'!I$6:I$92,$A52-1845-Levers!$J$191),0)</x:f>
        <x:v>0</x:v>
      </x:c>
      <x:c r="J52" s="47" t="n">
        <x:f>J51+'Navy plan'!J52-IF($A52-Levers!$K$191&gt;=1846,INDEX('Navy plan'!J$6:J$92,$A52-1845-Levers!$K$191),0)</x:f>
        <x:v>0</x:v>
      </x:c>
      <x:c r="K52" s="47" t="n">
        <x:f>SUM(B52:J52)</x:f>
        <x:v>48</x:v>
      </x:c>
      <x:c r="L52" s="53" t="n">
        <x:f>0.5*SUMPRODUCT('Navy plan'!B52:'Navy plan'!J52,'Navy plan'!K52:'Navy plan'!S52)+0.5*SUMPRODUCT('Navy plan'!B53:'Navy plan'!J53,'Navy plan'!K53:'Navy plan'!S53)</x:f>
        <x:v>1.98</x:v>
      </x:c>
      <x:c r="M52" s="47" t="n">
        <x:f>SUMPRODUCT(B52:J52,Levers!$C$192:$K$192)</x:f>
        <x:v>4970</x:v>
      </x:c>
      <x:c r="N52" s="47" t="n">
        <x:f>SUMPRODUCT(B52:J52,Levers!$C$195:$K$195)</x:f>
        <x:v>5432.5641025641025</x:v>
      </x:c>
      <x:c r="O52" s="47" t="n">
        <x:f>N52-M52</x:f>
        <x:v>462.56410256410254</x:v>
      </x:c>
      <x:c r="P52" s="53" t="n">
        <x:f>M52*sailor_pay*Economy!H52/1000000</x:f>
        <x:v>3.1905909000000006</x:v>
      </x:c>
      <x:c r="Q52" s="53" t="n">
        <x:f>SUMPRODUCT(B52:J52,'Navy plan'!K52:'Navy plan'!S52)*maint_rate</x:f>
        <x:v>1.5030000000000001</x:v>
      </x:c>
      <x:c r="R52" s="53" t="n">
        <x:f>SUMPRODUCT(B52:J52,Levers!$C$193:$K$193)*Economy!H52</x:f>
        <x:v>0.684768</x:v>
      </x:c>
      <x:c r="S52" s="53" t="n">
        <x:f>SUMPRODUCT(B52:J52,Levers!$C$193:$K$193,Levers!$C$194:$K$194)*(1/oil_fuel-1)*Economy!H52</x:f>
        <x:v>0.10088100000000003</x:v>
      </x:c>
      <x:c r="T52" s="53" t="n">
        <x:f>S52+O52*sailor_pay*Economy!H52/1000000</x:f>
        <x:v>0.397833276923077</x:v>
      </x:c>
      <x:c r="U52" s="53" t="n">
        <x:f>(P52+Q52+R52)*navy_overhead</x:f>
        <x:v>0.806753835</x:v>
      </x:c>
      <x:c r="V52" s="53" t="n">
        <x:f>L52+P52+Q52+R52+U52</x:f>
        <x:v>8.165112735000001</x:v>
      </x:c>
      <x:c r="W52" s="69" t="n">
        <x:f>Japan!I52</x:f>
        <x:v>10</x:v>
      </x:c>
      <x:c r="X52" s="53" t="n">
        <x:f>IF($A52&gt;=1927,V52+W52,0)</x:f>
        <x:v>0</x:v>
      </x:c>
      <x:c r="Y52" s="53" t="n">
        <x:f>IF($A52&gt;=1927,pac_quota*X52,V52)</x:f>
        <x:v>8.165112735000001</x:v>
      </x:c>
      <x:c r="Z52" s="67" t="n">
        <x:f>SUMPRODUCT(B52:J52,Levers!$C$193:$K$193,Levers!$C$194:$K$194)/0.6</x:f>
        <x:v>0.55</x:v>
      </x:c>
      <x:c r="AA52" s="62" t="n">
        <x:f>H52</x:f>
        <x:v>0</x:v>
      </x:c>
      <x:c r="AB52" s="47" t="n">
        <x:f>AA52+'Navy plan'!T52</x:f>
        <x:v>0</x:v>
      </x:c>
      <x:c r="AC52" s="62" t="n">
        <x:f>'Navy plan'!U52</x:f>
        <x:v>0</x:v>
      </x:c>
      <x:c r="AD52" s="62" t="n">
        <x:f>'Navy plan'!V52</x:f>
        <x:v>0</x:v>
      </x:c>
      <x:c r="AE52" s="67" t="n">
        <x:f>IF(AC52&gt;0,AB52/AC52,0)</x:f>
        <x:v>0</x:v>
      </x:c>
    </x:row>
    <x:row r="53">
      <x:c r="A53" s="58" t="n">
        <x:v>1893</x:v>
      </x:c>
      <x:c r="B53" s="47" t="n">
        <x:f>B52+'Navy plan'!B53-IF($A53-Levers!$C$191&gt;=1846,INDEX('Navy plan'!B$6:B$92,$A53-1845-Levers!$C$191),0)</x:f>
        <x:v>9</x:v>
      </x:c>
      <x:c r="C53" s="47" t="n">
        <x:f>C52+'Navy plan'!C53-IF($A53-Levers!$D$191&gt;=1846,INDEX('Navy plan'!C$6:C$92,$A53-1845-Levers!$D$191),0)</x:f>
        <x:v>9</x:v>
      </x:c>
      <x:c r="D53" s="47" t="n">
        <x:f>D52+'Navy plan'!D53-IF($A53-Levers!$E$191&gt;=1846,INDEX('Navy plan'!D$6:D$92,$A53-1845-Levers!$E$191),0)</x:f>
        <x:v>26</x:v>
      </x:c>
      <x:c r="E53" s="47" t="n">
        <x:f>E52+'Navy plan'!E53-IF($A53-Levers!$F$191&gt;=1846,INDEX('Navy plan'!E$6:E$92,$A53-1845-Levers!$F$191),0)</x:f>
        <x:v>4</x:v>
      </x:c>
      <x:c r="F53" s="47" t="n">
        <x:f>F52+'Navy plan'!F53-IF($A53-Levers!$G$191&gt;=1846,INDEX('Navy plan'!F$6:F$92,$A53-1845-Levers!$G$191),0)</x:f>
        <x:v>0</x:v>
      </x:c>
      <x:c r="G53" s="47" t="n">
        <x:f>G52+'Navy plan'!G53-IF($A53-Levers!$H$191&gt;=1846,INDEX('Navy plan'!G$6:G$92,$A53-1845-Levers!$H$191),0)</x:f>
        <x:v>0</x:v>
      </x:c>
      <x:c r="H53" s="47" t="n">
        <x:f>H52+'Navy plan'!H53-IF($A53-Levers!$I$191&gt;=1846,INDEX('Navy plan'!H$6:H$92,$A53-1845-Levers!$I$191),0)</x:f>
        <x:v>0</x:v>
      </x:c>
      <x:c r="I53" s="47" t="n">
        <x:f>I52+'Navy plan'!I53-IF($A53-Levers!$J$191&gt;=1846,INDEX('Navy plan'!I$6:I$92,$A53-1845-Levers!$J$191),0)</x:f>
        <x:v>0</x:v>
      </x:c>
      <x:c r="J53" s="47" t="n">
        <x:f>J52+'Navy plan'!J53-IF($A53-Levers!$K$191&gt;=1846,INDEX('Navy plan'!J$6:J$92,$A53-1845-Levers!$K$191),0)</x:f>
        <x:v>0</x:v>
      </x:c>
      <x:c r="K53" s="47" t="n">
        <x:f>SUM(B53:J53)</x:f>
        <x:v>48</x:v>
      </x:c>
      <x:c r="L53" s="53" t="n">
        <x:f>0.5*SUMPRODUCT('Navy plan'!B53:'Navy plan'!J53,'Navy plan'!K53:'Navy plan'!S53)+0.5*SUMPRODUCT('Navy plan'!B54:'Navy plan'!J54,'Navy plan'!K54:'Navy plan'!S54)</x:f>
        <x:v>2.1470000000000002</x:v>
      </x:c>
      <x:c r="M53" s="47" t="n">
        <x:f>SUMPRODUCT(B53:J53,Levers!$C$192:$K$192)</x:f>
        <x:v>4970</x:v>
      </x:c>
      <x:c r="N53" s="47" t="n">
        <x:f>SUMPRODUCT(B53:J53,Levers!$C$195:$K$195)</x:f>
        <x:v>5432.5641025641025</x:v>
      </x:c>
      <x:c r="O53" s="47" t="n">
        <x:f>N53-M53</x:f>
        <x:v>462.56410256410254</x:v>
      </x:c>
      <x:c r="P53" s="53" t="n">
        <x:f>M53*sailor_pay*Economy!H53/1000000</x:f>
        <x:v>3.153465</x:v>
      </x:c>
      <x:c r="Q53" s="53" t="n">
        <x:f>SUMPRODUCT(B53:J53,'Navy plan'!K53:'Navy plan'!S53)*maint_rate</x:f>
        <x:v>1.5050000000000001</x:v>
      </x:c>
      <x:c r="R53" s="53" t="n">
        <x:f>SUMPRODUCT(B53:J53,Levers!$C$193:$K$193)*Economy!H53</x:f>
        <x:v>0.6768</x:v>
      </x:c>
      <x:c r="S53" s="53" t="n">
        <x:f>SUMPRODUCT(B53:J53,Levers!$C$193:$K$193,Levers!$C$194:$K$194)*(1/oil_fuel-1)*Economy!H53</x:f>
        <x:v>0.09970714285714287</x:v>
      </x:c>
      <x:c r="T53" s="53" t="n">
        <x:f>S53+O53*sailor_pay*Economy!H53/1000000</x:f>
        <x:v>0.3932040659340659</x:v>
      </x:c>
      <x:c r="U53" s="53" t="n">
        <x:f>(P53+Q53+R53)*navy_overhead</x:f>
        <x:v>0.80028975</x:v>
      </x:c>
      <x:c r="V53" s="53" t="n">
        <x:f>L53+P53+Q53+R53+U53</x:f>
        <x:v>8.282554750000001</x:v>
      </x:c>
      <x:c r="W53" s="69" t="n">
        <x:f>Japan!I53</x:f>
        <x:v>11</x:v>
      </x:c>
      <x:c r="X53" s="53" t="n">
        <x:f>IF($A53&gt;=1927,V53+W53,0)</x:f>
        <x:v>0</x:v>
      </x:c>
      <x:c r="Y53" s="53" t="n">
        <x:f>IF($A53&gt;=1927,pac_quota*X53,V53)</x:f>
        <x:v>8.282554750000001</x:v>
      </x:c>
      <x:c r="Z53" s="67" t="n">
        <x:f>SUMPRODUCT(B53:J53,Levers!$C$193:$K$193,Levers!$C$194:$K$194)/0.6</x:f>
        <x:v>0.55</x:v>
      </x:c>
      <x:c r="AA53" s="62" t="n">
        <x:f>H53</x:f>
        <x:v>0</x:v>
      </x:c>
      <x:c r="AB53" s="47" t="n">
        <x:f>AA53+'Navy plan'!T53</x:f>
        <x:v>0</x:v>
      </x:c>
      <x:c r="AC53" s="62" t="n">
        <x:f>'Navy plan'!U53</x:f>
        <x:v>0</x:v>
      </x:c>
      <x:c r="AD53" s="62" t="n">
        <x:f>'Navy plan'!V53</x:f>
        <x:v>0</x:v>
      </x:c>
      <x:c r="AE53" s="67" t="n">
        <x:f>IF(AC53&gt;0,AB53/AC53,0)</x:f>
        <x:v>0</x:v>
      </x:c>
    </x:row>
    <x:row r="54">
      <x:c r="A54" s="58" t="n">
        <x:v>1894</x:v>
      </x:c>
      <x:c r="B54" s="47" t="n">
        <x:f>B53+'Navy plan'!B54-IF($A54-Levers!$C$191&gt;=1846,INDEX('Navy plan'!B$6:B$92,$A54-1845-Levers!$C$191),0)</x:f>
        <x:v>7</x:v>
      </x:c>
      <x:c r="C54" s="47" t="n">
        <x:f>C53+'Navy plan'!C54-IF($A54-Levers!$D$191&gt;=1846,INDEX('Navy plan'!C$6:C$92,$A54-1845-Levers!$D$191),0)</x:f>
        <x:v>9</x:v>
      </x:c>
      <x:c r="D54" s="47" t="n">
        <x:f>D53+'Navy plan'!D54-IF($A54-Levers!$E$191&gt;=1846,INDEX('Navy plan'!D$6:D$92,$A54-1845-Levers!$E$191),0)</x:f>
        <x:v>26</x:v>
      </x:c>
      <x:c r="E54" s="47" t="n">
        <x:f>E53+'Navy plan'!E54-IF($A54-Levers!$F$191&gt;=1846,INDEX('Navy plan'!E$6:E$92,$A54-1845-Levers!$F$191),0)</x:f>
        <x:v>6</x:v>
      </x:c>
      <x:c r="F54" s="47" t="n">
        <x:f>F53+'Navy plan'!F54-IF($A54-Levers!$G$191&gt;=1846,INDEX('Navy plan'!F$6:F$92,$A54-1845-Levers!$G$191),0)</x:f>
        <x:v>2</x:v>
      </x:c>
      <x:c r="G54" s="47" t="n">
        <x:f>G53+'Navy plan'!G54-IF($A54-Levers!$H$191&gt;=1846,INDEX('Navy plan'!G$6:G$92,$A54-1845-Levers!$H$191),0)</x:f>
        <x:v>0</x:v>
      </x:c>
      <x:c r="H54" s="47" t="n">
        <x:f>H53+'Navy plan'!H54-IF($A54-Levers!$I$191&gt;=1846,INDEX('Navy plan'!H$6:H$92,$A54-1845-Levers!$I$191),0)</x:f>
        <x:v>0</x:v>
      </x:c>
      <x:c r="I54" s="47" t="n">
        <x:f>I53+'Navy plan'!I54-IF($A54-Levers!$J$191&gt;=1846,INDEX('Navy plan'!I$6:I$92,$A54-1845-Levers!$J$191),0)</x:f>
        <x:v>0</x:v>
      </x:c>
      <x:c r="J54" s="47" t="n">
        <x:f>J53+'Navy plan'!J54-IF($A54-Levers!$K$191&gt;=1846,INDEX('Navy plan'!J$6:J$92,$A54-1845-Levers!$K$191),0)</x:f>
        <x:v>0</x:v>
      </x:c>
      <x:c r="K54" s="47" t="n">
        <x:f>SUM(B54:J54)</x:f>
        <x:v>50</x:v>
      </x:c>
      <x:c r="L54" s="53" t="n">
        <x:f>0.5*SUMPRODUCT('Navy plan'!B54:'Navy plan'!J54,'Navy plan'!K54:'Navy plan'!S54)+0.5*SUMPRODUCT('Navy plan'!B55:'Navy plan'!J55,'Navy plan'!K55:'Navy plan'!S55)</x:f>
        <x:v>2.6180000000000003</x:v>
      </x:c>
      <x:c r="M54" s="47" t="n">
        <x:f>SUMPRODUCT(B54:J54,Levers!$C$192:$K$192)</x:f>
        <x:v>5470</x:v>
      </x:c>
      <x:c r="N54" s="47" t="n">
        <x:f>SUMPRODUCT(B54:J54,Levers!$C$195:$K$195)</x:f>
        <x:v>6141.282051282051</x:v>
      </x:c>
      <x:c r="O54" s="47" t="n">
        <x:f>N54-M54</x:f>
        <x:v>671.2820512820508</x:v>
      </x:c>
      <x:c r="P54" s="53" t="n">
        <x:f>M54*sailor_pay*Economy!H54/1000000</x:f>
        <x:v>3.4298541</x:v>
      </x:c>
      <x:c r="Q54" s="53" t="n">
        <x:f>SUMPRODUCT(B54:J54,'Navy plan'!K54:'Navy plan'!S54)*maint_rate</x:f>
        <x:v>1.5917000000000001</x:v>
      </x:c>
      <x:c r="R54" s="53" t="n">
        <x:f>SUMPRODUCT(B54:J54,Levers!$C$193:$K$193)*Economy!H54</x:f>
        <x:v>0.752436</x:v>
      </x:c>
      <x:c r="S54" s="53" t="n">
        <x:f>SUMPRODUCT(B54:J54,Levers!$C$193:$K$193,Levers!$C$194:$K$194)*(1/oil_fuel-1)*Economy!H54</x:f>
        <x:v>0.14630700000000002</x:v>
      </x:c>
      <x:c r="T54" s="53" t="n">
        <x:f>S54+O54*sailor_pay*Economy!H54/1000000</x:f>
        <x:v>0.5672209846153844</x:v>
      </x:c>
      <x:c r="U54" s="53" t="n">
        <x:f>(P54+Q54+R54)*navy_overhead</x:f>
        <x:v>0.8660985150000001</x:v>
      </x:c>
      <x:c r="V54" s="53" t="n">
        <x:f>L54+P54+Q54+R54+U54</x:f>
        <x:v>9.258088615000002</x:v>
      </x:c>
      <x:c r="W54" s="69" t="n">
        <x:f>Japan!I54</x:f>
        <x:v>12</x:v>
      </x:c>
      <x:c r="X54" s="53" t="n">
        <x:f>IF($A54&gt;=1927,V54+W54,0)</x:f>
        <x:v>0</x:v>
      </x:c>
      <x:c r="Y54" s="53" t="n">
        <x:f>IF($A54&gt;=1927,pac_quota*X54,V54)</x:f>
        <x:v>9.258088615000002</x:v>
      </x:c>
      <x:c r="Z54" s="67" t="n">
        <x:f>SUMPRODUCT(B54:J54,Levers!$C$193:$K$193,Levers!$C$194:$K$194)/0.6</x:f>
        <x:v>0.8166666666666668</x:v>
      </x:c>
      <x:c r="AA54" s="62" t="n">
        <x:f>H54</x:f>
        <x:v>0</x:v>
      </x:c>
      <x:c r="AB54" s="47" t="n">
        <x:f>AA54+'Navy plan'!T54</x:f>
        <x:v>0</x:v>
      </x:c>
      <x:c r="AC54" s="62" t="n">
        <x:f>'Navy plan'!U54</x:f>
        <x:v>0</x:v>
      </x:c>
      <x:c r="AD54" s="62" t="n">
        <x:f>'Navy plan'!V54</x:f>
        <x:v>0</x:v>
      </x:c>
      <x:c r="AE54" s="67" t="n">
        <x:f>IF(AC54&gt;0,AB54/AC54,0)</x:f>
        <x:v>0</x:v>
      </x:c>
    </x:row>
    <x:row r="55">
      <x:c r="A55" s="58" t="n">
        <x:v>1895</x:v>
      </x:c>
      <x:c r="B55" s="47" t="n">
        <x:f>B54+'Navy plan'!B55-IF($A55-Levers!$C$191&gt;=1846,INDEX('Navy plan'!B$6:B$92,$A55-1845-Levers!$C$191),0)</x:f>
        <x:v>5</x:v>
      </x:c>
      <x:c r="C55" s="47" t="n">
        <x:f>C54+'Navy plan'!C55-IF($A55-Levers!$D$191&gt;=1846,INDEX('Navy plan'!C$6:C$92,$A55-1845-Levers!$D$191),0)</x:f>
        <x:v>7</x:v>
      </x:c>
      <x:c r="D55" s="47" t="n">
        <x:f>D54+'Navy plan'!D55-IF($A55-Levers!$E$191&gt;=1846,INDEX('Navy plan'!D$6:D$92,$A55-1845-Levers!$E$191),0)</x:f>
        <x:v>26</x:v>
      </x:c>
      <x:c r="E55" s="47" t="n">
        <x:f>E54+'Navy plan'!E55-IF($A55-Levers!$F$191&gt;=1846,INDEX('Navy plan'!E$6:E$92,$A55-1845-Levers!$F$191),0)</x:f>
        <x:v>6</x:v>
      </x:c>
      <x:c r="F55" s="47" t="n">
        <x:f>F54+'Navy plan'!F55-IF($A55-Levers!$G$191&gt;=1846,INDEX('Navy plan'!F$6:F$92,$A55-1845-Levers!$G$191),0)</x:f>
        <x:v>5</x:v>
      </x:c>
      <x:c r="G55" s="47" t="n">
        <x:f>G54+'Navy plan'!G55-IF($A55-Levers!$H$191&gt;=1846,INDEX('Navy plan'!G$6:G$92,$A55-1845-Levers!$H$191),0)</x:f>
        <x:v>0</x:v>
      </x:c>
      <x:c r="H55" s="47" t="n">
        <x:f>H54+'Navy plan'!H55-IF($A55-Levers!$I$191&gt;=1846,INDEX('Navy plan'!H$6:H$92,$A55-1845-Levers!$I$191),0)</x:f>
        <x:v>0</x:v>
      </x:c>
      <x:c r="I55" s="47" t="n">
        <x:f>I54+'Navy plan'!I55-IF($A55-Levers!$J$191&gt;=1846,INDEX('Navy plan'!I$6:I$92,$A55-1845-Levers!$J$191),0)</x:f>
        <x:v>0</x:v>
      </x:c>
      <x:c r="J55" s="47" t="n">
        <x:f>J54+'Navy plan'!J55-IF($A55-Levers!$K$191&gt;=1846,INDEX('Navy plan'!J$6:J$92,$A55-1845-Levers!$K$191),0)</x:f>
        <x:v>0</x:v>
      </x:c>
      <x:c r="K55" s="47" t="n">
        <x:f>SUM(B55:J55)</x:f>
        <x:v>49</x:v>
      </x:c>
      <x:c r="L55" s="53" t="n">
        <x:f>0.5*SUMPRODUCT('Navy plan'!B55:'Navy plan'!J55,'Navy plan'!K55:'Navy plan'!S55)+0.5*SUMPRODUCT('Navy plan'!B56:'Navy plan'!J56,'Navy plan'!K56:'Navy plan'!S56)</x:f>
        <x:v>2.8125</x:v>
      </x:c>
      <x:c r="M55" s="47" t="n">
        <x:f>SUMPRODUCT(B55:J55,Levers!$C$192:$K$192)</x:f>
        <x:v>5000</x:v>
      </x:c>
      <x:c r="N55" s="47" t="n">
        <x:f>SUMPRODUCT(B55:J55,Levers!$C$195:$K$195)</x:f>
        <x:v>5747.4358974358975</x:v>
      </x:c>
      <x:c r="O55" s="47" t="n">
        <x:f>N55-M55</x:f>
        <x:v>747.4358974358975</x:v>
      </x:c>
      <x:c r="P55" s="53" t="n">
        <x:f>M55*sailor_pay*Economy!H55/1000000</x:f>
        <x:v>3.09735</x:v>
      </x:c>
      <x:c r="Q55" s="53" t="n">
        <x:f>SUMPRODUCT(B55:J55,'Navy plan'!K55:'Navy plan'!S55)*maint_rate</x:f>
        <x:v>1.4125</x:v>
      </x:c>
      <x:c r="R55" s="53" t="n">
        <x:f>SUMPRODUCT(B55:J55,Levers!$C$193:$K$193)*Economy!H55</x:f>
        <x:v>0.708949</x:v>
      </x:c>
      <x:c r="S55" s="53" t="n">
        <x:f>SUMPRODUCT(B55:J55,Levers!$C$193:$K$193,Levers!$C$194:$K$194)*(1/oil_fuel-1)*Economy!H55</x:f>
        <x:v>0.17109171428571432</x:v>
      </x:c>
      <x:c r="T55" s="53" t="n">
        <x:f>S55+O55*sailor_pay*Economy!H55/1000000</x:f>
        <x:v>0.6341058296703298</x:v>
      </x:c>
      <x:c r="U55" s="53" t="n">
        <x:f>(P55+Q55+R55)*navy_overhead</x:f>
        <x:v>0.7828198500000001</x:v>
      </x:c>
      <x:c r="V55" s="53" t="n">
        <x:f>L55+P55+Q55+R55+U55</x:f>
        <x:v>8.81411885</x:v>
      </x:c>
      <x:c r="W55" s="69" t="n">
        <x:f>Japan!I55</x:f>
        <x:v>16.3</x:v>
      </x:c>
      <x:c r="X55" s="53" t="n">
        <x:f>IF($A55&gt;=1927,V55+W55,0)</x:f>
        <x:v>0</x:v>
      </x:c>
      <x:c r="Y55" s="53" t="n">
        <x:f>IF($A55&gt;=1927,pac_quota*X55,V55)</x:f>
        <x:v>8.81411885</x:v>
      </x:c>
      <x:c r="Z55" s="67" t="n">
        <x:f>SUMPRODUCT(B55:J55,Levers!$C$193:$K$193,Levers!$C$194:$K$194)/0.6</x:f>
        <x:v>0.9666666666666668</x:v>
      </x:c>
      <x:c r="AA55" s="62" t="n">
        <x:f>H55</x:f>
        <x:v>0</x:v>
      </x:c>
      <x:c r="AB55" s="47" t="n">
        <x:f>AA55+'Navy plan'!T55</x:f>
        <x:v>0</x:v>
      </x:c>
      <x:c r="AC55" s="62" t="n">
        <x:f>'Navy plan'!U55</x:f>
        <x:v>0</x:v>
      </x:c>
      <x:c r="AD55" s="62" t="n">
        <x:f>'Navy plan'!V55</x:f>
        <x:v>0</x:v>
      </x:c>
      <x:c r="AE55" s="67" t="n">
        <x:f>IF(AC55&gt;0,AB55/AC55,0)</x:f>
        <x:v>0</x:v>
      </x:c>
    </x:row>
    <x:row r="56">
      <x:c r="A56" s="58" t="n">
        <x:v>1896</x:v>
      </x:c>
      <x:c r="B56" s="47" t="n">
        <x:f>B55+'Navy plan'!B56-IF($A56-Levers!$C$191&gt;=1846,INDEX('Navy plan'!B$6:B$92,$A56-1845-Levers!$C$191),0)</x:f>
        <x:v>5</x:v>
      </x:c>
      <x:c r="C56" s="47" t="n">
        <x:f>C55+'Navy plan'!C56-IF($A56-Levers!$D$191&gt;=1846,INDEX('Navy plan'!C$6:C$92,$A56-1845-Levers!$D$191),0)</x:f>
        <x:v>7</x:v>
      </x:c>
      <x:c r="D56" s="47" t="n">
        <x:f>D55+'Navy plan'!D56-IF($A56-Levers!$E$191&gt;=1846,INDEX('Navy plan'!D$6:D$92,$A56-1845-Levers!$E$191),0)</x:f>
        <x:v>26</x:v>
      </x:c>
      <x:c r="E56" s="47" t="n">
        <x:f>E55+'Navy plan'!E56-IF($A56-Levers!$F$191&gt;=1846,INDEX('Navy plan'!E$6:E$92,$A56-1845-Levers!$F$191),0)</x:f>
        <x:v>8</x:v>
      </x:c>
      <x:c r="F56" s="47" t="n">
        <x:f>F55+'Navy plan'!F56-IF($A56-Levers!$G$191&gt;=1846,INDEX('Navy plan'!F$6:F$92,$A56-1845-Levers!$G$191),0)</x:f>
        <x:v>8</x:v>
      </x:c>
      <x:c r="G56" s="47" t="n">
        <x:f>G55+'Navy plan'!G56-IF($A56-Levers!$H$191&gt;=1846,INDEX('Navy plan'!G$6:G$92,$A56-1845-Levers!$H$191),0)</x:f>
        <x:v>0</x:v>
      </x:c>
      <x:c r="H56" s="47" t="n">
        <x:f>H55+'Navy plan'!H56-IF($A56-Levers!$I$191&gt;=1846,INDEX('Navy plan'!H$6:H$92,$A56-1845-Levers!$I$191),0)</x:f>
        <x:v>0</x:v>
      </x:c>
      <x:c r="I56" s="47" t="n">
        <x:f>I55+'Navy plan'!I56-IF($A56-Levers!$J$191&gt;=1846,INDEX('Navy plan'!I$6:I$92,$A56-1845-Levers!$J$191),0)</x:f>
        <x:v>0</x:v>
      </x:c>
      <x:c r="J56" s="47" t="n">
        <x:f>J55+'Navy plan'!J56-IF($A56-Levers!$K$191&gt;=1846,INDEX('Navy plan'!J$6:J$92,$A56-1845-Levers!$K$191),0)</x:f>
        <x:v>0</x:v>
      </x:c>
      <x:c r="K56" s="47" t="n">
        <x:f>SUM(B56:J56)</x:f>
        <x:v>54</x:v>
      </x:c>
      <x:c r="L56" s="53" t="n">
        <x:f>0.5*SUMPRODUCT('Navy plan'!B56:'Navy plan'!J56,'Navy plan'!K56:'Navy plan'!S56)+0.5*SUMPRODUCT('Navy plan'!B57:'Navy plan'!J57,'Navy plan'!K57:'Navy plan'!S57)</x:f>
        <x:v>2.835</x:v>
      </x:c>
      <x:c r="M56" s="47" t="n">
        <x:f>SUMPRODUCT(B56:J56,Levers!$C$192:$K$192)</x:f>
        <x:v>5830</x:v>
      </x:c>
      <x:c r="N56" s="47" t="n">
        <x:f>SUMPRODUCT(B56:J56,Levers!$C$195:$K$195)</x:f>
        <x:v>6811.538461538461</x:v>
      </x:c>
      <x:c r="O56" s="47" t="n">
        <x:f>N56-M56</x:f>
        <x:v>981.538461538461</x:v>
      </x:c>
      <x:c r="P56" s="53" t="n">
        <x:f>M56*sailor_pay*Economy!H56/1000000</x:f>
        <x:v>3.5679600000000007</x:v>
      </x:c>
      <x:c r="Q56" s="53" t="n">
        <x:f>SUMPRODUCT(B56:J56,'Navy plan'!K56:'Navy plan'!S56)*maint_rate</x:f>
        <x:v>1.6514</x:v>
      </x:c>
      <x:c r="R56" s="53" t="n">
        <x:f>SUMPRODUCT(B56:J56,Levers!$C$193:$K$193)*Economy!H56</x:f>
        <x:v>0.8296000000000002</x:v>
      </x:c>
      <x:c r="S56" s="53" t="n">
        <x:f>SUMPRODUCT(B56:J56,Levers!$C$193:$K$193,Levers!$C$194:$K$194)*(1/oil_fuel-1)*Economy!H56</x:f>
        <x:v>0.22440000000000002</x:v>
      </x:c>
      <x:c r="T56" s="53" t="n">
        <x:f>S56+O56*sailor_pay*Economy!H56/1000000</x:f>
        <x:v>0.8251015384615382</x:v>
      </x:c>
      <x:c r="U56" s="53" t="n">
        <x:f>(P56+Q56+R56)*navy_overhead</x:f>
        <x:v>0.9073440000000002</x:v>
      </x:c>
      <x:c r="V56" s="53" t="n">
        <x:f>L56+P56+Q56+R56+U56</x:f>
        <x:v>9.791304000000002</x:v>
      </x:c>
      <x:c r="W56" s="69" t="n">
        <x:f>Japan!I56</x:f>
        <x:v>20.7</x:v>
      </x:c>
      <x:c r="X56" s="53" t="n">
        <x:f>IF($A56&gt;=1927,V56+W56,0)</x:f>
        <x:v>0</x:v>
      </x:c>
      <x:c r="Y56" s="53" t="n">
        <x:f>IF($A56&gt;=1927,pac_quota*X56,V56)</x:f>
        <x:v>9.791304000000002</x:v>
      </x:c>
      <x:c r="Z56" s="67" t="n">
        <x:f>SUMPRODUCT(B56:J56,Levers!$C$193:$K$193,Levers!$C$194:$K$194)/0.6</x:f>
        <x:v>1.2833333333333334</x:v>
      </x:c>
      <x:c r="AA56" s="62" t="n">
        <x:f>H56</x:f>
        <x:v>0</x:v>
      </x:c>
      <x:c r="AB56" s="47" t="n">
        <x:f>AA56+'Navy plan'!T56</x:f>
        <x:v>0</x:v>
      </x:c>
      <x:c r="AC56" s="62" t="n">
        <x:f>'Navy plan'!U56</x:f>
        <x:v>0</x:v>
      </x:c>
      <x:c r="AD56" s="62" t="n">
        <x:f>'Navy plan'!V56</x:f>
        <x:v>0</x:v>
      </x:c>
      <x:c r="AE56" s="67" t="n">
        <x:f>IF(AC56&gt;0,AB56/AC56,0)</x:f>
        <x:v>0</x:v>
      </x:c>
    </x:row>
    <x:row r="57">
      <x:c r="A57" s="58" t="n">
        <x:v>1897</x:v>
      </x:c>
      <x:c r="B57" s="47" t="n">
        <x:f>B56+'Navy plan'!B57-IF($A57-Levers!$C$191&gt;=1846,INDEX('Navy plan'!B$6:B$92,$A57-1845-Levers!$C$191),0)</x:f>
        <x:v>4</x:v>
      </x:c>
      <x:c r="C57" s="47" t="n">
        <x:f>C56+'Navy plan'!C57-IF($A57-Levers!$D$191&gt;=1846,INDEX('Navy plan'!C$6:C$92,$A57-1845-Levers!$D$191),0)</x:f>
        <x:v>7</x:v>
      </x:c>
      <x:c r="D57" s="47" t="n">
        <x:f>D56+'Navy plan'!D57-IF($A57-Levers!$E$191&gt;=1846,INDEX('Navy plan'!D$6:D$92,$A57-1845-Levers!$E$191),0)</x:f>
        <x:v>24</x:v>
      </x:c>
      <x:c r="E57" s="47" t="n">
        <x:f>E56+'Navy plan'!E57-IF($A57-Levers!$F$191&gt;=1846,INDEX('Navy plan'!E$6:E$92,$A57-1845-Levers!$F$191),0)</x:f>
        <x:v>8</x:v>
      </x:c>
      <x:c r="F57" s="47" t="n">
        <x:f>F56+'Navy plan'!F57-IF($A57-Levers!$G$191&gt;=1846,INDEX('Navy plan'!F$6:F$92,$A57-1845-Levers!$G$191),0)</x:f>
        <x:v>11</x:v>
      </x:c>
      <x:c r="G57" s="47" t="n">
        <x:f>G56+'Navy plan'!G57-IF($A57-Levers!$H$191&gt;=1846,INDEX('Navy plan'!G$6:G$92,$A57-1845-Levers!$H$191),0)</x:f>
        <x:v>0</x:v>
      </x:c>
      <x:c r="H57" s="47" t="n">
        <x:f>H56+'Navy plan'!H57-IF($A57-Levers!$I$191&gt;=1846,INDEX('Navy plan'!H$6:H$92,$A57-1845-Levers!$I$191),0)</x:f>
        <x:v>0</x:v>
      </x:c>
      <x:c r="I57" s="47" t="n">
        <x:f>I56+'Navy plan'!I57-IF($A57-Levers!$J$191&gt;=1846,INDEX('Navy plan'!I$6:I$92,$A57-1845-Levers!$J$191),0)</x:f>
        <x:v>0</x:v>
      </x:c>
      <x:c r="J57" s="47" t="n">
        <x:f>J56+'Navy plan'!J57-IF($A57-Levers!$K$191&gt;=1846,INDEX('Navy plan'!J$6:J$92,$A57-1845-Levers!$K$191),0)</x:f>
        <x:v>0</x:v>
      </x:c>
      <x:c r="K57" s="47" t="n">
        <x:f>SUM(B57:J57)</x:f>
        <x:v>54</x:v>
      </x:c>
      <x:c r="L57" s="53" t="n">
        <x:f>0.5*SUMPRODUCT('Navy plan'!B57:'Navy plan'!J57,'Navy plan'!K57:'Navy plan'!S57)+0.5*SUMPRODUCT('Navy plan'!B58:'Navy plan'!J58,'Navy plan'!K58:'Navy plan'!S58)</x:f>
        <x:v>3.7905</x:v>
      </x:c>
      <x:c r="M57" s="47" t="n">
        <x:f>SUMPRODUCT(B57:J57,Levers!$C$192:$K$192)</x:f>
        <x:v>5940</x:v>
      </x:c>
      <x:c r="N57" s="47" t="n">
        <x:f>SUMPRODUCT(B57:J57,Levers!$C$195:$K$195)</x:f>
        <x:v>6986.410256410256</x:v>
      </x:c>
      <x:c r="O57" s="47" t="n">
        <x:f>N57-M57</x:f>
        <x:v>1046.410256410256</x:v>
      </x:c>
      <x:c r="P57" s="53" t="n">
        <x:f>M57*sailor_pay*Economy!H57/1000000</x:f>
        <x:v>3.7421999999999995</x:v>
      </x:c>
      <x:c r="Q57" s="53" t="n">
        <x:f>SUMPRODUCT(B57:J57,'Navy plan'!K57:'Navy plan'!S57)*maint_rate</x:f>
        <x:v>1.63495</x:v>
      </x:c>
      <x:c r="R57" s="53" t="n">
        <x:f>SUMPRODUCT(B57:J57,Levers!$C$193:$K$193)*Economy!H57</x:f>
        <x:v>0.8959999999999999</x:v>
      </x:c>
      <x:c r="S57" s="53" t="n">
        <x:f>SUMPRODUCT(B57:J57,Levers!$C$193:$K$193,Levers!$C$194:$K$194)*(1/oil_fuel-1)*Economy!H57</x:f>
        <x:v>0.255</x:v>
      </x:c>
      <x:c r="T57" s="53" t="n">
        <x:f>S57+O57*sailor_pay*Economy!H57/1000000</x:f>
        <x:v>0.9142384615384611</x:v>
      </x:c>
      <x:c r="U57" s="53" t="n">
        <x:f>(P57+Q57+R57)*navy_overhead</x:f>
        <x:v>0.9409724999999999</x:v>
      </x:c>
      <x:c r="V57" s="53" t="n">
        <x:f>L57+P57+Q57+R57+U57</x:f>
        <x:v>11.004622499999998</x:v>
      </x:c>
      <x:c r="W57" s="69" t="n">
        <x:f>Japan!I57</x:f>
        <x:v>25</x:v>
      </x:c>
      <x:c r="X57" s="53" t="n">
        <x:f>IF($A57&gt;=1927,V57+W57,0)</x:f>
        <x:v>0</x:v>
      </x:c>
      <x:c r="Y57" s="53" t="n">
        <x:f>IF($A57&gt;=1927,pac_quota*X57,V57)</x:f>
        <x:v>11.004622499999998</x:v>
      </x:c>
      <x:c r="Z57" s="67" t="n">
        <x:f>SUMPRODUCT(B57:J57,Levers!$C$193:$K$193,Levers!$C$194:$K$194)/0.6</x:f>
        <x:v>1.4166666666666667</x:v>
      </x:c>
      <x:c r="AA57" s="62" t="n">
        <x:f>H57</x:f>
        <x:v>0</x:v>
      </x:c>
      <x:c r="AB57" s="47" t="n">
        <x:f>AA57+'Navy plan'!T57</x:f>
        <x:v>0</x:v>
      </x:c>
      <x:c r="AC57" s="62" t="n">
        <x:f>'Navy plan'!U57</x:f>
        <x:v>0</x:v>
      </x:c>
      <x:c r="AD57" s="62" t="n">
        <x:f>'Navy plan'!V57</x:f>
        <x:v>0</x:v>
      </x:c>
      <x:c r="AE57" s="67" t="n">
        <x:f>IF(AC57&gt;0,AB57/AC57,0)</x:f>
        <x:v>0</x:v>
      </x:c>
    </x:row>
    <x:row r="58">
      <x:c r="A58" s="58" t="n">
        <x:v>1898</x:v>
      </x:c>
      <x:c r="B58" s="47" t="n">
        <x:f>B57+'Navy plan'!B58-IF($A58-Levers!$C$191&gt;=1846,INDEX('Navy plan'!B$6:B$92,$A58-1845-Levers!$C$191),0)</x:f>
        <x:v>4</x:v>
      </x:c>
      <x:c r="C58" s="47" t="n">
        <x:f>C57+'Navy plan'!C58-IF($A58-Levers!$D$191&gt;=1846,INDEX('Navy plan'!C$6:C$92,$A58-1845-Levers!$D$191),0)</x:f>
        <x:v>5</x:v>
      </x:c>
      <x:c r="D58" s="47" t="n">
        <x:f>D57+'Navy plan'!D58-IF($A58-Levers!$E$191&gt;=1846,INDEX('Navy plan'!D$6:D$92,$A58-1845-Levers!$E$191),0)</x:f>
        <x:v>24</x:v>
      </x:c>
      <x:c r="E58" s="47" t="n">
        <x:f>E57+'Navy plan'!E58-IF($A58-Levers!$F$191&gt;=1846,INDEX('Navy plan'!E$6:E$92,$A58-1845-Levers!$F$191),0)</x:f>
        <x:v>8</x:v>
      </x:c>
      <x:c r="F58" s="47" t="n">
        <x:f>F57+'Navy plan'!F58-IF($A58-Levers!$G$191&gt;=1846,INDEX('Navy plan'!F$6:F$92,$A58-1845-Levers!$G$191),0)</x:f>
        <x:v>15</x:v>
      </x:c>
      <x:c r="G58" s="47" t="n">
        <x:f>G57+'Navy plan'!G58-IF($A58-Levers!$H$191&gt;=1846,INDEX('Navy plan'!G$6:G$92,$A58-1845-Levers!$H$191),0)</x:f>
        <x:v>2</x:v>
      </x:c>
      <x:c r="H58" s="47" t="n">
        <x:f>H57+'Navy plan'!H58-IF($A58-Levers!$I$191&gt;=1846,INDEX('Navy plan'!H$6:H$92,$A58-1845-Levers!$I$191),0)</x:f>
        <x:v>0</x:v>
      </x:c>
      <x:c r="I58" s="47" t="n">
        <x:f>I57+'Navy plan'!I58-IF($A58-Levers!$J$191&gt;=1846,INDEX('Navy plan'!I$6:I$92,$A58-1845-Levers!$J$191),0)</x:f>
        <x:v>0</x:v>
      </x:c>
      <x:c r="J58" s="47" t="n">
        <x:f>J57+'Navy plan'!J58-IF($A58-Levers!$K$191&gt;=1846,INDEX('Navy plan'!J$6:J$92,$A58-1845-Levers!$K$191),0)</x:f>
        <x:v>0</x:v>
      </x:c>
      <x:c r="K58" s="47" t="n">
        <x:f>SUM(B58:J58)</x:f>
        <x:v>58</x:v>
      </x:c>
      <x:c r="L58" s="53" t="n">
        <x:f>0.5*SUMPRODUCT('Navy plan'!B58:'Navy plan'!J58,'Navy plan'!K58:'Navy plan'!S58)+0.5*SUMPRODUCT('Navy plan'!B59:'Navy plan'!J59,'Navy plan'!K59:'Navy plan'!S59)</x:f>
        <x:v>6.7330000000000005</x:v>
      </x:c>
      <x:c r="M58" s="47" t="n">
        <x:f>SUMPRODUCT(B58:J58,Levers!$C$192:$K$192)</x:f>
        <x:v>6600</x:v>
      </x:c>
      <x:c r="N58" s="47" t="n">
        <x:f>SUMPRODUCT(B58:J58,Levers!$C$195:$K$195)</x:f>
        <x:v>7973.589743589742</x:v>
      </x:c>
      <x:c r="O58" s="47" t="n">
        <x:f>N58-M58</x:f>
        <x:v>1373.5897435897423</x:v>
      </x:c>
      <x:c r="P58" s="53" t="n">
        <x:f>M58*sailor_pay*Economy!H58/1000000</x:f>
        <x:v>4.2768</x:v>
      </x:c>
      <x:c r="Q58" s="53" t="n">
        <x:f>SUMPRODUCT(B58:J58,'Navy plan'!K58:'Navy plan'!S58)*maint_rate</x:f>
        <x:v>1.8724999999999998</x:v>
      </x:c>
      <x:c r="R58" s="53" t="n">
        <x:f>SUMPRODUCT(B58:J58,Levers!$C$193:$K$193)*Economy!H58</x:f>
        <x:v>1.0512</x:v>
      </x:c>
      <x:c r="S58" s="53" t="n">
        <x:f>SUMPRODUCT(B58:J58,Levers!$C$193:$K$193,Levers!$C$194:$K$194)*(1/oil_fuel-1)*Economy!H58</x:f>
        <x:v>0.34868571428571427</x:v>
      </x:c>
      <x:c r="T58" s="53" t="n">
        <x:f>S58+O58*sailor_pay*Economy!H58/1000000</x:f>
        <x:v>1.2387718681318671</x:v>
      </x:c>
      <x:c r="U58" s="53" t="n">
        <x:f>(P58+Q58+R58)*navy_overhead</x:f>
        <x:v>1.080075</x:v>
      </x:c>
      <x:c r="V58" s="53" t="n">
        <x:f>L58+P58+Q58+R58+U58</x:f>
        <x:v>15.013575</x:v>
      </x:c>
      <x:c r="W58" s="69" t="n">
        <x:f>Japan!I58</x:f>
        <x:v>26.7</x:v>
      </x:c>
      <x:c r="X58" s="53" t="n">
        <x:f>IF($A58&gt;=1927,V58+W58,0)</x:f>
        <x:v>0</x:v>
      </x:c>
      <x:c r="Y58" s="53" t="n">
        <x:f>IF($A58&gt;=1927,pac_quota*X58,V58)</x:f>
        <x:v>15.013575</x:v>
      </x:c>
      <x:c r="Z58" s="67" t="n">
        <x:f>SUMPRODUCT(B58:J58,Levers!$C$193:$K$193,Levers!$C$194:$K$194)/0.6</x:f>
        <x:v>1.8833333333333333</x:v>
      </x:c>
      <x:c r="AA58" s="62" t="n">
        <x:f>H58</x:f>
        <x:v>0</x:v>
      </x:c>
      <x:c r="AB58" s="47" t="n">
        <x:f>AA58+'Navy plan'!T58</x:f>
        <x:v>0</x:v>
      </x:c>
      <x:c r="AC58" s="62" t="n">
        <x:f>'Navy plan'!U58</x:f>
        <x:v>0</x:v>
      </x:c>
      <x:c r="AD58" s="62" t="n">
        <x:f>'Navy plan'!V58</x:f>
        <x:v>0</x:v>
      </x:c>
      <x:c r="AE58" s="67" t="n">
        <x:f>IF(AC58&gt;0,AB58/AC58,0)</x:f>
        <x:v>0</x:v>
      </x:c>
    </x:row>
    <x:row r="59">
      <x:c r="A59" s="58" t="n">
        <x:v>1899</x:v>
      </x:c>
      <x:c r="B59" s="47" t="n">
        <x:f>B58+'Navy plan'!B59-IF($A59-Levers!$C$191&gt;=1846,INDEX('Navy plan'!B$6:B$92,$A59-1845-Levers!$C$191),0)</x:f>
        <x:v>4</x:v>
      </x:c>
      <x:c r="C59" s="47" t="n">
        <x:f>C58+'Navy plan'!C59-IF($A59-Levers!$D$191&gt;=1846,INDEX('Navy plan'!C$6:C$92,$A59-1845-Levers!$D$191),0)</x:f>
        <x:v>5</x:v>
      </x:c>
      <x:c r="D59" s="47" t="n">
        <x:f>D58+'Navy plan'!D59-IF($A59-Levers!$E$191&gt;=1846,INDEX('Navy plan'!D$6:D$92,$A59-1845-Levers!$E$191),0)</x:f>
        <x:v>20</x:v>
      </x:c>
      <x:c r="E59" s="47" t="n">
        <x:f>E58+'Navy plan'!E59-IF($A59-Levers!$F$191&gt;=1846,INDEX('Navy plan'!E$6:E$92,$A59-1845-Levers!$F$191),0)</x:f>
        <x:v>8</x:v>
      </x:c>
      <x:c r="F59" s="47" t="n">
        <x:f>F58+'Navy plan'!F59-IF($A59-Levers!$G$191&gt;=1846,INDEX('Navy plan'!F$6:F$92,$A59-1845-Levers!$G$191),0)</x:f>
        <x:v>19</x:v>
      </x:c>
      <x:c r="G59" s="47" t="n">
        <x:f>G58+'Navy plan'!G59-IF($A59-Levers!$H$191&gt;=1846,INDEX('Navy plan'!G$6:G$92,$A59-1845-Levers!$H$191),0)</x:f>
        <x:v>4</x:v>
      </x:c>
      <x:c r="H59" s="47" t="n">
        <x:f>H58+'Navy plan'!H59-IF($A59-Levers!$I$191&gt;=1846,INDEX('Navy plan'!H$6:H$92,$A59-1845-Levers!$I$191),0)</x:f>
        <x:v>0</x:v>
      </x:c>
      <x:c r="I59" s="47" t="n">
        <x:f>I58+'Navy plan'!I59-IF($A59-Levers!$J$191&gt;=1846,INDEX('Navy plan'!I$6:I$92,$A59-1845-Levers!$J$191),0)</x:f>
        <x:v>0</x:v>
      </x:c>
      <x:c r="J59" s="47" t="n">
        <x:f>J58+'Navy plan'!J59-IF($A59-Levers!$K$191&gt;=1846,INDEX('Navy plan'!J$6:J$92,$A59-1845-Levers!$K$191),0)</x:f>
        <x:v>0</x:v>
      </x:c>
      <x:c r="K59" s="47" t="n">
        <x:f>SUM(B59:J59)</x:f>
        <x:v>60</x:v>
      </x:c>
      <x:c r="L59" s="53" t="n">
        <x:f>0.5*SUMPRODUCT('Navy plan'!B59:'Navy plan'!J59,'Navy plan'!K59:'Navy plan'!S59)+0.5*SUMPRODUCT('Navy plan'!B60:'Navy plan'!J60,'Navy plan'!K60:'Navy plan'!S60)</x:f>
        <x:v>4.179</x:v>
      </x:c>
      <x:c r="M59" s="47" t="n">
        <x:f>SUMPRODUCT(B59:J59,Levers!$C$192:$K$192)</x:f>
        <x:v>7680</x:v>
      </x:c>
      <x:c r="N59" s="47" t="n">
        <x:f>SUMPRODUCT(B59:J59,Levers!$C$195:$K$195)</x:f>
        <x:v>9358.205128205129</x:v>
      </x:c>
      <x:c r="O59" s="47" t="n">
        <x:f>N59-M59</x:f>
        <x:v>1678.2051282051289</x:v>
      </x:c>
      <x:c r="P59" s="53" t="n">
        <x:f>M59*sailor_pay*Economy!H59/1000000</x:f>
        <x:v>5.11488</x:v>
      </x:c>
      <x:c r="Q59" s="53" t="n">
        <x:f>SUMPRODUCT(B59:J59,'Navy plan'!K59:'Navy plan'!S59)*maint_rate</x:f>
        <x:v>2.22185</x:v>
      </x:c>
      <x:c r="R59" s="53" t="n">
        <x:f>SUMPRODUCT(B59:J59,Levers!$C$193:$K$193)*Economy!H59</x:f>
        <x:v>1.2728</x:v>
      </x:c>
      <x:c r="S59" s="53" t="n">
        <x:f>SUMPRODUCT(B59:J59,Levers!$C$193:$K$193,Levers!$C$194:$K$194)*(1/oil_fuel-1)*Economy!H59</x:f>
        <x:v>0.44082857142857146</x:v>
      </x:c>
      <x:c r="T59" s="53" t="n">
        <x:f>S59+O59*sailor_pay*Economy!H59/1000000</x:f>
        <x:v>1.5585131868131872</x:v>
      </x:c>
      <x:c r="U59" s="53" t="n">
        <x:f>(P59+Q59+R59)*navy_overhead</x:f>
        <x:v>1.2914294999999998</x:v>
      </x:c>
      <x:c r="V59" s="53" t="n">
        <x:f>L59+P59+Q59+R59+U59</x:f>
        <x:v>14.079959500000001</x:v>
      </x:c>
      <x:c r="W59" s="69" t="n">
        <x:f>Japan!I59</x:f>
        <x:v>28.3</x:v>
      </x:c>
      <x:c r="X59" s="53" t="n">
        <x:f>IF($A59&gt;=1927,V59+W59,0)</x:f>
        <x:v>0</x:v>
      </x:c>
      <x:c r="Y59" s="53" t="n">
        <x:f>IF($A59&gt;=1927,pac_quota*X59,V59)</x:f>
        <x:v>14.079959500000001</x:v>
      </x:c>
      <x:c r="Z59" s="67" t="n">
        <x:f>SUMPRODUCT(B59:J59,Levers!$C$193:$K$193,Levers!$C$194:$K$194)/0.6</x:f>
        <x:v>2.3166666666666664</x:v>
      </x:c>
      <x:c r="AA59" s="62" t="n">
        <x:f>H59</x:f>
        <x:v>0</x:v>
      </x:c>
      <x:c r="AB59" s="47" t="n">
        <x:f>AA59+'Navy plan'!T59</x:f>
        <x:v>0</x:v>
      </x:c>
      <x:c r="AC59" s="62" t="n">
        <x:f>'Navy plan'!U59</x:f>
        <x:v>0</x:v>
      </x:c>
      <x:c r="AD59" s="62" t="n">
        <x:f>'Navy plan'!V59</x:f>
        <x:v>0</x:v>
      </x:c>
      <x:c r="AE59" s="67" t="n">
        <x:f>IF(AC59&gt;0,AB59/AC59,0)</x:f>
        <x:v>0</x:v>
      </x:c>
    </x:row>
    <x:row r="60">
      <x:c r="A60" s="58" t="n">
        <x:v>1900</x:v>
      </x:c>
      <x:c r="B60" s="47" t="n">
        <x:f>B59+'Navy plan'!B60-IF($A60-Levers!$C$191&gt;=1846,INDEX('Navy plan'!B$6:B$92,$A60-1845-Levers!$C$191),0)</x:f>
        <x:v>3</x:v>
      </x:c>
      <x:c r="C60" s="47" t="n">
        <x:f>C59+'Navy plan'!C60-IF($A60-Levers!$D$191&gt;=1846,INDEX('Navy plan'!C$6:C$92,$A60-1845-Levers!$D$191),0)</x:f>
        <x:v>5</x:v>
      </x:c>
      <x:c r="D60" s="47" t="n">
        <x:f>D59+'Navy plan'!D60-IF($A60-Levers!$E$191&gt;=1846,INDEX('Navy plan'!D$6:D$92,$A60-1845-Levers!$E$191),0)</x:f>
        <x:v>20</x:v>
      </x:c>
      <x:c r="E60" s="47" t="n">
        <x:f>E59+'Navy plan'!E60-IF($A60-Levers!$F$191&gt;=1846,INDEX('Navy plan'!E$6:E$92,$A60-1845-Levers!$F$191),0)</x:f>
        <x:v>8</x:v>
      </x:c>
      <x:c r="F60" s="47" t="n">
        <x:f>F59+'Navy plan'!F60-IF($A60-Levers!$G$191&gt;=1846,INDEX('Navy plan'!F$6:F$92,$A60-1845-Levers!$G$191),0)</x:f>
        <x:v>22</x:v>
      </x:c>
      <x:c r="G60" s="47" t="n">
        <x:f>G59+'Navy plan'!G60-IF($A60-Levers!$H$191&gt;=1846,INDEX('Navy plan'!G$6:G$92,$A60-1845-Levers!$H$191),0)</x:f>
        <x:v>4</x:v>
      </x:c>
      <x:c r="H60" s="47" t="n">
        <x:f>H59+'Navy plan'!H60-IF($A60-Levers!$I$191&gt;=1846,INDEX('Navy plan'!H$6:H$92,$A60-1845-Levers!$I$191),0)</x:f>
        <x:v>0</x:v>
      </x:c>
      <x:c r="I60" s="47" t="n">
        <x:f>I59+'Navy plan'!I60-IF($A60-Levers!$J$191&gt;=1846,INDEX('Navy plan'!I$6:I$92,$A60-1845-Levers!$J$191),0)</x:f>
        <x:v>2</x:v>
      </x:c>
      <x:c r="J60" s="47" t="n">
        <x:f>J59+'Navy plan'!J60-IF($A60-Levers!$K$191&gt;=1846,INDEX('Navy plan'!J$6:J$92,$A60-1845-Levers!$K$191),0)</x:f>
        <x:v>0</x:v>
      </x:c>
      <x:c r="K60" s="47" t="n">
        <x:f>SUM(B60:J60)</x:f>
        <x:v>64</x:v>
      </x:c>
      <x:c r="L60" s="53" t="n">
        <x:f>0.5*SUMPRODUCT('Navy plan'!B60:'Navy plan'!J60,'Navy plan'!K60:'Navy plan'!S60)+0.5*SUMPRODUCT('Navy plan'!B61:'Navy plan'!J61,'Navy plan'!K61:'Navy plan'!S61)</x:f>
        <x:v>4.298</x:v>
      </x:c>
      <x:c r="M60" s="47" t="n">
        <x:f>SUMPRODUCT(B60:J60,Levers!$C$192:$K$192)</x:f>
        <x:v>7890</x:v>
      </x:c>
      <x:c r="N60" s="47" t="n">
        <x:f>SUMPRODUCT(B60:J60,Levers!$C$195:$K$195)</x:f>
        <x:v>9661.28205128205</x:v>
      </x:c>
      <x:c r="O60" s="47" t="n">
        <x:f>N60-M60</x:f>
        <x:v>1771.2820512820508</x:v>
      </x:c>
      <x:c r="P60" s="53" t="n">
        <x:f>M60*sailor_pay*Economy!H60/1000000</x:f>
        <x:v>5.39676</x:v>
      </x:c>
      <x:c r="Q60" s="53" t="n">
        <x:f>SUMPRODUCT(B60:J60,'Navy plan'!K60:'Navy plan'!S60)*maint_rate</x:f>
        <x:v>2.2668</x:v>
      </x:c>
      <x:c r="R60" s="53" t="n">
        <x:f>SUMPRODUCT(B60:J60,Levers!$C$193:$K$193)*Economy!H60</x:f>
        <x:v>1.3756000000000002</x:v>
      </x:c>
      <x:c r="S60" s="53" t="n">
        <x:f>SUMPRODUCT(B60:J60,Levers!$C$193:$K$193,Levers!$C$194:$K$194)*(1/oil_fuel-1)*Economy!H60</x:f>
        <x:v>0.4885714285714286</x:v>
      </x:c>
      <x:c r="T60" s="53" t="n">
        <x:f>S60+O60*sailor_pay*Economy!H60/1000000</x:f>
        <x:v>1.7001283516483514</x:v>
      </x:c>
      <x:c r="U60" s="53" t="n">
        <x:f>(P60+Q60+R60)*navy_overhead</x:f>
        <x:v>1.3558739999999998</x:v>
      </x:c>
      <x:c r="V60" s="53" t="n">
        <x:f>L60+P60+Q60+R60+U60</x:f>
        <x:v>14.693033999999999</x:v>
      </x:c>
      <x:c r="W60" s="69" t="n">
        <x:f>Japan!I60</x:f>
        <x:v>30</x:v>
      </x:c>
      <x:c r="X60" s="53" t="n">
        <x:f>IF($A60&gt;=1927,V60+W60,0)</x:f>
        <x:v>0</x:v>
      </x:c>
      <x:c r="Y60" s="53" t="n">
        <x:f>IF($A60&gt;=1927,pac_quota*X60,V60)</x:f>
        <x:v>14.693033999999999</x:v>
      </x:c>
      <x:c r="Z60" s="67" t="n">
        <x:f>SUMPRODUCT(B60:J60,Levers!$C$193:$K$193,Levers!$C$194:$K$194)/0.6</x:f>
        <x:v>2.5</x:v>
      </x:c>
      <x:c r="AA60" s="62" t="n">
        <x:f>H60</x:f>
        <x:v>0</x:v>
      </x:c>
      <x:c r="AB60" s="47" t="n">
        <x:f>AA60+'Navy plan'!T60</x:f>
        <x:v>0</x:v>
      </x:c>
      <x:c r="AC60" s="62" t="n">
        <x:f>'Navy plan'!U60</x:f>
        <x:v>0</x:v>
      </x:c>
      <x:c r="AD60" s="62" t="n">
        <x:f>'Navy plan'!V60</x:f>
        <x:v>0</x:v>
      </x:c>
      <x:c r="AE60" s="67" t="n">
        <x:f>IF(AC60&gt;0,AB60/AC60,0)</x:f>
        <x:v>0</x:v>
      </x:c>
    </x:row>
    <x:row r="61">
      <x:c r="A61" s="58" t="n">
        <x:v>1901</x:v>
      </x:c>
      <x:c r="B61" s="47" t="n">
        <x:f>B60+'Navy plan'!B61-IF($A61-Levers!$C$191&gt;=1846,INDEX('Navy plan'!B$6:B$92,$A61-1845-Levers!$C$191),0)</x:f>
        <x:v>3</x:v>
      </x:c>
      <x:c r="C61" s="47" t="n">
        <x:f>C60+'Navy plan'!C61-IF($A61-Levers!$D$191&gt;=1846,INDEX('Navy plan'!C$6:C$92,$A61-1845-Levers!$D$191),0)</x:f>
        <x:v>3</x:v>
      </x:c>
      <x:c r="D61" s="47" t="n">
        <x:f>D60+'Navy plan'!D61-IF($A61-Levers!$E$191&gt;=1846,INDEX('Navy plan'!D$6:D$92,$A61-1845-Levers!$E$191),0)</x:f>
        <x:v>14</x:v>
      </x:c>
      <x:c r="E61" s="47" t="n">
        <x:f>E60+'Navy plan'!E61-IF($A61-Levers!$F$191&gt;=1846,INDEX('Navy plan'!E$6:E$92,$A61-1845-Levers!$F$191),0)</x:f>
        <x:v>8</x:v>
      </x:c>
      <x:c r="F61" s="47" t="n">
        <x:f>F60+'Navy plan'!F61-IF($A61-Levers!$G$191&gt;=1846,INDEX('Navy plan'!F$6:F$92,$A61-1845-Levers!$G$191),0)</x:f>
        <x:v>25</x:v>
      </x:c>
      <x:c r="G61" s="47" t="n">
        <x:f>G60+'Navy plan'!G61-IF($A61-Levers!$H$191&gt;=1846,INDEX('Navy plan'!G$6:G$92,$A61-1845-Levers!$H$191),0)</x:f>
        <x:v>6</x:v>
      </x:c>
      <x:c r="H61" s="47" t="n">
        <x:f>H60+'Navy plan'!H61-IF($A61-Levers!$I$191&gt;=1846,INDEX('Navy plan'!H$6:H$92,$A61-1845-Levers!$I$191),0)</x:f>
        <x:v>0</x:v>
      </x:c>
      <x:c r="I61" s="47" t="n">
        <x:f>I60+'Navy plan'!I61-IF($A61-Levers!$J$191&gt;=1846,INDEX('Navy plan'!I$6:I$92,$A61-1845-Levers!$J$191),0)</x:f>
        <x:v>2</x:v>
      </x:c>
      <x:c r="J61" s="47" t="n">
        <x:f>J60+'Navy plan'!J61-IF($A61-Levers!$K$191&gt;=1846,INDEX('Navy plan'!J$6:J$92,$A61-1845-Levers!$K$191),0)</x:f>
        <x:v>0</x:v>
      </x:c>
      <x:c r="K61" s="47" t="n">
        <x:f>SUM(B61:J61)</x:f>
        <x:v>61</x:v>
      </x:c>
      <x:c r="L61" s="53" t="n">
        <x:f>0.5*SUMPRODUCT('Navy plan'!B61:'Navy plan'!J61,'Navy plan'!K61:'Navy plan'!S61)+0.5*SUMPRODUCT('Navy plan'!B62:'Navy plan'!J62,'Navy plan'!K62:'Navy plan'!S62)</x:f>
        <x:v>4.395</x:v>
      </x:c>
      <x:c r="M61" s="47" t="n">
        <x:f>SUMPRODUCT(B61:J61,Levers!$C$192:$K$192)</x:f>
        <x:v>8340</x:v>
      </x:c>
      <x:c r="N61" s="47" t="n">
        <x:f>SUMPRODUCT(B61:J61,Levers!$C$195:$K$195)</x:f>
        <x:v>10379.230769230768</x:v>
      </x:c>
      <x:c r="O61" s="47" t="n">
        <x:f>N61-M61</x:f>
        <x:v>2039.2307692307677</x:v>
      </x:c>
      <x:c r="P61" s="53" t="n">
        <x:f>M61*sailor_pay*Economy!H61/1000000</x:f>
        <x:v>5.794632</x:v>
      </x:c>
      <x:c r="Q61" s="53" t="n">
        <x:f>SUMPRODUCT(B61:J61,'Navy plan'!K61:'Navy plan'!S61)*maint_rate</x:f>
        <x:v>2.5623000000000005</x:v>
      </x:c>
      <x:c r="R61" s="53" t="n">
        <x:f>SUMPRODUCT(B61:J61,Levers!$C$193:$K$193)*Economy!H61</x:f>
        <x:v>1.4899600000000002</x:v>
      </x:c>
      <x:c r="S61" s="53" t="n">
        <x:f>SUMPRODUCT(B61:J61,Levers!$C$193:$K$193,Levers!$C$194:$K$194)*(1/oil_fuel-1)*Economy!H61</x:f>
        <x:v>0.5690742857142858</x:v>
      </x:c>
      <x:c r="T61" s="53" t="n">
        <x:f>S61+O61*sailor_pay*Economy!H61/1000000</x:f>
        <x:v>1.985931824175823</x:v>
      </x:c>
      <x:c r="U61" s="53" t="n">
        <x:f>(P61+Q61+R61)*navy_overhead</x:f>
        <x:v>1.4770338</x:v>
      </x:c>
      <x:c r="V61" s="53" t="n">
        <x:f>L61+P61+Q61+R61+U61</x:f>
        <x:v>15.718925800000001</x:v>
      </x:c>
      <x:c r="W61" s="69" t="n">
        <x:f>Japan!I61</x:f>
        <x:v>31</x:v>
      </x:c>
      <x:c r="X61" s="53" t="n">
        <x:f>IF($A61&gt;=1927,V61+W61,0)</x:f>
        <x:v>0</x:v>
      </x:c>
      <x:c r="Y61" s="53" t="n">
        <x:f>IF($A61&gt;=1927,pac_quota*X61,V61)</x:f>
        <x:v>15.718925800000001</x:v>
      </x:c>
      <x:c r="Z61" s="67" t="n">
        <x:f>SUMPRODUCT(B61:J61,Levers!$C$193:$K$193,Levers!$C$194:$K$194)/0.6</x:f>
        <x:v>2.8666666666666667</x:v>
      </x:c>
      <x:c r="AA61" s="62" t="n">
        <x:f>H61</x:f>
        <x:v>0</x:v>
      </x:c>
      <x:c r="AB61" s="47" t="n">
        <x:f>AA61+'Navy plan'!T61</x:f>
        <x:v>0</x:v>
      </x:c>
      <x:c r="AC61" s="62" t="n">
        <x:f>'Navy plan'!U61</x:f>
        <x:v>0</x:v>
      </x:c>
      <x:c r="AD61" s="62" t="n">
        <x:f>'Navy plan'!V61</x:f>
        <x:v>0</x:v>
      </x:c>
      <x:c r="AE61" s="67" t="n">
        <x:f>IF(AC61&gt;0,AB61/AC61,0)</x:f>
        <x:v>0</x:v>
      </x:c>
    </x:row>
    <x:row r="62">
      <x:c r="A62" s="58" t="n">
        <x:v>1902</x:v>
      </x:c>
      <x:c r="B62" s="47" t="n">
        <x:f>B61+'Navy plan'!B62-IF($A62-Levers!$C$191&gt;=1846,INDEX('Navy plan'!B$6:B$92,$A62-1845-Levers!$C$191),0)</x:f>
        <x:v>3</x:v>
      </x:c>
      <x:c r="C62" s="47" t="n">
        <x:f>C61+'Navy plan'!C62-IF($A62-Levers!$D$191&gt;=1846,INDEX('Navy plan'!C$6:C$92,$A62-1845-Levers!$D$191),0)</x:f>
        <x:v>3</x:v>
      </x:c>
      <x:c r="D62" s="47" t="n">
        <x:f>D61+'Navy plan'!D62-IF($A62-Levers!$E$191&gt;=1846,INDEX('Navy plan'!D$6:D$92,$A62-1845-Levers!$E$191),0)</x:f>
        <x:v>14</x:v>
      </x:c>
      <x:c r="E62" s="47" t="n">
        <x:f>E61+'Navy plan'!E62-IF($A62-Levers!$F$191&gt;=1846,INDEX('Navy plan'!E$6:E$92,$A62-1845-Levers!$F$191),0)</x:f>
        <x:v>8</x:v>
      </x:c>
      <x:c r="F62" s="47" t="n">
        <x:f>F61+'Navy plan'!F62-IF($A62-Levers!$G$191&gt;=1846,INDEX('Navy plan'!F$6:F$92,$A62-1845-Levers!$G$191),0)</x:f>
        <x:v>28</x:v>
      </x:c>
      <x:c r="G62" s="47" t="n">
        <x:f>G61+'Navy plan'!G62-IF($A62-Levers!$H$191&gt;=1846,INDEX('Navy plan'!G$6:G$92,$A62-1845-Levers!$H$191),0)</x:f>
        <x:v>6</x:v>
      </x:c>
      <x:c r="H62" s="47" t="n">
        <x:f>H61+'Navy plan'!H62-IF($A62-Levers!$I$191&gt;=1846,INDEX('Navy plan'!H$6:H$92,$A62-1845-Levers!$I$191),0)</x:f>
        <x:v>0</x:v>
      </x:c>
      <x:c r="I62" s="47" t="n">
        <x:f>I61+'Navy plan'!I62-IF($A62-Levers!$J$191&gt;=1846,INDEX('Navy plan'!I$6:I$92,$A62-1845-Levers!$J$191),0)</x:f>
        <x:v>4</x:v>
      </x:c>
      <x:c r="J62" s="47" t="n">
        <x:f>J61+'Navy plan'!J62-IF($A62-Levers!$K$191&gt;=1846,INDEX('Navy plan'!J$6:J$92,$A62-1845-Levers!$K$191),0)</x:f>
        <x:v>0</x:v>
      </x:c>
      <x:c r="K62" s="47" t="n">
        <x:f>SUM(B62:J62)</x:f>
        <x:v>66</x:v>
      </x:c>
      <x:c r="L62" s="53" t="n">
        <x:f>0.5*SUMPRODUCT('Navy plan'!B62:'Navy plan'!J62,'Navy plan'!K62:'Navy plan'!S62)+0.5*SUMPRODUCT('Navy plan'!B63:'Navy plan'!J63,'Navy plan'!K63:'Navy plan'!S63)</x:f>
        <x:v>6.33</x:v>
      </x:c>
      <x:c r="M62" s="47" t="n">
        <x:f>SUMPRODUCT(B62:J62,Levers!$C$192:$K$192)</x:f>
        <x:v>8670</x:v>
      </x:c>
      <x:c r="N62" s="47" t="n">
        <x:f>SUMPRODUCT(B62:J62,Levers!$C$195:$K$195)</x:f>
        <x:v>10802.307692307693</x:v>
      </x:c>
      <x:c r="O62" s="47" t="n">
        <x:f>N62-M62</x:f>
        <x:v>2132.3076923076933</x:v>
      </x:c>
      <x:c r="P62" s="53" t="n">
        <x:f>M62*sailor_pay*Economy!H62/1000000</x:f>
        <x:v>6.117552</x:v>
      </x:c>
      <x:c r="Q62" s="53" t="n">
        <x:f>SUMPRODUCT(B62:J62,'Navy plan'!K62:'Navy plan'!S62)*maint_rate</x:f>
        <x:v>2.7263</x:v>
      </x:c>
      <x:c r="R62" s="53" t="n">
        <x:f>SUMPRODUCT(B62:J62,Levers!$C$193:$K$193)*Economy!H62</x:f>
        <x:v>1.5993600000000001</x:v>
      </x:c>
      <x:c r="S62" s="53" t="n">
        <x:f>SUMPRODUCT(B62:J62,Levers!$C$193:$K$193,Levers!$C$194:$K$194)*(1/oil_fuel-1)*Economy!H62</x:f>
        <x:v>0.6148800000000001</x:v>
      </x:c>
      <x:c r="T62" s="53" t="n">
        <x:f>S62+O62*sailor_pay*Economy!H62/1000000</x:f>
        <x:v>2.1194363076923084</x:v>
      </x:c>
      <x:c r="U62" s="53" t="n">
        <x:f>(P62+Q62+R62)*navy_overhead</x:f>
        <x:v>1.5664818</x:v>
      </x:c>
      <x:c r="V62" s="53" t="n">
        <x:f>L62+P62+Q62+R62+U62</x:f>
        <x:v>18.3396938</x:v>
      </x:c>
      <x:c r="W62" s="69" t="n">
        <x:f>Japan!I62</x:f>
        <x:v>32</x:v>
      </x:c>
      <x:c r="X62" s="53" t="n">
        <x:f>IF($A62&gt;=1927,V62+W62,0)</x:f>
        <x:v>0</x:v>
      </x:c>
      <x:c r="Y62" s="53" t="n">
        <x:f>IF($A62&gt;=1927,pac_quota*X62,V62)</x:f>
        <x:v>18.3396938</x:v>
      </x:c>
      <x:c r="Z62" s="67" t="n">
        <x:f>SUMPRODUCT(B62:J62,Levers!$C$193:$K$193,Levers!$C$194:$K$194)/0.6</x:f>
        <x:v>3.0500000000000003</x:v>
      </x:c>
      <x:c r="AA62" s="62" t="n">
        <x:f>H62</x:f>
        <x:v>0</x:v>
      </x:c>
      <x:c r="AB62" s="47" t="n">
        <x:f>AA62+'Navy plan'!T62</x:f>
        <x:v>0</x:v>
      </x:c>
      <x:c r="AC62" s="62" t="n">
        <x:f>'Navy plan'!U62</x:f>
        <x:v>0</x:v>
      </x:c>
      <x:c r="AD62" s="62" t="n">
        <x:f>'Navy plan'!V62</x:f>
        <x:v>0</x:v>
      </x:c>
      <x:c r="AE62" s="67" t="n">
        <x:f>IF(AC62&gt;0,AB62/AC62,0)</x:f>
        <x:v>0</x:v>
      </x:c>
    </x:row>
    <x:row r="63">
      <x:c r="A63" s="58" t="n">
        <x:v>1903</x:v>
      </x:c>
      <x:c r="B63" s="47" t="n">
        <x:f>B62+'Navy plan'!B63-IF($A63-Levers!$C$191&gt;=1846,INDEX('Navy plan'!B$6:B$92,$A63-1845-Levers!$C$191),0)</x:f>
        <x:v>2</x:v>
      </x:c>
      <x:c r="C63" s="47" t="n">
        <x:f>C62+'Navy plan'!C63-IF($A63-Levers!$D$191&gt;=1846,INDEX('Navy plan'!C$6:C$92,$A63-1845-Levers!$D$191),0)</x:f>
        <x:v>3</x:v>
      </x:c>
      <x:c r="D63" s="47" t="n">
        <x:f>D62+'Navy plan'!D63-IF($A63-Levers!$E$191&gt;=1846,INDEX('Navy plan'!D$6:D$92,$A63-1845-Levers!$E$191),0)</x:f>
        <x:v>8</x:v>
      </x:c>
      <x:c r="E63" s="47" t="n">
        <x:f>E62+'Navy plan'!E63-IF($A63-Levers!$F$191&gt;=1846,INDEX('Navy plan'!E$6:E$92,$A63-1845-Levers!$F$191),0)</x:f>
        <x:v>8</x:v>
      </x:c>
      <x:c r="F63" s="47" t="n">
        <x:f>F62+'Navy plan'!F63-IF($A63-Levers!$G$191&gt;=1846,INDEX('Navy plan'!F$6:F$92,$A63-1845-Levers!$G$191),0)</x:f>
        <x:v>31</x:v>
      </x:c>
      <x:c r="G63" s="47" t="n">
        <x:f>G62+'Navy plan'!G63-IF($A63-Levers!$H$191&gt;=1846,INDEX('Navy plan'!G$6:G$92,$A63-1845-Levers!$H$191),0)</x:f>
        <x:v>7</x:v>
      </x:c>
      <x:c r="H63" s="47" t="n">
        <x:f>H62+'Navy plan'!H63-IF($A63-Levers!$I$191&gt;=1846,INDEX('Navy plan'!H$6:H$92,$A63-1845-Levers!$I$191),0)</x:f>
        <x:v>1</x:v>
      </x:c>
      <x:c r="I63" s="47" t="n">
        <x:f>I62+'Navy plan'!I63-IF($A63-Levers!$J$191&gt;=1846,INDEX('Navy plan'!I$6:I$92,$A63-1845-Levers!$J$191),0)</x:f>
        <x:v>4</x:v>
      </x:c>
      <x:c r="J63" s="47" t="n">
        <x:f>J62+'Navy plan'!J63-IF($A63-Levers!$K$191&gt;=1846,INDEX('Navy plan'!J$6:J$92,$A63-1845-Levers!$K$191),0)</x:f>
        <x:v>0</x:v>
      </x:c>
      <x:c r="K63" s="47" t="n">
        <x:f>SUM(B63:J63)</x:f>
        <x:v>64</x:v>
      </x:c>
      <x:c r="L63" s="53" t="n">
        <x:f>0.5*SUMPRODUCT('Navy plan'!B63:'Navy plan'!J63,'Navy plan'!K63:'Navy plan'!S63)+0.5*SUMPRODUCT('Navy plan'!B64:'Navy plan'!J64,'Navy plan'!K64:'Navy plan'!S64)</x:f>
        <x:v>6.426</x:v>
      </x:c>
      <x:c r="M63" s="47" t="n">
        <x:f>SUMPRODUCT(B63:J63,Levers!$C$192:$K$192)</x:f>
        <x:v>10100</x:v>
      </x:c>
      <x:c r="N63" s="47" t="n">
        <x:f>SUMPRODUCT(B63:J63,Levers!$C$195:$K$195)</x:f>
        <x:v>12669.48717948718</x:v>
      </x:c>
      <x:c r="O63" s="47" t="n">
        <x:f>N63-M63</x:f>
        <x:v>2569.4871794871797</x:v>
      </x:c>
      <x:c r="P63" s="53" t="n">
        <x:f>M63*sailor_pay*Economy!H63/1000000</x:f>
        <x:v>7.23564</x:v>
      </x:c>
      <x:c r="Q63" s="53" t="n">
        <x:f>SUMPRODUCT(B63:J63,'Navy plan'!K63:'Navy plan'!S63)*maint_rate</x:f>
        <x:v>3.2706</x:v>
      </x:c>
      <x:c r="R63" s="53" t="n">
        <x:f>SUMPRODUCT(B63:J63,Levers!$C$193:$K$193)*Economy!H63</x:f>
        <x:v>1.8785600000000005</x:v>
      </x:c>
      <x:c r="S63" s="53" t="n">
        <x:f>SUMPRODUCT(B63:J63,Levers!$C$193:$K$193,Levers!$C$194:$K$194)*(1/oil_fuel-1)*Economy!H63</x:f>
        <x:v>0.74028</x:v>
      </x:c>
      <x:c r="T63" s="53" t="n">
        <x:f>S63+O63*sailor_pay*Economy!H63/1000000</x:f>
        <x:v>2.5810606153846156</x:v>
      </x:c>
      <x:c r="U63" s="53" t="n">
        <x:f>(P63+Q63+R63)*navy_overhead</x:f>
        <x:v>1.85772</x:v>
      </x:c>
      <x:c r="V63" s="53" t="n">
        <x:f>L63+P63+Q63+R63+U63</x:f>
        <x:v>20.66852</x:v>
      </x:c>
      <x:c r="W63" s="69" t="n">
        <x:f>Japan!I63</x:f>
        <x:v>33</x:v>
      </x:c>
      <x:c r="X63" s="53" t="n">
        <x:f>IF($A63&gt;=1927,V63+W63,0)</x:f>
        <x:v>0</x:v>
      </x:c>
      <x:c r="Y63" s="53" t="n">
        <x:f>IF($A63&gt;=1927,pac_quota*X63,V63)</x:f>
        <x:v>20.66852</x:v>
      </x:c>
      <x:c r="Z63" s="67" t="n">
        <x:f>SUMPRODUCT(B63:J63,Levers!$C$193:$K$193,Levers!$C$194:$K$194)/0.6</x:f>
        <x:v>3.6166666666666667</x:v>
      </x:c>
      <x:c r="AA63" s="62" t="n">
        <x:f>H63</x:f>
        <x:v>1</x:v>
      </x:c>
      <x:c r="AB63" s="47" t="n">
        <x:f>AA63+'Navy plan'!T63</x:f>
        <x:v>1</x:v>
      </x:c>
      <x:c r="AC63" s="62" t="n">
        <x:f>'Navy plan'!U63</x:f>
        <x:v>0</x:v>
      </x:c>
      <x:c r="AD63" s="62" t="n">
        <x:f>'Navy plan'!V63</x:f>
        <x:v>0</x:v>
      </x:c>
      <x:c r="AE63" s="67" t="n">
        <x:f>IF(AC63&gt;0,AB63/AC63,0)</x:f>
        <x:v>0</x:v>
      </x:c>
    </x:row>
    <x:row r="64">
      <x:c r="A64" s="58" t="n">
        <x:v>1904</x:v>
      </x:c>
      <x:c r="B64" s="47" t="n">
        <x:f>B63+'Navy plan'!B64-IF($A64-Levers!$C$191&gt;=1846,INDEX('Navy plan'!B$6:B$92,$A64-1845-Levers!$C$191),0)</x:f>
        <x:v>2</x:v>
      </x:c>
      <x:c r="C64" s="47" t="n">
        <x:f>C63+'Navy plan'!C64-IF($A64-Levers!$D$191&gt;=1846,INDEX('Navy plan'!C$6:C$92,$A64-1845-Levers!$D$191),0)</x:f>
        <x:v>1</x:v>
      </x:c>
      <x:c r="D64" s="47" t="n">
        <x:f>D63+'Navy plan'!D64-IF($A64-Levers!$E$191&gt;=1846,INDEX('Navy plan'!D$6:D$92,$A64-1845-Levers!$E$191),0)</x:f>
        <x:v>8</x:v>
      </x:c>
      <x:c r="E64" s="47" t="n">
        <x:f>E63+'Navy plan'!E64-IF($A64-Levers!$F$191&gt;=1846,INDEX('Navy plan'!E$6:E$92,$A64-1845-Levers!$F$191),0)</x:f>
        <x:v>8</x:v>
      </x:c>
      <x:c r="F64" s="47" t="n">
        <x:f>F63+'Navy plan'!F64-IF($A64-Levers!$G$191&gt;=1846,INDEX('Navy plan'!F$6:F$92,$A64-1845-Levers!$G$191),0)</x:f>
        <x:v>34</x:v>
      </x:c>
      <x:c r="G64" s="47" t="n">
        <x:f>G63+'Navy plan'!G64-IF($A64-Levers!$H$191&gt;=1846,INDEX('Navy plan'!G$6:G$92,$A64-1845-Levers!$H$191),0)</x:f>
        <x:v>7</x:v>
      </x:c>
      <x:c r="H64" s="47" t="n">
        <x:f>H63+'Navy plan'!H64-IF($A64-Levers!$I$191&gt;=1846,INDEX('Navy plan'!H$6:H$92,$A64-1845-Levers!$I$191),0)</x:f>
        <x:v>1</x:v>
      </x:c>
      <x:c r="I64" s="47" t="n">
        <x:f>I63+'Navy plan'!I64-IF($A64-Levers!$J$191&gt;=1846,INDEX('Navy plan'!I$6:I$92,$A64-1845-Levers!$J$191),0)</x:f>
        <x:v>6</x:v>
      </x:c>
      <x:c r="J64" s="47" t="n">
        <x:f>J63+'Navy plan'!J64-IF($A64-Levers!$K$191&gt;=1846,INDEX('Navy plan'!J$6:J$92,$A64-1845-Levers!$K$191),0)</x:f>
        <x:v>0</x:v>
      </x:c>
      <x:c r="K64" s="47" t="n">
        <x:f>SUM(B64:J64)</x:f>
        <x:v>67</x:v>
      </x:c>
      <x:c r="L64" s="53" t="n">
        <x:f>0.5*SUMPRODUCT('Navy plan'!B64:'Navy plan'!J64,'Navy plan'!K64:'Navy plan'!S64)+0.5*SUMPRODUCT('Navy plan'!B65:'Navy plan'!J65,'Navy plan'!K65:'Navy plan'!S65)</x:f>
        <x:v>7.111</x:v>
      </x:c>
      <x:c r="M64" s="47" t="n">
        <x:f>SUMPRODUCT(B64:J64,Levers!$C$192:$K$192)</x:f>
        <x:v>9930</x:v>
      </x:c>
      <x:c r="N64" s="47" t="n">
        <x:f>SUMPRODUCT(B64:J64,Levers!$C$195:$K$195)</x:f>
        <x:v>12592.564102564102</x:v>
      </x:c>
      <x:c r="O64" s="47" t="n">
        <x:f>N64-M64</x:f>
        <x:v>2662.5641025641016</x:v>
      </x:c>
      <x:c r="P64" s="53" t="n">
        <x:f>M64*sailor_pay*Economy!H64/1000000</x:f>
        <x:v>7.221096</x:v>
      </x:c>
      <x:c r="Q64" s="53" t="n">
        <x:f>SUMPRODUCT(B64:J64,'Navy plan'!K64:'Navy plan'!S64)*maint_rate</x:f>
        <x:v>3.38315</x:v>
      </x:c>
      <x:c r="R64" s="53" t="n">
        <x:f>SUMPRODUCT(B64:J64,Levers!$C$193:$K$193)*Economy!H64</x:f>
        <x:v>1.9149600000000007</x:v>
      </x:c>
      <x:c r="S64" s="53" t="n">
        <x:f>SUMPRODUCT(B64:J64,Levers!$C$193:$K$193,Levers!$C$194:$K$194)*(1/oil_fuel-1)*Economy!H64</x:f>
        <x:v>0.7895314285714288</x:v>
      </x:c>
      <x:c r="T64" s="53" t="n">
        <x:f>S64+O64*sailor_pay*Economy!H64/1000000</x:f>
        <x:v>2.7257480439560435</x:v>
      </x:c>
      <x:c r="U64" s="53" t="n">
        <x:f>(P64+Q64+R64)*navy_overhead</x:f>
        <x:v>1.8778809</x:v>
      </x:c>
      <x:c r="V64" s="53" t="n">
        <x:f>L64+P64+Q64+R64+U64</x:f>
        <x:v>21.508086900000002</x:v>
      </x:c>
      <x:c r="W64" s="69" t="n">
        <x:f>Japan!I64</x:f>
        <x:v>34</x:v>
      </x:c>
      <x:c r="X64" s="53" t="n">
        <x:f>IF($A64&gt;=1927,V64+W64,0)</x:f>
        <x:v>0</x:v>
      </x:c>
      <x:c r="Y64" s="53" t="n">
        <x:f>IF($A64&gt;=1927,pac_quota*X64,V64)</x:f>
        <x:v>21.508086900000002</x:v>
      </x:c>
      <x:c r="Z64" s="67" t="n">
        <x:f>SUMPRODUCT(B64:J64,Levers!$C$193:$K$193,Levers!$C$194:$K$194)/0.6</x:f>
        <x:v>3.8000000000000007</x:v>
      </x:c>
      <x:c r="AA64" s="62" t="n">
        <x:f>H64</x:f>
        <x:v>1</x:v>
      </x:c>
      <x:c r="AB64" s="47" t="n">
        <x:f>AA64+'Navy plan'!T64</x:f>
        <x:v>1</x:v>
      </x:c>
      <x:c r="AC64" s="62" t="n">
        <x:f>'Navy plan'!U64</x:f>
        <x:v>0</x:v>
      </x:c>
      <x:c r="AD64" s="62" t="n">
        <x:f>'Navy plan'!V64</x:f>
        <x:v>0</x:v>
      </x:c>
      <x:c r="AE64" s="67" t="n">
        <x:f>IF(AC64&gt;0,AB64/AC64,0)</x:f>
        <x:v>0</x:v>
      </x:c>
    </x:row>
    <x:row r="65">
      <x:c r="A65" s="58" t="n">
        <x:v>1905</x:v>
      </x:c>
      <x:c r="B65" s="47" t="n">
        <x:f>B64+'Navy plan'!B65-IF($A65-Levers!$C$191&gt;=1846,INDEX('Navy plan'!B$6:B$92,$A65-1845-Levers!$C$191),0)</x:f>
        <x:v>2</x:v>
      </x:c>
      <x:c r="C65" s="47" t="n">
        <x:f>C64+'Navy plan'!C65-IF($A65-Levers!$D$191&gt;=1846,INDEX('Navy plan'!C$6:C$92,$A65-1845-Levers!$D$191),0)</x:f>
        <x:v>1</x:v>
      </x:c>
      <x:c r="D65" s="47" t="n">
        <x:f>D64+'Navy plan'!D65-IF($A65-Levers!$E$191&gt;=1846,INDEX('Navy plan'!D$6:D$92,$A65-1845-Levers!$E$191),0)</x:f>
        <x:v>4</x:v>
      </x:c>
      <x:c r="E65" s="47" t="n">
        <x:f>E64+'Navy plan'!E65-IF($A65-Levers!$F$191&gt;=1846,INDEX('Navy plan'!E$6:E$92,$A65-1845-Levers!$F$191),0)</x:f>
        <x:v>8</x:v>
      </x:c>
      <x:c r="F65" s="47" t="n">
        <x:f>F64+'Navy plan'!F65-IF($A65-Levers!$G$191&gt;=1846,INDEX('Navy plan'!F$6:F$92,$A65-1845-Levers!$G$191),0)</x:f>
        <x:v>37</x:v>
      </x:c>
      <x:c r="G65" s="47" t="n">
        <x:f>G64+'Navy plan'!G65-IF($A65-Levers!$H$191&gt;=1846,INDEX('Navy plan'!G$6:G$92,$A65-1845-Levers!$H$191),0)</x:f>
        <x:v>8</x:v>
      </x:c>
      <x:c r="H65" s="47" t="n">
        <x:f>H64+'Navy plan'!H65-IF($A65-Levers!$I$191&gt;=1846,INDEX('Navy plan'!H$6:H$92,$A65-1845-Levers!$I$191),0)</x:f>
        <x:v>2</x:v>
      </x:c>
      <x:c r="I65" s="47" t="n">
        <x:f>I64+'Navy plan'!I65-IF($A65-Levers!$J$191&gt;=1846,INDEX('Navy plan'!I$6:I$92,$A65-1845-Levers!$J$191),0)</x:f>
        <x:v>6</x:v>
      </x:c>
      <x:c r="J65" s="47" t="n">
        <x:f>J64+'Navy plan'!J65-IF($A65-Levers!$K$191&gt;=1846,INDEX('Navy plan'!J$6:J$92,$A65-1845-Levers!$K$191),0)</x:f>
        <x:v>0</x:v>
      </x:c>
      <x:c r="K65" s="47" t="n">
        <x:f>SUM(B65:J65)</x:f>
        <x:v>68</x:v>
      </x:c>
      <x:c r="L65" s="53" t="n">
        <x:f>0.5*SUMPRODUCT('Navy plan'!B65:'Navy plan'!J65,'Navy plan'!K65:'Navy plan'!S65)+0.5*SUMPRODUCT('Navy plan'!B66:'Navy plan'!J66,'Navy plan'!K66:'Navy plan'!S66)</x:f>
        <x:v>11.6455</x:v>
      </x:c>
      <x:c r="M65" s="47" t="n">
        <x:f>SUMPRODUCT(B65:J65,Levers!$C$192:$K$192)</x:f>
        <x:v>11520</x:v>
      </x:c>
      <x:c r="N65" s="47" t="n">
        <x:f>SUMPRODUCT(B65:J65,Levers!$C$195:$K$195)</x:f>
        <x:v>14631.025641025642</x:v>
      </x:c>
      <x:c r="O65" s="47" t="n">
        <x:f>N65-M65</x:f>
        <x:v>3111.0256410256425</x:v>
      </x:c>
      <x:c r="P65" s="53" t="n">
        <x:f>M65*sailor_pay*Economy!H65/1000000</x:f>
        <x:v>8.50176</x:v>
      </x:c>
      <x:c r="Q65" s="53" t="n">
        <x:f>SUMPRODUCT(B65:J65,'Navy plan'!K65:'Navy plan'!S65)*maint_rate</x:f>
        <x:v>4.108</x:v>
      </x:c>
      <x:c r="R65" s="53" t="n">
        <x:f>SUMPRODUCT(B65:J65,Levers!$C$193:$K$193)*Economy!H65</x:f>
        <x:v>2.2303999999999995</x:v>
      </x:c>
      <x:c r="S65" s="53" t="n">
        <x:f>SUMPRODUCT(B65:J65,Levers!$C$193:$K$193,Levers!$C$194:$K$194)*(1/oil_fuel-1)*Economy!H65</x:f>
        <x:v>0.9242571428571429</x:v>
      </x:c>
      <x:c r="T65" s="53" t="n">
        <x:f>S65+O65*sailor_pay*Economy!H65/1000000</x:f>
        <x:v>3.220194065934067</x:v>
      </x:c>
      <x:c r="U65" s="53" t="n">
        <x:f>(P65+Q65+R65)*navy_overhead</x:f>
        <x:v>2.2260240000000002</x:v>
      </x:c>
      <x:c r="V65" s="53" t="n">
        <x:f>L65+P65+Q65+R65+U65</x:f>
        <x:v>28.711684</x:v>
      </x:c>
      <x:c r="W65" s="69" t="n">
        <x:f>Japan!I65</x:f>
        <x:v>35</x:v>
      </x:c>
      <x:c r="X65" s="53" t="n">
        <x:f>IF($A65&gt;=1927,V65+W65,0)</x:f>
        <x:v>0</x:v>
      </x:c>
      <x:c r="Y65" s="53" t="n">
        <x:f>IF($A65&gt;=1927,pac_quota*X65,V65)</x:f>
        <x:v>28.711684</x:v>
      </x:c>
      <x:c r="Z65" s="67" t="n">
        <x:f>SUMPRODUCT(B65:J65,Levers!$C$193:$K$193,Levers!$C$194:$K$194)/0.6</x:f>
        <x:v>4.383333333333334</x:v>
      </x:c>
      <x:c r="AA65" s="62" t="n">
        <x:f>H65</x:f>
        <x:v>2</x:v>
      </x:c>
      <x:c r="AB65" s="47" t="n">
        <x:f>AA65+'Navy plan'!T65</x:f>
        <x:v>2</x:v>
      </x:c>
      <x:c r="AC65" s="62" t="n">
        <x:f>'Navy plan'!U65</x:f>
        <x:v>0</x:v>
      </x:c>
      <x:c r="AD65" s="62" t="n">
        <x:f>'Navy plan'!V65</x:f>
        <x:v>0</x:v>
      </x:c>
      <x:c r="AE65" s="67" t="n">
        <x:f>IF(AC65&gt;0,AB65/AC65,0)</x:f>
        <x:v>0</x:v>
      </x:c>
    </x:row>
    <x:row r="66">
      <x:c r="A66" s="58" t="n">
        <x:v>1906</x:v>
      </x:c>
      <x:c r="B66" s="47" t="n">
        <x:f>B65+'Navy plan'!B66-IF($A66-Levers!$C$191&gt;=1846,INDEX('Navy plan'!B$6:B$92,$A66-1845-Levers!$C$191),0)</x:f>
        <x:v>1</x:v>
      </x:c>
      <x:c r="C66" s="47" t="n">
        <x:f>C65+'Navy plan'!C66-IF($A66-Levers!$D$191&gt;=1846,INDEX('Navy plan'!C$6:C$92,$A66-1845-Levers!$D$191),0)</x:f>
        <x:v>1</x:v>
      </x:c>
      <x:c r="D66" s="47" t="n">
        <x:f>D65+'Navy plan'!D66-IF($A66-Levers!$E$191&gt;=1846,INDEX('Navy plan'!D$6:D$92,$A66-1845-Levers!$E$191),0)</x:f>
        <x:v>4</x:v>
      </x:c>
      <x:c r="E66" s="47" t="n">
        <x:f>E65+'Navy plan'!E66-IF($A66-Levers!$F$191&gt;=1846,INDEX('Navy plan'!E$6:E$92,$A66-1845-Levers!$F$191),0)</x:f>
        <x:v>8</x:v>
      </x:c>
      <x:c r="F66" s="47" t="n">
        <x:f>F65+'Navy plan'!F66-IF($A66-Levers!$G$191&gt;=1846,INDEX('Navy plan'!F$6:F$92,$A66-1845-Levers!$G$191),0)</x:f>
        <x:v>41</x:v>
      </x:c>
      <x:c r="G66" s="47" t="n">
        <x:f>G65+'Navy plan'!G66-IF($A66-Levers!$H$191&gt;=1846,INDEX('Navy plan'!G$6:G$92,$A66-1845-Levers!$H$191),0)</x:f>
        <x:v>8</x:v>
      </x:c>
      <x:c r="H66" s="47" t="n">
        <x:f>H65+'Navy plan'!H66-IF($A66-Levers!$I$191&gt;=1846,INDEX('Navy plan'!H$6:H$92,$A66-1845-Levers!$I$191),0)</x:f>
        <x:v>3</x:v>
      </x:c>
      <x:c r="I66" s="47" t="n">
        <x:f>I65+'Navy plan'!I66-IF($A66-Levers!$J$191&gt;=1846,INDEX('Navy plan'!I$6:I$92,$A66-1845-Levers!$J$191),0)</x:f>
        <x:v>9</x:v>
      </x:c>
      <x:c r="J66" s="47" t="n">
        <x:f>J65+'Navy plan'!J66-IF($A66-Levers!$K$191&gt;=1846,INDEX('Navy plan'!J$6:J$92,$A66-1845-Levers!$K$191),0)</x:f>
        <x:v>0</x:v>
      </x:c>
      <x:c r="K66" s="47" t="n">
        <x:f>SUM(B66:J66)</x:f>
        <x:v>75</x:v>
      </x:c>
      <x:c r="L66" s="53" t="n">
        <x:f>0.5*SUMPRODUCT('Navy plan'!B66:'Navy plan'!J66,'Navy plan'!K66:'Navy plan'!S66)+0.5*SUMPRODUCT('Navy plan'!B67:'Navy plan'!J67,'Navy plan'!K67:'Navy plan'!S67)</x:f>
        <x:v>14.7805</x:v>
      </x:c>
      <x:c r="M66" s="47" t="n">
        <x:f>SUMPRODUCT(B66:J66,Levers!$C$192:$K$192)</x:f>
        <x:v>12850</x:v>
      </x:c>
      <x:c r="N66" s="47" t="n">
        <x:f>SUMPRODUCT(B66:J66,Levers!$C$195:$K$195)</x:f>
        <x:v>16370</x:v>
      </x:c>
      <x:c r="O66" s="47" t="n">
        <x:f>N66-M66</x:f>
        <x:v>3520</x:v>
      </x:c>
      <x:c r="P66" s="53" t="n">
        <x:f>M66*sailor_pay*Economy!H66/1000000</x:f>
        <x:v>9.76086</x:v>
      </x:c>
      <x:c r="Q66" s="53" t="n">
        <x:f>SUMPRODUCT(B66:J66,'Navy plan'!K66:'Navy plan'!S66)*maint_rate</x:f>
        <x:v>4.81025</x:v>
      </x:c>
      <x:c r="R66" s="53" t="n">
        <x:f>SUMPRODUCT(B66:J66,Levers!$C$193:$K$193)*Economy!H66</x:f>
        <x:v>2.5742</x:v>
      </x:c>
      <x:c r="S66" s="53" t="n">
        <x:f>SUMPRODUCT(B66:J66,Levers!$C$193:$K$193,Levers!$C$194:$K$194)*(1/oil_fuel-1)*Economy!H66</x:f>
        <x:v>1.0779085714285714</x:v>
      </x:c>
      <x:c r="T66" s="53" t="n">
        <x:f>S66+O66*sailor_pay*Economy!H66/1000000</x:f>
        <x:v>3.7517005714285716</x:v>
      </x:c>
      <x:c r="U66" s="53" t="n">
        <x:f>(P66+Q66+R66)*navy_overhead</x:f>
        <x:v>2.5717964999999996</x:v>
      </x:c>
      <x:c r="V66" s="53" t="n">
        <x:f>L66+P66+Q66+R66+U66</x:f>
        <x:v>34.497606499999996</x:v>
      </x:c>
      <x:c r="W66" s="69" t="n">
        <x:f>Japan!I66</x:f>
        <x:v>37</x:v>
      </x:c>
      <x:c r="X66" s="53" t="n">
        <x:f>IF($A66&gt;=1927,V66+W66,0)</x:f>
        <x:v>0</x:v>
      </x:c>
      <x:c r="Y66" s="53" t="n">
        <x:f>IF($A66&gt;=1927,pac_quota*X66,V66)</x:f>
        <x:v>34.497606499999996</x:v>
      </x:c>
      <x:c r="Z66" s="67" t="n">
        <x:f>SUMPRODUCT(B66:J66,Levers!$C$193:$K$193,Levers!$C$194:$K$194)/0.6</x:f>
        <x:v>4.966666666666667</x:v>
      </x:c>
      <x:c r="AA66" s="62" t="n">
        <x:f>H66</x:f>
        <x:v>3</x:v>
      </x:c>
      <x:c r="AB66" s="47" t="n">
        <x:f>AA66+'Navy plan'!T66</x:f>
        <x:v>3</x:v>
      </x:c>
      <x:c r="AC66" s="62" t="n">
        <x:f>'Navy plan'!U66</x:f>
        <x:v>1</x:v>
      </x:c>
      <x:c r="AD66" s="62" t="n">
        <x:f>'Navy plan'!V66</x:f>
        <x:v>0</x:v>
      </x:c>
      <x:c r="AE66" s="67" t="n">
        <x:f>IF(AC66&gt;0,AB66/AC66,0)</x:f>
        <x:v>3</x:v>
      </x:c>
    </x:row>
    <x:row r="67">
      <x:c r="A67" s="58" t="n">
        <x:v>1907</x:v>
      </x:c>
      <x:c r="B67" s="47" t="n">
        <x:f>B66+'Navy plan'!B67-IF($A67-Levers!$C$191&gt;=1846,INDEX('Navy plan'!B$6:B$92,$A67-1845-Levers!$C$191),0)</x:f>
        <x:v>1</x:v>
      </x:c>
      <x:c r="C67" s="47" t="n">
        <x:f>C66+'Navy plan'!C67-IF($A67-Levers!$D$191&gt;=1846,INDEX('Navy plan'!C$6:C$92,$A67-1845-Levers!$D$191),0)</x:f>
        <x:v>0</x:v>
      </x:c>
      <x:c r="D67" s="47" t="n">
        <x:f>D66+'Navy plan'!D67-IF($A67-Levers!$E$191&gt;=1846,INDEX('Navy plan'!D$6:D$92,$A67-1845-Levers!$E$191),0)</x:f>
        <x:v>0</x:v>
      </x:c>
      <x:c r="E67" s="47" t="n">
        <x:f>E66+'Navy plan'!E67-IF($A67-Levers!$F$191&gt;=1846,INDEX('Navy plan'!E$6:E$92,$A67-1845-Levers!$F$191),0)</x:f>
        <x:v>8</x:v>
      </x:c>
      <x:c r="F67" s="47" t="n">
        <x:f>F66+'Navy plan'!F67-IF($A67-Levers!$G$191&gt;=1846,INDEX('Navy plan'!F$6:F$92,$A67-1845-Levers!$G$191),0)</x:f>
        <x:v>45</x:v>
      </x:c>
      <x:c r="G67" s="47" t="n">
        <x:f>G66+'Navy plan'!G67-IF($A67-Levers!$H$191&gt;=1846,INDEX('Navy plan'!G$6:G$92,$A67-1845-Levers!$H$191),0)</x:f>
        <x:v>10</x:v>
      </x:c>
      <x:c r="H67" s="47" t="n">
        <x:f>H66+'Navy plan'!H67-IF($A67-Levers!$I$191&gt;=1846,INDEX('Navy plan'!H$6:H$92,$A67-1845-Levers!$I$191),0)</x:f>
        <x:v>4</x:v>
      </x:c>
      <x:c r="I67" s="47" t="n">
        <x:f>I66+'Navy plan'!I67-IF($A67-Levers!$J$191&gt;=1846,INDEX('Navy plan'!I$6:I$92,$A67-1845-Levers!$J$191),0)</x:f>
        <x:v>9</x:v>
      </x:c>
      <x:c r="J67" s="47" t="n">
        <x:f>J66+'Navy plan'!J67-IF($A67-Levers!$K$191&gt;=1846,INDEX('Navy plan'!J$6:J$92,$A67-1845-Levers!$K$191),0)</x:f>
        <x:v>0</x:v>
      </x:c>
      <x:c r="K67" s="47" t="n">
        <x:f>SUM(B67:J67)</x:f>
        <x:v>77</x:v>
      </x:c>
      <x:c r="L67" s="53" t="n">
        <x:f>0.5*SUMPRODUCT('Navy plan'!B67:'Navy plan'!J67,'Navy plan'!K67:'Navy plan'!S67)+0.5*SUMPRODUCT('Navy plan'!B68:'Navy plan'!J68,'Navy plan'!K68:'Navy plan'!S68)</x:f>
        <x:v>10.996</x:v>
      </x:c>
      <x:c r="M67" s="47" t="n">
        <x:f>SUMPRODUCT(B67:J67,Levers!$C$192:$K$192)</x:f>
        <x:v>14680</x:v>
      </x:c>
      <x:c r="N67" s="47" t="n">
        <x:f>SUMPRODUCT(B67:J67,Levers!$C$195:$K$195)</x:f>
        <x:v>18786.666666666668</x:v>
      </x:c>
      <x:c r="O67" s="47" t="n">
        <x:f>N67-M67</x:f>
        <x:v>4106.666666666668</x:v>
      </x:c>
      <x:c r="P67" s="53" t="n">
        <x:f>M67*sailor_pay*Economy!H67/1000000</x:f>
        <x:v>11.468016</x:v>
      </x:c>
      <x:c r="Q67" s="53" t="n">
        <x:f>SUMPRODUCT(B67:J67,'Navy plan'!K67:'Navy plan'!S67)*maint_rate</x:f>
        <x:v>5.967850000000001</x:v>
      </x:c>
      <x:c r="R67" s="53" t="n">
        <x:f>SUMPRODUCT(B67:J67,Levers!$C$193:$K$193)*Economy!H67</x:f>
        <x:v>3.0032799999999997</x:v>
      </x:c>
      <x:c r="S67" s="53" t="n">
        <x:f>SUMPRODUCT(B67:J67,Levers!$C$193:$K$193,Levers!$C$194:$K$194)*(1/oil_fuel-1)*Economy!H67</x:f>
        <x:v>1.27968</x:v>
      </x:c>
      <x:c r="T67" s="53" t="n">
        <x:f>S67+O67*sailor_pay*Economy!H67/1000000</x:f>
        <x:v>4.487808000000001</x:v>
      </x:c>
      <x:c r="U67" s="53" t="n">
        <x:f>(P67+Q67+R67)*navy_overhead</x:f>
        <x:v>3.0658719</x:v>
      </x:c>
      <x:c r="V67" s="53" t="n">
        <x:f>L67+P67+Q67+R67+U67</x:f>
        <x:v>34.5010179</x:v>
      </x:c>
      <x:c r="W67" s="69" t="n">
        <x:f>Japan!I67</x:f>
        <x:v>39</x:v>
      </x:c>
      <x:c r="X67" s="53" t="n">
        <x:f>IF($A67&gt;=1927,V67+W67,0)</x:f>
        <x:v>0</x:v>
      </x:c>
      <x:c r="Y67" s="53" t="n">
        <x:f>IF($A67&gt;=1927,pac_quota*X67,V67)</x:f>
        <x:v>34.5010179</x:v>
      </x:c>
      <x:c r="Z67" s="67" t="n">
        <x:f>SUMPRODUCT(B67:J67,Levers!$C$193:$K$193,Levers!$C$194:$K$194)/0.6</x:f>
        <x:v>5.7333333333333325</x:v>
      </x:c>
      <x:c r="AA67" s="62" t="n">
        <x:f>H67</x:f>
        <x:v>4</x:v>
      </x:c>
      <x:c r="AB67" s="47" t="n">
        <x:f>AA67+'Navy plan'!T67</x:f>
        <x:v>4</x:v>
      </x:c>
      <x:c r="AC67" s="62" t="n">
        <x:f>'Navy plan'!U67</x:f>
        <x:v>3</x:v>
      </x:c>
      <x:c r="AD67" s="62" t="n">
        <x:f>'Navy plan'!V67</x:f>
        <x:v>0</x:v>
      </x:c>
      <x:c r="AE67" s="67" t="n">
        <x:f>IF(AC67&gt;0,AB67/AC67,0)</x:f>
        <x:v>1.3333333333333333</x:v>
      </x:c>
    </x:row>
    <x:row r="68">
      <x:c r="A68" s="58" t="n">
        <x:v>1908</x:v>
      </x:c>
      <x:c r="B68" s="47" t="n">
        <x:f>B67+'Navy plan'!B68-IF($A68-Levers!$C$191&gt;=1846,INDEX('Navy plan'!B$6:B$92,$A68-1845-Levers!$C$191),0)</x:f>
        <x:v>1</x:v>
      </x:c>
      <x:c r="C68" s="47" t="n">
        <x:f>C67+'Navy plan'!C68-IF($A68-Levers!$D$191&gt;=1846,INDEX('Navy plan'!C$6:C$92,$A68-1845-Levers!$D$191),0)</x:f>
        <x:v>0</x:v>
      </x:c>
      <x:c r="D68" s="47" t="n">
        <x:f>D67+'Navy plan'!D68-IF($A68-Levers!$E$191&gt;=1846,INDEX('Navy plan'!D$6:D$92,$A68-1845-Levers!$E$191),0)</x:f>
        <x:v>0</x:v>
      </x:c>
      <x:c r="E68" s="47" t="n">
        <x:f>E67+'Navy plan'!E68-IF($A68-Levers!$F$191&gt;=1846,INDEX('Navy plan'!E$6:E$92,$A68-1845-Levers!$F$191),0)</x:f>
        <x:v>8</x:v>
      </x:c>
      <x:c r="F68" s="47" t="n">
        <x:f>F67+'Navy plan'!F68-IF($A68-Levers!$G$191&gt;=1846,INDEX('Navy plan'!F$6:F$92,$A68-1845-Levers!$G$191),0)</x:f>
        <x:v>49</x:v>
      </x:c>
      <x:c r="G68" s="47" t="n">
        <x:f>G67+'Navy plan'!G68-IF($A68-Levers!$H$191&gt;=1846,INDEX('Navy plan'!G$6:G$92,$A68-1845-Levers!$H$191),0)</x:f>
        <x:v>10</x:v>
      </x:c>
      <x:c r="H68" s="47" t="n">
        <x:f>H67+'Navy plan'!H68-IF($A68-Levers!$I$191&gt;=1846,INDEX('Navy plan'!H$6:H$92,$A68-1845-Levers!$I$191),0)</x:f>
        <x:v>4</x:v>
      </x:c>
      <x:c r="I68" s="47" t="n">
        <x:f>I67+'Navy plan'!I68-IF($A68-Levers!$J$191&gt;=1846,INDEX('Navy plan'!I$6:I$92,$A68-1845-Levers!$J$191),0)</x:f>
        <x:v>12</x:v>
      </x:c>
      <x:c r="J68" s="47" t="n">
        <x:f>J67+'Navy plan'!J68-IF($A68-Levers!$K$191&gt;=1846,INDEX('Navy plan'!J$6:J$92,$A68-1845-Levers!$K$191),0)</x:f>
        <x:v>0</x:v>
      </x:c>
      <x:c r="K68" s="47" t="n">
        <x:f>SUM(B68:J68)</x:f>
        <x:v>84</x:v>
      </x:c>
      <x:c r="L68" s="53" t="n">
        <x:f>0.5*SUMPRODUCT('Navy plan'!B68:'Navy plan'!J68,'Navy plan'!K68:'Navy plan'!S68)+0.5*SUMPRODUCT('Navy plan'!B69:'Navy plan'!J69,'Navy plan'!K69:'Navy plan'!S69)</x:f>
        <x:v>12.280999999999999</x:v>
      </x:c>
      <x:c r="M68" s="47" t="n">
        <x:f>SUMPRODUCT(B68:J68,Levers!$C$192:$K$192)</x:f>
        <x:v>15130</x:v>
      </x:c>
      <x:c r="N68" s="47" t="n">
        <x:f>SUMPRODUCT(B68:J68,Levers!$C$195:$K$195)</x:f>
        <x:v>19363.589743589742</x:v>
      </x:c>
      <x:c r="O68" s="47" t="n">
        <x:f>N68-M68</x:f>
        <x:v>4233.589743589742</x:v>
      </x:c>
      <x:c r="P68" s="53" t="n">
        <x:f>M68*sailor_pay*Economy!H68/1000000</x:f>
        <x:v>12.146364</x:v>
      </x:c>
      <x:c r="Q68" s="53" t="n">
        <x:f>SUMPRODUCT(B68:J68,'Navy plan'!K68:'Navy plan'!S68)*maint_rate</x:f>
        <x:v>6.4941</x:v>
      </x:c>
      <x:c r="R68" s="53" t="n">
        <x:f>SUMPRODUCT(B68:J68,Levers!$C$193:$K$193)*Economy!H68</x:f>
        <x:v>3.2201200000000005</x:v>
      </x:c>
      <x:c r="S68" s="53" t="n">
        <x:f>SUMPRODUCT(B68:J68,Levers!$C$193:$K$193,Levers!$C$194:$K$194)*(1/oil_fuel-1)*Economy!H68</x:f>
        <x:v>1.3724057142857145</x:v>
      </x:c>
      <x:c r="T68" s="53" t="n">
        <x:f>S68+O68*sailor_pay*Economy!H68/1000000</x:f>
        <x:v>4.771131560439559</x:v>
      </x:c>
      <x:c r="U68" s="53" t="n">
        <x:f>(P68+Q68+R68)*navy_overhead</x:f>
        <x:v>3.2790876000000004</x:v>
      </x:c>
      <x:c r="V68" s="53" t="n">
        <x:f>L68+P68+Q68+R68+U68</x:f>
        <x:v>37.42067159999999</x:v>
      </x:c>
      <x:c r="W68" s="69" t="n">
        <x:f>Japan!I68</x:f>
        <x:v>41</x:v>
      </x:c>
      <x:c r="X68" s="53" t="n">
        <x:f>IF($A68&gt;=1927,V68+W68,0)</x:f>
        <x:v>0</x:v>
      </x:c>
      <x:c r="Y68" s="53" t="n">
        <x:f>IF($A68&gt;=1927,pac_quota*X68,V68)</x:f>
        <x:v>37.42067159999999</x:v>
      </x:c>
      <x:c r="Z68" s="67" t="n">
        <x:f>SUMPRODUCT(B68:J68,Levers!$C$193:$K$193,Levers!$C$194:$K$194)/0.6</x:f>
        <x:v>5.983333333333333</x:v>
      </x:c>
      <x:c r="AA68" s="62" t="n">
        <x:f>H68</x:f>
        <x:v>4</x:v>
      </x:c>
      <x:c r="AB68" s="47" t="n">
        <x:f>AA68+'Navy plan'!T68</x:f>
        <x:v>4</x:v>
      </x:c>
      <x:c r="AC68" s="62" t="n">
        <x:f>'Navy plan'!U68</x:f>
        <x:v>5</x:v>
      </x:c>
      <x:c r="AD68" s="62" t="n">
        <x:f>'Navy plan'!V68</x:f>
        <x:v>0</x:v>
      </x:c>
      <x:c r="AE68" s="67" t="n">
        <x:f>IF(AC68&gt;0,AB68/AC68,0)</x:f>
        <x:v>0.8</x:v>
      </x:c>
    </x:row>
    <x:row r="69">
      <x:c r="A69" s="58" t="n">
        <x:v>1909</x:v>
      </x:c>
      <x:c r="B69" s="47" t="n">
        <x:f>B68+'Navy plan'!B69-IF($A69-Levers!$C$191&gt;=1846,INDEX('Navy plan'!B$6:B$92,$A69-1845-Levers!$C$191),0)</x:f>
        <x:v>0</x:v>
      </x:c>
      <x:c r="C69" s="47" t="n">
        <x:f>C68+'Navy plan'!C69-IF($A69-Levers!$D$191&gt;=1846,INDEX('Navy plan'!C$6:C$92,$A69-1845-Levers!$D$191),0)</x:f>
        <x:v>0</x:v>
      </x:c>
      <x:c r="D69" s="47" t="n">
        <x:f>D68+'Navy plan'!D69-IF($A69-Levers!$E$191&gt;=1846,INDEX('Navy plan'!D$6:D$92,$A69-1845-Levers!$E$191),0)</x:f>
        <x:v>0</x:v>
      </x:c>
      <x:c r="E69" s="47" t="n">
        <x:f>E68+'Navy plan'!E69-IF($A69-Levers!$F$191&gt;=1846,INDEX('Navy plan'!E$6:E$92,$A69-1845-Levers!$F$191),0)</x:f>
        <x:v>8</x:v>
      </x:c>
      <x:c r="F69" s="47" t="n">
        <x:f>F68+'Navy plan'!F69-IF($A69-Levers!$G$191&gt;=1846,INDEX('Navy plan'!F$6:F$92,$A69-1845-Levers!$G$191),0)</x:f>
        <x:v>53</x:v>
      </x:c>
      <x:c r="G69" s="47" t="n">
        <x:f>G68+'Navy plan'!G69-IF($A69-Levers!$H$191&gt;=1846,INDEX('Navy plan'!G$6:G$92,$A69-1845-Levers!$H$191),0)</x:f>
        <x:v>12</x:v>
      </x:c>
      <x:c r="H69" s="47" t="n">
        <x:f>H68+'Navy plan'!H69-IF($A69-Levers!$I$191&gt;=1846,INDEX('Navy plan'!H$6:H$92,$A69-1845-Levers!$I$191),0)</x:f>
        <x:v>5</x:v>
      </x:c>
      <x:c r="I69" s="47" t="n">
        <x:f>I68+'Navy plan'!I69-IF($A69-Levers!$J$191&gt;=1846,INDEX('Navy plan'!I$6:I$92,$A69-1845-Levers!$J$191),0)</x:f>
        <x:v>12</x:v>
      </x:c>
      <x:c r="J69" s="47" t="n">
        <x:f>J68+'Navy plan'!J69-IF($A69-Levers!$K$191&gt;=1846,INDEX('Navy plan'!J$6:J$92,$A69-1845-Levers!$K$191),0)</x:f>
        <x:v>0</x:v>
      </x:c>
      <x:c r="K69" s="47" t="n">
        <x:f>SUM(B69:J69)</x:f>
        <x:v>90</x:v>
      </x:c>
      <x:c r="L69" s="53" t="n">
        <x:f>0.5*SUMPRODUCT('Navy plan'!B69:'Navy plan'!J69,'Navy plan'!K69:'Navy plan'!S69)+0.5*SUMPRODUCT('Navy plan'!B70:'Navy plan'!J70,'Navy plan'!K70:'Navy plan'!S70)</x:f>
        <x:v>18.195</x:v>
      </x:c>
      <x:c r="M69" s="47" t="n">
        <x:f>SUMPRODUCT(B69:J69,Levers!$C$192:$K$192)</x:f>
        <x:v>17170</x:v>
      </x:c>
      <x:c r="N69" s="47" t="n">
        <x:f>SUMPRODUCT(B69:J69,Levers!$C$195:$K$195)</x:f>
        <x:v>22012.82051282051</x:v>
      </x:c>
      <x:c r="O69" s="47" t="n">
        <x:f>N69-M69</x:f>
        <x:v>4842.820512820512</x:v>
      </x:c>
      <x:c r="P69" s="53" t="n">
        <x:f>M69*sailor_pay*Economy!H69/1000000</x:f>
        <x:v>14.154948</x:v>
      </x:c>
      <x:c r="Q69" s="53" t="n">
        <x:f>SUMPRODUCT(B69:J69,'Navy plan'!K69:'Navy plan'!S69)*maint_rate</x:f>
        <x:v>7.8566</x:v>
      </x:c>
      <x:c r="R69" s="53" t="n">
        <x:f>SUMPRODUCT(B69:J69,Levers!$C$193:$K$193)*Economy!H69</x:f>
        <x:v>3.7281199999999997</x:v>
      </x:c>
      <x:c r="S69" s="53" t="n">
        <x:f>SUMPRODUCT(B69:J69,Levers!$C$193:$K$193,Levers!$C$194:$K$194)*(1/oil_fuel-1)*Economy!H69</x:f>
        <x:v>1.5977657142857142</x:v>
      </x:c>
      <x:c r="T69" s="53" t="n">
        <x:f>S69+O69*sailor_pay*Economy!H69/1000000</x:f>
        <x:v>5.590186945054945</x:v>
      </x:c>
      <x:c r="U69" s="53" t="n">
        <x:f>(P69+Q69+R69)*navy_overhead</x:f>
        <x:v>3.8609501999999996</x:v>
      </x:c>
      <x:c r="V69" s="53" t="n">
        <x:f>L69+P69+Q69+R69+U69</x:f>
        <x:v>47.79561819999999</x:v>
      </x:c>
      <x:c r="W69" s="69" t="n">
        <x:f>Japan!I69</x:f>
        <x:v>43</x:v>
      </x:c>
      <x:c r="X69" s="53" t="n">
        <x:f>IF($A69&gt;=1927,V69+W69,0)</x:f>
        <x:v>0</x:v>
      </x:c>
      <x:c r="Y69" s="53" t="n">
        <x:f>IF($A69&gt;=1927,pac_quota*X69,V69)</x:f>
        <x:v>47.79561819999999</x:v>
      </x:c>
      <x:c r="Z69" s="67" t="n">
        <x:f>SUMPRODUCT(B69:J69,Levers!$C$193:$K$193,Levers!$C$194:$K$194)/0.6</x:f>
        <x:v>6.783333333333332</x:v>
      </x:c>
      <x:c r="AA69" s="62" t="n">
        <x:f>H69</x:f>
        <x:v>5</x:v>
      </x:c>
      <x:c r="AB69" s="47" t="n">
        <x:f>AA69+'Navy plan'!T69</x:f>
        <x:v>5</x:v>
      </x:c>
      <x:c r="AC69" s="62" t="n">
        <x:f>'Navy plan'!U69</x:f>
        <x:v>8</x:v>
      </x:c>
      <x:c r="AD69" s="62" t="n">
        <x:f>'Navy plan'!V69</x:f>
        <x:v>0</x:v>
      </x:c>
      <x:c r="AE69" s="67" t="n">
        <x:f>IF(AC69&gt;0,AB69/AC69,0)</x:f>
        <x:v>0.625</x:v>
      </x:c>
    </x:row>
    <x:row r="70">
      <x:c r="A70" s="58" t="n">
        <x:v>1910</x:v>
      </x:c>
      <x:c r="B70" s="47" t="n">
        <x:f>B69+'Navy plan'!B70-IF($A70-Levers!$C$191&gt;=1846,INDEX('Navy plan'!B$6:B$92,$A70-1845-Levers!$C$191),0)</x:f>
        <x:v>0</x:v>
      </x:c>
      <x:c r="C70" s="47" t="n">
        <x:f>C69+'Navy plan'!C70-IF($A70-Levers!$D$191&gt;=1846,INDEX('Navy plan'!C$6:C$92,$A70-1845-Levers!$D$191),0)</x:f>
        <x:v>0</x:v>
      </x:c>
      <x:c r="D70" s="47" t="n">
        <x:f>D69+'Navy plan'!D70-IF($A70-Levers!$E$191&gt;=1846,INDEX('Navy plan'!D$6:D$92,$A70-1845-Levers!$E$191),0)</x:f>
        <x:v>0</x:v>
      </x:c>
      <x:c r="E70" s="47" t="n">
        <x:f>E69+'Navy plan'!E70-IF($A70-Levers!$F$191&gt;=1846,INDEX('Navy plan'!E$6:E$92,$A70-1845-Levers!$F$191),0)</x:f>
        <x:v>8</x:v>
      </x:c>
      <x:c r="F70" s="47" t="n">
        <x:f>F69+'Navy plan'!F70-IF($A70-Levers!$G$191&gt;=1846,INDEX('Navy plan'!F$6:F$92,$A70-1845-Levers!$G$191),0)</x:f>
        <x:v>57</x:v>
      </x:c>
      <x:c r="G70" s="47" t="n">
        <x:f>G69+'Navy plan'!G70-IF($A70-Levers!$H$191&gt;=1846,INDEX('Navy plan'!G$6:G$92,$A70-1845-Levers!$H$191),0)</x:f>
        <x:v>12</x:v>
      </x:c>
      <x:c r="H70" s="47" t="n">
        <x:f>H69+'Navy plan'!H70-IF($A70-Levers!$I$191&gt;=1846,INDEX('Navy plan'!H$6:H$92,$A70-1845-Levers!$I$191),0)</x:f>
        <x:v>6</x:v>
      </x:c>
      <x:c r="I70" s="47" t="n">
        <x:f>I69+'Navy plan'!I70-IF($A70-Levers!$J$191&gt;=1846,INDEX('Navy plan'!I$6:I$92,$A70-1845-Levers!$J$191),0)</x:f>
        <x:v>16</x:v>
      </x:c>
      <x:c r="J70" s="47" t="n">
        <x:f>J69+'Navy plan'!J70-IF($A70-Levers!$K$191&gt;=1846,INDEX('Navy plan'!J$6:J$92,$A70-1845-Levers!$K$191),0)</x:f>
        <x:v>0</x:v>
      </x:c>
      <x:c r="K70" s="47" t="n">
        <x:f>SUM(B70:J70)</x:f>
        <x:v>99</x:v>
      </x:c>
      <x:c r="L70" s="53" t="n">
        <x:f>0.5*SUMPRODUCT('Navy plan'!B70:'Navy plan'!J70,'Navy plan'!K70:'Navy plan'!S70)+0.5*SUMPRODUCT('Navy plan'!B71:'Navy plan'!J71,'Navy plan'!K71:'Navy plan'!S71)</x:f>
        <x:v>19.659</x:v>
      </x:c>
      <x:c r="M70" s="47" t="n">
        <x:f>SUMPRODUCT(B70:J70,Levers!$C$192:$K$192)</x:f>
        <x:v>18650</x:v>
      </x:c>
      <x:c r="N70" s="47" t="n">
        <x:f>SUMPRODUCT(B70:J70,Levers!$C$195:$K$195)</x:f>
        <x:v>23910.256410256414</x:v>
      </x:c>
      <x:c r="O70" s="47" t="n">
        <x:f>N70-M70</x:f>
        <x:v>5260.256410256414</x:v>
      </x:c>
      <x:c r="P70" s="53" t="n">
        <x:f>M70*sailor_pay*Economy!H70/1000000</x:f>
        <x:v>15.7779</x:v>
      </x:c>
      <x:c r="Q70" s="53" t="n">
        <x:f>SUMPRODUCT(B70:J70,'Navy plan'!K70:'Navy plan'!S70)*maint_rate</x:f>
        <x:v>9.0493</x:v>
      </x:c>
      <x:c r="R70" s="53" t="n">
        <x:f>SUMPRODUCT(B70:J70,Levers!$C$193:$K$193)*Economy!H70</x:f>
        <x:v>4.164199999999999</x:v>
      </x:c>
      <x:c r="S70" s="53" t="n">
        <x:f>SUMPRODUCT(B70:J70,Levers!$C$193:$K$193,Levers!$C$194:$K$194)*(1/oil_fuel-1)*Economy!H70</x:f>
        <x:v>1.7846571428571427</x:v>
      </x:c>
      <x:c r="T70" s="53" t="n">
        <x:f>S70+O70*sailor_pay*Economy!H70/1000000</x:f>
        <x:v>6.234834065934068</x:v>
      </x:c>
      <x:c r="U70" s="53" t="n">
        <x:f>(P70+Q70+R70)*navy_overhead</x:f>
        <x:v>4.34871</x:v>
      </x:c>
      <x:c r="V70" s="53" t="n">
        <x:f>L70+P70+Q70+R70+U70</x:f>
        <x:v>52.99911</x:v>
      </x:c>
      <x:c r="W70" s="69" t="n">
        <x:f>Japan!I70</x:f>
        <x:v>45</x:v>
      </x:c>
      <x:c r="X70" s="53" t="n">
        <x:f>IF($A70&gt;=1927,V70+W70,0)</x:f>
        <x:v>0</x:v>
      </x:c>
      <x:c r="Y70" s="53" t="n">
        <x:f>IF($A70&gt;=1927,pac_quota*X70,V70)</x:f>
        <x:v>52.99911</x:v>
      </x:c>
      <x:c r="Z70" s="67" t="n">
        <x:f>SUMPRODUCT(B70:J70,Levers!$C$193:$K$193,Levers!$C$194:$K$194)/0.6</x:f>
        <x:v>7.383333333333333</x:v>
      </x:c>
      <x:c r="AA70" s="62" t="n">
        <x:f>H70</x:f>
        <x:v>6</x:v>
      </x:c>
      <x:c r="AB70" s="47" t="n">
        <x:f>AA70+'Navy plan'!T70</x:f>
        <x:v>8</x:v>
      </x:c>
      <x:c r="AC70" s="62" t="n">
        <x:f>'Navy plan'!U70</x:f>
        <x:v>10</x:v>
      </x:c>
      <x:c r="AD70" s="62" t="n">
        <x:f>'Navy plan'!V70</x:f>
        <x:v>4</x:v>
      </x:c>
      <x:c r="AE70" s="67" t="n">
        <x:f>IF(AC70&gt;0,AB70/AC70,0)</x:f>
        <x:v>0.8</x:v>
      </x:c>
    </x:row>
    <x:row r="71">
      <x:c r="A71" s="58" t="n">
        <x:v>1911</x:v>
      </x:c>
      <x:c r="B71" s="47" t="n">
        <x:f>B70+'Navy plan'!B71-IF($A71-Levers!$C$191&gt;=1846,INDEX('Navy plan'!B$6:B$92,$A71-1845-Levers!$C$191),0)</x:f>
        <x:v>0</x:v>
      </x:c>
      <x:c r="C71" s="47" t="n">
        <x:f>C70+'Navy plan'!C71-IF($A71-Levers!$D$191&gt;=1846,INDEX('Navy plan'!C$6:C$92,$A71-1845-Levers!$D$191),0)</x:f>
        <x:v>0</x:v>
      </x:c>
      <x:c r="D71" s="47" t="n">
        <x:f>D70+'Navy plan'!D71-IF($A71-Levers!$E$191&gt;=1846,INDEX('Navy plan'!D$6:D$92,$A71-1845-Levers!$E$191),0)</x:f>
        <x:v>0</x:v>
      </x:c>
      <x:c r="E71" s="47" t="n">
        <x:f>E70+'Navy plan'!E71-IF($A71-Levers!$F$191&gt;=1846,INDEX('Navy plan'!E$6:E$92,$A71-1845-Levers!$F$191),0)</x:f>
        <x:v>8</x:v>
      </x:c>
      <x:c r="F71" s="47" t="n">
        <x:f>F70+'Navy plan'!F71-IF($A71-Levers!$G$191&gt;=1846,INDEX('Navy plan'!F$6:F$92,$A71-1845-Levers!$G$191),0)</x:f>
        <x:v>61</x:v>
      </x:c>
      <x:c r="G71" s="47" t="n">
        <x:f>G70+'Navy plan'!G71-IF($A71-Levers!$H$191&gt;=1846,INDEX('Navy plan'!G$6:G$92,$A71-1845-Levers!$H$191),0)</x:f>
        <x:v>14</x:v>
      </x:c>
      <x:c r="H71" s="47" t="n">
        <x:f>H70+'Navy plan'!H71-IF($A71-Levers!$I$191&gt;=1846,INDEX('Navy plan'!H$6:H$92,$A71-1845-Levers!$I$191),0)</x:f>
        <x:v>7</x:v>
      </x:c>
      <x:c r="I71" s="47" t="n">
        <x:f>I70+'Navy plan'!I71-IF($A71-Levers!$J$191&gt;=1846,INDEX('Navy plan'!I$6:I$92,$A71-1845-Levers!$J$191),0)</x:f>
        <x:v>16</x:v>
      </x:c>
      <x:c r="J71" s="47" t="n">
        <x:f>J70+'Navy plan'!J71-IF($A71-Levers!$K$191&gt;=1846,INDEX('Navy plan'!J$6:J$92,$A71-1845-Levers!$K$191),0)</x:f>
        <x:v>0</x:v>
      </x:c>
      <x:c r="K71" s="47" t="n">
        <x:f>SUM(B71:J71)</x:f>
        <x:v>106</x:v>
      </x:c>
      <x:c r="L71" s="53" t="n">
        <x:f>0.5*SUMPRODUCT('Navy plan'!B71:'Navy plan'!J71,'Navy plan'!K71:'Navy plan'!S71)+0.5*SUMPRODUCT('Navy plan'!B72:'Navy plan'!J72,'Navy plan'!K72:'Navy plan'!S72)</x:f>
        <x:v>21.383000000000003</x:v>
      </x:c>
      <x:c r="M71" s="47" t="n">
        <x:f>SUMPRODUCT(B71:J71,Levers!$C$192:$K$192)</x:f>
        <x:v>20810</x:v>
      </x:c>
      <x:c r="N71" s="47" t="n">
        <x:f>SUMPRODUCT(B71:J71,Levers!$C$195:$K$195)</x:f>
        <x:v>26679.48717948718</x:v>
      </x:c>
      <x:c r="O71" s="47" t="n">
        <x:f>N71-M71</x:f>
        <x:v>5869.48717948718</x:v>
      </x:c>
      <x:c r="P71" s="53" t="n">
        <x:f>M71*sailor_pay*Economy!H71/1000000</x:f>
        <x:v>17.97984</x:v>
      </x:c>
      <x:c r="Q71" s="53" t="n">
        <x:f>SUMPRODUCT(B71:J71,'Navy plan'!K71:'Navy plan'!S71)*maint_rate</x:f>
        <x:v>10.96475</x:v>
      </x:c>
      <x:c r="R71" s="53" t="n">
        <x:f>SUMPRODUCT(B71:J71,Levers!$C$193:$K$193)*Economy!H71</x:f>
        <x:v>4.7136</x:v>
      </x:c>
      <x:c r="S71" s="53" t="n">
        <x:f>SUMPRODUCT(B71:J71,Levers!$C$193:$K$193,Levers!$C$194:$K$194)*(1/oil_fuel-1)*Economy!H71</x:f>
        <x:v>2.020114285714286</x:v>
      </x:c>
      <x:c r="T71" s="53" t="n">
        <x:f>S71+O71*sailor_pay*Economy!H71/1000000</x:f>
        <x:v>7.09135120879121</x:v>
      </x:c>
      <x:c r="U71" s="53" t="n">
        <x:f>(P71+Q71+R71)*navy_overhead</x:f>
        <x:v>5.048728499999999</x:v>
      </x:c>
      <x:c r="V71" s="53" t="n">
        <x:f>L71+P71+Q71+R71+U71</x:f>
        <x:v>60.08991850000001</x:v>
      </x:c>
      <x:c r="W71" s="69" t="n">
        <x:f>Japan!I71</x:f>
        <x:v>46.7</x:v>
      </x:c>
      <x:c r="X71" s="53" t="n">
        <x:f>IF($A71&gt;=1927,V71+W71,0)</x:f>
        <x:v>0</x:v>
      </x:c>
      <x:c r="Y71" s="53" t="n">
        <x:f>IF($A71&gt;=1927,pac_quota*X71,V71)</x:f>
        <x:v>60.08991850000001</x:v>
      </x:c>
      <x:c r="Z71" s="67" t="n">
        <x:f>SUMPRODUCT(B71:J71,Levers!$C$193:$K$193,Levers!$C$194:$K$194)/0.6</x:f>
        <x:v>8.183333333333334</x:v>
      </x:c>
      <x:c r="AA71" s="62" t="n">
        <x:f>H71</x:f>
        <x:v>7</x:v>
      </x:c>
      <x:c r="AB71" s="47" t="n">
        <x:f>AA71+'Navy plan'!T71</x:f>
        <x:v>9</x:v>
      </x:c>
      <x:c r="AC71" s="62" t="n">
        <x:f>'Navy plan'!U71</x:f>
        <x:v>14</x:v>
      </x:c>
      <x:c r="AD71" s="62" t="n">
        <x:f>'Navy plan'!V71</x:f>
        <x:v>4</x:v>
      </x:c>
      <x:c r="AE71" s="67" t="n">
        <x:f>IF(AC71&gt;0,AB71/AC71,0)</x:f>
        <x:v>0.6428571428571429</x:v>
      </x:c>
    </x:row>
    <x:row r="72">
      <x:c r="A72" s="58" t="n">
        <x:v>1912</x:v>
      </x:c>
      <x:c r="B72" s="47" t="n">
        <x:f>B71+'Navy plan'!B72-IF($A72-Levers!$C$191&gt;=1846,INDEX('Navy plan'!B$6:B$92,$A72-1845-Levers!$C$191),0)</x:f>
        <x:v>0</x:v>
      </x:c>
      <x:c r="C72" s="47" t="n">
        <x:f>C71+'Navy plan'!C72-IF($A72-Levers!$D$191&gt;=1846,INDEX('Navy plan'!C$6:C$92,$A72-1845-Levers!$D$191),0)</x:f>
        <x:v>0</x:v>
      </x:c>
      <x:c r="D72" s="47" t="n">
        <x:f>D71+'Navy plan'!D72-IF($A72-Levers!$E$191&gt;=1846,INDEX('Navy plan'!D$6:D$92,$A72-1845-Levers!$E$191),0)</x:f>
        <x:v>0</x:v>
      </x:c>
      <x:c r="E72" s="47" t="n">
        <x:f>E71+'Navy plan'!E72-IF($A72-Levers!$F$191&gt;=1846,INDEX('Navy plan'!E$6:E$92,$A72-1845-Levers!$F$191),0)</x:f>
        <x:v>6</x:v>
      </x:c>
      <x:c r="F72" s="47" t="n">
        <x:f>F71+'Navy plan'!F72-IF($A72-Levers!$G$191&gt;=1846,INDEX('Navy plan'!F$6:F$92,$A72-1845-Levers!$G$191),0)</x:f>
        <x:v>63</x:v>
      </x:c>
      <x:c r="G72" s="47" t="n">
        <x:f>G71+'Navy plan'!G72-IF($A72-Levers!$H$191&gt;=1846,INDEX('Navy plan'!G$6:G$92,$A72-1845-Levers!$H$191),0)</x:f>
        <x:v>14</x:v>
      </x:c>
      <x:c r="H72" s="47" t="n">
        <x:f>H71+'Navy plan'!H72-IF($A72-Levers!$I$191&gt;=1846,INDEX('Navy plan'!H$6:H$92,$A72-1845-Levers!$I$191),0)</x:f>
        <x:v>8</x:v>
      </x:c>
      <x:c r="I72" s="47" t="n">
        <x:f>I71+'Navy plan'!I72-IF($A72-Levers!$J$191&gt;=1846,INDEX('Navy plan'!I$6:I$92,$A72-1845-Levers!$J$191),0)</x:f>
        <x:v>20</x:v>
      </x:c>
      <x:c r="J72" s="47" t="n">
        <x:f>J71+'Navy plan'!J72-IF($A72-Levers!$K$191&gt;=1846,INDEX('Navy plan'!J$6:J$92,$A72-1845-Levers!$K$191),0)</x:f>
        <x:v>0</x:v>
      </x:c>
      <x:c r="K72" s="47" t="n">
        <x:f>SUM(B72:J72)</x:f>
        <x:v>111</x:v>
      </x:c>
      <x:c r="L72" s="53" t="n">
        <x:f>0.5*SUMPRODUCT('Navy plan'!B72:'Navy plan'!J72,'Navy plan'!K72:'Navy plan'!S72)+0.5*SUMPRODUCT('Navy plan'!B73:'Navy plan'!J73,'Navy plan'!K73:'Navy plan'!S73)</x:f>
        <x:v>23.024</x:v>
      </x:c>
      <x:c r="M72" s="47" t="n">
        <x:f>SUMPRODUCT(B72:J72,Levers!$C$192:$K$192)</x:f>
        <x:v>21550</x:v>
      </x:c>
      <x:c r="N72" s="47" t="n">
        <x:f>SUMPRODUCT(B72:J72,Levers!$C$195:$K$195)</x:f>
        <x:v>27628.20512820513</x:v>
      </x:c>
      <x:c r="O72" s="47" t="n">
        <x:f>N72-M72</x:f>
        <x:v>6078.205128205129</x:v>
      </x:c>
      <x:c r="P72" s="53" t="n">
        <x:f>M72*sailor_pay*Economy!H72/1000000</x:f>
        <x:v>19.0071</x:v>
      </x:c>
      <x:c r="Q72" s="53" t="n">
        <x:f>SUMPRODUCT(B72:J72,'Navy plan'!K72:'Navy plan'!S72)*maint_rate</x:f>
        <x:v>12.372450000000002</x:v>
      </x:c>
      <x:c r="R72" s="53" t="n">
        <x:f>SUMPRODUCT(B72:J72,Levers!$C$193:$K$193)*Economy!H72</x:f>
        <x:v>5.0078000000000005</x:v>
      </x:c>
      <x:c r="S72" s="53" t="n">
        <x:f>SUMPRODUCT(B72:J72,Levers!$C$193:$K$193,Levers!$C$194:$K$194)*(1/oil_fuel-1)*Economy!H72</x:f>
        <x:v>2.1462000000000003</x:v>
      </x:c>
      <x:c r="T72" s="53" t="n">
        <x:f>S72+O72*sailor_pay*Economy!H72/1000000</x:f>
        <x:v>7.5071769230769245</x:v>
      </x:c>
      <x:c r="U72" s="53" t="n">
        <x:f>(P72+Q72+R72)*navy_overhead</x:f>
        <x:v>5.458102500000001</x:v>
      </x:c>
      <x:c r="V72" s="53" t="n">
        <x:f>L72+P72+Q72+R72+U72</x:f>
        <x:v>64.86945250000001</x:v>
      </x:c>
      <x:c r="W72" s="69" t="n">
        <x:f>Japan!I72</x:f>
        <x:v>48.3</x:v>
      </x:c>
      <x:c r="X72" s="53" t="n">
        <x:f>IF($A72&gt;=1927,V72+W72,0)</x:f>
        <x:v>0</x:v>
      </x:c>
      <x:c r="Y72" s="53" t="n">
        <x:f>IF($A72&gt;=1927,pac_quota*X72,V72)</x:f>
        <x:v>64.86945250000001</x:v>
      </x:c>
      <x:c r="Z72" s="67" t="n">
        <x:f>SUMPRODUCT(B72:J72,Levers!$C$193:$K$193,Levers!$C$194:$K$194)/0.6</x:f>
        <x:v>8.516666666666667</x:v>
      </x:c>
      <x:c r="AA72" s="62" t="n">
        <x:f>H72</x:f>
        <x:v>8</x:v>
      </x:c>
      <x:c r="AB72" s="47" t="n">
        <x:f>AA72+'Navy plan'!T72</x:f>
        <x:v>11</x:v>
      </x:c>
      <x:c r="AC72" s="62" t="n">
        <x:f>'Navy plan'!U72</x:f>
        <x:v>18</x:v>
      </x:c>
      <x:c r="AD72" s="62" t="n">
        <x:f>'Navy plan'!V72</x:f>
        <x:v>6</x:v>
      </x:c>
      <x:c r="AE72" s="67" t="n">
        <x:f>IF(AC72&gt;0,AB72/AC72,0)</x:f>
        <x:v>0.6111111111111112</x:v>
      </x:c>
    </x:row>
    <x:row r="73">
      <x:c r="A73" s="58" t="n">
        <x:v>1913</x:v>
      </x:c>
      <x:c r="B73" s="47" t="n">
        <x:f>B72+'Navy plan'!B73-IF($A73-Levers!$C$191&gt;=1846,INDEX('Navy plan'!B$6:B$92,$A73-1845-Levers!$C$191),0)</x:f>
        <x:v>0</x:v>
      </x:c>
      <x:c r="C73" s="47" t="n">
        <x:f>C72+'Navy plan'!C73-IF($A73-Levers!$D$191&gt;=1846,INDEX('Navy plan'!C$6:C$92,$A73-1845-Levers!$D$191),0)</x:f>
        <x:v>0</x:v>
      </x:c>
      <x:c r="D73" s="47" t="n">
        <x:f>D72+'Navy plan'!D73-IF($A73-Levers!$E$191&gt;=1846,INDEX('Navy plan'!D$6:D$92,$A73-1845-Levers!$E$191),0)</x:f>
        <x:v>0</x:v>
      </x:c>
      <x:c r="E73" s="47" t="n">
        <x:f>E72+'Navy plan'!E73-IF($A73-Levers!$F$191&gt;=1846,INDEX('Navy plan'!E$6:E$92,$A73-1845-Levers!$F$191),0)</x:f>
        <x:v>6</x:v>
      </x:c>
      <x:c r="F73" s="47" t="n">
        <x:f>F72+'Navy plan'!F73-IF($A73-Levers!$G$191&gt;=1846,INDEX('Navy plan'!F$6:F$92,$A73-1845-Levers!$G$191),0)</x:f>
        <x:v>64</x:v>
      </x:c>
      <x:c r="G73" s="47" t="n">
        <x:f>G72+'Navy plan'!G73-IF($A73-Levers!$H$191&gt;=1846,INDEX('Navy plan'!G$6:G$92,$A73-1845-Levers!$H$191),0)</x:f>
        <x:v>16</x:v>
      </x:c>
      <x:c r="H73" s="47" t="n">
        <x:f>H72+'Navy plan'!H73-IF($A73-Levers!$I$191&gt;=1846,INDEX('Navy plan'!H$6:H$92,$A73-1845-Levers!$I$191),0)</x:f>
        <x:v>9</x:v>
      </x:c>
      <x:c r="I73" s="47" t="n">
        <x:f>I72+'Navy plan'!I73-IF($A73-Levers!$J$191&gt;=1846,INDEX('Navy plan'!I$6:I$92,$A73-1845-Levers!$J$191),0)</x:f>
        <x:v>20</x:v>
      </x:c>
      <x:c r="J73" s="47" t="n">
        <x:f>J72+'Navy plan'!J73-IF($A73-Levers!$K$191&gt;=1846,INDEX('Navy plan'!J$6:J$92,$A73-1845-Levers!$K$191),0)</x:f>
        <x:v>0</x:v>
      </x:c>
      <x:c r="K73" s="47" t="n">
        <x:f>SUM(B73:J73)</x:f>
        <x:v>115</x:v>
      </x:c>
      <x:c r="L73" s="53" t="n">
        <x:f>0.5*SUMPRODUCT('Navy plan'!B73:'Navy plan'!J73,'Navy plan'!K73:'Navy plan'!S73)+0.5*SUMPRODUCT('Navy plan'!B74:'Navy plan'!J74,'Navy plan'!K74:'Navy plan'!S74)</x:f>
        <x:v>27.134999999999998</x:v>
      </x:c>
      <x:c r="M73" s="47" t="n">
        <x:f>SUMPRODUCT(B73:J73,Levers!$C$192:$K$192)</x:f>
        <x:v>23440</x:v>
      </x:c>
      <x:c r="N73" s="47" t="n">
        <x:f>SUMPRODUCT(B73:J73,Levers!$C$195:$K$195)</x:f>
        <x:v>30051.28205128205</x:v>
      </x:c>
      <x:c r="O73" s="47" t="n">
        <x:f>N73-M73</x:f>
        <x:v>6611.282051282051</x:v>
      </x:c>
      <x:c r="P73" s="53" t="n">
        <x:f>M73*sailor_pay*Economy!H73/1000000</x:f>
        <x:v>21.096</x:v>
      </x:c>
      <x:c r="Q73" s="53" t="n">
        <x:f>SUMPRODUCT(B73:J73,'Navy plan'!K73:'Navy plan'!S73)*maint_rate</x:f>
        <x:v>14.483000000000002</x:v>
      </x:c>
      <x:c r="R73" s="53" t="n">
        <x:f>SUMPRODUCT(B73:J73,Levers!$C$193:$K$193)*Economy!H73</x:f>
        <x:v>5.5</x:v>
      </x:c>
      <x:c r="S73" s="53" t="n">
        <x:f>SUMPRODUCT(B73:J73,Levers!$C$193:$K$193,Levers!$C$194:$K$194)*(1/oil_fuel-1)*Economy!H73</x:f>
        <x:v>2.357142857142857</x:v>
      </x:c>
      <x:c r="T73" s="53" t="n">
        <x:f>S73+O73*sailor_pay*Economy!H73/1000000</x:f>
        <x:v>8.307296703296704</x:v>
      </x:c>
      <x:c r="U73" s="53" t="n">
        <x:f>(P73+Q73+R73)*navy_overhead</x:f>
        <x:v>6.16185</x:v>
      </x:c>
      <x:c r="V73" s="53" t="n">
        <x:f>L73+P73+Q73+R73+U73</x:f>
        <x:v>74.37585</x:v>
      </x:c>
      <x:c r="W73" s="69" t="n">
        <x:f>Japan!I73</x:f>
        <x:v>50</x:v>
      </x:c>
      <x:c r="X73" s="53" t="n">
        <x:f>IF($A73&gt;=1927,V73+W73,0)</x:f>
        <x:v>0</x:v>
      </x:c>
      <x:c r="Y73" s="53" t="n">
        <x:f>IF($A73&gt;=1927,pac_quota*X73,V73)</x:f>
        <x:v>74.37585</x:v>
      </x:c>
      <x:c r="Z73" s="67" t="n">
        <x:f>SUMPRODUCT(B73:J73,Levers!$C$193:$K$193,Levers!$C$194:$K$194)/0.6</x:f>
        <x:v>9.166666666666668</x:v>
      </x:c>
      <x:c r="AA73" s="62" t="n">
        <x:f>H73</x:f>
        <x:v>9</x:v>
      </x:c>
      <x:c r="AB73" s="47" t="n">
        <x:f>AA73+'Navy plan'!T73</x:f>
        <x:v>13</x:v>
      </x:c>
      <x:c r="AC73" s="62" t="n">
        <x:f>'Navy plan'!U73</x:f>
        <x:v>22</x:v>
      </x:c>
      <x:c r="AD73" s="62" t="n">
        <x:f>'Navy plan'!V73</x:f>
        <x:v>6</x:v>
      </x:c>
      <x:c r="AE73" s="67" t="n">
        <x:f>IF(AC73&gt;0,AB73/AC73,0)</x:f>
        <x:v>0.5909090909090909</x:v>
      </x:c>
    </x:row>
    <x:row r="74">
      <x:c r="A74" s="58" t="n">
        <x:v>1914</x:v>
      </x:c>
      <x:c r="B74" s="47" t="n">
        <x:f>B73+'Navy plan'!B74-IF($A74-Levers!$C$191&gt;=1846,INDEX('Navy plan'!B$6:B$92,$A74-1845-Levers!$C$191),0)</x:f>
        <x:v>0</x:v>
      </x:c>
      <x:c r="C74" s="47" t="n">
        <x:f>C73+'Navy plan'!C74-IF($A74-Levers!$D$191&gt;=1846,INDEX('Navy plan'!C$6:C$92,$A74-1845-Levers!$D$191),0)</x:f>
        <x:v>0</x:v>
      </x:c>
      <x:c r="D74" s="47" t="n">
        <x:f>D73+'Navy plan'!D74-IF($A74-Levers!$E$191&gt;=1846,INDEX('Navy plan'!D$6:D$92,$A74-1845-Levers!$E$191),0)</x:f>
        <x:v>0</x:v>
      </x:c>
      <x:c r="E74" s="47" t="n">
        <x:f>E73+'Navy plan'!E74-IF($A74-Levers!$F$191&gt;=1846,INDEX('Navy plan'!E$6:E$92,$A74-1845-Levers!$F$191),0)</x:f>
        <x:v>4</x:v>
      </x:c>
      <x:c r="F74" s="47" t="n">
        <x:f>F73+'Navy plan'!F74-IF($A74-Levers!$G$191&gt;=1846,INDEX('Navy plan'!F$6:F$92,$A74-1845-Levers!$G$191),0)</x:f>
        <x:v>67</x:v>
      </x:c>
      <x:c r="G74" s="47" t="n">
        <x:f>G73+'Navy plan'!G74-IF($A74-Levers!$H$191&gt;=1846,INDEX('Navy plan'!G$6:G$92,$A74-1845-Levers!$H$191),0)</x:f>
        <x:v>16</x:v>
      </x:c>
      <x:c r="H74" s="47" t="n">
        <x:f>H73+'Navy plan'!H74-IF($A74-Levers!$I$191&gt;=1846,INDEX('Navy plan'!H$6:H$92,$A74-1845-Levers!$I$191),0)</x:f>
        <x:v>10</x:v>
      </x:c>
      <x:c r="I74" s="47" t="n">
        <x:f>I73+'Navy plan'!I74-IF($A74-Levers!$J$191&gt;=1846,INDEX('Navy plan'!I$6:I$92,$A74-1845-Levers!$J$191),0)</x:f>
        <x:v>26</x:v>
      </x:c>
      <x:c r="J74" s="47" t="n">
        <x:f>J73+'Navy plan'!J74-IF($A74-Levers!$K$191&gt;=1846,INDEX('Navy plan'!J$6:J$92,$A74-1845-Levers!$K$191),0)</x:f>
        <x:v>0</x:v>
      </x:c>
      <x:c r="K74" s="47" t="n">
        <x:f>SUM(B74:J74)</x:f>
        <x:v>123</x:v>
      </x:c>
      <x:c r="L74" s="53" t="n">
        <x:f>0.5*SUMPRODUCT('Navy plan'!B74:'Navy plan'!J74,'Navy plan'!K74:'Navy plan'!S74)+0.5*SUMPRODUCT('Navy plan'!B75:'Navy plan'!J75,'Navy plan'!K75:'Navy plan'!S75)</x:f>
        <x:v>38.544000000000004</x:v>
      </x:c>
      <x:c r="M74" s="47" t="n">
        <x:f>SUMPRODUCT(B74:J74,Levers!$C$192:$K$192)</x:f>
        <x:v>24330</x:v>
      </x:c>
      <x:c r="N74" s="47" t="n">
        <x:f>SUMPRODUCT(B74:J74,Levers!$C$195:$K$195)</x:f>
        <x:v>31192.30769230769</x:v>
      </x:c>
      <x:c r="O74" s="47" t="n">
        <x:f>N74-M74</x:f>
        <x:v>6862.3076923076915</x:v>
      </x:c>
      <x:c r="P74" s="53" t="n">
        <x:f>M74*sailor_pay*Economy!H74/1000000</x:f>
        <x:v>22.11597</x:v>
      </x:c>
      <x:c r="Q74" s="53" t="n">
        <x:f>SUMPRODUCT(B74:J74,'Navy plan'!K74:'Navy plan'!S74)*maint_rate</x:f>
        <x:v>17.5214</x:v>
      </x:c>
      <x:c r="R74" s="53" t="n">
        <x:f>SUMPRODUCT(B74:J74,Levers!$C$193:$K$193)*Economy!H74</x:f>
        <x:v>5.8075</x:v>
      </x:c>
      <x:c r="S74" s="53" t="n">
        <x:f>SUMPRODUCT(B74:J74,Levers!$C$193:$K$193,Levers!$C$194:$K$194)*(1/oil_fuel-1)*Economy!H74</x:f>
        <x:v>2.4889285714285716</x:v>
      </x:c>
      <x:c r="T74" s="53" t="n">
        <x:f>S74+O74*sailor_pay*Economy!H74/1000000</x:f>
        <x:v>8.726766263736263</x:v>
      </x:c>
      <x:c r="U74" s="53" t="n">
        <x:f>(P74+Q74+R74)*navy_overhead</x:f>
        <x:v>6.8167305</x:v>
      </x:c>
      <x:c r="V74" s="53" t="n">
        <x:f>L74+P74+Q74+R74+U74</x:f>
        <x:v>90.80560050000001</x:v>
      </x:c>
      <x:c r="W74" s="69" t="n">
        <x:f>Japan!I74</x:f>
        <x:v>55</x:v>
      </x:c>
      <x:c r="X74" s="53" t="n">
        <x:f>IF($A74&gt;=1927,V74+W74,0)</x:f>
        <x:v>0</x:v>
      </x:c>
      <x:c r="Y74" s="53" t="n">
        <x:f>IF($A74&gt;=1927,pac_quota*X74,V74)</x:f>
        <x:v>90.80560050000001</x:v>
      </x:c>
      <x:c r="Z74" s="67" t="n">
        <x:f>SUMPRODUCT(B74:J74,Levers!$C$193:$K$193,Levers!$C$194:$K$194)/0.6</x:f>
        <x:v>9.583333333333334</x:v>
      </x:c>
      <x:c r="AA74" s="62" t="n">
        <x:f>H74</x:f>
        <x:v>10</x:v>
      </x:c>
      <x:c r="AB74" s="47" t="n">
        <x:f>AA74+'Navy plan'!T74</x:f>
        <x:v>14</x:v>
      </x:c>
      <x:c r="AC74" s="62" t="n">
        <x:f>'Navy plan'!U74</x:f>
        <x:v>29</x:v>
      </x:c>
      <x:c r="AD74" s="62" t="n">
        <x:f>'Navy plan'!V74</x:f>
        <x:v>8</x:v>
      </x:c>
      <x:c r="AE74" s="67" t="n">
        <x:f>IF(AC74&gt;0,AB74/AC74,0)</x:f>
        <x:v>0.4827586206896552</x:v>
      </x:c>
    </x:row>
    <x:row r="75">
      <x:c r="A75" s="58" t="n">
        <x:v>1915</x:v>
      </x:c>
      <x:c r="B75" s="47" t="n">
        <x:f>B74+'Navy plan'!B75-IF($A75-Levers!$C$191&gt;=1846,INDEX('Navy plan'!B$6:B$92,$A75-1845-Levers!$C$191),0)</x:f>
        <x:v>0</x:v>
      </x:c>
      <x:c r="C75" s="47" t="n">
        <x:f>C74+'Navy plan'!C75-IF($A75-Levers!$D$191&gt;=1846,INDEX('Navy plan'!C$6:C$92,$A75-1845-Levers!$D$191),0)</x:f>
        <x:v>0</x:v>
      </x:c>
      <x:c r="D75" s="47" t="n">
        <x:f>D74+'Navy plan'!D75-IF($A75-Levers!$E$191&gt;=1846,INDEX('Navy plan'!D$6:D$92,$A75-1845-Levers!$E$191),0)</x:f>
        <x:v>0</x:v>
      </x:c>
      <x:c r="E75" s="47" t="n">
        <x:f>E74+'Navy plan'!E75-IF($A75-Levers!$F$191&gt;=1846,INDEX('Navy plan'!E$6:E$92,$A75-1845-Levers!$F$191),0)</x:f>
        <x:v>4</x:v>
      </x:c>
      <x:c r="F75" s="47" t="n">
        <x:f>F74+'Navy plan'!F75-IF($A75-Levers!$G$191&gt;=1846,INDEX('Navy plan'!F$6:F$92,$A75-1845-Levers!$G$191),0)</x:f>
        <x:v>74</x:v>
      </x:c>
      <x:c r="G75" s="47" t="n">
        <x:f>G74+'Navy plan'!G75-IF($A75-Levers!$H$191&gt;=1846,INDEX('Navy plan'!G$6:G$92,$A75-1845-Levers!$H$191),0)</x:f>
        <x:v>18</x:v>
      </x:c>
      <x:c r="H75" s="47" t="n">
        <x:f>H74+'Navy plan'!H75-IF($A75-Levers!$I$191&gt;=1846,INDEX('Navy plan'!H$6:H$92,$A75-1845-Levers!$I$191),0)</x:f>
        <x:v>11</x:v>
      </x:c>
      <x:c r="I75" s="47" t="n">
        <x:f>I74+'Navy plan'!I75-IF($A75-Levers!$J$191&gt;=1846,INDEX('Navy plan'!I$6:I$92,$A75-1845-Levers!$J$191),0)</x:f>
        <x:v>32</x:v>
      </x:c>
      <x:c r="J75" s="47" t="n">
        <x:f>J74+'Navy plan'!J75-IF($A75-Levers!$K$191&gt;=1846,INDEX('Navy plan'!J$6:J$92,$A75-1845-Levers!$K$191),0)</x:f>
        <x:v>0</x:v>
      </x:c>
      <x:c r="K75" s="47" t="n">
        <x:f>SUM(B75:J75)</x:f>
        <x:v>139</x:v>
      </x:c>
      <x:c r="L75" s="53" t="n">
        <x:f>0.5*SUMPRODUCT('Navy plan'!B75:'Navy plan'!J75,'Navy plan'!K75:'Navy plan'!S75)+0.5*SUMPRODUCT('Navy plan'!B76:'Navy plan'!J76,'Navy plan'!K76:'Navy plan'!S76)</x:f>
        <x:v>56.86800000000001</x:v>
      </x:c>
      <x:c r="M75" s="47" t="n">
        <x:f>SUMPRODUCT(B75:J75,Levers!$C$192:$K$192)</x:f>
        <x:v>26940</x:v>
      </x:c>
      <x:c r="N75" s="47" t="n">
        <x:f>SUMPRODUCT(B75:J75,Levers!$C$195:$K$195)</x:f>
        <x:v>34538.46153846154</x:v>
      </x:c>
      <x:c r="O75" s="47" t="n">
        <x:f>N75-M75</x:f>
        <x:v>7598.461538461539</x:v>
      </x:c>
      <x:c r="P75" s="53" t="n">
        <x:f>M75*sailor_pay*Economy!H75/1000000</x:f>
        <x:v>25.21584</x:v>
      </x:c>
      <x:c r="Q75" s="53" t="n">
        <x:f>SUMPRODUCT(B75:J75,'Navy plan'!K75:'Navy plan'!S75)*maint_rate</x:f>
        <x:v>21.976100000000002</x:v>
      </x:c>
      <x:c r="R75" s="53" t="n">
        <x:f>SUMPRODUCT(B75:J75,Levers!$C$193:$K$193)*Economy!H75</x:f>
        <x:v>6.635200000000001</x:v>
      </x:c>
      <x:c r="S75" s="53" t="n">
        <x:f>SUMPRODUCT(B75:J75,Levers!$C$193:$K$193,Levers!$C$194:$K$194)*(1/oil_fuel-1)*Economy!H75</x:f>
        <x:v>2.8436571428571438</x:v>
      </x:c>
      <x:c r="T75" s="53" t="n">
        <x:f>S75+O75*sailor_pay*Economy!H75/1000000</x:f>
        <x:v>9.955817142857144</x:v>
      </x:c>
      <x:c r="U75" s="53" t="n">
        <x:f>(P75+Q75+R75)*navy_overhead</x:f>
        <x:v>8.074071</x:v>
      </x:c>
      <x:c r="V75" s="53" t="n">
        <x:f>L75+P75+Q75+R75+U75</x:f>
        <x:v>118.76921100000001</x:v>
      </x:c>
      <x:c r="W75" s="69" t="n">
        <x:f>Japan!I75</x:f>
        <x:v>60</x:v>
      </x:c>
      <x:c r="X75" s="53" t="n">
        <x:f>IF($A75&gt;=1927,V75+W75,0)</x:f>
        <x:v>0</x:v>
      </x:c>
      <x:c r="Y75" s="53" t="n">
        <x:f>IF($A75&gt;=1927,pac_quota*X75,V75)</x:f>
        <x:v>118.76921100000001</x:v>
      </x:c>
      <x:c r="Z75" s="67" t="n">
        <x:f>SUMPRODUCT(B75:J75,Levers!$C$193:$K$193,Levers!$C$194:$K$194)/0.6</x:f>
        <x:v>10.633333333333335</x:v>
      </x:c>
      <x:c r="AA75" s="62" t="n">
        <x:f>H75</x:f>
        <x:v>11</x:v>
      </x:c>
      <x:c r="AB75" s="47" t="n">
        <x:f>AA75+'Navy plan'!T75</x:f>
        <x:v>17</x:v>
      </x:c>
      <x:c r="AC75" s="62" t="n">
        <x:f>'Navy plan'!U75</x:f>
        <x:v>33</x:v>
      </x:c>
      <x:c r="AD75" s="62" t="n">
        <x:f>'Navy plan'!V75</x:f>
        <x:v>8</x:v>
      </x:c>
      <x:c r="AE75" s="67" t="n">
        <x:f>IF(AC75&gt;0,AB75/AC75,0)</x:f>
        <x:v>0.5151515151515151</x:v>
      </x:c>
    </x:row>
    <x:row r="76">
      <x:c r="A76" s="58" t="n">
        <x:v>1916</x:v>
      </x:c>
      <x:c r="B76" s="47" t="n">
        <x:f>B75+'Navy plan'!B76-IF($A76-Levers!$C$191&gt;=1846,INDEX('Navy plan'!B$6:B$92,$A76-1845-Levers!$C$191),0)</x:f>
        <x:v>0</x:v>
      </x:c>
      <x:c r="C76" s="47" t="n">
        <x:f>C75+'Navy plan'!C76-IF($A76-Levers!$D$191&gt;=1846,INDEX('Navy plan'!C$6:C$92,$A76-1845-Levers!$D$191),0)</x:f>
        <x:v>0</x:v>
      </x:c>
      <x:c r="D76" s="47" t="n">
        <x:f>D75+'Navy plan'!D76-IF($A76-Levers!$E$191&gt;=1846,INDEX('Navy plan'!D$6:D$92,$A76-1845-Levers!$E$191),0)</x:f>
        <x:v>0</x:v>
      </x:c>
      <x:c r="E76" s="47" t="n">
        <x:f>E75+'Navy plan'!E76-IF($A76-Levers!$F$191&gt;=1846,INDEX('Navy plan'!E$6:E$92,$A76-1845-Levers!$F$191),0)</x:f>
        <x:v>2</x:v>
      </x:c>
      <x:c r="F76" s="47" t="n">
        <x:f>F75+'Navy plan'!F76-IF($A76-Levers!$G$191&gt;=1846,INDEX('Navy plan'!F$6:F$92,$A76-1845-Levers!$G$191),0)</x:f>
        <x:v>80</x:v>
      </x:c>
      <x:c r="G76" s="47" t="n">
        <x:f>G75+'Navy plan'!G76-IF($A76-Levers!$H$191&gt;=1846,INDEX('Navy plan'!G$6:G$92,$A76-1845-Levers!$H$191),0)</x:f>
        <x:v>21</x:v>
      </x:c>
      <x:c r="H76" s="47" t="n">
        <x:f>H75+'Navy plan'!H76-IF($A76-Levers!$I$191&gt;=1846,INDEX('Navy plan'!H$6:H$92,$A76-1845-Levers!$I$191),0)</x:f>
        <x:v>12</x:v>
      </x:c>
      <x:c r="I76" s="47" t="n">
        <x:f>I75+'Navy plan'!I76-IF($A76-Levers!$J$191&gt;=1846,INDEX('Navy plan'!I$6:I$92,$A76-1845-Levers!$J$191),0)</x:f>
        <x:v>40</x:v>
      </x:c>
      <x:c r="J76" s="47" t="n">
        <x:f>J75+'Navy plan'!J76-IF($A76-Levers!$K$191&gt;=1846,INDEX('Navy plan'!J$6:J$92,$A76-1845-Levers!$K$191),0)</x:f>
        <x:v>0</x:v>
      </x:c>
      <x:c r="K76" s="47" t="n">
        <x:f>SUM(B76:J76)</x:f>
        <x:v>155</x:v>
      </x:c>
      <x:c r="L76" s="53" t="n">
        <x:f>0.5*SUMPRODUCT('Navy plan'!B76:'Navy plan'!J76,'Navy plan'!K76:'Navy plan'!S76)+0.5*SUMPRODUCT('Navy plan'!B77:'Navy plan'!J77,'Navy plan'!K77:'Navy plan'!S77)</x:f>
        <x:v>66.859</x:v>
      </x:c>
      <x:c r="M76" s="47" t="n">
        <x:f>SUMPRODUCT(B76:J76,Levers!$C$192:$K$192)</x:f>
        <x:v>29360</x:v>
      </x:c>
      <x:c r="N76" s="47" t="n">
        <x:f>SUMPRODUCT(B76:J76,Levers!$C$195:$K$195)</x:f>
        <x:v>37641.02564102564</x:v>
      </x:c>
      <x:c r="O76" s="47" t="n">
        <x:f>N76-M76</x:f>
        <x:v>8281.02564102564</x:v>
      </x:c>
      <x:c r="P76" s="53" t="n">
        <x:f>M76*sailor_pay*Economy!H76/1000000</x:f>
        <x:v>30.916079999999997</x:v>
      </x:c>
      <x:c r="Q76" s="53" t="n">
        <x:f>SUMPRODUCT(B76:J76,'Navy plan'!K76:'Navy plan'!S76)*maint_rate</x:f>
        <x:v>27.024</x:v>
      </x:c>
      <x:c r="R76" s="53" t="n">
        <x:f>SUMPRODUCT(B76:J76,Levers!$C$193:$K$193)*Economy!H76</x:f>
        <x:v>8.1666</x:v>
      </x:c>
      <x:c r="S76" s="53" t="n">
        <x:f>SUMPRODUCT(B76:J76,Levers!$C$193:$K$193,Levers!$C$194:$K$194)*(1/oil_fuel-1)*Economy!H76</x:f>
        <x:v>3.499971428571429</x:v>
      </x:c>
      <x:c r="T76" s="53" t="n">
        <x:f>S76+O76*sailor_pay*Economy!H76/1000000</x:f>
        <x:v>12.21989142857143</x:v>
      </x:c>
      <x:c r="U76" s="53" t="n">
        <x:f>(P76+Q76+R76)*navy_overhead</x:f>
        <x:v>9.916001999999999</x:v>
      </x:c>
      <x:c r="V76" s="53" t="n">
        <x:f>L76+P76+Q76+R76+U76</x:f>
        <x:v>142.88168199999998</x:v>
      </x:c>
      <x:c r="W76" s="69" t="n">
        <x:f>Japan!I76</x:f>
        <x:v>65</x:v>
      </x:c>
      <x:c r="X76" s="53" t="n">
        <x:f>IF($A76&gt;=1927,V76+W76,0)</x:f>
        <x:v>0</x:v>
      </x:c>
      <x:c r="Y76" s="53" t="n">
        <x:f>IF($A76&gt;=1927,pac_quota*X76,V76)</x:f>
        <x:v>142.88168199999998</x:v>
      </x:c>
      <x:c r="Z76" s="67" t="n">
        <x:f>SUMPRODUCT(B76:J76,Levers!$C$193:$K$193,Levers!$C$194:$K$194)/0.6</x:f>
        <x:v>11.633333333333335</x:v>
      </x:c>
      <x:c r="AA76" s="62" t="n">
        <x:f>H76</x:f>
        <x:v>12</x:v>
      </x:c>
      <x:c r="AB76" s="47" t="n">
        <x:f>AA76+'Navy plan'!T76</x:f>
        <x:v>18</x:v>
      </x:c>
      <x:c r="AC76" s="62" t="n">
        <x:f>'Navy plan'!U76</x:f>
        <x:v>37</x:v>
      </x:c>
      <x:c r="AD76" s="62" t="n">
        <x:f>'Navy plan'!V76</x:f>
        <x:v>10</x:v>
      </x:c>
      <x:c r="AE76" s="67" t="n">
        <x:f>IF(AC76&gt;0,AB76/AC76,0)</x:f>
        <x:v>0.4864864864864865</x:v>
      </x:c>
    </x:row>
    <x:row r="77">
      <x:c r="A77" s="58" t="n">
        <x:v>1917</x:v>
      </x:c>
      <x:c r="B77" s="47" t="n">
        <x:f>B76+'Navy plan'!B77-IF($A77-Levers!$C$191&gt;=1846,INDEX('Navy plan'!B$6:B$92,$A77-1845-Levers!$C$191),0)</x:f>
        <x:v>0</x:v>
      </x:c>
      <x:c r="C77" s="47" t="n">
        <x:f>C76+'Navy plan'!C77-IF($A77-Levers!$D$191&gt;=1846,INDEX('Navy plan'!C$6:C$92,$A77-1845-Levers!$D$191),0)</x:f>
        <x:v>0</x:v>
      </x:c>
      <x:c r="D77" s="47" t="n">
        <x:f>D76+'Navy plan'!D77-IF($A77-Levers!$E$191&gt;=1846,INDEX('Navy plan'!D$6:D$92,$A77-1845-Levers!$E$191),0)</x:f>
        <x:v>0</x:v>
      </x:c>
      <x:c r="E77" s="47" t="n">
        <x:f>E76+'Navy plan'!E77-IF($A77-Levers!$F$191&gt;=1846,INDEX('Navy plan'!E$6:E$92,$A77-1845-Levers!$F$191),0)</x:f>
        <x:v>2</x:v>
      </x:c>
      <x:c r="F77" s="47" t="n">
        <x:f>F76+'Navy plan'!F77-IF($A77-Levers!$G$191&gt;=1846,INDEX('Navy plan'!F$6:F$92,$A77-1845-Levers!$G$191),0)</x:f>
        <x:v>86</x:v>
      </x:c>
      <x:c r="G77" s="47" t="n">
        <x:f>G76+'Navy plan'!G77-IF($A77-Levers!$H$191&gt;=1846,INDEX('Navy plan'!G$6:G$92,$A77-1845-Levers!$H$191),0)</x:f>
        <x:v>24</x:v>
      </x:c>
      <x:c r="H77" s="47" t="n">
        <x:f>H76+'Navy plan'!H77-IF($A77-Levers!$I$191&gt;=1846,INDEX('Navy plan'!H$6:H$92,$A77-1845-Levers!$I$191),0)</x:f>
        <x:v>13</x:v>
      </x:c>
      <x:c r="I77" s="47" t="n">
        <x:f>I76+'Navy plan'!I77-IF($A77-Levers!$J$191&gt;=1846,INDEX('Navy plan'!I$6:I$92,$A77-1845-Levers!$J$191),0)</x:f>
        <x:v>46</x:v>
      </x:c>
      <x:c r="J77" s="47" t="n">
        <x:f>J76+'Navy plan'!J77-IF($A77-Levers!$K$191&gt;=1846,INDEX('Navy plan'!J$6:J$92,$A77-1845-Levers!$K$191),0)</x:f>
        <x:v>0</x:v>
      </x:c>
      <x:c r="K77" s="47" t="n">
        <x:f>SUM(B77:J77)</x:f>
        <x:v>171</x:v>
      </x:c>
      <x:c r="L77" s="53" t="n">
        <x:f>0.5*SUMPRODUCT('Navy plan'!B77:'Navy plan'!J77,'Navy plan'!K77:'Navy plan'!S77)+0.5*SUMPRODUCT('Navy plan'!B78:'Navy plan'!J78,'Navy plan'!K78:'Navy plan'!S78)</x:f>
        <x:v>66.4125</x:v>
      </x:c>
      <x:c r="M77" s="47" t="n">
        <x:f>SUMPRODUCT(B77:J77,Levers!$C$192:$K$192)</x:f>
        <x:v>32280</x:v>
      </x:c>
      <x:c r="N77" s="47" t="n">
        <x:f>SUMPRODUCT(B77:J77,Levers!$C$195:$K$195)</x:f>
        <x:v>41384.61538461538</x:v>
      </x:c>
      <x:c r="O77" s="47" t="n">
        <x:f>N77-M77</x:f>
        <x:v>9104.615384615383</x:v>
      </x:c>
      <x:c r="P77" s="53" t="n">
        <x:f>M77*sailor_pay*Economy!H77/1000000</x:f>
        <x:v>41.25384</x:v>
      </x:c>
      <x:c r="Q77" s="53" t="n">
        <x:f>SUMPRODUCT(B77:J77,'Navy plan'!K77:'Navy plan'!S77)*maint_rate</x:f>
        <x:v>32.839999999999996</x:v>
      </x:c>
      <x:c r="R77" s="53" t="n">
        <x:f>SUMPRODUCT(B77:J77,Levers!$C$193:$K$193)*Economy!H77</x:f>
        <x:v>10.877199999999998</x:v>
      </x:c>
      <x:c r="S77" s="53" t="n">
        <x:f>SUMPRODUCT(B77:J77,Levers!$C$193:$K$193,Levers!$C$194:$K$194)*(1/oil_fuel-1)*Economy!H77</x:f>
        <x:v>4.661657142857143</x:v>
      </x:c>
      <x:c r="T77" s="53" t="n">
        <x:f>S77+O77*sailor_pay*Economy!H77/1000000</x:f>
        <x:v>16.297355604395605</x:v>
      </x:c>
      <x:c r="U77" s="53" t="n">
        <x:f>(P77+Q77+R77)*navy_overhead</x:f>
        <x:v>12.745656</x:v>
      </x:c>
      <x:c r="V77" s="53" t="n">
        <x:f>L77+P77+Q77+R77+U77</x:f>
        <x:v>164.12919599999998</x:v>
      </x:c>
      <x:c r="W77" s="69" t="n">
        <x:f>Japan!I77</x:f>
        <x:v>77.5</x:v>
      </x:c>
      <x:c r="X77" s="53" t="n">
        <x:f>IF($A77&gt;=1927,V77+W77,0)</x:f>
        <x:v>0</x:v>
      </x:c>
      <x:c r="Y77" s="53" t="n">
        <x:f>IF($A77&gt;=1927,pac_quota*X77,V77)</x:f>
        <x:v>164.12919599999998</x:v>
      </x:c>
      <x:c r="Z77" s="67" t="n">
        <x:f>SUMPRODUCT(B77:J77,Levers!$C$193:$K$193,Levers!$C$194:$K$194)/0.6</x:f>
        <x:v>12.766666666666666</x:v>
      </x:c>
      <x:c r="AA77" s="62" t="n">
        <x:f>H77</x:f>
        <x:v>13</x:v>
      </x:c>
      <x:c r="AB77" s="47" t="n">
        <x:f>AA77+'Navy plan'!T77</x:f>
        <x:v>21</x:v>
      </x:c>
      <x:c r="AC77" s="62" t="n">
        <x:f>'Navy plan'!U77</x:f>
        <x:v>40</x:v>
      </x:c>
      <x:c r="AD77" s="62" t="n">
        <x:f>'Navy plan'!V77</x:f>
        <x:v>10</x:v>
      </x:c>
      <x:c r="AE77" s="67" t="n">
        <x:f>IF(AC77&gt;0,AB77/AC77,0)</x:f>
        <x:v>0.525</x:v>
      </x:c>
    </x:row>
    <x:row r="78">
      <x:c r="A78" s="58" t="n">
        <x:v>1918</x:v>
      </x:c>
      <x:c r="B78" s="47" t="n">
        <x:f>B77+'Navy plan'!B78-IF($A78-Levers!$C$191&gt;=1846,INDEX('Navy plan'!B$6:B$92,$A78-1845-Levers!$C$191),0)</x:f>
        <x:v>0</x:v>
      </x:c>
      <x:c r="C78" s="47" t="n">
        <x:f>C77+'Navy plan'!C78-IF($A78-Levers!$D$191&gt;=1846,INDEX('Navy plan'!C$6:C$92,$A78-1845-Levers!$D$191),0)</x:f>
        <x:v>0</x:v>
      </x:c>
      <x:c r="D78" s="47" t="n">
        <x:f>D77+'Navy plan'!D78-IF($A78-Levers!$E$191&gt;=1846,INDEX('Navy plan'!D$6:D$92,$A78-1845-Levers!$E$191),0)</x:f>
        <x:v>0</x:v>
      </x:c>
      <x:c r="E78" s="47" t="n">
        <x:f>E77+'Navy plan'!E78-IF($A78-Levers!$F$191&gt;=1846,INDEX('Navy plan'!E$6:E$92,$A78-1845-Levers!$F$191),0)</x:f>
        <x:v>0</x:v>
      </x:c>
      <x:c r="F78" s="47" t="n">
        <x:f>F77+'Navy plan'!F78-IF($A78-Levers!$G$191&gt;=1846,INDEX('Navy plan'!F$6:F$92,$A78-1845-Levers!$G$191),0)</x:f>
        <x:v>91</x:v>
      </x:c>
      <x:c r="G78" s="47" t="n">
        <x:f>G77+'Navy plan'!G78-IF($A78-Levers!$H$191&gt;=1846,INDEX('Navy plan'!G$6:G$92,$A78-1845-Levers!$H$191),0)</x:f>
        <x:v>26</x:v>
      </x:c>
      <x:c r="H78" s="47" t="n">
        <x:f>H77+'Navy plan'!H78-IF($A78-Levers!$I$191&gt;=1846,INDEX('Navy plan'!H$6:H$92,$A78-1845-Levers!$I$191),0)</x:f>
        <x:v>14</x:v>
      </x:c>
      <x:c r="I78" s="47" t="n">
        <x:f>I77+'Navy plan'!I78-IF($A78-Levers!$J$191&gt;=1846,INDEX('Navy plan'!I$6:I$92,$A78-1845-Levers!$J$191),0)</x:f>
        <x:v>52</x:v>
      </x:c>
      <x:c r="J78" s="47" t="n">
        <x:f>J77+'Navy plan'!J78-IF($A78-Levers!$K$191&gt;=1846,INDEX('Navy plan'!J$6:J$92,$A78-1845-Levers!$K$191),0)</x:f>
        <x:v>0</x:v>
      </x:c>
      <x:c r="K78" s="47" t="n">
        <x:f>SUM(B78:J78)</x:f>
        <x:v>183</x:v>
      </x:c>
      <x:c r="L78" s="53" t="n">
        <x:f>0.5*SUMPRODUCT('Navy plan'!B78:'Navy plan'!J78,'Navy plan'!K78:'Navy plan'!S78)+0.5*SUMPRODUCT('Navy plan'!B79:'Navy plan'!J79,'Navy plan'!K79:'Navy plan'!S79)</x:f>
        <x:v>33.1795</x:v>
      </x:c>
      <x:c r="M78" s="47" t="n">
        <x:f>SUMPRODUCT(B78:J78,Levers!$C$192:$K$192)</x:f>
        <x:v>34150</x:v>
      </x:c>
      <x:c r="N78" s="47" t="n">
        <x:f>SUMPRODUCT(B78:J78,Levers!$C$195:$K$195)</x:f>
        <x:v>43782.05128205128</x:v>
      </x:c>
      <x:c r="O78" s="47" t="n">
        <x:f>N78-M78</x:f>
        <x:v>9632.051282051281</x:v>
      </x:c>
      <x:c r="P78" s="53" t="n">
        <x:f>M78*sailor_pay*Economy!H78/1000000</x:f>
        <x:v>51.0201</x:v>
      </x:c>
      <x:c r="Q78" s="53" t="n">
        <x:f>SUMPRODUCT(B78:J78,'Navy plan'!K78:'Navy plan'!S78)*maint_rate</x:f>
        <x:v>39.13705</x:v>
      </x:c>
      <x:c r="R78" s="53" t="n">
        <x:f>SUMPRODUCT(B78:J78,Levers!$C$193:$K$193)*Economy!H78</x:f>
        <x:v>13.495800000000001</x:v>
      </x:c>
      <x:c r="S78" s="53" t="n">
        <x:f>SUMPRODUCT(B78:J78,Levers!$C$193:$K$193,Levers!$C$194:$K$194)*(1/oil_fuel-1)*Economy!H78</x:f>
        <x:v>5.783914285714286</x:v>
      </x:c>
      <x:c r="T78" s="53" t="n">
        <x:f>S78+O78*sailor_pay*Economy!H78/1000000</x:f>
        <x:v>20.1741989010989</x:v>
      </x:c>
      <x:c r="U78" s="53" t="n">
        <x:f>(P78+Q78+R78)*navy_overhead</x:f>
        <x:v>15.5479425</x:v>
      </x:c>
      <x:c r="V78" s="53" t="n">
        <x:f>L78+P78+Q78+R78+U78</x:f>
        <x:v>152.3803925</x:v>
      </x:c>
      <x:c r="W78" s="69" t="n">
        <x:f>Japan!I78</x:f>
        <x:v>90</x:v>
      </x:c>
      <x:c r="X78" s="53" t="n">
        <x:f>IF($A78&gt;=1927,V78+W78,0)</x:f>
        <x:v>0</x:v>
      </x:c>
      <x:c r="Y78" s="53" t="n">
        <x:f>IF($A78&gt;=1927,pac_quota*X78,V78)</x:f>
        <x:v>152.3803925</x:v>
      </x:c>
      <x:c r="Z78" s="67" t="n">
        <x:f>SUMPRODUCT(B78:J78,Levers!$C$193:$K$193,Levers!$C$194:$K$194)/0.6</x:f>
        <x:v>13.550000000000002</x:v>
      </x:c>
      <x:c r="AA78" s="62" t="n">
        <x:f>H78</x:f>
        <x:v>14</x:v>
      </x:c>
      <x:c r="AB78" s="47" t="n">
        <x:f>AA78+'Navy plan'!T78</x:f>
        <x:v>22</x:v>
      </x:c>
      <x:c r="AC78" s="62" t="n">
        <x:f>'Navy plan'!U78</x:f>
        <x:v>42</x:v>
      </x:c>
      <x:c r="AD78" s="62" t="n">
        <x:f>'Navy plan'!V78</x:f>
        <x:v>12</x:v>
      </x:c>
      <x:c r="AE78" s="67" t="n">
        <x:f>IF(AC78&gt;0,AB78/AC78,0)</x:f>
        <x:v>0.5238095238095238</x:v>
      </x:c>
    </x:row>
    <x:row r="79">
      <x:c r="A79" s="58" t="n">
        <x:v>1919</x:v>
      </x:c>
      <x:c r="B79" s="47" t="n">
        <x:f>B78+'Navy plan'!B79-IF($A79-Levers!$C$191&gt;=1846,INDEX('Navy plan'!B$6:B$92,$A79-1845-Levers!$C$191),0)</x:f>
        <x:v>0</x:v>
      </x:c>
      <x:c r="C79" s="47" t="n">
        <x:f>C78+'Navy plan'!C79-IF($A79-Levers!$D$191&gt;=1846,INDEX('Navy plan'!C$6:C$92,$A79-1845-Levers!$D$191),0)</x:f>
        <x:v>0</x:v>
      </x:c>
      <x:c r="D79" s="47" t="n">
        <x:f>D78+'Navy plan'!D79-IF($A79-Levers!$E$191&gt;=1846,INDEX('Navy plan'!D$6:D$92,$A79-1845-Levers!$E$191),0)</x:f>
        <x:v>0</x:v>
      </x:c>
      <x:c r="E79" s="47" t="n">
        <x:f>E78+'Navy plan'!E79-IF($A79-Levers!$F$191&gt;=1846,INDEX('Navy plan'!E$6:E$92,$A79-1845-Levers!$F$191),0)</x:f>
        <x:v>0</x:v>
      </x:c>
      <x:c r="F79" s="47" t="n">
        <x:f>F78+'Navy plan'!F79-IF($A79-Levers!$G$191&gt;=1846,INDEX('Navy plan'!F$6:F$92,$A79-1845-Levers!$G$191),0)</x:f>
        <x:v>90</x:v>
      </x:c>
      <x:c r="G79" s="47" t="n">
        <x:f>G78+'Navy plan'!G79-IF($A79-Levers!$H$191&gt;=1846,INDEX('Navy plan'!G$6:G$92,$A79-1845-Levers!$H$191),0)</x:f>
        <x:v>26</x:v>
      </x:c>
      <x:c r="H79" s="47" t="n">
        <x:f>H78+'Navy plan'!H79-IF($A79-Levers!$I$191&gt;=1846,INDEX('Navy plan'!H$6:H$92,$A79-1845-Levers!$I$191),0)</x:f>
        <x:v>14</x:v>
      </x:c>
      <x:c r="I79" s="47" t="n">
        <x:f>I78+'Navy plan'!I79-IF($A79-Levers!$J$191&gt;=1846,INDEX('Navy plan'!I$6:I$92,$A79-1845-Levers!$J$191),0)</x:f>
        <x:v>50</x:v>
      </x:c>
      <x:c r="J79" s="47" t="n">
        <x:f>J78+'Navy plan'!J79-IF($A79-Levers!$K$191&gt;=1846,INDEX('Navy plan'!J$6:J$92,$A79-1845-Levers!$K$191),0)</x:f>
        <x:v>0</x:v>
      </x:c>
      <x:c r="K79" s="47" t="n">
        <x:f>SUM(B79:J79)</x:f>
        <x:v>180</x:v>
      </x:c>
      <x:c r="L79" s="53" t="n">
        <x:f>0.5*SUMPRODUCT('Navy plan'!B79:'Navy plan'!J79,'Navy plan'!K79:'Navy plan'!S79)+0.5*SUMPRODUCT('Navy plan'!B80:'Navy plan'!J80,'Navy plan'!K80:'Navy plan'!S80)</x:f>
        <x:v>6.179</x:v>
      </x:c>
      <x:c r="M79" s="47" t="n">
        <x:f>SUMPRODUCT(B79:J79,Levers!$C$192:$K$192)</x:f>
        <x:v>34000</x:v>
      </x:c>
      <x:c r="N79" s="47" t="n">
        <x:f>SUMPRODUCT(B79:J79,Levers!$C$195:$K$195)</x:f>
        <x:v>43589.74358974359</x:v>
      </x:c>
      <x:c r="O79" s="47" t="n">
        <x:f>N79-M79</x:f>
        <x:v>9589.743589743593</x:v>
      </x:c>
      <x:c r="P79" s="53" t="n">
        <x:f>M79*sailor_pay*Economy!H79/1000000</x:f>
        <x:v>55.998</x:v>
      </x:c>
      <x:c r="Q79" s="53" t="n">
        <x:f>SUMPRODUCT(B79:J79,'Navy plan'!K79:'Navy plan'!S79)*maint_rate</x:f>
        <x:v>42.1418</x:v>
      </x:c>
      <x:c r="R79" s="53" t="n">
        <x:f>SUMPRODUCT(B79:J79,Levers!$C$193:$K$193)*Economy!H79</x:f>
        <x:v>14.7864</x:v>
      </x:c>
      <x:c r="S79" s="53" t="n">
        <x:f>SUMPRODUCT(B79:J79,Levers!$C$193:$K$193,Levers!$C$194:$K$194)*(1/oil_fuel-1)*Economy!H79</x:f>
        <x:v>6.337028571428572</x:v>
      </x:c>
      <x:c r="T79" s="53" t="n">
        <x:f>S79+O79*sailor_pay*Economy!H79/1000000</x:f>
        <x:v>22.13133626373627</x:v>
      </x:c>
      <x:c r="U79" s="53" t="n">
        <x:f>(P79+Q79+R79)*navy_overhead</x:f>
        <x:v>16.93893</x:v>
      </x:c>
      <x:c r="V79" s="53" t="n">
        <x:f>L79+P79+Q79+R79+U79</x:f>
        <x:v>136.04413</x:v>
      </x:c>
      <x:c r="W79" s="69" t="n">
        <x:f>Japan!I79</x:f>
        <x:v>120</x:v>
      </x:c>
      <x:c r="X79" s="53" t="n">
        <x:f>IF($A79&gt;=1927,V79+W79,0)</x:f>
        <x:v>0</x:v>
      </x:c>
      <x:c r="Y79" s="53" t="n">
        <x:f>IF($A79&gt;=1927,pac_quota*X79,V79)</x:f>
        <x:v>136.04413</x:v>
      </x:c>
      <x:c r="Z79" s="67" t="n">
        <x:f>SUMPRODUCT(B79:J79,Levers!$C$193:$K$193,Levers!$C$194:$K$194)/0.6</x:f>
        <x:v>13.466666666666667</x:v>
      </x:c>
      <x:c r="AA79" s="62" t="n">
        <x:f>H79</x:f>
        <x:v>14</x:v>
      </x:c>
      <x:c r="AB79" s="47" t="n">
        <x:f>AA79+'Navy plan'!T79</x:f>
        <x:v>24</x:v>
      </x:c>
      <x:c r="AC79" s="62" t="n">
        <x:f>'Navy plan'!U79</x:f>
        <x:v>42</x:v>
      </x:c>
      <x:c r="AD79" s="62" t="n">
        <x:f>'Navy plan'!V79</x:f>
        <x:v>12</x:v>
      </x:c>
      <x:c r="AE79" s="67" t="n">
        <x:f>IF(AC79&gt;0,AB79/AC79,0)</x:f>
        <x:v>0.5714285714285714</x:v>
      </x:c>
    </x:row>
    <x:row r="80">
      <x:c r="A80" s="58" t="n">
        <x:v>1920</x:v>
      </x:c>
      <x:c r="B80" s="47" t="n">
        <x:f>B79+'Navy plan'!B80-IF($A80-Levers!$C$191&gt;=1846,INDEX('Navy plan'!B$6:B$92,$A80-1845-Levers!$C$191),0)</x:f>
        <x:v>0</x:v>
      </x:c>
      <x:c r="C80" s="47" t="n">
        <x:f>C79+'Navy plan'!C80-IF($A80-Levers!$D$191&gt;=1846,INDEX('Navy plan'!C$6:C$92,$A80-1845-Levers!$D$191),0)</x:f>
        <x:v>0</x:v>
      </x:c>
      <x:c r="D80" s="47" t="n">
        <x:f>D79+'Navy plan'!D80-IF($A80-Levers!$E$191&gt;=1846,INDEX('Navy plan'!D$6:D$92,$A80-1845-Levers!$E$191),0)</x:f>
        <x:v>0</x:v>
      </x:c>
      <x:c r="E80" s="47" t="n">
        <x:f>E79+'Navy plan'!E80-IF($A80-Levers!$F$191&gt;=1846,INDEX('Navy plan'!E$6:E$92,$A80-1845-Levers!$F$191),0)</x:f>
        <x:v>0</x:v>
      </x:c>
      <x:c r="F80" s="47" t="n">
        <x:f>F79+'Navy plan'!F80-IF($A80-Levers!$G$191&gt;=1846,INDEX('Navy plan'!F$6:F$92,$A80-1845-Levers!$G$191),0)</x:f>
        <x:v>90</x:v>
      </x:c>
      <x:c r="G80" s="47" t="n">
        <x:f>G79+'Navy plan'!G80-IF($A80-Levers!$H$191&gt;=1846,INDEX('Navy plan'!G$6:G$92,$A80-1845-Levers!$H$191),0)</x:f>
        <x:v>24</x:v>
      </x:c>
      <x:c r="H80" s="47" t="n">
        <x:f>H79+'Navy plan'!H80-IF($A80-Levers!$I$191&gt;=1846,INDEX('Navy plan'!H$6:H$92,$A80-1845-Levers!$I$191),0)</x:f>
        <x:v>14</x:v>
      </x:c>
      <x:c r="I80" s="47" t="n">
        <x:f>I79+'Navy plan'!I80-IF($A80-Levers!$J$191&gt;=1846,INDEX('Navy plan'!I$6:I$92,$A80-1845-Levers!$J$191),0)</x:f>
        <x:v>52</x:v>
      </x:c>
      <x:c r="J80" s="47" t="n">
        <x:f>J79+'Navy plan'!J80-IF($A80-Levers!$K$191&gt;=1846,INDEX('Navy plan'!J$6:J$92,$A80-1845-Levers!$K$191),0)</x:f>
        <x:v>0</x:v>
      </x:c>
      <x:c r="K80" s="47" t="n">
        <x:f>SUM(B80:J80)</x:f>
        <x:v>180</x:v>
      </x:c>
      <x:c r="L80" s="53" t="n">
        <x:f>0.5*SUMPRODUCT('Navy plan'!B80:'Navy plan'!J80,'Navy plan'!K80:'Navy plan'!S80)+0.5*SUMPRODUCT('Navy plan'!B81:'Navy plan'!J81,'Navy plan'!K81:'Navy plan'!S81)</x:f>
        <x:v>11.9665</x:v>
      </x:c>
      <x:c r="M80" s="47" t="n">
        <x:f>SUMPRODUCT(B80:J80,Levers!$C$192:$K$192)</x:f>
        <x:v>33260</x:v>
      </x:c>
      <x:c r="N80" s="47" t="n">
        <x:f>SUMPRODUCT(B80:J80,Levers!$C$195:$K$195)</x:f>
        <x:v>42641.02564102564</x:v>
      </x:c>
      <x:c r="O80" s="47" t="n">
        <x:f>N80-M80</x:f>
        <x:v>9381.02564102564</x:v>
      </x:c>
      <x:c r="P80" s="53" t="n">
        <x:f>M80*sailor_pay*Economy!H80/1000000</x:f>
        <x:v>61.36469999999999</x:v>
      </x:c>
      <x:c r="Q80" s="53" t="n">
        <x:f>SUMPRODUCT(B80:J80,'Navy plan'!K80:'Navy plan'!S80)*maint_rate</x:f>
        <x:v>44.55440000000001</x:v>
      </x:c>
      <x:c r="R80" s="53" t="n">
        <x:f>SUMPRODUCT(B80:J80,Levers!$C$193:$K$193)*Economy!H80</x:f>
        <x:v>16.276999999999997</x:v>
      </x:c>
      <x:c r="S80" s="53" t="n">
        <x:f>SUMPRODUCT(B80:J80,Levers!$C$193:$K$193,Levers!$C$194:$K$194)*(1/oil_fuel-1)*Economy!H80</x:f>
        <x:v>6.9758571428571425</x:v>
      </x:c>
      <x:c r="T80" s="53" t="n">
        <x:f>S80+O80*sailor_pay*Economy!H80/1000000</x:f>
        <x:v>24.283849450549447</x:v>
      </x:c>
      <x:c r="U80" s="53" t="n">
        <x:f>(P80+Q80+R80)*navy_overhead</x:f>
        <x:v>18.329415</x:v>
      </x:c>
      <x:c r="V80" s="53" t="n">
        <x:f>L80+P80+Q80+R80+U80</x:f>
        <x:v>152.492015</x:v>
      </x:c>
      <x:c r="W80" s="69" t="n">
        <x:f>Japan!I80</x:f>
        <x:v>150</x:v>
      </x:c>
      <x:c r="X80" s="53" t="n">
        <x:f>IF($A80&gt;=1927,V80+W80,0)</x:f>
        <x:v>0</x:v>
      </x:c>
      <x:c r="Y80" s="53" t="n">
        <x:f>IF($A80&gt;=1927,pac_quota*X80,V80)</x:f>
        <x:v>152.492015</x:v>
      </x:c>
      <x:c r="Z80" s="67" t="n">
        <x:f>SUMPRODUCT(B80:J80,Levers!$C$193:$K$193,Levers!$C$194:$K$194)/0.6</x:f>
        <x:v>13.233333333333333</x:v>
      </x:c>
      <x:c r="AA80" s="62" t="n">
        <x:f>H80</x:f>
        <x:v>14</x:v>
      </x:c>
      <x:c r="AB80" s="47" t="n">
        <x:f>AA80+'Navy plan'!T80</x:f>
        <x:v>24</x:v>
      </x:c>
      <x:c r="AC80" s="62" t="n">
        <x:f>'Navy plan'!U80</x:f>
        <x:v>36</x:v>
      </x:c>
      <x:c r="AD80" s="62" t="n">
        <x:f>'Navy plan'!V80</x:f>
        <x:v>15</x:v>
      </x:c>
      <x:c r="AE80" s="67" t="n">
        <x:f>IF(AC80&gt;0,AB80/AC80,0)</x:f>
        <x:v>0.6666666666666666</x:v>
      </x:c>
    </x:row>
    <x:row r="81">
      <x:c r="A81" s="58" t="n">
        <x:v>1921</x:v>
      </x:c>
      <x:c r="B81" s="47" t="n">
        <x:f>B80+'Navy plan'!B81-IF($A81-Levers!$C$191&gt;=1846,INDEX('Navy plan'!B$6:B$92,$A81-1845-Levers!$C$191),0)</x:f>
        <x:v>0</x:v>
      </x:c>
      <x:c r="C81" s="47" t="n">
        <x:f>C80+'Navy plan'!C81-IF($A81-Levers!$D$191&gt;=1846,INDEX('Navy plan'!C$6:C$92,$A81-1845-Levers!$D$191),0)</x:f>
        <x:v>0</x:v>
      </x:c>
      <x:c r="D81" s="47" t="n">
        <x:f>D80+'Navy plan'!D81-IF($A81-Levers!$E$191&gt;=1846,INDEX('Navy plan'!D$6:D$92,$A81-1845-Levers!$E$191),0)</x:f>
        <x:v>0</x:v>
      </x:c>
      <x:c r="E81" s="47" t="n">
        <x:f>E80+'Navy plan'!E81-IF($A81-Levers!$F$191&gt;=1846,INDEX('Navy plan'!E$6:E$92,$A81-1845-Levers!$F$191),0)</x:f>
        <x:v>0</x:v>
      </x:c>
      <x:c r="F81" s="47" t="n">
        <x:f>F80+'Navy plan'!F81-IF($A81-Levers!$G$191&gt;=1846,INDEX('Navy plan'!F$6:F$92,$A81-1845-Levers!$G$191),0)</x:f>
        <x:v>90</x:v>
      </x:c>
      <x:c r="G81" s="47" t="n">
        <x:f>G80+'Navy plan'!G81-IF($A81-Levers!$H$191&gt;=1846,INDEX('Navy plan'!G$6:G$92,$A81-1845-Levers!$H$191),0)</x:f>
        <x:v>23</x:v>
      </x:c>
      <x:c r="H81" s="47" t="n">
        <x:f>H80+'Navy plan'!H81-IF($A81-Levers!$I$191&gt;=1846,INDEX('Navy plan'!H$6:H$92,$A81-1845-Levers!$I$191),0)</x:f>
        <x:v>14</x:v>
      </x:c>
      <x:c r="I81" s="47" t="n">
        <x:f>I80+'Navy plan'!I81-IF($A81-Levers!$J$191&gt;=1846,INDEX('Navy plan'!I$6:I$92,$A81-1845-Levers!$J$191),0)</x:f>
        <x:v>49</x:v>
      </x:c>
      <x:c r="J81" s="47" t="n">
        <x:f>J80+'Navy plan'!J81-IF($A81-Levers!$K$191&gt;=1846,INDEX('Navy plan'!J$6:J$92,$A81-1845-Levers!$K$191),0)</x:f>
        <x:v>0</x:v>
      </x:c>
      <x:c r="K81" s="47" t="n">
        <x:f>SUM(B81:J81)</x:f>
        <x:v>176</x:v>
      </x:c>
      <x:c r="L81" s="53" t="n">
        <x:f>0.5*SUMPRODUCT('Navy plan'!B81:'Navy plan'!J81,'Navy plan'!K81:'Navy plan'!S81)+0.5*SUMPRODUCT('Navy plan'!B82:'Navy plan'!J82,'Navy plan'!K82:'Navy plan'!S82)</x:f>
        <x:v>20.990000000000002</x:v>
      </x:c>
      <x:c r="M81" s="47" t="n">
        <x:f>SUMPRODUCT(B81:J81,Levers!$C$192:$K$192)</x:f>
        <x:v>32770</x:v>
      </x:c>
      <x:c r="N81" s="47" t="n">
        <x:f>SUMPRODUCT(B81:J81,Levers!$C$195:$K$195)</x:f>
        <x:v>42012.82051282051</x:v>
      </x:c>
      <x:c r="O81" s="47" t="n">
        <x:f>N81-M81</x:f>
        <x:v>9242.820512820508</x:v>
      </x:c>
      <x:c r="P81" s="53" t="n">
        <x:f>M81*sailor_pay*Economy!H81/1000000</x:f>
        <x:v>50.1381</x:v>
      </x:c>
      <x:c r="Q81" s="53" t="n">
        <x:f>SUMPRODUCT(B81:J81,'Navy plan'!K81:'Navy plan'!S81)*maint_rate</x:f>
        <x:v>43.69085000000001</x:v>
      </x:c>
      <x:c r="R81" s="53" t="n">
        <x:f>SUMPRODUCT(B81:J81,Levers!$C$193:$K$193)*Economy!H81</x:f>
        <x:v>13.311</x:v>
      </x:c>
      <x:c r="S81" s="53" t="n">
        <x:f>SUMPRODUCT(B81:J81,Levers!$C$193:$K$193,Levers!$C$194:$K$194)*(1/oil_fuel-1)*Economy!H81</x:f>
        <x:v>5.704714285714286</x:v>
      </x:c>
      <x:c r="T81" s="53" t="n">
        <x:f>S81+O81*sailor_pay*Economy!H81/1000000</x:f>
        <x:v>19.846229670329663</x:v>
      </x:c>
      <x:c r="U81" s="53" t="n">
        <x:f>(P81+Q81+R81)*navy_overhead</x:f>
        <x:v>16.070992500000003</x:v>
      </x:c>
      <x:c r="V81" s="53" t="n">
        <x:f>L81+P81+Q81+R81+U81</x:f>
        <x:v>144.2009425</x:v>
      </x:c>
      <x:c r="W81" s="69" t="n">
        <x:f>Japan!I81</x:f>
        <x:v>160</x:v>
      </x:c>
      <x:c r="X81" s="53" t="n">
        <x:f>IF($A81&gt;=1927,V81+W81,0)</x:f>
        <x:v>0</x:v>
      </x:c>
      <x:c r="Y81" s="53" t="n">
        <x:f>IF($A81&gt;=1927,pac_quota*X81,V81)</x:f>
        <x:v>144.2009425</x:v>
      </x:c>
      <x:c r="Z81" s="67" t="n">
        <x:f>SUMPRODUCT(B81:J81,Levers!$C$193:$K$193,Levers!$C$194:$K$194)/0.6</x:f>
        <x:v>13.05</x:v>
      </x:c>
      <x:c r="AA81" s="62" t="n">
        <x:f>H81</x:f>
        <x:v>14</x:v>
      </x:c>
      <x:c r="AB81" s="47" t="n">
        <x:f>AA81+'Navy plan'!T81</x:f>
        <x:v>24</x:v>
      </x:c>
      <x:c r="AC81" s="62" t="n">
        <x:f>'Navy plan'!U81</x:f>
        <x:v>30</x:v>
      </x:c>
      <x:c r="AD81" s="62" t="n">
        <x:f>'Navy plan'!V81</x:f>
        <x:v>15</x:v>
      </x:c>
      <x:c r="AE81" s="67" t="n">
        <x:f>IF(AC81&gt;0,AB81/AC81,0)</x:f>
        <x:v>0.8</x:v>
      </x:c>
    </x:row>
    <x:row r="82">
      <x:c r="A82" s="58" t="n">
        <x:v>1922</x:v>
      </x:c>
      <x:c r="B82" s="47" t="n">
        <x:f>B81+'Navy plan'!B82-IF($A82-Levers!$C$191&gt;=1846,INDEX('Navy plan'!B$6:B$92,$A82-1845-Levers!$C$191),0)</x:f>
        <x:v>0</x:v>
      </x:c>
      <x:c r="C82" s="47" t="n">
        <x:f>C81+'Navy plan'!C82-IF($A82-Levers!$D$191&gt;=1846,INDEX('Navy plan'!C$6:C$92,$A82-1845-Levers!$D$191),0)</x:f>
        <x:v>0</x:v>
      </x:c>
      <x:c r="D82" s="47" t="n">
        <x:f>D81+'Navy plan'!D82-IF($A82-Levers!$E$191&gt;=1846,INDEX('Navy plan'!D$6:D$92,$A82-1845-Levers!$E$191),0)</x:f>
        <x:v>0</x:v>
      </x:c>
      <x:c r="E82" s="47" t="n">
        <x:f>E81+'Navy plan'!E82-IF($A82-Levers!$F$191&gt;=1846,INDEX('Navy plan'!E$6:E$92,$A82-1845-Levers!$F$191),0)</x:f>
        <x:v>0</x:v>
      </x:c>
      <x:c r="F82" s="47" t="n">
        <x:f>F81+'Navy plan'!F82-IF($A82-Levers!$G$191&gt;=1846,INDEX('Navy plan'!F$6:F$92,$A82-1845-Levers!$G$191),0)</x:f>
        <x:v>90</x:v>
      </x:c>
      <x:c r="G82" s="47" t="n">
        <x:f>G81+'Navy plan'!G82-IF($A82-Levers!$H$191&gt;=1846,INDEX('Navy plan'!G$6:G$92,$A82-1845-Levers!$H$191),0)</x:f>
        <x:v>23</x:v>
      </x:c>
      <x:c r="H82" s="47" t="n">
        <x:f>H81+'Navy plan'!H82-IF($A82-Levers!$I$191&gt;=1846,INDEX('Navy plan'!H$6:H$92,$A82-1845-Levers!$I$191),0)</x:f>
        <x:v>14</x:v>
      </x:c>
      <x:c r="I82" s="47" t="n">
        <x:f>I81+'Navy plan'!I82-IF($A82-Levers!$J$191&gt;=1846,INDEX('Navy plan'!I$6:I$92,$A82-1845-Levers!$J$191),0)</x:f>
        <x:v>52</x:v>
      </x:c>
      <x:c r="J82" s="47" t="n">
        <x:f>J81+'Navy plan'!J82-IF($A82-Levers!$K$191&gt;=1846,INDEX('Navy plan'!J$6:J$92,$A82-1845-Levers!$K$191),0)</x:f>
        <x:v>1</x:v>
      </x:c>
      <x:c r="K82" s="47" t="n">
        <x:f>SUM(B82:J82)</x:f>
        <x:v>180</x:v>
      </x:c>
      <x:c r="L82" s="53" t="n">
        <x:f>0.5*SUMPRODUCT('Navy plan'!B82:'Navy plan'!J82,'Navy plan'!K82:'Navy plan'!S82)+0.5*SUMPRODUCT('Navy plan'!B83:'Navy plan'!J83,'Navy plan'!K83:'Navy plan'!S83)</x:f>
        <x:v>23.15</x:v>
      </x:c>
      <x:c r="M82" s="47" t="n">
        <x:f>SUMPRODUCT(B82:J82,Levers!$C$192:$K$192)</x:f>
        <x:v>34360</x:v>
      </x:c>
      <x:c r="N82" s="47" t="n">
        <x:f>SUMPRODUCT(B82:J82,Levers!$C$195:$K$195)</x:f>
        <x:v>44051.28205128205</x:v>
      </x:c>
      <x:c r="O82" s="47" t="n">
        <x:f>N82-M82</x:f>
        <x:v>9691.282051282047</x:v>
      </x:c>
      <x:c r="P82" s="53" t="n">
        <x:f>M82*sailor_pay*Economy!H82/1000000</x:f>
        <x:v>48.85992</x:v>
      </x:c>
      <x:c r="Q82" s="53" t="n">
        <x:f>SUMPRODUCT(B82:J82,'Navy plan'!K82:'Navy plan'!S82)*maint_rate</x:f>
        <x:v>44.53035</x:v>
      </x:c>
      <x:c r="R82" s="53" t="n">
        <x:f>SUMPRODUCT(B82:J82,Levers!$C$193:$K$193)*Economy!H82</x:f>
        <x:v>12.8138</x:v>
      </x:c>
      <x:c r="S82" s="53" t="n">
        <x:f>SUMPRODUCT(B82:J82,Levers!$C$193:$K$193,Levers!$C$194:$K$194)*(1/oil_fuel-1)*Economy!H82</x:f>
        <x:v>5.4916285714285715</x:v>
      </x:c>
      <x:c r="T82" s="53" t="n">
        <x:f>S82+O82*sailor_pay*Economy!H82/1000000</x:f>
        <x:v>19.272631648351645</x:v>
      </x:c>
      <x:c r="U82" s="53" t="n">
        <x:f>(P82+Q82+R82)*navy_overhead</x:f>
        <x:v>15.9306105</x:v>
      </x:c>
      <x:c r="V82" s="53" t="n">
        <x:f>L82+P82+Q82+R82+U82</x:f>
        <x:v>145.28468049999998</x:v>
      </x:c>
      <x:c r="W82" s="69" t="n">
        <x:f>Japan!I82</x:f>
        <x:v>130</x:v>
      </x:c>
      <x:c r="X82" s="53" t="n">
        <x:f>IF($A82&gt;=1927,V82+W82,0)</x:f>
        <x:v>0</x:v>
      </x:c>
      <x:c r="Y82" s="53" t="n">
        <x:f>IF($A82&gt;=1927,pac_quota*X82,V82)</x:f>
        <x:v>145.28468049999998</x:v>
      </x:c>
      <x:c r="Z82" s="67" t="n">
        <x:f>SUMPRODUCT(B82:J82,Levers!$C$193:$K$193,Levers!$C$194:$K$194)/0.6</x:f>
        <x:v>13.516666666666666</x:v>
      </x:c>
      <x:c r="AA82" s="62" t="n">
        <x:f>H82</x:f>
        <x:v>14</x:v>
      </x:c>
      <x:c r="AB82" s="47" t="n">
        <x:f>AA82+'Navy plan'!T82</x:f>
        <x:v>24</x:v>
      </x:c>
      <x:c r="AC82" s="62" t="n">
        <x:f>'Navy plan'!U82</x:f>
        <x:v>24</x:v>
      </x:c>
      <x:c r="AD82" s="62" t="n">
        <x:f>'Navy plan'!V82</x:f>
        <x:v>16</x:v>
      </x:c>
      <x:c r="AE82" s="67" t="n">
        <x:f>IF(AC82&gt;0,AB82/AC82,0)</x:f>
        <x:v>1</x:v>
      </x:c>
    </x:row>
    <x:row r="83">
      <x:c r="A83" s="58" t="n">
        <x:v>1923</x:v>
      </x:c>
      <x:c r="B83" s="47" t="n">
        <x:f>B82+'Navy plan'!B83-IF($A83-Levers!$C$191&gt;=1846,INDEX('Navy plan'!B$6:B$92,$A83-1845-Levers!$C$191),0)</x:f>
        <x:v>0</x:v>
      </x:c>
      <x:c r="C83" s="47" t="n">
        <x:f>C82+'Navy plan'!C83-IF($A83-Levers!$D$191&gt;=1846,INDEX('Navy plan'!C$6:C$92,$A83-1845-Levers!$D$191),0)</x:f>
        <x:v>0</x:v>
      </x:c>
      <x:c r="D83" s="47" t="n">
        <x:f>D82+'Navy plan'!D83-IF($A83-Levers!$E$191&gt;=1846,INDEX('Navy plan'!D$6:D$92,$A83-1845-Levers!$E$191),0)</x:f>
        <x:v>0</x:v>
      </x:c>
      <x:c r="E83" s="47" t="n">
        <x:f>E82+'Navy plan'!E83-IF($A83-Levers!$F$191&gt;=1846,INDEX('Navy plan'!E$6:E$92,$A83-1845-Levers!$F$191),0)</x:f>
        <x:v>0</x:v>
      </x:c>
      <x:c r="F83" s="47" t="n">
        <x:f>F82+'Navy plan'!F83-IF($A83-Levers!$G$191&gt;=1846,INDEX('Navy plan'!F$6:F$92,$A83-1845-Levers!$G$191),0)</x:f>
        <x:v>90</x:v>
      </x:c>
      <x:c r="G83" s="47" t="n">
        <x:f>G82+'Navy plan'!G83-IF($A83-Levers!$H$191&gt;=1846,INDEX('Navy plan'!G$6:G$92,$A83-1845-Levers!$H$191),0)</x:f>
        <x:v>22</x:v>
      </x:c>
      <x:c r="H83" s="47" t="n">
        <x:f>H82+'Navy plan'!H83-IF($A83-Levers!$I$191&gt;=1846,INDEX('Navy plan'!H$6:H$92,$A83-1845-Levers!$I$191),0)</x:f>
        <x:v>14</x:v>
      </x:c>
      <x:c r="I83" s="47" t="n">
        <x:f>I82+'Navy plan'!I83-IF($A83-Levers!$J$191&gt;=1846,INDEX('Navy plan'!I$6:I$92,$A83-1845-Levers!$J$191),0)</x:f>
        <x:v>52</x:v>
      </x:c>
      <x:c r="J83" s="47" t="n">
        <x:f>J82+'Navy plan'!J83-IF($A83-Levers!$K$191&gt;=1846,INDEX('Navy plan'!J$6:J$92,$A83-1845-Levers!$K$191),0)</x:f>
        <x:v>1</x:v>
      </x:c>
      <x:c r="K83" s="47" t="n">
        <x:f>SUM(B83:J83)</x:f>
        <x:v>179</x:v>
      </x:c>
      <x:c r="L83" s="53" t="n">
        <x:f>0.5*SUMPRODUCT('Navy plan'!B83:'Navy plan'!J83,'Navy plan'!K83:'Navy plan'!S83)+0.5*SUMPRODUCT('Navy plan'!B84:'Navy plan'!J84,'Navy plan'!K84:'Navy plan'!S84)</x:f>
        <x:v>14.767499999999998</x:v>
      </x:c>
      <x:c r="M83" s="47" t="n">
        <x:f>SUMPRODUCT(B83:J83,Levers!$C$192:$K$192)</x:f>
        <x:v>33960</x:v>
      </x:c>
      <x:c r="N83" s="47" t="n">
        <x:f>SUMPRODUCT(B83:J83,Levers!$C$195:$K$195)</x:f>
        <x:v>43538.46153846153</x:v>
      </x:c>
      <x:c r="O83" s="47" t="n">
        <x:f>N83-M83</x:f>
        <x:v>9578.461538461532</x:v>
      </x:c>
      <x:c r="P83" s="53" t="n">
        <x:f>M83*sailor_pay*Economy!H83/1000000</x:f>
        <x:v>49.51368</x:v>
      </x:c>
      <x:c r="Q83" s="53" t="n">
        <x:f>SUMPRODUCT(B83:J83,'Navy plan'!K83:'Navy plan'!S83)*maint_rate</x:f>
        <x:v>43.9354</x:v>
      </x:c>
      <x:c r="R83" s="53" t="n">
        <x:f>SUMPRODUCT(B83:J83,Levers!$C$193:$K$193)*Economy!H83</x:f>
        <x:v>13.0086</x:v>
      </x:c>
      <x:c r="S83" s="53" t="n">
        <x:f>SUMPRODUCT(B83:J83,Levers!$C$193:$K$193,Levers!$C$194:$K$194)*(1/oil_fuel-1)*Economy!H83</x:f>
        <x:v>5.575114285714286</x:v>
      </x:c>
      <x:c r="T83" s="53" t="n">
        <x:f>S83+O83*sailor_pay*Economy!H83/1000000</x:f>
        <x:v>19.5405112087912</x:v>
      </x:c>
      <x:c r="U83" s="53" t="n">
        <x:f>(P83+Q83+R83)*navy_overhead</x:f>
        <x:v>15.968652</x:v>
      </x:c>
      <x:c r="V83" s="53" t="n">
        <x:f>L83+P83+Q83+R83+U83</x:f>
        <x:v>137.19383200000001</x:v>
      </x:c>
      <x:c r="W83" s="69" t="n">
        <x:f>Japan!I83</x:f>
        <x:v>120</x:v>
      </x:c>
      <x:c r="X83" s="53" t="n">
        <x:f>IF($A83&gt;=1927,V83+W83,0)</x:f>
        <x:v>0</x:v>
      </x:c>
      <x:c r="Y83" s="53" t="n">
        <x:f>IF($A83&gt;=1927,pac_quota*X83,V83)</x:f>
        <x:v>137.19383200000001</x:v>
      </x:c>
      <x:c r="Z83" s="67" t="n">
        <x:f>SUMPRODUCT(B83:J83,Levers!$C$193:$K$193,Levers!$C$194:$K$194)/0.6</x:f>
        <x:v>13.383333333333333</x:v>
      </x:c>
      <x:c r="AA83" s="62" t="n">
        <x:f>H83</x:f>
        <x:v>14</x:v>
      </x:c>
      <x:c r="AB83" s="47" t="n">
        <x:f>AA83+'Navy plan'!T83</x:f>
        <x:v>24</x:v>
      </x:c>
      <x:c r="AC83" s="62" t="n">
        <x:f>'Navy plan'!U83</x:f>
        <x:v>24</x:v>
      </x:c>
      <x:c r="AD83" s="62" t="n">
        <x:f>'Navy plan'!V83</x:f>
        <x:v>16</x:v>
      </x:c>
      <x:c r="AE83" s="67" t="n">
        <x:f>IF(AC83&gt;0,AB83/AC83,0)</x:f>
        <x:v>1</x:v>
      </x:c>
    </x:row>
    <x:row r="84">
      <x:c r="A84" s="58" t="n">
        <x:v>1924</x:v>
      </x:c>
      <x:c r="B84" s="47" t="n">
        <x:f>B83+'Navy plan'!B84-IF($A84-Levers!$C$191&gt;=1846,INDEX('Navy plan'!B$6:B$92,$A84-1845-Levers!$C$191),0)</x:f>
        <x:v>0</x:v>
      </x:c>
      <x:c r="C84" s="47" t="n">
        <x:f>C83+'Navy plan'!C84-IF($A84-Levers!$D$191&gt;=1846,INDEX('Navy plan'!C$6:C$92,$A84-1845-Levers!$D$191),0)</x:f>
        <x:v>0</x:v>
      </x:c>
      <x:c r="D84" s="47" t="n">
        <x:f>D83+'Navy plan'!D84-IF($A84-Levers!$E$191&gt;=1846,INDEX('Navy plan'!D$6:D$92,$A84-1845-Levers!$E$191),0)</x:f>
        <x:v>0</x:v>
      </x:c>
      <x:c r="E84" s="47" t="n">
        <x:f>E83+'Navy plan'!E84-IF($A84-Levers!$F$191&gt;=1846,INDEX('Navy plan'!E$6:E$92,$A84-1845-Levers!$F$191),0)</x:f>
        <x:v>0</x:v>
      </x:c>
      <x:c r="F84" s="47" t="n">
        <x:f>F83+'Navy plan'!F84-IF($A84-Levers!$G$191&gt;=1846,INDEX('Navy plan'!F$6:F$92,$A84-1845-Levers!$G$191),0)</x:f>
        <x:v>89</x:v>
      </x:c>
      <x:c r="G84" s="47" t="n">
        <x:f>G83+'Navy plan'!G84-IF($A84-Levers!$H$191&gt;=1846,INDEX('Navy plan'!G$6:G$92,$A84-1845-Levers!$H$191),0)</x:f>
        <x:v>22</x:v>
      </x:c>
      <x:c r="H84" s="47" t="n">
        <x:f>H83+'Navy plan'!H84-IF($A84-Levers!$I$191&gt;=1846,INDEX('Navy plan'!H$6:H$92,$A84-1845-Levers!$I$191),0)</x:f>
        <x:v>14</x:v>
      </x:c>
      <x:c r="I84" s="47" t="n">
        <x:f>I83+'Navy plan'!I84-IF($A84-Levers!$J$191&gt;=1846,INDEX('Navy plan'!I$6:I$92,$A84-1845-Levers!$J$191),0)</x:f>
        <x:v>55</x:v>
      </x:c>
      <x:c r="J84" s="47" t="n">
        <x:f>J83+'Navy plan'!J84-IF($A84-Levers!$K$191&gt;=1846,INDEX('Navy plan'!J$6:J$92,$A84-1845-Levers!$K$191),0)</x:f>
        <x:v>1</x:v>
      </x:c>
      <x:c r="K84" s="47" t="n">
        <x:f>SUM(B84:J84)</x:f>
        <x:v>181</x:v>
      </x:c>
      <x:c r="L84" s="53" t="n">
        <x:f>0.5*SUMPRODUCT('Navy plan'!B84:'Navy plan'!J84,'Navy plan'!K84:'Navy plan'!S84)+0.5*SUMPRODUCT('Navy plan'!B85:'Navy plan'!J85,'Navy plan'!K85:'Navy plan'!S85)</x:f>
        <x:v>39.903000000000006</x:v>
      </x:c>
      <x:c r="M84" s="47" t="n">
        <x:f>SUMPRODUCT(B84:J84,Levers!$C$192:$K$192)</x:f>
        <x:v>33960</x:v>
      </x:c>
      <x:c r="N84" s="47" t="n">
        <x:f>SUMPRODUCT(B84:J84,Levers!$C$195:$K$195)</x:f>
        <x:v>43538.46153846154</x:v>
      </x:c>
      <x:c r="O84" s="47" t="n">
        <x:f>N84-M84</x:f>
        <x:v>9578.461538461539</x:v>
      </x:c>
      <x:c r="P84" s="53" t="n">
        <x:f>M84*sailor_pay*Economy!H84/1000000</x:f>
        <x:v>49.51368</x:v>
      </x:c>
      <x:c r="Q84" s="53" t="n">
        <x:f>SUMPRODUCT(B84:J84,'Navy plan'!K84:'Navy plan'!S84)*maint_rate</x:f>
        <x:v>43.9437</x:v>
      </x:c>
      <x:c r="R84" s="53" t="n">
        <x:f>SUMPRODUCT(B84:J84,Levers!$C$193:$K$193)*Economy!H84</x:f>
        <x:v>13.008600000000003</x:v>
      </x:c>
      <x:c r="S84" s="53" t="n">
        <x:f>SUMPRODUCT(B84:J84,Levers!$C$193:$K$193,Levers!$C$194:$K$194)*(1/oil_fuel-1)*Economy!H84</x:f>
        <x:v>5.575114285714287</x:v>
      </x:c>
      <x:c r="T84" s="53" t="n">
        <x:f>S84+O84*sailor_pay*Economy!H84/1000000</x:f>
        <x:v>19.540511208791212</x:v>
      </x:c>
      <x:c r="U84" s="53" t="n">
        <x:f>(P84+Q84+R84)*navy_overhead</x:f>
        <x:v>15.969897</x:v>
      </x:c>
      <x:c r="V84" s="53" t="n">
        <x:f>L84+P84+Q84+R84+U84</x:f>
        <x:v>162.33887700000002</x:v>
      </x:c>
      <x:c r="W84" s="69" t="n">
        <x:f>Japan!I84</x:f>
        <x:v>110</x:v>
      </x:c>
      <x:c r="X84" s="53" t="n">
        <x:f>IF($A84&gt;=1927,V84+W84,0)</x:f>
        <x:v>0</x:v>
      </x:c>
      <x:c r="Y84" s="53" t="n">
        <x:f>IF($A84&gt;=1927,pac_quota*X84,V84)</x:f>
        <x:v>162.33887700000002</x:v>
      </x:c>
      <x:c r="Z84" s="67" t="n">
        <x:f>SUMPRODUCT(B84:J84,Levers!$C$193:$K$193,Levers!$C$194:$K$194)/0.6</x:f>
        <x:v>13.383333333333336</x:v>
      </x:c>
      <x:c r="AA84" s="62" t="n">
        <x:f>H84</x:f>
        <x:v>14</x:v>
      </x:c>
      <x:c r="AB84" s="47" t="n">
        <x:f>AA84+'Navy plan'!T84</x:f>
        <x:v>24</x:v>
      </x:c>
      <x:c r="AC84" s="62" t="n">
        <x:f>'Navy plan'!U84</x:f>
        <x:v>24</x:v>
      </x:c>
      <x:c r="AD84" s="62" t="n">
        <x:f>'Navy plan'!V84</x:f>
        <x:v>16</x:v>
      </x:c>
      <x:c r="AE84" s="67" t="n">
        <x:f>IF(AC84&gt;0,AB84/AC84,0)</x:f>
        <x:v>1</x:v>
      </x:c>
    </x:row>
    <x:row r="85">
      <x:c r="A85" s="58" t="n">
        <x:v>1925</x:v>
      </x:c>
      <x:c r="B85" s="47" t="n">
        <x:f>B84+'Navy plan'!B85-IF($A85-Levers!$C$191&gt;=1846,INDEX('Navy plan'!B$6:B$92,$A85-1845-Levers!$C$191),0)</x:f>
        <x:v>0</x:v>
      </x:c>
      <x:c r="C85" s="47" t="n">
        <x:f>C84+'Navy plan'!C85-IF($A85-Levers!$D$191&gt;=1846,INDEX('Navy plan'!C$6:C$92,$A85-1845-Levers!$D$191),0)</x:f>
        <x:v>0</x:v>
      </x:c>
      <x:c r="D85" s="47" t="n">
        <x:f>D84+'Navy plan'!D85-IF($A85-Levers!$E$191&gt;=1846,INDEX('Navy plan'!D$6:D$92,$A85-1845-Levers!$E$191),0)</x:f>
        <x:v>0</x:v>
      </x:c>
      <x:c r="E85" s="47" t="n">
        <x:f>E84+'Navy plan'!E85-IF($A85-Levers!$F$191&gt;=1846,INDEX('Navy plan'!E$6:E$92,$A85-1845-Levers!$F$191),0)</x:f>
        <x:v>0</x:v>
      </x:c>
      <x:c r="F85" s="47" t="n">
        <x:f>F84+'Navy plan'!F85-IF($A85-Levers!$G$191&gt;=1846,INDEX('Navy plan'!F$6:F$92,$A85-1845-Levers!$G$191),0)</x:f>
        <x:v>88</x:v>
      </x:c>
      <x:c r="G85" s="47" t="n">
        <x:f>G84+'Navy plan'!G85-IF($A85-Levers!$H$191&gt;=1846,INDEX('Navy plan'!G$6:G$92,$A85-1845-Levers!$H$191),0)</x:f>
        <x:v>22</x:v>
      </x:c>
      <x:c r="H85" s="47" t="n">
        <x:f>H84+'Navy plan'!H85-IF($A85-Levers!$I$191&gt;=1846,INDEX('Navy plan'!H$6:H$92,$A85-1845-Levers!$I$191),0)</x:f>
        <x:v>14</x:v>
      </x:c>
      <x:c r="I85" s="47" t="n">
        <x:f>I84+'Navy plan'!I85-IF($A85-Levers!$J$191&gt;=1846,INDEX('Navy plan'!I$6:I$92,$A85-1845-Levers!$J$191),0)</x:f>
        <x:v>54</x:v>
      </x:c>
      <x:c r="J85" s="47" t="n">
        <x:f>J84+'Navy plan'!J85-IF($A85-Levers!$K$191&gt;=1846,INDEX('Navy plan'!J$6:J$92,$A85-1845-Levers!$K$191),0)</x:f>
        <x:v>2</x:v>
      </x:c>
      <x:c r="K85" s="47" t="n">
        <x:f>SUM(B85:J85)</x:f>
        <x:v>180</x:v>
      </x:c>
      <x:c r="L85" s="53" t="n">
        <x:f>0.5*SUMPRODUCT('Navy plan'!B85:'Navy plan'!J85,'Navy plan'!K85:'Navy plan'!S85)+0.5*SUMPRODUCT('Navy plan'!B86:'Navy plan'!J86,'Navy plan'!K86:'Navy plan'!S86)</x:f>
        <x:v>39.8355</x:v>
      </x:c>
      <x:c r="M85" s="47" t="n">
        <x:f>SUMPRODUCT(B85:J85,Levers!$C$192:$K$192)</x:f>
        <x:v>35340</x:v>
      </x:c>
      <x:c r="N85" s="47" t="n">
        <x:f>SUMPRODUCT(B85:J85,Levers!$C$195:$K$195)</x:f>
        <x:v>45307.69230769231</x:v>
      </x:c>
      <x:c r="O85" s="47" t="n">
        <x:f>N85-M85</x:f>
        <x:v>9967.692307692312</x:v>
      </x:c>
      <x:c r="P85" s="53" t="n">
        <x:f>M85*sailor_pay*Economy!H85/1000000</x:f>
        <x:v>52.4799</x:v>
      </x:c>
      <x:c r="Q85" s="53" t="n">
        <x:f>SUMPRODUCT(B85:J85,'Navy plan'!K85:'Navy plan'!S85)*maint_rate</x:f>
        <x:v>44.77</x:v>
      </x:c>
      <x:c r="R85" s="53" t="n">
        <x:f>SUMPRODUCT(B85:J85,Levers!$C$193:$K$193)*Economy!H85</x:f>
        <x:v>13.595999999999997</x:v>
      </x:c>
      <x:c r="S85" s="53" t="n">
        <x:f>SUMPRODUCT(B85:J85,Levers!$C$193:$K$193,Levers!$C$194:$K$194)*(1/oil_fuel-1)*Economy!H85</x:f>
        <x:v>5.826857142857142</x:v>
      </x:c>
      <x:c r="T85" s="53" t="n">
        <x:f>S85+O85*sailor_pay*Economy!H85/1000000</x:f>
        <x:v>20.628880219780225</x:v>
      </x:c>
      <x:c r="U85" s="53" t="n">
        <x:f>(P85+Q85+R85)*navy_overhead</x:f>
        <x:v>16.626884999999998</x:v>
      </x:c>
      <x:c r="V85" s="53" t="n">
        <x:f>L85+P85+Q85+R85+U85</x:f>
        <x:v>167.308285</x:v>
      </x:c>
      <x:c r="W85" s="69" t="n">
        <x:f>Japan!I85</x:f>
        <x:v>112.5</x:v>
      </x:c>
      <x:c r="X85" s="53" t="n">
        <x:f>IF($A85&gt;=1927,V85+W85,0)</x:f>
        <x:v>0</x:v>
      </x:c>
      <x:c r="Y85" s="53" t="n">
        <x:f>IF($A85&gt;=1927,pac_quota*X85,V85)</x:f>
        <x:v>167.308285</x:v>
      </x:c>
      <x:c r="Z85" s="67" t="n">
        <x:f>SUMPRODUCT(B85:J85,Levers!$C$193:$K$193,Levers!$C$194:$K$194)/0.6</x:f>
        <x:v>13.73333333333333</x:v>
      </x:c>
      <x:c r="AA85" s="62" t="n">
        <x:f>H85</x:f>
        <x:v>14</x:v>
      </x:c>
      <x:c r="AB85" s="47" t="n">
        <x:f>AA85+'Navy plan'!T85</x:f>
        <x:v>24</x:v>
      </x:c>
      <x:c r="AC85" s="62" t="n">
        <x:f>'Navy plan'!U85</x:f>
        <x:v>24</x:v>
      </x:c>
      <x:c r="AD85" s="62" t="n">
        <x:f>'Navy plan'!V85</x:f>
        <x:v>18</x:v>
      </x:c>
      <x:c r="AE85" s="67" t="n">
        <x:f>IF(AC85&gt;0,AB85/AC85,0)</x:f>
        <x:v>1</x:v>
      </x:c>
    </x:row>
    <x:row r="86">
      <x:c r="A86" s="58" t="n">
        <x:v>1926</x:v>
      </x:c>
      <x:c r="B86" s="47" t="n">
        <x:f>B85+'Navy plan'!B86-IF($A86-Levers!$C$191&gt;=1846,INDEX('Navy plan'!B$6:B$92,$A86-1845-Levers!$C$191),0)</x:f>
        <x:v>0</x:v>
      </x:c>
      <x:c r="C86" s="47" t="n">
        <x:f>C85+'Navy plan'!C86-IF($A86-Levers!$D$191&gt;=1846,INDEX('Navy plan'!C$6:C$92,$A86-1845-Levers!$D$191),0)</x:f>
        <x:v>0</x:v>
      </x:c>
      <x:c r="D86" s="47" t="n">
        <x:f>D85+'Navy plan'!D86-IF($A86-Levers!$E$191&gt;=1846,INDEX('Navy plan'!D$6:D$92,$A86-1845-Levers!$E$191),0)</x:f>
        <x:v>0</x:v>
      </x:c>
      <x:c r="E86" s="47" t="n">
        <x:f>E85+'Navy plan'!E86-IF($A86-Levers!$F$191&gt;=1846,INDEX('Navy plan'!E$6:E$92,$A86-1845-Levers!$F$191),0)</x:f>
        <x:v>0</x:v>
      </x:c>
      <x:c r="F86" s="47" t="n">
        <x:f>F85+'Navy plan'!F86-IF($A86-Levers!$G$191&gt;=1846,INDEX('Navy plan'!F$6:F$92,$A86-1845-Levers!$G$191),0)</x:f>
        <x:v>87</x:v>
      </x:c>
      <x:c r="G86" s="47" t="n">
        <x:f>G85+'Navy plan'!G86-IF($A86-Levers!$H$191&gt;=1846,INDEX('Navy plan'!G$6:G$92,$A86-1845-Levers!$H$191),0)</x:f>
        <x:v>22</x:v>
      </x:c>
      <x:c r="H86" s="47" t="n">
        <x:f>H85+'Navy plan'!H86-IF($A86-Levers!$I$191&gt;=1846,INDEX('Navy plan'!H$6:H$92,$A86-1845-Levers!$I$191),0)</x:f>
        <x:v>14</x:v>
      </x:c>
      <x:c r="I86" s="47" t="n">
        <x:f>I85+'Navy plan'!I86-IF($A86-Levers!$J$191&gt;=1846,INDEX('Navy plan'!I$6:I$92,$A86-1845-Levers!$J$191),0)</x:f>
        <x:v>57</x:v>
      </x:c>
      <x:c r="J86" s="47" t="n">
        <x:f>J85+'Navy plan'!J86-IF($A86-Levers!$K$191&gt;=1846,INDEX('Navy plan'!J$6:J$92,$A86-1845-Levers!$K$191),0)</x:f>
        <x:v>2</x:v>
      </x:c>
      <x:c r="K86" s="47" t="n">
        <x:f>SUM(B86:J86)</x:f>
        <x:v>182</x:v>
      </x:c>
      <x:c r="L86" s="53" t="n">
        <x:f>0.5*SUMPRODUCT('Navy plan'!B86:'Navy plan'!J86,'Navy plan'!K86:'Navy plan'!S86)+0.5*SUMPRODUCT('Navy plan'!B87:'Navy plan'!J87,'Navy plan'!K87:'Navy plan'!S87)</x:f>
        <x:v>28.134999999999998</x:v>
      </x:c>
      <x:c r="M86" s="47" t="n">
        <x:f>SUMPRODUCT(B86:J86,Levers!$C$192:$K$192)</x:f>
        <x:v>35340</x:v>
      </x:c>
      <x:c r="N86" s="47" t="n">
        <x:f>SUMPRODUCT(B86:J86,Levers!$C$195:$K$195)</x:f>
        <x:v>45307.692307692305</x:v>
      </x:c>
      <x:c r="O86" s="47" t="n">
        <x:f>N86-M86</x:f>
        <x:v>9967.692307692305</x:v>
      </x:c>
      <x:c r="P86" s="53" t="n">
        <x:f>M86*sailor_pay*Economy!H86/1000000</x:f>
        <x:v>51.52572</x:v>
      </x:c>
      <x:c r="Q86" s="53" t="n">
        <x:f>SUMPRODUCT(B86:J86,'Navy plan'!K86:'Navy plan'!S86)*maint_rate</x:f>
        <x:v>44.38135</x:v>
      </x:c>
      <x:c r="R86" s="53" t="n">
        <x:f>SUMPRODUCT(B86:J86,Levers!$C$193:$K$193)*Economy!H86</x:f>
        <x:v>13.3488</x:v>
      </x:c>
      <x:c r="S86" s="53" t="n">
        <x:f>SUMPRODUCT(B86:J86,Levers!$C$193:$K$193,Levers!$C$194:$K$194)*(1/oil_fuel-1)*Economy!H86</x:f>
        <x:v>5.7209142857142865</x:v>
      </x:c>
      <x:c r="T86" s="53" t="n">
        <x:f>S86+O86*sailor_pay*Economy!H86/1000000</x:f>
        <x:v>20.253809670329666</x:v>
      </x:c>
      <x:c r="U86" s="53" t="n">
        <x:f>(P86+Q86+R86)*navy_overhead</x:f>
        <x:v>16.3883805</x:v>
      </x:c>
      <x:c r="V86" s="53" t="n">
        <x:f>L86+P86+Q86+R86+U86</x:f>
        <x:v>153.77925050000002</x:v>
      </x:c>
      <x:c r="W86" s="69" t="n">
        <x:f>Japan!I86</x:f>
        <x:v>115</x:v>
      </x:c>
      <x:c r="X86" s="53" t="n">
        <x:f>IF($A86&gt;=1927,V86+W86,0)</x:f>
        <x:v>0</x:v>
      </x:c>
      <x:c r="Y86" s="53" t="n">
        <x:f>IF($A86&gt;=1927,pac_quota*X86,V86)</x:f>
        <x:v>153.77925050000002</x:v>
      </x:c>
      <x:c r="Z86" s="67" t="n">
        <x:f>SUMPRODUCT(B86:J86,Levers!$C$193:$K$193,Levers!$C$194:$K$194)/0.6</x:f>
        <x:v>13.733333333333334</x:v>
      </x:c>
      <x:c r="AA86" s="62" t="n">
        <x:f>H86</x:f>
        <x:v>14</x:v>
      </x:c>
      <x:c r="AB86" s="47" t="n">
        <x:f>AA86+'Navy plan'!T86</x:f>
        <x:v>24</x:v>
      </x:c>
      <x:c r="AC86" s="62" t="n">
        <x:f>'Navy plan'!U86</x:f>
        <x:v>24</x:v>
      </x:c>
      <x:c r="AD86" s="62" t="n">
        <x:f>'Navy plan'!V86</x:f>
        <x:v>18</x:v>
      </x:c>
      <x:c r="AE86" s="67" t="n">
        <x:f>IF(AC86&gt;0,AB86/AC86,0)</x:f>
        <x:v>1</x:v>
      </x:c>
    </x:row>
    <x:row r="87">
      <x:c r="A87" s="58" t="n">
        <x:v>1927</x:v>
      </x:c>
      <x:c r="B87" s="47" t="n">
        <x:f>B86+'Navy plan'!B87-IF($A87-Levers!$C$191&gt;=1846,INDEX('Navy plan'!B$6:B$92,$A87-1845-Levers!$C$191),0)</x:f>
        <x:v>0</x:v>
      </x:c>
      <x:c r="C87" s="47" t="n">
        <x:f>C86+'Navy plan'!C87-IF($A87-Levers!$D$191&gt;=1846,INDEX('Navy plan'!C$6:C$92,$A87-1845-Levers!$D$191),0)</x:f>
        <x:v>0</x:v>
      </x:c>
      <x:c r="D87" s="47" t="n">
        <x:f>D86+'Navy plan'!D87-IF($A87-Levers!$E$191&gt;=1846,INDEX('Navy plan'!D$6:D$92,$A87-1845-Levers!$E$191),0)</x:f>
        <x:v>0</x:v>
      </x:c>
      <x:c r="E87" s="47" t="n">
        <x:f>E86+'Navy plan'!E87-IF($A87-Levers!$F$191&gt;=1846,INDEX('Navy plan'!E$6:E$92,$A87-1845-Levers!$F$191),0)</x:f>
        <x:v>0</x:v>
      </x:c>
      <x:c r="F87" s="47" t="n">
        <x:f>F86+'Navy plan'!F87-IF($A87-Levers!$G$191&gt;=1846,INDEX('Navy plan'!F$6:F$92,$A87-1845-Levers!$G$191),0)</x:f>
        <x:v>86</x:v>
      </x:c>
      <x:c r="G87" s="47" t="n">
        <x:f>G86+'Navy plan'!G87-IF($A87-Levers!$H$191&gt;=1846,INDEX('Navy plan'!G$6:G$92,$A87-1845-Levers!$H$191),0)</x:f>
        <x:v>22</x:v>
      </x:c>
      <x:c r="H87" s="47" t="n">
        <x:f>H86+'Navy plan'!H87-IF($A87-Levers!$I$191&gt;=1846,INDEX('Navy plan'!H$6:H$92,$A87-1845-Levers!$I$191),0)</x:f>
        <x:v>14</x:v>
      </x:c>
      <x:c r="I87" s="47" t="n">
        <x:f>I86+'Navy plan'!I87-IF($A87-Levers!$J$191&gt;=1846,INDEX('Navy plan'!I$6:I$92,$A87-1845-Levers!$J$191),0)</x:f>
        <x:v>56</x:v>
      </x:c>
      <x:c r="J87" s="47" t="n">
        <x:f>J86+'Navy plan'!J87-IF($A87-Levers!$K$191&gt;=1846,INDEX('Navy plan'!J$6:J$92,$A87-1845-Levers!$K$191),0)</x:f>
        <x:v>2</x:v>
      </x:c>
      <x:c r="K87" s="47" t="n">
        <x:f>SUM(B87:J87)</x:f>
        <x:v>180</x:v>
      </x:c>
      <x:c r="L87" s="53" t="n">
        <x:f>0.5*SUMPRODUCT('Navy plan'!B87:'Navy plan'!J87,'Navy plan'!K87:'Navy plan'!S87)+0.5*SUMPRODUCT('Navy plan'!B88:'Navy plan'!J88,'Navy plan'!K88:'Navy plan'!S88)</x:f>
        <x:v>53.863</x:v>
      </x:c>
      <x:c r="M87" s="47" t="n">
        <x:f>SUMPRODUCT(B87:J87,Levers!$C$192:$K$192)</x:f>
        <x:v>35220</x:v>
      </x:c>
      <x:c r="N87" s="47" t="n">
        <x:f>SUMPRODUCT(B87:J87,Levers!$C$195:$K$195)</x:f>
        <x:v>45153.846153846156</x:v>
      </x:c>
      <x:c r="O87" s="47" t="n">
        <x:f>N87-M87</x:f>
        <x:v>9933.846153846156</x:v>
      </x:c>
      <x:c r="P87" s="53" t="n">
        <x:f>M87*sailor_pay*Economy!H87/1000000</x:f>
        <x:v>50.08284</x:v>
      </x:c>
      <x:c r="Q87" s="53" t="n">
        <x:f>SUMPRODUCT(B87:J87,'Navy plan'!K87:'Navy plan'!S87)*maint_rate</x:f>
        <x:v>43.6992</x:v>
      </x:c>
      <x:c r="R87" s="53" t="n">
        <x:f>SUMPRODUCT(B87:J87,Levers!$C$193:$K$193)*Economy!H87</x:f>
        <x:v>12.956000000000003</x:v>
      </x:c>
      <x:c r="S87" s="53" t="n">
        <x:f>SUMPRODUCT(B87:J87,Levers!$C$193:$K$193,Levers!$C$194:$K$194)*(1/oil_fuel-1)*Economy!H87</x:f>
        <x:v>5.55257142857143</x:v>
      </x:c>
      <x:c r="T87" s="53" t="n">
        <x:f>S87+O87*sailor_pay*Economy!H87/1000000</x:f>
        <x:v>19.678500659340664</x:v>
      </x:c>
      <x:c r="U87" s="53" t="n">
        <x:f>(P87+Q87+R87)*navy_overhead</x:f>
        <x:v>16.010706</x:v>
      </x:c>
      <x:c r="V87" s="53" t="n">
        <x:f>L87+P87+Q87+R87+U87</x:f>
        <x:v>176.611746</x:v>
      </x:c>
      <x:c r="W87" s="69" t="n">
        <x:f>Japan!I87</x:f>
        <x:v>120</x:v>
      </x:c>
      <x:c r="X87" s="53" t="n">
        <x:f>IF($A87&gt;=1927,V87+W87,0)</x:f>
        <x:v>296.61174600000004</x:v>
      </x:c>
      <x:c r="Y87" s="53" t="n">
        <x:f>IF($A87&gt;=1927,pac_quota*X87,V87)</x:f>
        <x:v>192.79763490000002</x:v>
      </x:c>
      <x:c r="Z87" s="67" t="n">
        <x:f>SUMPRODUCT(B87:J87,Levers!$C$193:$K$193,Levers!$C$194:$K$194)/0.6</x:f>
        <x:v>13.66666666666667</x:v>
      </x:c>
      <x:c r="AA87" s="62" t="n">
        <x:f>H87</x:f>
        <x:v>14</x:v>
      </x:c>
      <x:c r="AB87" s="47" t="n">
        <x:f>AA87+'Navy plan'!T87</x:f>
        <x:v>24</x:v>
      </x:c>
      <x:c r="AC87" s="62" t="n">
        <x:f>'Navy plan'!U87</x:f>
        <x:v>24</x:v>
      </x:c>
      <x:c r="AD87" s="62" t="n">
        <x:f>'Navy plan'!V87</x:f>
        <x:v>19</x:v>
      </x:c>
      <x:c r="AE87" s="67" t="n">
        <x:f>IF(AC87&gt;0,AB87/AC87,0)</x:f>
        <x:v>1</x:v>
      </x:c>
    </x:row>
    <x:row r="88">
      <x:c r="A88" s="58" t="n">
        <x:v>1928</x:v>
      </x:c>
      <x:c r="B88" s="47" t="n">
        <x:f>B87+'Navy plan'!B88-IF($A88-Levers!$C$191&gt;=1846,INDEX('Navy plan'!B$6:B$92,$A88-1845-Levers!$C$191),0)</x:f>
        <x:v>0</x:v>
      </x:c>
      <x:c r="C88" s="47" t="n">
        <x:f>C87+'Navy plan'!C88-IF($A88-Levers!$D$191&gt;=1846,INDEX('Navy plan'!C$6:C$92,$A88-1845-Levers!$D$191),0)</x:f>
        <x:v>0</x:v>
      </x:c>
      <x:c r="D88" s="47" t="n">
        <x:f>D87+'Navy plan'!D88-IF($A88-Levers!$E$191&gt;=1846,INDEX('Navy plan'!D$6:D$92,$A88-1845-Levers!$E$191),0)</x:f>
        <x:v>0</x:v>
      </x:c>
      <x:c r="E88" s="47" t="n">
        <x:f>E87+'Navy plan'!E88-IF($A88-Levers!$F$191&gt;=1846,INDEX('Navy plan'!E$6:E$92,$A88-1845-Levers!$F$191),0)</x:f>
        <x:v>0</x:v>
      </x:c>
      <x:c r="F88" s="47" t="n">
        <x:f>F87+'Navy plan'!F88-IF($A88-Levers!$G$191&gt;=1846,INDEX('Navy plan'!F$6:F$92,$A88-1845-Levers!$G$191),0)</x:f>
        <x:v>85</x:v>
      </x:c>
      <x:c r="G88" s="47" t="n">
        <x:f>G87+'Navy plan'!G88-IF($A88-Levers!$H$191&gt;=1846,INDEX('Navy plan'!G$6:G$92,$A88-1845-Levers!$H$191),0)</x:f>
        <x:v>22</x:v>
      </x:c>
      <x:c r="H88" s="47" t="n">
        <x:f>H87+'Navy plan'!H88-IF($A88-Levers!$I$191&gt;=1846,INDEX('Navy plan'!H$6:H$92,$A88-1845-Levers!$I$191),0)</x:f>
        <x:v>14</x:v>
      </x:c>
      <x:c r="I88" s="47" t="n">
        <x:f>I87+'Navy plan'!I88-IF($A88-Levers!$J$191&gt;=1846,INDEX('Navy plan'!I$6:I$92,$A88-1845-Levers!$J$191),0)</x:f>
        <x:v>59</x:v>
      </x:c>
      <x:c r="J88" s="47" t="n">
        <x:f>J87+'Navy plan'!J88-IF($A88-Levers!$K$191&gt;=1846,INDEX('Navy plan'!J$6:J$92,$A88-1845-Levers!$K$191),0)</x:f>
        <x:v>3</x:v>
      </x:c>
      <x:c r="K88" s="47" t="n">
        <x:f>SUM(B88:J88)</x:f>
        <x:v>183</x:v>
      </x:c>
      <x:c r="L88" s="53" t="n">
        <x:f>0.5*SUMPRODUCT('Navy plan'!B88:'Navy plan'!J88,'Navy plan'!K88:'Navy plan'!S88)+0.5*SUMPRODUCT('Navy plan'!B89:'Navy plan'!J89,'Navy plan'!K89:'Navy plan'!S89)</x:f>
        <x:v>53.164500000000004</x:v>
      </x:c>
      <x:c r="M88" s="47" t="n">
        <x:f>SUMPRODUCT(B88:J88,Levers!$C$192:$K$192)</x:f>
        <x:v>36720</x:v>
      </x:c>
      <x:c r="N88" s="47" t="n">
        <x:f>SUMPRODUCT(B88:J88,Levers!$C$195:$K$195)</x:f>
        <x:v>47076.92307692308</x:v>
      </x:c>
      <x:c r="O88" s="47" t="n">
        <x:f>N88-M88</x:f>
        <x:v>10356.923076923078</x:v>
      </x:c>
      <x:c r="P88" s="53" t="n">
        <x:f>M88*sailor_pay*Economy!H88/1000000</x:f>
        <x:v>52.8768</x:v>
      </x:c>
      <x:c r="Q88" s="53" t="n">
        <x:f>SUMPRODUCT(B88:J88,'Navy plan'!K88:'Navy plan'!S88)*maint_rate</x:f>
        <x:v>44.56055</x:v>
      </x:c>
      <x:c r="R88" s="53" t="n">
        <x:f>SUMPRODUCT(B88:J88,Levers!$C$193:$K$193)*Economy!H88</x:f>
        <x:v>13.52</x:v>
      </x:c>
      <x:c r="S88" s="53" t="n">
        <x:f>SUMPRODUCT(B88:J88,Levers!$C$193:$K$193,Levers!$C$194:$K$194)*(1/oil_fuel-1)*Economy!H88</x:f>
        <x:v>5.7942857142857145</x:v>
      </x:c>
      <x:c r="T88" s="53" t="n">
        <x:f>S88+O88*sailor_pay*Economy!H88/1000000</x:f>
        <x:v>20.708254945054946</x:v>
      </x:c>
      <x:c r="U88" s="53" t="n">
        <x:f>(P88+Q88+R88)*navy_overhead</x:f>
        <x:v>16.6436025</x:v>
      </x:c>
      <x:c r="V88" s="53" t="n">
        <x:f>L88+P88+Q88+R88+U88</x:f>
        <x:v>180.76545250000004</x:v>
      </x:c>
      <x:c r="W88" s="69" t="n">
        <x:f>Japan!I88</x:f>
        <x:v>120</x:v>
      </x:c>
      <x:c r="X88" s="53" t="n">
        <x:f>IF($A88&gt;=1927,V88+W88,0)</x:f>
        <x:v>300.76545250000004</x:v>
      </x:c>
      <x:c r="Y88" s="53" t="n">
        <x:f>IF($A88&gt;=1927,pac_quota*X88,V88)</x:f>
        <x:v>195.49754412500002</x:v>
      </x:c>
      <x:c r="Z88" s="67" t="n">
        <x:f>SUMPRODUCT(B88:J88,Levers!$C$193:$K$193,Levers!$C$194:$K$194)/0.6</x:f>
        <x:v>14.083333333333332</x:v>
      </x:c>
      <x:c r="AA88" s="62" t="n">
        <x:f>H88</x:f>
        <x:v>14</x:v>
      </x:c>
      <x:c r="AB88" s="47" t="n">
        <x:f>AA88+'Navy plan'!T88</x:f>
        <x:v>24</x:v>
      </x:c>
      <x:c r="AC88" s="62" t="n">
        <x:f>'Navy plan'!U88</x:f>
        <x:v>24</x:v>
      </x:c>
      <x:c r="AD88" s="62" t="n">
        <x:f>'Navy plan'!V88</x:f>
        <x:v>20</x:v>
      </x:c>
      <x:c r="AE88" s="67" t="n">
        <x:f>IF(AC88&gt;0,AB88/AC88,0)</x:f>
        <x:v>1</x:v>
      </x:c>
    </x:row>
    <x:row r="89">
      <x:c r="A89" s="58" t="n">
        <x:v>1929</x:v>
      </x:c>
      <x:c r="B89" s="47" t="n">
        <x:f>B88+'Navy plan'!B89-IF($A89-Levers!$C$191&gt;=1846,INDEX('Navy plan'!B$6:B$92,$A89-1845-Levers!$C$191),0)</x:f>
        <x:v>0</x:v>
      </x:c>
      <x:c r="C89" s="47" t="n">
        <x:f>C88+'Navy plan'!C89-IF($A89-Levers!$D$191&gt;=1846,INDEX('Navy plan'!C$6:C$92,$A89-1845-Levers!$D$191),0)</x:f>
        <x:v>0</x:v>
      </x:c>
      <x:c r="D89" s="47" t="n">
        <x:f>D88+'Navy plan'!D89-IF($A89-Levers!$E$191&gt;=1846,INDEX('Navy plan'!D$6:D$92,$A89-1845-Levers!$E$191),0)</x:f>
        <x:v>0</x:v>
      </x:c>
      <x:c r="E89" s="47" t="n">
        <x:f>E88+'Navy plan'!E89-IF($A89-Levers!$F$191&gt;=1846,INDEX('Navy plan'!E$6:E$92,$A89-1845-Levers!$F$191),0)</x:f>
        <x:v>0</x:v>
      </x:c>
      <x:c r="F89" s="47" t="n">
        <x:f>F88+'Navy plan'!F89-IF($A89-Levers!$G$191&gt;=1846,INDEX('Navy plan'!F$6:F$92,$A89-1845-Levers!$G$191),0)</x:f>
        <x:v>84</x:v>
      </x:c>
      <x:c r="G89" s="47" t="n">
        <x:f>G88+'Navy plan'!G89-IF($A89-Levers!$H$191&gt;=1846,INDEX('Navy plan'!G$6:G$92,$A89-1845-Levers!$H$191),0)</x:f>
        <x:v>21</x:v>
      </x:c>
      <x:c r="H89" s="47" t="n">
        <x:f>H88+'Navy plan'!H89-IF($A89-Levers!$I$191&gt;=1846,INDEX('Navy plan'!H$6:H$92,$A89-1845-Levers!$I$191),0)</x:f>
        <x:v>14</x:v>
      </x:c>
      <x:c r="I89" s="47" t="n">
        <x:f>I88+'Navy plan'!I89-IF($A89-Levers!$J$191&gt;=1846,INDEX('Navy plan'!I$6:I$92,$A89-1845-Levers!$J$191),0)</x:f>
        <x:v>56</x:v>
      </x:c>
      <x:c r="J89" s="47" t="n">
        <x:f>J88+'Navy plan'!J89-IF($A89-Levers!$K$191&gt;=1846,INDEX('Navy plan'!J$6:J$92,$A89-1845-Levers!$K$191),0)</x:f>
        <x:v>3</x:v>
      </x:c>
      <x:c r="K89" s="47" t="n">
        <x:f>SUM(B89:J89)</x:f>
        <x:v>178</x:v>
      </x:c>
      <x:c r="L89" s="53" t="n">
        <x:f>0.5*SUMPRODUCT('Navy plan'!B89:'Navy plan'!J89,'Navy plan'!K89:'Navy plan'!S89)+0.5*SUMPRODUCT('Navy plan'!B90:'Navy plan'!J90,'Navy plan'!K90:'Navy plan'!S90)</x:f>
        <x:v>37.2945</x:v>
      </x:c>
      <x:c r="M89" s="47" t="n">
        <x:f>SUMPRODUCT(B89:J89,Levers!$C$192:$K$192)</x:f>
        <x:v>36140</x:v>
      </x:c>
      <x:c r="N89" s="47" t="n">
        <x:f>SUMPRODUCT(B89:J89,Levers!$C$195:$K$195)</x:f>
        <x:v>46333.33333333333</x:v>
      </x:c>
      <x:c r="O89" s="47" t="n">
        <x:f>N89-M89</x:f>
        <x:v>10193.333333333328</x:v>
      </x:c>
      <x:c r="P89" s="53" t="n">
        <x:f>M89*sailor_pay*Economy!H89/1000000</x:f>
        <x:v>52.0416</x:v>
      </x:c>
      <x:c r="Q89" s="53" t="n">
        <x:f>SUMPRODUCT(B89:J89,'Navy plan'!K89:'Navy plan'!S89)*maint_rate</x:f>
        <x:v>43.172250000000005</x:v>
      </x:c>
      <x:c r="R89" s="53" t="n">
        <x:f>SUMPRODUCT(B89:J89,Levers!$C$193:$K$193)*Economy!H89</x:f>
        <x:v>13.296000000000001</x:v>
      </x:c>
      <x:c r="S89" s="53" t="n">
        <x:f>SUMPRODUCT(B89:J89,Levers!$C$193:$K$193,Levers!$C$194:$K$194)*(1/oil_fuel-1)*Economy!H89</x:f>
        <x:v>5.698285714285715</x:v>
      </x:c>
      <x:c r="T89" s="53" t="n">
        <x:f>S89+O89*sailor_pay*Economy!H89/1000000</x:f>
        <x:v>20.37668571428571</x:v>
      </x:c>
      <x:c r="U89" s="53" t="n">
        <x:f>(P89+Q89+R89)*navy_overhead</x:f>
        <x:v>16.276477500000002</x:v>
      </x:c>
      <x:c r="V89" s="53" t="n">
        <x:f>L89+P89+Q89+R89+U89</x:f>
        <x:v>162.0808275</x:v>
      </x:c>
      <x:c r="W89" s="69" t="n">
        <x:f>Japan!I89</x:f>
        <x:v>120</x:v>
      </x:c>
      <x:c r="X89" s="53" t="n">
        <x:f>IF($A89&gt;=1927,V89+W89,0)</x:f>
        <x:v>282.0808275</x:v>
      </x:c>
      <x:c r="Y89" s="53" t="n">
        <x:f>IF($A89&gt;=1927,pac_quota*X89,V89)</x:f>
        <x:v>183.352537875</x:v>
      </x:c>
      <x:c r="Z89" s="67" t="n">
        <x:f>SUMPRODUCT(B89:J89,Levers!$C$193:$K$193,Levers!$C$194:$K$194)/0.6</x:f>
        <x:v>13.850000000000001</x:v>
      </x:c>
      <x:c r="AA89" s="62" t="n">
        <x:f>H89</x:f>
        <x:v>14</x:v>
      </x:c>
      <x:c r="AB89" s="47" t="n">
        <x:f>AA89+'Navy plan'!T89</x:f>
        <x:v>24</x:v>
      </x:c>
      <x:c r="AC89" s="62" t="n">
        <x:f>'Navy plan'!U89</x:f>
        <x:v>24</x:v>
      </x:c>
      <x:c r="AD89" s="62" t="n">
        <x:f>'Navy plan'!V89</x:f>
        <x:v>21</x:v>
      </x:c>
      <x:c r="AE89" s="67" t="n">
        <x:f>IF(AC89&gt;0,AB89/AC89,0)</x:f>
        <x:v>1</x:v>
      </x:c>
    </x:row>
    <x:row r="90">
      <x:c r="A90" s="58" t="n">
        <x:v>1930</x:v>
      </x:c>
      <x:c r="B90" s="47" t="n">
        <x:f>B89+'Navy plan'!B90-IF($A90-Levers!$C$191&gt;=1846,INDEX('Navy plan'!B$6:B$92,$A90-1845-Levers!$C$191),0)</x:f>
        <x:v>0</x:v>
      </x:c>
      <x:c r="C90" s="47" t="n">
        <x:f>C89+'Navy plan'!C90-IF($A90-Levers!$D$191&gt;=1846,INDEX('Navy plan'!C$6:C$92,$A90-1845-Levers!$D$191),0)</x:f>
        <x:v>0</x:v>
      </x:c>
      <x:c r="D90" s="47" t="n">
        <x:f>D89+'Navy plan'!D90-IF($A90-Levers!$E$191&gt;=1846,INDEX('Navy plan'!D$6:D$92,$A90-1845-Levers!$E$191),0)</x:f>
        <x:v>0</x:v>
      </x:c>
      <x:c r="E90" s="47" t="n">
        <x:f>E89+'Navy plan'!E90-IF($A90-Levers!$F$191&gt;=1846,INDEX('Navy plan'!E$6:E$92,$A90-1845-Levers!$F$191),0)</x:f>
        <x:v>0</x:v>
      </x:c>
      <x:c r="F90" s="47" t="n">
        <x:f>F89+'Navy plan'!F90-IF($A90-Levers!$G$191&gt;=1846,INDEX('Navy plan'!F$6:F$92,$A90-1845-Levers!$G$191),0)</x:f>
        <x:v>84</x:v>
      </x:c>
      <x:c r="G90" s="47" t="n">
        <x:f>G89+'Navy plan'!G90-IF($A90-Levers!$H$191&gt;=1846,INDEX('Navy plan'!G$6:G$92,$A90-1845-Levers!$H$191),0)</x:f>
        <x:v>23</x:v>
      </x:c>
      <x:c r="H90" s="47" t="n">
        <x:f>H89+'Navy plan'!H90-IF($A90-Levers!$I$191&gt;=1846,INDEX('Navy plan'!H$6:H$92,$A90-1845-Levers!$I$191),0)</x:f>
        <x:v>14</x:v>
      </x:c>
      <x:c r="I90" s="47" t="n">
        <x:f>I89+'Navy plan'!I90-IF($A90-Levers!$J$191&gt;=1846,INDEX('Navy plan'!I$6:I$92,$A90-1845-Levers!$J$191),0)</x:f>
        <x:v>51</x:v>
      </x:c>
      <x:c r="J90" s="47" t="n">
        <x:f>J89+'Navy plan'!J90-IF($A90-Levers!$K$191&gt;=1846,INDEX('Navy plan'!J$6:J$92,$A90-1845-Levers!$K$191),0)</x:f>
        <x:v>3</x:v>
      </x:c>
      <x:c r="K90" s="47" t="n">
        <x:f>SUM(B90:J90)</x:f>
        <x:v>175</x:v>
      </x:c>
      <x:c r="L90" s="53" t="n">
        <x:f>0.5*SUMPRODUCT('Navy plan'!B90:'Navy plan'!J90,'Navy plan'!K90:'Navy plan'!S90)+0.5*SUMPRODUCT('Navy plan'!B91:'Navy plan'!J91,'Navy plan'!K91:'Navy plan'!S91)</x:f>
        <x:v>45.336999999999996</x:v>
      </x:c>
      <x:c r="M90" s="47" t="n">
        <x:f>SUMPRODUCT(B90:J90,Levers!$C$192:$K$192)</x:f>
        <x:v>36790</x:v>
      </x:c>
      <x:c r="N90" s="47" t="n">
        <x:f>SUMPRODUCT(B90:J90,Levers!$C$195:$K$195)</x:f>
        <x:v>47166.66666666667</x:v>
      </x:c>
      <x:c r="O90" s="47" t="n">
        <x:f>N90-M90</x:f>
        <x:v>10376.666666666672</x:v>
      </x:c>
      <x:c r="P90" s="53" t="n">
        <x:f>M90*sailor_pay*Economy!H90/1000000</x:f>
        <x:v>51.586938</x:v>
      </x:c>
      <x:c r="Q90" s="53" t="n">
        <x:f>SUMPRODUCT(B90:J90,'Navy plan'!K90:'Navy plan'!S90)*maint_rate</x:f>
        <x:v>43.132149999999996</x:v>
      </x:c>
      <x:c r="R90" s="53" t="n">
        <x:f>SUMPRODUCT(B90:J90,Levers!$C$193:$K$193)*Economy!H90</x:f>
        <x:v>13.118360000000001</x:v>
      </x:c>
      <x:c r="S90" s="53" t="n">
        <x:f>SUMPRODUCT(B90:J90,Levers!$C$193:$K$193,Levers!$C$194:$K$194)*(1/oil_fuel-1)*Economy!H90</x:f>
        <x:v>5.622154285714286</x:v>
      </x:c>
      <x:c r="T90" s="53" t="n">
        <x:f>S90+O90*sailor_pay*Economy!H90/1000000</x:f>
        <x:v>20.17231628571429</x:v>
      </x:c>
      <x:c r="U90" s="53" t="n">
        <x:f>(P90+Q90+R90)*navy_overhead</x:f>
        <x:v>16.175617199999998</x:v>
      </x:c>
      <x:c r="V90" s="53" t="n">
        <x:f>L90+P90+Q90+R90+U90</x:f>
        <x:v>169.3500652</x:v>
      </x:c>
      <x:c r="W90" s="69" t="n">
        <x:f>Japan!I90</x:f>
        <x:v>120</x:v>
      </x:c>
      <x:c r="X90" s="53" t="n">
        <x:f>IF($A90&gt;=1927,V90+W90,0)</x:f>
        <x:v>289.3500652</x:v>
      </x:c>
      <x:c r="Y90" s="53" t="n">
        <x:f>IF($A90&gt;=1927,pac_quota*X90,V90)</x:f>
        <x:v>188.07754238</x:v>
      </x:c>
      <x:c r="Z90" s="67" t="n">
        <x:f>SUMPRODUCT(B90:J90,Levers!$C$193:$K$193,Levers!$C$194:$K$194)/0.6</x:f>
        <x:v>14.033333333333333</x:v>
      </x:c>
      <x:c r="AA90" s="62" t="n">
        <x:f>H90</x:f>
        <x:v>14</x:v>
      </x:c>
      <x:c r="AB90" s="47" t="n">
        <x:f>AA90+'Navy plan'!T90</x:f>
        <x:v>24</x:v>
      </x:c>
      <x:c r="AC90" s="62" t="n">
        <x:f>'Navy plan'!U90</x:f>
        <x:v>24</x:v>
      </x:c>
      <x:c r="AD90" s="62" t="n">
        <x:f>'Navy plan'!V90</x:f>
        <x:v>21</x:v>
      </x:c>
      <x:c r="AE90" s="67" t="n">
        <x:f>IF(AC90&gt;0,AB90/AC90,0)</x:f>
        <x:v>1</x:v>
      </x:c>
    </x:row>
    <x:row r="91">
      <x:c r="A91" s="58" t="n">
        <x:v>1931</x:v>
      </x:c>
      <x:c r="B91" s="47" t="n">
        <x:f>B90+'Navy plan'!B91-IF($A91-Levers!$C$191&gt;=1846,INDEX('Navy plan'!B$6:B$92,$A91-1845-Levers!$C$191),0)</x:f>
        <x:v>0</x:v>
      </x:c>
      <x:c r="C91" s="47" t="n">
        <x:f>C90+'Navy plan'!C91-IF($A91-Levers!$D$191&gt;=1846,INDEX('Navy plan'!C$6:C$92,$A91-1845-Levers!$D$191),0)</x:f>
        <x:v>0</x:v>
      </x:c>
      <x:c r="D91" s="47" t="n">
        <x:f>D90+'Navy plan'!D91-IF($A91-Levers!$E$191&gt;=1846,INDEX('Navy plan'!D$6:D$92,$A91-1845-Levers!$E$191),0)</x:f>
        <x:v>0</x:v>
      </x:c>
      <x:c r="E91" s="47" t="n">
        <x:f>E90+'Navy plan'!E91-IF($A91-Levers!$F$191&gt;=1846,INDEX('Navy plan'!E$6:E$92,$A91-1845-Levers!$F$191),0)</x:f>
        <x:v>0</x:v>
      </x:c>
      <x:c r="F91" s="47" t="n">
        <x:f>F90+'Navy plan'!F91-IF($A91-Levers!$G$191&gt;=1846,INDEX('Navy plan'!F$6:F$92,$A91-1845-Levers!$G$191),0)</x:f>
        <x:v>84</x:v>
      </x:c>
      <x:c r="G91" s="47" t="n">
        <x:f>G90+'Navy plan'!G91-IF($A91-Levers!$H$191&gt;=1846,INDEX('Navy plan'!G$6:G$92,$A91-1845-Levers!$H$191),0)</x:f>
        <x:v>21</x:v>
      </x:c>
      <x:c r="H91" s="47" t="n">
        <x:f>H90+'Navy plan'!H91-IF($A91-Levers!$I$191&gt;=1846,INDEX('Navy plan'!H$6:H$92,$A91-1845-Levers!$I$191),0)</x:f>
        <x:v>14</x:v>
      </x:c>
      <x:c r="I91" s="47" t="n">
        <x:f>I90+'Navy plan'!I91-IF($A91-Levers!$J$191&gt;=1846,INDEX('Navy plan'!I$6:I$92,$A91-1845-Levers!$J$191),0)</x:f>
        <x:v>46</x:v>
      </x:c>
      <x:c r="J91" s="47" t="n">
        <x:f>J90+'Navy plan'!J91-IF($A91-Levers!$K$191&gt;=1846,INDEX('Navy plan'!J$6:J$92,$A91-1845-Levers!$K$191),0)</x:f>
        <x:v>4</x:v>
      </x:c>
      <x:c r="K91" s="47" t="n">
        <x:f>SUM(B91:J91)</x:f>
        <x:v>169</x:v>
      </x:c>
      <x:c r="L91" s="53" t="n">
        <x:f>0.5*SUMPRODUCT('Navy plan'!B91:'Navy plan'!J91,'Navy plan'!K91:'Navy plan'!S91)+0.5*SUMPRODUCT('Navy plan'!B92:'Navy plan'!J92,'Navy plan'!K92:'Navy plan'!S92)</x:f>
        <x:v>48.393499999999996</x:v>
      </x:c>
      <x:c r="M91" s="47" t="n">
        <x:f>SUMPRODUCT(B91:J91,Levers!$C$192:$K$192)</x:f>
        <x:v>37340</x:v>
      </x:c>
      <x:c r="N91" s="47" t="n">
        <x:f>SUMPRODUCT(B91:J91,Levers!$C$195:$K$195)</x:f>
        <x:v>47871.79487179487</x:v>
      </x:c>
      <x:c r="O91" s="47" t="n">
        <x:f>N91-M91</x:f>
        <x:v>10531.794871794868</x:v>
      </x:c>
      <x:c r="P91" s="53" t="n">
        <x:f>M91*sailor_pay*Economy!H91/1000000</x:f>
        <x:v>49.131972000000005</x:v>
      </x:c>
      <x:c r="Q91" s="53" t="n">
        <x:f>SUMPRODUCT(B91:J91,'Navy plan'!K91:'Navy plan'!S91)*maint_rate</x:f>
        <x:v>42.49445</x:v>
      </x:c>
      <x:c r="R91" s="53" t="n">
        <x:f>SUMPRODUCT(B91:J91,Levers!$C$193:$K$193)*Economy!H91</x:f>
        <x:v>12.368520000000002</x:v>
      </x:c>
      <x:c r="S91" s="53" t="n">
        <x:f>SUMPRODUCT(B91:J91,Levers!$C$193:$K$193,Levers!$C$194:$K$194)*(1/oil_fuel-1)*Economy!H91</x:f>
        <x:v>5.300794285714288</x:v>
      </x:c>
      <x:c r="T91" s="53" t="n">
        <x:f>S91+O91*sailor_pay*Economy!H91/1000000</x:f>
        <x:v>19.158529978021974</x:v>
      </x:c>
      <x:c r="U91" s="53" t="n">
        <x:f>(P91+Q91+R91)*navy_overhead</x:f>
        <x:v>15.599241300000001</x:v>
      </x:c>
      <x:c r="V91" s="53" t="n">
        <x:f>L91+P91+Q91+R91+U91</x:f>
        <x:v>167.9876833</x:v>
      </x:c>
      <x:c r="W91" s="69" t="n">
        <x:f>Japan!I91</x:f>
        <x:v>120</x:v>
      </x:c>
      <x:c r="X91" s="53" t="n">
        <x:f>IF($A91&gt;=1927,V91+W91,0)</x:f>
        <x:v>287.98768329999996</x:v>
      </x:c>
      <x:c r="Y91" s="53" t="n">
        <x:f>IF($A91&gt;=1927,pac_quota*X91,V91)</x:f>
        <x:v>187.19199414499997</x:v>
      </x:c>
      <x:c r="Z91" s="67" t="n">
        <x:f>SUMPRODUCT(B91:J91,Levers!$C$193:$K$193,Levers!$C$194:$K$194)/0.6</x:f>
        <x:v>14.100000000000001</x:v>
      </x:c>
      <x:c r="AA91" s="62" t="n">
        <x:f>H91</x:f>
        <x:v>14</x:v>
      </x:c>
      <x:c r="AB91" s="47" t="n">
        <x:f>AA91+'Navy plan'!T91</x:f>
        <x:v>24</x:v>
      </x:c>
      <x:c r="AC91" s="62" t="n">
        <x:f>'Navy plan'!U91</x:f>
        <x:v>24</x:v>
      </x:c>
      <x:c r="AD91" s="62" t="n">
        <x:f>'Navy plan'!V91</x:f>
        <x:v>21</x:v>
      </x:c>
      <x:c r="AE91" s="67" t="n">
        <x:f>IF(AC91&gt;0,AB91/AC91,0)</x:f>
        <x:v>1</x:v>
      </x:c>
    </x:row>
    <x:row r="92">
      <x:c r="A92" s="58" t="n">
        <x:v>1932</x:v>
      </x:c>
      <x:c r="B92" s="47" t="n">
        <x:f>B91+'Navy plan'!B92-IF($A92-Levers!$C$191&gt;=1846,INDEX('Navy plan'!B$6:B$92,$A92-1845-Levers!$C$191),0)</x:f>
        <x:v>0</x:v>
      </x:c>
      <x:c r="C92" s="47" t="n">
        <x:f>C91+'Navy plan'!C92-IF($A92-Levers!$D$191&gt;=1846,INDEX('Navy plan'!C$6:C$92,$A92-1845-Levers!$D$191),0)</x:f>
        <x:v>0</x:v>
      </x:c>
      <x:c r="D92" s="47" t="n">
        <x:f>D91+'Navy plan'!D92-IF($A92-Levers!$E$191&gt;=1846,INDEX('Navy plan'!D$6:D$92,$A92-1845-Levers!$E$191),0)</x:f>
        <x:v>0</x:v>
      </x:c>
      <x:c r="E92" s="47" t="n">
        <x:f>E91+'Navy plan'!E92-IF($A92-Levers!$F$191&gt;=1846,INDEX('Navy plan'!E$6:E$92,$A92-1845-Levers!$F$191),0)</x:f>
        <x:v>0</x:v>
      </x:c>
      <x:c r="F92" s="47" t="n">
        <x:f>F91+'Navy plan'!F92-IF($A92-Levers!$G$191&gt;=1846,INDEX('Navy plan'!F$6:F$92,$A92-1845-Levers!$G$191),0)</x:f>
        <x:v>82</x:v>
      </x:c>
      <x:c r="G92" s="47" t="n">
        <x:f>G91+'Navy plan'!G92-IF($A92-Levers!$H$191&gt;=1846,INDEX('Navy plan'!G$6:G$92,$A92-1845-Levers!$H$191),0)</x:f>
        <x:v>21</x:v>
      </x:c>
      <x:c r="H92" s="47" t="n">
        <x:f>H91+'Navy plan'!H92-IF($A92-Levers!$I$191&gt;=1846,INDEX('Navy plan'!H$6:H$92,$A92-1845-Levers!$I$191),0)</x:f>
        <x:v>14</x:v>
      </x:c>
      <x:c r="I92" s="47" t="n">
        <x:f>I91+'Navy plan'!I92-IF($A92-Levers!$J$191&gt;=1846,INDEX('Navy plan'!I$6:I$92,$A92-1845-Levers!$J$191),0)</x:f>
        <x:v>41</x:v>
      </x:c>
      <x:c r="J92" s="47" t="n">
        <x:f>J91+'Navy plan'!J92-IF($A92-Levers!$K$191&gt;=1846,INDEX('Navy plan'!J$6:J$92,$A92-1845-Levers!$K$191),0)</x:f>
        <x:v>4</x:v>
      </x:c>
      <x:c r="K92" s="47" t="n">
        <x:f>SUM(B92:J92)</x:f>
        <x:v>162</x:v>
      </x:c>
      <x:c r="L92" s="53" t="n">
        <x:f>0.5*SUMPRODUCT('Navy plan'!B92:'Navy plan'!J92,'Navy plan'!K92:'Navy plan'!S92)+0.5*SUMPRODUCT('Navy plan'!B93:'Navy plan'!J93,'Navy plan'!K93:'Navy plan'!S93)</x:f>
        <x:v>17.799999999999997</x:v>
      </x:c>
      <x:c r="M92" s="47" t="n">
        <x:f>SUMPRODUCT(B92:J92,Levers!$C$192:$K$192)</x:f>
        <x:v>37010</x:v>
      </x:c>
      <x:c r="N92" s="47" t="n">
        <x:f>SUMPRODUCT(B92:J92,Levers!$C$195:$K$195)</x:f>
        <x:v>47448.71794871795</x:v>
      </x:c>
      <x:c r="O92" s="47" t="n">
        <x:f>N92-M92</x:f>
        <x:v>10438.717948717953</x:v>
      </x:c>
      <x:c r="P92" s="53" t="n">
        <x:f>M92*sailor_pay*Economy!H92/1000000</x:f>
        <x:v>45.699948</x:v>
      </x:c>
      <x:c r="Q92" s="53" t="n">
        <x:f>SUMPRODUCT(B92:J92,'Navy plan'!K92:'Navy plan'!S92)*maint_rate</x:f>
        <x:v>41.38</x:v>
      </x:c>
      <x:c r="R92" s="53" t="n">
        <x:f>SUMPRODUCT(B92:J92,Levers!$C$193:$K$193)*Economy!H92</x:f>
        <x:v>11.4562</x:v>
      </x:c>
      <x:c r="S92" s="53" t="n">
        <x:f>SUMPRODUCT(B92:J92,Levers!$C$193:$K$193,Levers!$C$194:$K$194)*(1/oil_fuel-1)*Economy!H92</x:f>
        <x:v>4.909800000000001</x:v>
      </x:c>
      <x:c r="T92" s="53" t="n">
        <x:f>S92+O92*sailor_pay*Economy!H92/1000000</x:f>
        <x:v>17.79952892307693</x:v>
      </x:c>
      <x:c r="U92" s="53" t="n">
        <x:f>(P92+Q92+R92)*navy_overhead</x:f>
        <x:v>14.780422199999999</x:v>
      </x:c>
      <x:c r="V92" s="53" t="n">
        <x:f>L92+P92+Q92+R92+U92</x:f>
        <x:v>131.11657019999998</x:v>
      </x:c>
      <x:c r="W92" s="69" t="n">
        <x:f>Japan!I92</x:f>
        <x:v>120</x:v>
      </x:c>
      <x:c r="X92" s="53" t="n">
        <x:f>IF($A92&gt;=1927,V92+W92,0)</x:f>
        <x:v>251.11657019999998</x:v>
      </x:c>
      <x:c r="Y92" s="53" t="n">
        <x:f>IF($A92&gt;=1927,pac_quota*X92,V92)</x:f>
        <x:v>163.22577063</x:v>
      </x:c>
      <x:c r="Z92" s="67" t="n">
        <x:f>SUMPRODUCT(B92:J92,Levers!$C$193:$K$193,Levers!$C$194:$K$194)/0.6</x:f>
        <x:v>13.916666666666666</x:v>
      </x:c>
      <x:c r="AA92" s="62" t="n">
        <x:f>H92</x:f>
        <x:v>14</x:v>
      </x:c>
      <x:c r="AB92" s="47" t="n">
        <x:f>AA92+'Navy plan'!T92</x:f>
        <x:v>24</x:v>
      </x:c>
      <x:c r="AC92" s="62" t="n">
        <x:f>'Navy plan'!U92</x:f>
        <x:v>24</x:v>
      </x:c>
      <x:c r="AD92" s="62" t="n">
        <x:f>'Navy plan'!V92</x:f>
        <x:v>21</x:v>
      </x:c>
      <x:c r="AE92" s="67" t="n">
        <x:f>IF(AC92&gt;0,AB92/AC92,0)</x:f>
        <x:v>1</x:v>
      </x:c>
    </x:row>
  </x:sheetData>
  <x:mergeCells>
    <x:mergeCell ref="AA4:AE4"/>
    <x:mergeCell ref="W4:Y4"/>
    <x:mergeCell ref="B4:J4"/>
    <x:mergeCell ref="P4:R4"/>
    <x:mergeCell ref="S4:T4"/>
    <x:mergeCell ref="N4:O4"/>
    <x:mergeCell ref="U4:V4"/>
  </x:mergeCells>
  <x:pageMargins left="0.7" right="0.7" top="0.75" bottom="0.75" header="0.3" footer="0.3"/>
  <x:legacyDrawing xmlns:r="http://schemas.openxmlformats.org/officeDocument/2006/relationships" r:id="Rd9095eab8e2a4638"/>
</x:worksheet>
</file>

<file path=xl/worksheets/sheet18.xml><?xml version="1.0" encoding="utf-8"?>
<x:worksheet xmlns:x="http://schemas.openxmlformats.org/spreadsheetml/2006/main">
  <x:sheetPr>
    <x:tabColor rgb="FF7030A0"/>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2.5" customWidth="1"/>
    <x:col min="20" max="20" width="12.5" customWidth="1"/>
    <x:col min="21" max="21" width="12.5" customWidth="1"/>
    <x:col min="22" max="22" width="12.5" customWidth="1"/>
    <x:col min="23" max="23" width="12.5" customWidth="1"/>
    <x:col min="24" max="24" width="12.5" customWidth="1"/>
    <x:col min="25" max="25" width="12.5" customWidth="1"/>
    <x:col min="26" max="26" width="12.5" customWidth="1"/>
    <x:col min="27" max="27" width="12.5" customWidth="1"/>
    <x:col min="28" max="28" width="12.5" customWidth="1"/>
    <x:col min="29" max="29" width="12.5" customWidth="1"/>
    <x:col min="30" max="30" width="18" hidden="0" customWidth="1"/>
    <x:col min="31" max="31" width="18" hidden="0" customWidth="1"/>
    <x:col min="32" max="32" width="18" hidden="0" customWidth="1"/>
    <x:col min="33" max="33" width="18" hidden="0" customWidth="1"/>
    <x:col min="34" max="34" width="18" hidden="0" customWidth="1"/>
    <x:col min="35" max="35" width="18" hidden="0" customWidth="1"/>
    <x:col min="36" max="36" width="18" hidden="0" customWidth="1"/>
    <x:col min="37" max="37" width="18" hidden="0" customWidth="1"/>
    <x:col min="38" max="38" width="18" hidden="0" customWidth="1"/>
    <x:col min="39" max="39" width="18" hidden="0" customWidth="1"/>
    <x:col min="40" max="40" width="18" hidden="0" customWidth="1"/>
    <x:col min="41" max="41" width="18" hidden="0" customWidth="1"/>
    <x:col min="42" max="42" width="18" hidden="0" customWidth="1"/>
  </x:cols>
  <x:sheetData>
    <x:row r="1">
      <x:c r="A1" s="18" t="inlineStr">
        <x:is>
          <x:t xml:space="preserve">Japan</x:t>
        </x:is>
      </x:c>
    </x:row>
    <x:row r="2">
      <x:c r="A2" s="2" t="inlineStr">
        <x:is>
          <x:t xml:space="preserve">Japan's own budget: what its wars, the earthquake and the 1927 bank crisis cost, and how much San Francisco lends.</x:t>
        </x:is>
      </x:c>
      <x:c r="AD2" t="str">
        <x:v>Issue 1: fiscal cash retained; new bank equity is a financial asset.</x:v>
      </x:c>
    </x:row>
    <x:row r="3">
      <x:c r="A3" s="19" t="inlineStr">
        <x:is>
          <x:t xml:space="preserve">Years run down the page. Blue = input you can change · black = formula · green = link to another sheet. Hover a column heading for its definition.</x:t>
        </x:is>
      </x:c>
      <x:c r="AD3" t="str">
        <x:f>Levers!F4</x:f>
        <x:v>Story case</x:v>
      </x:c>
    </x:row>
    <x:row r="4">
      <x:c r="B4" s="56" t="inlineStr">
        <x:is>
          <x:t xml:space="preserve">Economy</x:t>
        </x:is>
      </x:c>
      <x:c r="E4" s="56" t="inlineStr">
        <x:is>
          <x:t xml:space="preserve">Budget</x:t>
        </x:is>
      </x:c>
      <x:c r="S4" s="56" t="inlineStr">
        <x:is>
          <x:t xml:space="preserve">Financing</x:t>
        </x:is>
      </x:c>
      <x:c r="X4" s="56" t="inlineStr">
        <x:is>
          <x:t xml:space="preserve">Debt</x:t>
        </x:is>
      </x:c>
    </x:row>
    <x:row r="5" ht="54" customHeight="1">
      <x:c r="A5" s="57" t="inlineStr">
        <x:is>
          <x:t xml:space="preserve">Year</x:t>
        </x:is>
      </x:c>
      <x:c r="B5" s="6" t="inlineStr">
        <x:is>
          <x:t xml:space="preserve">Japan GDP, historical ($m)</x:t>
        </x:is>
      </x:c>
      <x:c r="C5" s="6" t="inlineStr">
        <x:is>
          <x:t xml:space="preserve">Catch-up from integration (× history)</x:t>
        </x:is>
      </x:c>
      <x:c r="D5" s="6" t="inlineStr">
        <x:is>
          <x:t xml:space="preserve">Japan GDP ($m)</x:t>
        </x:is>
      </x:c>
      <x:c r="E5" s="6" t="inlineStr">
        <x:is>
          <x:t xml:space="preserve">Revenue / GDP</x:t>
        </x:is>
      </x:c>
      <x:c r="F5" s="6" t="inlineStr">
        <x:is>
          <x:t xml:space="preserve">Civil &amp; home army / GDP</x:t>
        </x:is>
      </x:c>
      <x:c r="G5" s="6" t="inlineStr">
        <x:is>
          <x:t xml:space="preserve">Revenue ($m)</x:t>
        </x:is>
      </x:c>
      <x:c r="H5" s="6" t="inlineStr">
        <x:is>
          <x:t xml:space="preserve">Civil &amp; home army ($m)</x:t>
        </x:is>
      </x:c>
      <x:c r="I5" s="6" t="inlineStr">
        <x:is>
          <x:t xml:space="preserve">Japanese fleet cost ($m)</x:t>
        </x:is>
      </x:c>
      <x:c r="J5" s="6" t="inlineStr">
        <x:is>
          <x:t xml:space="preserve">Japan's navy bill ($m)</x:t>
        </x:is>
      </x:c>
      <x:c r="K5" s="6" t="inlineStr">
        <x:is>
          <x:t xml:space="preserve">Wars &amp; overseas commands ($m)</x:t>
        </x:is>
      </x:c>
      <x:c r="L5" s="6" t="inlineStr">
        <x:is>
          <x:t xml:space="preserve">Siberian front share ($m)</x:t>
        </x:is>
      </x:c>
      <x:c r="M5" s="6" t="inlineStr">
        <x:is>
          <x:t xml:space="preserve">Earthquake &amp; bank crisis, historical scale ($m)</x:t>
        </x:is>
      </x:c>
      <x:c r="N5" s="6" t="str">
        <x:v>Earthquake uses / bank equity cash</x:v>
      </x:c>
      <x:c r="O5" s="6" t="inlineStr">
        <x:is>
          <x:t xml:space="preserve">Common ministries share ($m)</x:t>
        </x:is>
      </x:c>
      <x:c r="P5" s="6" t="inlineStr">
        <x:is>
          <x:t xml:space="preserve">Interest ($m)</x:t>
        </x:is>
      </x:c>
      <x:c r="Q5" s="6" t="inlineStr">
        <x:is>
          <x:t xml:space="preserve">Total spending ($m)</x:t>
        </x:is>
      </x:c>
      <x:c r="R5" s="6" t="inlineStr">
        <x:is>
          <x:t xml:space="preserve">Deficit ($m)</x:t>
        </x:is>
      </x:c>
      <x:c r="S5" s="6" t="str">
        <x:v>Legacy SF credit, unscaled input</x:v>
      </x:c>
      <x:c r="T5" s="6" t="inlineStr">
        <x:is>
          <x:t xml:space="preserve">Credit raised in San Francisco ($m)</x:t>
        </x:is>
      </x:c>
      <x:c r="U5" s="6" t="inlineStr">
        <x:is>
          <x:t xml:space="preserve">Russian indemnity received ($m)</x:t>
        </x:is>
      </x:c>
      <x:c r="V5" s="6" t="inlineStr">
        <x:is>
          <x:t xml:space="preserve">Debt assumed ($m)</x:t>
        </x:is>
      </x:c>
      <x:c r="W5" s="6" t="inlineStr">
        <x:is>
          <x:t xml:space="preserve">Foreign debt repaid ($m)</x:t>
        </x:is>
      </x:c>
      <x:c r="X5" s="6" t="inlineStr">
        <x:is>
          <x:t xml:space="preserve">Foreign debt ($m)</x:t>
        </x:is>
      </x:c>
      <x:c r="Y5" s="6" t="inlineStr">
        <x:is>
          <x:t xml:space="preserve">Domestic debt ($m)</x:t>
        </x:is>
      </x:c>
      <x:c r="Z5" s="6" t="inlineStr">
        <x:is>
          <x:t xml:space="preserve">Total debt ($m)</x:t>
        </x:is>
      </x:c>
      <x:c r="AA5" s="6" t="inlineStr">
        <x:is>
          <x:t xml:space="preserve">Debt / GDP</x:t>
        </x:is>
      </x:c>
      <x:c r="AB5" s="6" t="inlineStr">
        <x:is>
          <x:t xml:space="preserve">Interest / revenue</x:t>
        </x:is>
      </x:c>
      <x:c r="AC5" s="6" t="str">
        <x:v>SF share of new borrowing</x:v>
      </x:c>
      <x:c r="AD5" s="97" t="str">
        <x:v>Opening Treasury cash</x:v>
      </x:c>
      <x:c r="AE5" s="97" t="str">
        <x:v>Cash before domestic finance</x:v>
      </x:c>
      <x:c r="AF5" s="97" t="str">
        <x:v>Domestic bonds issued</x:v>
      </x:c>
      <x:c r="AG5" s="97" t="str">
        <x:v>Domestic debt before repayment</x:v>
      </x:c>
      <x:c r="AH5" s="97" t="str">
        <x:v>Domestic principal repaid</x:v>
      </x:c>
      <x:c r="AI5" s="97" t="str">
        <x:v>Cash after financing</x:v>
      </x:c>
      <x:c r="AJ5" s="97" t="str">
        <x:v>Closing Treasury cash</x:v>
      </x:c>
      <x:c r="AK5" s="97" t="str">
        <x:v>Public bank equity asset</x:v>
      </x:c>
      <x:c r="AL5" s="97" t="str">
        <x:v>Net public financial assets</x:v>
      </x:c>
      <x:c r="AM5" s="97" t="str">
        <x:v>Cash identity difference</x:v>
      </x:c>
      <x:c r="AN5" s="97" t="str">
        <x:v>Stabilization on-loans</x:v>
      </x:c>
      <x:c r="AO5" s="97" t="str">
        <x:v>Stabilization advances</x:v>
      </x:c>
      <x:c r="AP5" s="97" t="str">
        <x:v>Stabilization principal received</x:v>
      </x:c>
    </x:row>
    <x:row r="6">
      <x:c r="A6" s="58" t="n">
        <x:v>1846</x:v>
      </x:c>
      <x:c r="B6" s="45" t="n">
        <x:v>0</x:v>
      </x:c>
      <x:c r="C6" s="70" t="n">
        <x:f>Partners!H6</x:f>
        <x:v>1</x:v>
      </x:c>
      <x:c r="D6" s="47" t="n">
        <x:f>Partners!I6</x:f>
        <x:v>0</x:v>
      </x:c>
      <x:c r="E6" s="59" t="n">
        <x:v>0</x:v>
      </x:c>
      <x:c r="F6" s="59" t="n">
        <x:v>0</x:v>
      </x:c>
      <x:c r="G6" s="53" t="n">
        <x:f>D6*E6</x:f>
        <x:v>0</x:v>
      </x:c>
      <x:c r="H6" s="53" t="n">
        <x:f>D6*F6</x:f>
        <x:v>0</x:v>
      </x:c>
      <x:c r="I6" s="52" t="n">
        <x:v>0</x:v>
      </x:c>
      <x:c r="J6" s="53" t="n">
        <x:f>IF($A6&gt;=1927,(1-pac_quota)*Navy!X6,I6)</x:f>
        <x:v>0</x:v>
      </x:c>
      <x:c r="K6" s="52" t="n">
        <x:v>0</x:v>
      </x:c>
      <x:c r="L6" s="53" t="n">
        <x:f>IF($A6&gt;=1923,siberia_front*(1-pac_quota),0)</x:f>
        <x:v>0</x:v>
      </x:c>
      <x:c r="M6" s="52" t="n">
        <x:v>0</x:v>
      </x:c>
      <x:c r="N6" s="53" t="n">
        <x:f>M6*C6</x:f>
        <x:v>0</x:v>
      </x:c>
      <x:c r="O6" s="53" t="n">
        <x:f>IF($A6&gt;=1927,10*(1-pac_quota),0)</x:f>
        <x:v>0</x:v>
      </x:c>
      <x:c r="P6" s="53" t="n">
        <x:f>0</x:f>
        <x:v>0</x:v>
      </x:c>
      <x:c r="Q6" s="53" t="n">
        <x:f>H6+J6+K6+L6+N6+O6+P6</x:f>
        <x:v>0</x:v>
      </x:c>
      <x:c r="R6" s="53" t="n">
        <x:f>Q6-G6</x:f>
        <x:v>0</x:v>
      </x:c>
      <x:c r="S6" s="52" t="n">
        <x:v>0</x:v>
      </x:c>
      <x:c r="T6" s="53" t="n">
        <x:f>S6*IF($A6&gt;=1923,C6,1)</x:f>
        <x:v>0</x:v>
      </x:c>
      <x:c r="U6" s="52" t="n">
        <x:v>0</x:v>
      </x:c>
      <x:c r="V6" s="52" t="n">
        <x:v>0</x:v>
      </x:c>
      <x:c r="W6" s="53" t="n">
        <x:f>0</x:f>
        <x:v>0</x:v>
      </x:c>
      <x:c r="X6" s="53" t="n">
        <x:f>0</x:f>
        <x:v>0</x:v>
      </x:c>
      <x:c r="Y6" s="53" t="n">
        <x:f>AG6+AF6-AH6</x:f>
        <x:v>0</x:v>
      </x:c>
      <x:c r="Z6" s="53" t="n">
        <x:f>X6+Y6</x:f>
        <x:v>0</x:v>
      </x:c>
      <x:c r="AA6" s="63" t="n">
        <x:f>IF(D6&gt;0,Z6/D6,0)</x:f>
        <x:v>0</x:v>
      </x:c>
      <x:c r="AB6" s="63" t="n">
        <x:f>IF(G6&gt;0,P6/G6,0)</x:f>
        <x:v>0</x:v>
      </x:c>
      <x:c r="AC6" s="63" t="n">
        <x:f>IF(T6+AF6&gt;0,T6/(T6+AF6),0)</x:f>
        <x:v>0</x:v>
      </x:c>
      <x:c r="AD6" s="110" t="n">
        <x:f>0</x:f>
        <x:v>0</x:v>
      </x:c>
      <x:c r="AE6" s="110" t="n">
        <x:f>AD6+G6+T6+U6+AP6-Q6-W6-AO6</x:f>
        <x:v>0</x:v>
      </x:c>
      <x:c r="AF6" s="110" t="n">
        <x:f>MAX(0,-AE6)</x:f>
        <x:v>0</x:v>
      </x:c>
      <x:c r="AG6" s="110" t="n">
        <x:f>V6</x:f>
        <x:v>0</x:v>
      </x:c>
      <x:c r="AH6" s="110" t="n">
        <x:f>MIN(MAX(0,AE6),AG6)</x:f>
        <x:v>0</x:v>
      </x:c>
      <x:c r="AI6" s="110" t="n">
        <x:f>AE6+AF6-AH6</x:f>
        <x:v>0</x:v>
      </x:c>
      <x:c r="AJ6" s="110" t="n">
        <x:f>AI6</x:f>
        <x:v>0</x:v>
      </x:c>
      <x:c r="AK6" s="110" t="n">
        <x:f>0</x:f>
        <x:v>0</x:v>
      </x:c>
      <x:c r="AL6" s="110" t="n">
        <x:f>AJ6+AK6+AN6-Z6</x:f>
        <x:v>0</x:v>
      </x:c>
      <x:c r="AM6" s="110" t="n">
        <x:f>AJ6-(AD6+G6+T6+U6+AF6+AP6-Q6-W6-AH6-AO6)</x:f>
        <x:v>0</x:v>
      </x:c>
      <x:c r="AN6" s="110" t="n">
        <x:f>0</x:f>
        <x:v>0</x:v>
      </x:c>
      <x:c r="AO6" s="110" t="n">
        <x:f>0</x:f>
        <x:v>0</x:v>
      </x:c>
      <x:c r="AP6" s="110" t="n">
        <x:f>0</x:f>
        <x:v>0</x:v>
      </x:c>
    </x:row>
    <x:row r="7">
      <x:c r="A7" s="58" t="n">
        <x:v>1847</x:v>
      </x:c>
      <x:c r="B7" s="45" t="n">
        <x:v>0</x:v>
      </x:c>
      <x:c r="C7" s="70" t="n">
        <x:f>Partners!H7</x:f>
        <x:v>1</x:v>
      </x:c>
      <x:c r="D7" s="47" t="n">
        <x:f>Partners!I7</x:f>
        <x:v>0</x:v>
      </x:c>
      <x:c r="E7" s="59" t="n">
        <x:v>0</x:v>
      </x:c>
      <x:c r="F7" s="59" t="n">
        <x:v>0</x:v>
      </x:c>
      <x:c r="G7" s="53" t="n">
        <x:f>D7*E7</x:f>
        <x:v>0</x:v>
      </x:c>
      <x:c r="H7" s="53" t="n">
        <x:f>D7*F7</x:f>
        <x:v>0</x:v>
      </x:c>
      <x:c r="I7" s="52" t="n">
        <x:v>0</x:v>
      </x:c>
      <x:c r="J7" s="53" t="n">
        <x:f>IF($A7&gt;=1927,(1-pac_quota)*Navy!X7,I7)</x:f>
        <x:v>0</x:v>
      </x:c>
      <x:c r="K7" s="52" t="n">
        <x:v>0</x:v>
      </x:c>
      <x:c r="L7" s="53" t="n">
        <x:f>IF($A7&gt;=1923,siberia_front*(1-pac_quota),0)</x:f>
        <x:v>0</x:v>
      </x:c>
      <x:c r="M7" s="52" t="n">
        <x:v>0</x:v>
      </x:c>
      <x:c r="N7" s="53" t="n">
        <x:f>M7*C7</x:f>
        <x:v>0</x:v>
      </x:c>
      <x:c r="O7" s="53" t="n">
        <x:f>IF($A7&gt;=1927,10*(1-pac_quota),0)</x:f>
        <x:v>0</x:v>
      </x:c>
      <x:c r="P7" s="53" t="n">
        <x:f>jp_coupon*(Z6-0)+0</x:f>
        <x:v>0</x:v>
      </x:c>
      <x:c r="Q7" s="53" t="n">
        <x:f>H7+J7+K7+L7+N7+O7+P7</x:f>
        <x:v>0</x:v>
      </x:c>
      <x:c r="R7" s="53" t="n">
        <x:f>Q7-G7</x:f>
        <x:v>0</x:v>
      </x:c>
      <x:c r="S7" s="52" t="n">
        <x:v>0</x:v>
      </x:c>
      <x:c r="T7" s="53" t="n">
        <x:f>S7*IF($A7&gt;=1923,C7,1)</x:f>
        <x:v>0</x:v>
      </x:c>
      <x:c r="U7" s="52" t="n">
        <x:v>0</x:v>
      </x:c>
      <x:c r="V7" s="52" t="n">
        <x:v>0</x:v>
      </x:c>
      <x:c r="W7" s="53" t="n">
        <x:f>(X6-0)*jp_foreign_repay+0</x:f>
        <x:v>0</x:v>
      </x:c>
      <x:c r="X7" s="53" t="n">
        <x:f>X6+T7-W7</x:f>
        <x:v>0</x:v>
      </x:c>
      <x:c r="Y7" s="53" t="n">
        <x:f>AG7+AF7-AH7</x:f>
        <x:v>0</x:v>
      </x:c>
      <x:c r="Z7" s="53" t="n">
        <x:f>X7+Y7</x:f>
        <x:v>0</x:v>
      </x:c>
      <x:c r="AA7" s="63" t="n">
        <x:f>IF(D7&gt;0,Z7/D7,0)</x:f>
        <x:v>0</x:v>
      </x:c>
      <x:c r="AB7" s="63" t="n">
        <x:f>IF(G7&gt;0,P7/G7,0)</x:f>
        <x:v>0</x:v>
      </x:c>
      <x:c r="AC7" s="63" t="n">
        <x:f>IF(T7+AF7&gt;0,T7/(T7+AF7),0)</x:f>
        <x:v>0</x:v>
      </x:c>
      <x:c r="AD7" s="110" t="n">
        <x:f>AJ6</x:f>
        <x:v>0</x:v>
      </x:c>
      <x:c r="AE7" s="110" t="n">
        <x:f>AD7+G7+T7+U7+AP7-Q7-W7-AO7</x:f>
        <x:v>0</x:v>
      </x:c>
      <x:c r="AF7" s="110" t="n">
        <x:f>MAX(0,-AE7)</x:f>
        <x:v>0</x:v>
      </x:c>
      <x:c r="AG7" s="110" t="n">
        <x:f>Y6+V7</x:f>
        <x:v>0</x:v>
      </x:c>
      <x:c r="AH7" s="110" t="n">
        <x:f>MIN(MAX(0,AE7),AG7)</x:f>
        <x:v>0</x:v>
      </x:c>
      <x:c r="AI7" s="110" t="n">
        <x:f>AE7+AF7-AH7</x:f>
        <x:v>0</x:v>
      </x:c>
      <x:c r="AJ7" s="110" t="n">
        <x:f>AI7</x:f>
        <x:v>0</x:v>
      </x:c>
      <x:c r="AK7" s="110" t="n">
        <x:f>AK6</x:f>
        <x:v>0</x:v>
      </x:c>
      <x:c r="AL7" s="110" t="n">
        <x:f>AJ7+AK7+AN7-Z7</x:f>
        <x:v>0</x:v>
      </x:c>
      <x:c r="AM7" s="110" t="n">
        <x:f>AJ7-(AD7+G7+T7+U7+AF7+AP7-Q7-W7-AH7-AO7)</x:f>
        <x:v>0</x:v>
      </x:c>
      <x:c r="AN7" s="110" t="n">
        <x:f>0</x:f>
        <x:v>0</x:v>
      </x:c>
      <x:c r="AO7" s="110" t="n">
        <x:f>0</x:f>
        <x:v>0</x:v>
      </x:c>
      <x:c r="AP7" s="110" t="n">
        <x:f>0</x:f>
        <x:v>0</x:v>
      </x:c>
    </x:row>
    <x:row r="8">
      <x:c r="A8" s="58" t="n">
        <x:v>1848</x:v>
      </x:c>
      <x:c r="B8" s="45" t="n">
        <x:v>0</x:v>
      </x:c>
      <x:c r="C8" s="70" t="n">
        <x:f>Partners!H8</x:f>
        <x:v>1</x:v>
      </x:c>
      <x:c r="D8" s="47" t="n">
        <x:f>Partners!I8</x:f>
        <x:v>0</x:v>
      </x:c>
      <x:c r="E8" s="59" t="n">
        <x:v>0</x:v>
      </x:c>
      <x:c r="F8" s="59" t="n">
        <x:v>0</x:v>
      </x:c>
      <x:c r="G8" s="53" t="n">
        <x:f>D8*E8</x:f>
        <x:v>0</x:v>
      </x:c>
      <x:c r="H8" s="53" t="n">
        <x:f>D8*F8</x:f>
        <x:v>0</x:v>
      </x:c>
      <x:c r="I8" s="52" t="n">
        <x:v>0</x:v>
      </x:c>
      <x:c r="J8" s="53" t="n">
        <x:f>IF($A8&gt;=1927,(1-pac_quota)*Navy!X8,I8)</x:f>
        <x:v>0</x:v>
      </x:c>
      <x:c r="K8" s="52" t="n">
        <x:v>0</x:v>
      </x:c>
      <x:c r="L8" s="53" t="n">
        <x:f>IF($A8&gt;=1923,siberia_front*(1-pac_quota),0)</x:f>
        <x:v>0</x:v>
      </x:c>
      <x:c r="M8" s="52" t="n">
        <x:v>0</x:v>
      </x:c>
      <x:c r="N8" s="53" t="n">
        <x:f>M8*C8</x:f>
        <x:v>0</x:v>
      </x:c>
      <x:c r="O8" s="53" t="n">
        <x:f>IF($A8&gt;=1927,10*(1-pac_quota),0)</x:f>
        <x:v>0</x:v>
      </x:c>
      <x:c r="P8" s="53" t="n">
        <x:f>jp_coupon*(Z7-0)+0</x:f>
        <x:v>0</x:v>
      </x:c>
      <x:c r="Q8" s="53" t="n">
        <x:f>H8+J8+K8+L8+N8+O8+P8</x:f>
        <x:v>0</x:v>
      </x:c>
      <x:c r="R8" s="53" t="n">
        <x:f>Q8-G8</x:f>
        <x:v>0</x:v>
      </x:c>
      <x:c r="S8" s="52" t="n">
        <x:v>0</x:v>
      </x:c>
      <x:c r="T8" s="53" t="n">
        <x:f>S8*IF($A8&gt;=1923,C8,1)</x:f>
        <x:v>0</x:v>
      </x:c>
      <x:c r="U8" s="52" t="n">
        <x:v>0</x:v>
      </x:c>
      <x:c r="V8" s="52" t="n">
        <x:v>0</x:v>
      </x:c>
      <x:c r="W8" s="53" t="n">
        <x:f>(X7-0)*jp_foreign_repay+0</x:f>
        <x:v>0</x:v>
      </x:c>
      <x:c r="X8" s="53" t="n">
        <x:f>X7+T8-W8</x:f>
        <x:v>0</x:v>
      </x:c>
      <x:c r="Y8" s="53" t="n">
        <x:f>AG8+AF8-AH8</x:f>
        <x:v>0</x:v>
      </x:c>
      <x:c r="Z8" s="53" t="n">
        <x:f>X8+Y8</x:f>
        <x:v>0</x:v>
      </x:c>
      <x:c r="AA8" s="63" t="n">
        <x:f>IF(D8&gt;0,Z8/D8,0)</x:f>
        <x:v>0</x:v>
      </x:c>
      <x:c r="AB8" s="63" t="n">
        <x:f>IF(G8&gt;0,P8/G8,0)</x:f>
        <x:v>0</x:v>
      </x:c>
      <x:c r="AC8" s="63" t="n">
        <x:f>IF(T8+AF8&gt;0,T8/(T8+AF8),0)</x:f>
        <x:v>0</x:v>
      </x:c>
      <x:c r="AD8" s="110" t="n">
        <x:f>AJ7</x:f>
        <x:v>0</x:v>
      </x:c>
      <x:c r="AE8" s="110" t="n">
        <x:f>AD8+G8+T8+U8+AP8-Q8-W8-AO8</x:f>
        <x:v>0</x:v>
      </x:c>
      <x:c r="AF8" s="110" t="n">
        <x:f>MAX(0,-AE8)</x:f>
        <x:v>0</x:v>
      </x:c>
      <x:c r="AG8" s="110" t="n">
        <x:f>Y7+V8</x:f>
        <x:v>0</x:v>
      </x:c>
      <x:c r="AH8" s="110" t="n">
        <x:f>MIN(MAX(0,AE8),AG8)</x:f>
        <x:v>0</x:v>
      </x:c>
      <x:c r="AI8" s="110" t="n">
        <x:f>AE8+AF8-AH8</x:f>
        <x:v>0</x:v>
      </x:c>
      <x:c r="AJ8" s="110" t="n">
        <x:f>AI8</x:f>
        <x:v>0</x:v>
      </x:c>
      <x:c r="AK8" s="110" t="n">
        <x:f>AK7</x:f>
        <x:v>0</x:v>
      </x:c>
      <x:c r="AL8" s="110" t="n">
        <x:f>AJ8+AK8+AN8-Z8</x:f>
        <x:v>0</x:v>
      </x:c>
      <x:c r="AM8" s="110" t="n">
        <x:f>AJ8-(AD8+G8+T8+U8+AF8+AP8-Q8-W8-AH8-AO8)</x:f>
        <x:v>0</x:v>
      </x:c>
      <x:c r="AN8" s="110" t="n">
        <x:f>0</x:f>
        <x:v>0</x:v>
      </x:c>
      <x:c r="AO8" s="110" t="n">
        <x:f>0</x:f>
        <x:v>0</x:v>
      </x:c>
      <x:c r="AP8" s="110" t="n">
        <x:f>0</x:f>
        <x:v>0</x:v>
      </x:c>
    </x:row>
    <x:row r="9">
      <x:c r="A9" s="58" t="n">
        <x:v>1849</x:v>
      </x:c>
      <x:c r="B9" s="45" t="n">
        <x:v>0</x:v>
      </x:c>
      <x:c r="C9" s="70" t="n">
        <x:f>Partners!H9</x:f>
        <x:v>1</x:v>
      </x:c>
      <x:c r="D9" s="47" t="n">
        <x:f>Partners!I9</x:f>
        <x:v>0</x:v>
      </x:c>
      <x:c r="E9" s="59" t="n">
        <x:v>0</x:v>
      </x:c>
      <x:c r="F9" s="59" t="n">
        <x:v>0</x:v>
      </x:c>
      <x:c r="G9" s="53" t="n">
        <x:f>D9*E9</x:f>
        <x:v>0</x:v>
      </x:c>
      <x:c r="H9" s="53" t="n">
        <x:f>D9*F9</x:f>
        <x:v>0</x:v>
      </x:c>
      <x:c r="I9" s="52" t="n">
        <x:v>0</x:v>
      </x:c>
      <x:c r="J9" s="53" t="n">
        <x:f>IF($A9&gt;=1927,(1-pac_quota)*Navy!X9,I9)</x:f>
        <x:v>0</x:v>
      </x:c>
      <x:c r="K9" s="52" t="n">
        <x:v>0</x:v>
      </x:c>
      <x:c r="L9" s="53" t="n">
        <x:f>IF($A9&gt;=1923,siberia_front*(1-pac_quota),0)</x:f>
        <x:v>0</x:v>
      </x:c>
      <x:c r="M9" s="52" t="n">
        <x:v>0</x:v>
      </x:c>
      <x:c r="N9" s="53" t="n">
        <x:f>M9*C9</x:f>
        <x:v>0</x:v>
      </x:c>
      <x:c r="O9" s="53" t="n">
        <x:f>IF($A9&gt;=1927,10*(1-pac_quota),0)</x:f>
        <x:v>0</x:v>
      </x:c>
      <x:c r="P9" s="53" t="n">
        <x:f>jp_coupon*(Z8-0)+0</x:f>
        <x:v>0</x:v>
      </x:c>
      <x:c r="Q9" s="53" t="n">
        <x:f>H9+J9+K9+L9+N9+O9+P9</x:f>
        <x:v>0</x:v>
      </x:c>
      <x:c r="R9" s="53" t="n">
        <x:f>Q9-G9</x:f>
        <x:v>0</x:v>
      </x:c>
      <x:c r="S9" s="52" t="n">
        <x:v>0</x:v>
      </x:c>
      <x:c r="T9" s="53" t="n">
        <x:f>S9*IF($A9&gt;=1923,C9,1)</x:f>
        <x:v>0</x:v>
      </x:c>
      <x:c r="U9" s="52" t="n">
        <x:v>0</x:v>
      </x:c>
      <x:c r="V9" s="52" t="n">
        <x:v>0</x:v>
      </x:c>
      <x:c r="W9" s="53" t="n">
        <x:f>(X8-0)*jp_foreign_repay+0</x:f>
        <x:v>0</x:v>
      </x:c>
      <x:c r="X9" s="53" t="n">
        <x:f>X8+T9-W9</x:f>
        <x:v>0</x:v>
      </x:c>
      <x:c r="Y9" s="53" t="n">
        <x:f>AG9+AF9-AH9</x:f>
        <x:v>0</x:v>
      </x:c>
      <x:c r="Z9" s="53" t="n">
        <x:f>X9+Y9</x:f>
        <x:v>0</x:v>
      </x:c>
      <x:c r="AA9" s="63" t="n">
        <x:f>IF(D9&gt;0,Z9/D9,0)</x:f>
        <x:v>0</x:v>
      </x:c>
      <x:c r="AB9" s="63" t="n">
        <x:f>IF(G9&gt;0,P9/G9,0)</x:f>
        <x:v>0</x:v>
      </x:c>
      <x:c r="AC9" s="63" t="n">
        <x:f>IF(T9+AF9&gt;0,T9/(T9+AF9),0)</x:f>
        <x:v>0</x:v>
      </x:c>
      <x:c r="AD9" s="110" t="n">
        <x:f>AJ8</x:f>
        <x:v>0</x:v>
      </x:c>
      <x:c r="AE9" s="110" t="n">
        <x:f>AD9+G9+T9+U9+AP9-Q9-W9-AO9</x:f>
        <x:v>0</x:v>
      </x:c>
      <x:c r="AF9" s="110" t="n">
        <x:f>MAX(0,-AE9)</x:f>
        <x:v>0</x:v>
      </x:c>
      <x:c r="AG9" s="110" t="n">
        <x:f>Y8+V9</x:f>
        <x:v>0</x:v>
      </x:c>
      <x:c r="AH9" s="110" t="n">
        <x:f>MIN(MAX(0,AE9),AG9)</x:f>
        <x:v>0</x:v>
      </x:c>
      <x:c r="AI9" s="110" t="n">
        <x:f>AE9+AF9-AH9</x:f>
        <x:v>0</x:v>
      </x:c>
      <x:c r="AJ9" s="110" t="n">
        <x:f>AI9</x:f>
        <x:v>0</x:v>
      </x:c>
      <x:c r="AK9" s="110" t="n">
        <x:f>AK8</x:f>
        <x:v>0</x:v>
      </x:c>
      <x:c r="AL9" s="110" t="n">
        <x:f>AJ9+AK9+AN9-Z9</x:f>
        <x:v>0</x:v>
      </x:c>
      <x:c r="AM9" s="110" t="n">
        <x:f>AJ9-(AD9+G9+T9+U9+AF9+AP9-Q9-W9-AH9-AO9)</x:f>
        <x:v>0</x:v>
      </x:c>
      <x:c r="AN9" s="110" t="n">
        <x:f>0</x:f>
        <x:v>0</x:v>
      </x:c>
      <x:c r="AO9" s="110" t="n">
        <x:f>0</x:f>
        <x:v>0</x:v>
      </x:c>
      <x:c r="AP9" s="110" t="n">
        <x:f>0</x:f>
        <x:v>0</x:v>
      </x:c>
    </x:row>
    <x:row r="10">
      <x:c r="A10" s="58" t="n">
        <x:v>1850</x:v>
      </x:c>
      <x:c r="B10" s="45" t="n">
        <x:v>0</x:v>
      </x:c>
      <x:c r="C10" s="70" t="n">
        <x:f>Partners!H10</x:f>
        <x:v>1</x:v>
      </x:c>
      <x:c r="D10" s="47" t="n">
        <x:f>Partners!I10</x:f>
        <x:v>0</x:v>
      </x:c>
      <x:c r="E10" s="59" t="n">
        <x:v>0</x:v>
      </x:c>
      <x:c r="F10" s="59" t="n">
        <x:v>0</x:v>
      </x:c>
      <x:c r="G10" s="53" t="n">
        <x:f>D10*E10</x:f>
        <x:v>0</x:v>
      </x:c>
      <x:c r="H10" s="53" t="n">
        <x:f>D10*F10</x:f>
        <x:v>0</x:v>
      </x:c>
      <x:c r="I10" s="52" t="n">
        <x:v>0</x:v>
      </x:c>
      <x:c r="J10" s="53" t="n">
        <x:f>IF($A10&gt;=1927,(1-pac_quota)*Navy!X10,I10)</x:f>
        <x:v>0</x:v>
      </x:c>
      <x:c r="K10" s="52" t="n">
        <x:v>0</x:v>
      </x:c>
      <x:c r="L10" s="53" t="n">
        <x:f>IF($A10&gt;=1923,siberia_front*(1-pac_quota),0)</x:f>
        <x:v>0</x:v>
      </x:c>
      <x:c r="M10" s="52" t="n">
        <x:v>0</x:v>
      </x:c>
      <x:c r="N10" s="53" t="n">
        <x:f>M10*C10</x:f>
        <x:v>0</x:v>
      </x:c>
      <x:c r="O10" s="53" t="n">
        <x:f>IF($A10&gt;=1927,10*(1-pac_quota),0)</x:f>
        <x:v>0</x:v>
      </x:c>
      <x:c r="P10" s="53" t="n">
        <x:f>jp_coupon*(Z9-0)+0</x:f>
        <x:v>0</x:v>
      </x:c>
      <x:c r="Q10" s="53" t="n">
        <x:f>H10+J10+K10+L10+N10+O10+P10</x:f>
        <x:v>0</x:v>
      </x:c>
      <x:c r="R10" s="53" t="n">
        <x:f>Q10-G10</x:f>
        <x:v>0</x:v>
      </x:c>
      <x:c r="S10" s="52" t="n">
        <x:v>0</x:v>
      </x:c>
      <x:c r="T10" s="53" t="n">
        <x:f>S10*IF($A10&gt;=1923,C10,1)</x:f>
        <x:v>0</x:v>
      </x:c>
      <x:c r="U10" s="52" t="n">
        <x:v>0</x:v>
      </x:c>
      <x:c r="V10" s="52" t="n">
        <x:v>0</x:v>
      </x:c>
      <x:c r="W10" s="53" t="n">
        <x:f>(X9-0)*jp_foreign_repay+0</x:f>
        <x:v>0</x:v>
      </x:c>
      <x:c r="X10" s="53" t="n">
        <x:f>X9+T10-W10</x:f>
        <x:v>0</x:v>
      </x:c>
      <x:c r="Y10" s="53" t="n">
        <x:f>AG10+AF10-AH10</x:f>
        <x:v>0</x:v>
      </x:c>
      <x:c r="Z10" s="53" t="n">
        <x:f>X10+Y10</x:f>
        <x:v>0</x:v>
      </x:c>
      <x:c r="AA10" s="63" t="n">
        <x:f>IF(D10&gt;0,Z10/D10,0)</x:f>
        <x:v>0</x:v>
      </x:c>
      <x:c r="AB10" s="63" t="n">
        <x:f>IF(G10&gt;0,P10/G10,0)</x:f>
        <x:v>0</x:v>
      </x:c>
      <x:c r="AC10" s="63" t="n">
        <x:f>IF(T10+AF10&gt;0,T10/(T10+AF10),0)</x:f>
        <x:v>0</x:v>
      </x:c>
      <x:c r="AD10" s="110" t="n">
        <x:f>AJ9</x:f>
        <x:v>0</x:v>
      </x:c>
      <x:c r="AE10" s="110" t="n">
        <x:f>AD10+G10+T10+U10+AP10-Q10-W10-AO10</x:f>
        <x:v>0</x:v>
      </x:c>
      <x:c r="AF10" s="110" t="n">
        <x:f>MAX(0,-AE10)</x:f>
        <x:v>0</x:v>
      </x:c>
      <x:c r="AG10" s="110" t="n">
        <x:f>Y9+V10</x:f>
        <x:v>0</x:v>
      </x:c>
      <x:c r="AH10" s="110" t="n">
        <x:f>MIN(MAX(0,AE10),AG10)</x:f>
        <x:v>0</x:v>
      </x:c>
      <x:c r="AI10" s="110" t="n">
        <x:f>AE10+AF10-AH10</x:f>
        <x:v>0</x:v>
      </x:c>
      <x:c r="AJ10" s="110" t="n">
        <x:f>AI10</x:f>
        <x:v>0</x:v>
      </x:c>
      <x:c r="AK10" s="110" t="n">
        <x:f>AK9</x:f>
        <x:v>0</x:v>
      </x:c>
      <x:c r="AL10" s="110" t="n">
        <x:f>AJ10+AK10+AN10-Z10</x:f>
        <x:v>0</x:v>
      </x:c>
      <x:c r="AM10" s="110" t="n">
        <x:f>AJ10-(AD10+G10+T10+U10+AF10+AP10-Q10-W10-AH10-AO10)</x:f>
        <x:v>0</x:v>
      </x:c>
      <x:c r="AN10" s="110" t="n">
        <x:f>0</x:f>
        <x:v>0</x:v>
      </x:c>
      <x:c r="AO10" s="110" t="n">
        <x:f>0</x:f>
        <x:v>0</x:v>
      </x:c>
      <x:c r="AP10" s="110" t="n">
        <x:f>0</x:f>
        <x:v>0</x:v>
      </x:c>
    </x:row>
    <x:row r="11">
      <x:c r="A11" s="58" t="n">
        <x:v>1851</x:v>
      </x:c>
      <x:c r="B11" s="45" t="n">
        <x:v>0</x:v>
      </x:c>
      <x:c r="C11" s="70" t="n">
        <x:f>Partners!H11</x:f>
        <x:v>1</x:v>
      </x:c>
      <x:c r="D11" s="47" t="n">
        <x:f>Partners!I11</x:f>
        <x:v>0</x:v>
      </x:c>
      <x:c r="E11" s="59" t="n">
        <x:v>0</x:v>
      </x:c>
      <x:c r="F11" s="59" t="n">
        <x:v>0</x:v>
      </x:c>
      <x:c r="G11" s="53" t="n">
        <x:f>D11*E11</x:f>
        <x:v>0</x:v>
      </x:c>
      <x:c r="H11" s="53" t="n">
        <x:f>D11*F11</x:f>
        <x:v>0</x:v>
      </x:c>
      <x:c r="I11" s="52" t="n">
        <x:v>0</x:v>
      </x:c>
      <x:c r="J11" s="53" t="n">
        <x:f>IF($A11&gt;=1927,(1-pac_quota)*Navy!X11,I11)</x:f>
        <x:v>0</x:v>
      </x:c>
      <x:c r="K11" s="52" t="n">
        <x:v>0</x:v>
      </x:c>
      <x:c r="L11" s="53" t="n">
        <x:f>IF($A11&gt;=1923,siberia_front*(1-pac_quota),0)</x:f>
        <x:v>0</x:v>
      </x:c>
      <x:c r="M11" s="52" t="n">
        <x:v>0</x:v>
      </x:c>
      <x:c r="N11" s="53" t="n">
        <x:f>M11*C11</x:f>
        <x:v>0</x:v>
      </x:c>
      <x:c r="O11" s="53" t="n">
        <x:f>IF($A11&gt;=1927,10*(1-pac_quota),0)</x:f>
        <x:v>0</x:v>
      </x:c>
      <x:c r="P11" s="53" t="n">
        <x:f>jp_coupon*(Z10-0)+0</x:f>
        <x:v>0</x:v>
      </x:c>
      <x:c r="Q11" s="53" t="n">
        <x:f>H11+J11+K11+L11+N11+O11+P11</x:f>
        <x:v>0</x:v>
      </x:c>
      <x:c r="R11" s="53" t="n">
        <x:f>Q11-G11</x:f>
        <x:v>0</x:v>
      </x:c>
      <x:c r="S11" s="52" t="n">
        <x:v>0</x:v>
      </x:c>
      <x:c r="T11" s="53" t="n">
        <x:f>S11*IF($A11&gt;=1923,C11,1)</x:f>
        <x:v>0</x:v>
      </x:c>
      <x:c r="U11" s="52" t="n">
        <x:v>0</x:v>
      </x:c>
      <x:c r="V11" s="52" t="n">
        <x:v>0</x:v>
      </x:c>
      <x:c r="W11" s="53" t="n">
        <x:f>(X10-0)*jp_foreign_repay+0</x:f>
        <x:v>0</x:v>
      </x:c>
      <x:c r="X11" s="53" t="n">
        <x:f>X10+T11-W11</x:f>
        <x:v>0</x:v>
      </x:c>
      <x:c r="Y11" s="53" t="n">
        <x:f>AG11+AF11-AH11</x:f>
        <x:v>0</x:v>
      </x:c>
      <x:c r="Z11" s="53" t="n">
        <x:f>X11+Y11</x:f>
        <x:v>0</x:v>
      </x:c>
      <x:c r="AA11" s="63" t="n">
        <x:f>IF(D11&gt;0,Z11/D11,0)</x:f>
        <x:v>0</x:v>
      </x:c>
      <x:c r="AB11" s="63" t="n">
        <x:f>IF(G11&gt;0,P11/G11,0)</x:f>
        <x:v>0</x:v>
      </x:c>
      <x:c r="AC11" s="63" t="n">
        <x:f>IF(T11+AF11&gt;0,T11/(T11+AF11),0)</x:f>
        <x:v>0</x:v>
      </x:c>
      <x:c r="AD11" s="110" t="n">
        <x:f>AJ10</x:f>
        <x:v>0</x:v>
      </x:c>
      <x:c r="AE11" s="110" t="n">
        <x:f>AD11+G11+T11+U11+AP11-Q11-W11-AO11</x:f>
        <x:v>0</x:v>
      </x:c>
      <x:c r="AF11" s="110" t="n">
        <x:f>MAX(0,-AE11)</x:f>
        <x:v>0</x:v>
      </x:c>
      <x:c r="AG11" s="110" t="n">
        <x:f>Y10+V11</x:f>
        <x:v>0</x:v>
      </x:c>
      <x:c r="AH11" s="110" t="n">
        <x:f>MIN(MAX(0,AE11),AG11)</x:f>
        <x:v>0</x:v>
      </x:c>
      <x:c r="AI11" s="110" t="n">
        <x:f>AE11+AF11-AH11</x:f>
        <x:v>0</x:v>
      </x:c>
      <x:c r="AJ11" s="110" t="n">
        <x:f>AI11</x:f>
        <x:v>0</x:v>
      </x:c>
      <x:c r="AK11" s="110" t="n">
        <x:f>AK10</x:f>
        <x:v>0</x:v>
      </x:c>
      <x:c r="AL11" s="110" t="n">
        <x:f>AJ11+AK11+AN11-Z11</x:f>
        <x:v>0</x:v>
      </x:c>
      <x:c r="AM11" s="110" t="n">
        <x:f>AJ11-(AD11+G11+T11+U11+AF11+AP11-Q11-W11-AH11-AO11)</x:f>
        <x:v>0</x:v>
      </x:c>
      <x:c r="AN11" s="110" t="n">
        <x:f>0</x:f>
        <x:v>0</x:v>
      </x:c>
      <x:c r="AO11" s="110" t="n">
        <x:f>0</x:f>
        <x:v>0</x:v>
      </x:c>
      <x:c r="AP11" s="110" t="n">
        <x:f>0</x:f>
        <x:v>0</x:v>
      </x:c>
    </x:row>
    <x:row r="12">
      <x:c r="A12" s="58" t="n">
        <x:v>1852</x:v>
      </x:c>
      <x:c r="B12" s="45" t="n">
        <x:v>0</x:v>
      </x:c>
      <x:c r="C12" s="70" t="n">
        <x:f>Partners!H12</x:f>
        <x:v>1</x:v>
      </x:c>
      <x:c r="D12" s="47" t="n">
        <x:f>Partners!I12</x:f>
        <x:v>0</x:v>
      </x:c>
      <x:c r="E12" s="59" t="n">
        <x:v>0</x:v>
      </x:c>
      <x:c r="F12" s="59" t="n">
        <x:v>0</x:v>
      </x:c>
      <x:c r="G12" s="53" t="n">
        <x:f>D12*E12</x:f>
        <x:v>0</x:v>
      </x:c>
      <x:c r="H12" s="53" t="n">
        <x:f>D12*F12</x:f>
        <x:v>0</x:v>
      </x:c>
      <x:c r="I12" s="52" t="n">
        <x:v>0</x:v>
      </x:c>
      <x:c r="J12" s="53" t="n">
        <x:f>IF($A12&gt;=1927,(1-pac_quota)*Navy!X12,I12)</x:f>
        <x:v>0</x:v>
      </x:c>
      <x:c r="K12" s="52" t="n">
        <x:v>0</x:v>
      </x:c>
      <x:c r="L12" s="53" t="n">
        <x:f>IF($A12&gt;=1923,siberia_front*(1-pac_quota),0)</x:f>
        <x:v>0</x:v>
      </x:c>
      <x:c r="M12" s="52" t="n">
        <x:v>0</x:v>
      </x:c>
      <x:c r="N12" s="53" t="n">
        <x:f>M12*C12</x:f>
        <x:v>0</x:v>
      </x:c>
      <x:c r="O12" s="53" t="n">
        <x:f>IF($A12&gt;=1927,10*(1-pac_quota),0)</x:f>
        <x:v>0</x:v>
      </x:c>
      <x:c r="P12" s="53" t="n">
        <x:f>jp_coupon*(Z11-0)+0</x:f>
        <x:v>0</x:v>
      </x:c>
      <x:c r="Q12" s="53" t="n">
        <x:f>H12+J12+K12+L12+N12+O12+P12</x:f>
        <x:v>0</x:v>
      </x:c>
      <x:c r="R12" s="53" t="n">
        <x:f>Q12-G12</x:f>
        <x:v>0</x:v>
      </x:c>
      <x:c r="S12" s="52" t="n">
        <x:v>0</x:v>
      </x:c>
      <x:c r="T12" s="53" t="n">
        <x:f>S12*IF($A12&gt;=1923,C12,1)</x:f>
        <x:v>0</x:v>
      </x:c>
      <x:c r="U12" s="52" t="n">
        <x:v>0</x:v>
      </x:c>
      <x:c r="V12" s="52" t="n">
        <x:v>0</x:v>
      </x:c>
      <x:c r="W12" s="53" t="n">
        <x:f>(X11-0)*jp_foreign_repay+0</x:f>
        <x:v>0</x:v>
      </x:c>
      <x:c r="X12" s="53" t="n">
        <x:f>X11+T12-W12</x:f>
        <x:v>0</x:v>
      </x:c>
      <x:c r="Y12" s="53" t="n">
        <x:f>AG12+AF12-AH12</x:f>
        <x:v>0</x:v>
      </x:c>
      <x:c r="Z12" s="53" t="n">
        <x:f>X12+Y12</x:f>
        <x:v>0</x:v>
      </x:c>
      <x:c r="AA12" s="63" t="n">
        <x:f>IF(D12&gt;0,Z12/D12,0)</x:f>
        <x:v>0</x:v>
      </x:c>
      <x:c r="AB12" s="63" t="n">
        <x:f>IF(G12&gt;0,P12/G12,0)</x:f>
        <x:v>0</x:v>
      </x:c>
      <x:c r="AC12" s="63" t="n">
        <x:f>IF(T12+AF12&gt;0,T12/(T12+AF12),0)</x:f>
        <x:v>0</x:v>
      </x:c>
      <x:c r="AD12" s="110" t="n">
        <x:f>AJ11</x:f>
        <x:v>0</x:v>
      </x:c>
      <x:c r="AE12" s="110" t="n">
        <x:f>AD12+G12+T12+U12+AP12-Q12-W12-AO12</x:f>
        <x:v>0</x:v>
      </x:c>
      <x:c r="AF12" s="110" t="n">
        <x:f>MAX(0,-AE12)</x:f>
        <x:v>0</x:v>
      </x:c>
      <x:c r="AG12" s="110" t="n">
        <x:f>Y11+V12</x:f>
        <x:v>0</x:v>
      </x:c>
      <x:c r="AH12" s="110" t="n">
        <x:f>MIN(MAX(0,AE12),AG12)</x:f>
        <x:v>0</x:v>
      </x:c>
      <x:c r="AI12" s="110" t="n">
        <x:f>AE12+AF12-AH12</x:f>
        <x:v>0</x:v>
      </x:c>
      <x:c r="AJ12" s="110" t="n">
        <x:f>AI12</x:f>
        <x:v>0</x:v>
      </x:c>
      <x:c r="AK12" s="110" t="n">
        <x:f>AK11</x:f>
        <x:v>0</x:v>
      </x:c>
      <x:c r="AL12" s="110" t="n">
        <x:f>AJ12+AK12+AN12-Z12</x:f>
        <x:v>0</x:v>
      </x:c>
      <x:c r="AM12" s="110" t="n">
        <x:f>AJ12-(AD12+G12+T12+U12+AF12+AP12-Q12-W12-AH12-AO12)</x:f>
        <x:v>0</x:v>
      </x:c>
      <x:c r="AN12" s="110" t="n">
        <x:f>0</x:f>
        <x:v>0</x:v>
      </x:c>
      <x:c r="AO12" s="110" t="n">
        <x:f>0</x:f>
        <x:v>0</x:v>
      </x:c>
      <x:c r="AP12" s="110" t="n">
        <x:f>0</x:f>
        <x:v>0</x:v>
      </x:c>
    </x:row>
    <x:row r="13">
      <x:c r="A13" s="58" t="n">
        <x:v>1853</x:v>
      </x:c>
      <x:c r="B13" s="45" t="n">
        <x:v>0</x:v>
      </x:c>
      <x:c r="C13" s="70" t="n">
        <x:f>Partners!H13</x:f>
        <x:v>1</x:v>
      </x:c>
      <x:c r="D13" s="47" t="n">
        <x:f>Partners!I13</x:f>
        <x:v>0</x:v>
      </x:c>
      <x:c r="E13" s="59" t="n">
        <x:v>0</x:v>
      </x:c>
      <x:c r="F13" s="59" t="n">
        <x:v>0</x:v>
      </x:c>
      <x:c r="G13" s="53" t="n">
        <x:f>D13*E13</x:f>
        <x:v>0</x:v>
      </x:c>
      <x:c r="H13" s="53" t="n">
        <x:f>D13*F13</x:f>
        <x:v>0</x:v>
      </x:c>
      <x:c r="I13" s="52" t="n">
        <x:v>0</x:v>
      </x:c>
      <x:c r="J13" s="53" t="n">
        <x:f>IF($A13&gt;=1927,(1-pac_quota)*Navy!X13,I13)</x:f>
        <x:v>0</x:v>
      </x:c>
      <x:c r="K13" s="52" t="n">
        <x:v>0</x:v>
      </x:c>
      <x:c r="L13" s="53" t="n">
        <x:f>IF($A13&gt;=1923,siberia_front*(1-pac_quota),0)</x:f>
        <x:v>0</x:v>
      </x:c>
      <x:c r="M13" s="52" t="n">
        <x:v>0</x:v>
      </x:c>
      <x:c r="N13" s="53" t="n">
        <x:f>M13*C13</x:f>
        <x:v>0</x:v>
      </x:c>
      <x:c r="O13" s="53" t="n">
        <x:f>IF($A13&gt;=1927,10*(1-pac_quota),0)</x:f>
        <x:v>0</x:v>
      </x:c>
      <x:c r="P13" s="53" t="n">
        <x:f>jp_coupon*(Z12-0)+0</x:f>
        <x:v>0</x:v>
      </x:c>
      <x:c r="Q13" s="53" t="n">
        <x:f>H13+J13+K13+L13+N13+O13+P13</x:f>
        <x:v>0</x:v>
      </x:c>
      <x:c r="R13" s="53" t="n">
        <x:f>Q13-G13</x:f>
        <x:v>0</x:v>
      </x:c>
      <x:c r="S13" s="52" t="n">
        <x:v>0</x:v>
      </x:c>
      <x:c r="T13" s="53" t="n">
        <x:f>S13*IF($A13&gt;=1923,C13,1)</x:f>
        <x:v>0</x:v>
      </x:c>
      <x:c r="U13" s="52" t="n">
        <x:v>0</x:v>
      </x:c>
      <x:c r="V13" s="52" t="n">
        <x:v>0</x:v>
      </x:c>
      <x:c r="W13" s="53" t="n">
        <x:f>(X12-0)*jp_foreign_repay+0</x:f>
        <x:v>0</x:v>
      </x:c>
      <x:c r="X13" s="53" t="n">
        <x:f>X12+T13-W13</x:f>
        <x:v>0</x:v>
      </x:c>
      <x:c r="Y13" s="53" t="n">
        <x:f>AG13+AF13-AH13</x:f>
        <x:v>0</x:v>
      </x:c>
      <x:c r="Z13" s="53" t="n">
        <x:f>X13+Y13</x:f>
        <x:v>0</x:v>
      </x:c>
      <x:c r="AA13" s="63" t="n">
        <x:f>IF(D13&gt;0,Z13/D13,0)</x:f>
        <x:v>0</x:v>
      </x:c>
      <x:c r="AB13" s="63" t="n">
        <x:f>IF(G13&gt;0,P13/G13,0)</x:f>
        <x:v>0</x:v>
      </x:c>
      <x:c r="AC13" s="63" t="n">
        <x:f>IF(T13+AF13&gt;0,T13/(T13+AF13),0)</x:f>
        <x:v>0</x:v>
      </x:c>
      <x:c r="AD13" s="110" t="n">
        <x:f>AJ12</x:f>
        <x:v>0</x:v>
      </x:c>
      <x:c r="AE13" s="110" t="n">
        <x:f>AD13+G13+T13+U13+AP13-Q13-W13-AO13</x:f>
        <x:v>0</x:v>
      </x:c>
      <x:c r="AF13" s="110" t="n">
        <x:f>MAX(0,-AE13)</x:f>
        <x:v>0</x:v>
      </x:c>
      <x:c r="AG13" s="110" t="n">
        <x:f>Y12+V13</x:f>
        <x:v>0</x:v>
      </x:c>
      <x:c r="AH13" s="110" t="n">
        <x:f>MIN(MAX(0,AE13),AG13)</x:f>
        <x:v>0</x:v>
      </x:c>
      <x:c r="AI13" s="110" t="n">
        <x:f>AE13+AF13-AH13</x:f>
        <x:v>0</x:v>
      </x:c>
      <x:c r="AJ13" s="110" t="n">
        <x:f>AI13</x:f>
        <x:v>0</x:v>
      </x:c>
      <x:c r="AK13" s="110" t="n">
        <x:f>AK12</x:f>
        <x:v>0</x:v>
      </x:c>
      <x:c r="AL13" s="110" t="n">
        <x:f>AJ13+AK13+AN13-Z13</x:f>
        <x:v>0</x:v>
      </x:c>
      <x:c r="AM13" s="110" t="n">
        <x:f>AJ13-(AD13+G13+T13+U13+AF13+AP13-Q13-W13-AH13-AO13)</x:f>
        <x:v>0</x:v>
      </x:c>
      <x:c r="AN13" s="110" t="n">
        <x:f>0</x:f>
        <x:v>0</x:v>
      </x:c>
      <x:c r="AO13" s="110" t="n">
        <x:f>0</x:f>
        <x:v>0</x:v>
      </x:c>
      <x:c r="AP13" s="110" t="n">
        <x:f>0</x:f>
        <x:v>0</x:v>
      </x:c>
    </x:row>
    <x:row r="14">
      <x:c r="A14" s="58" t="n">
        <x:v>1854</x:v>
      </x:c>
      <x:c r="B14" s="45" t="n">
        <x:v>0</x:v>
      </x:c>
      <x:c r="C14" s="70" t="n">
        <x:f>Partners!H14</x:f>
        <x:v>1</x:v>
      </x:c>
      <x:c r="D14" s="47" t="n">
        <x:f>Partners!I14</x:f>
        <x:v>0</x:v>
      </x:c>
      <x:c r="E14" s="59" t="n">
        <x:v>0</x:v>
      </x:c>
      <x:c r="F14" s="59" t="n">
        <x:v>0</x:v>
      </x:c>
      <x:c r="G14" s="53" t="n">
        <x:f>D14*E14</x:f>
        <x:v>0</x:v>
      </x:c>
      <x:c r="H14" s="53" t="n">
        <x:f>D14*F14</x:f>
        <x:v>0</x:v>
      </x:c>
      <x:c r="I14" s="52" t="n">
        <x:v>0</x:v>
      </x:c>
      <x:c r="J14" s="53" t="n">
        <x:f>IF($A14&gt;=1927,(1-pac_quota)*Navy!X14,I14)</x:f>
        <x:v>0</x:v>
      </x:c>
      <x:c r="K14" s="52" t="n">
        <x:v>0</x:v>
      </x:c>
      <x:c r="L14" s="53" t="n">
        <x:f>IF($A14&gt;=1923,siberia_front*(1-pac_quota),0)</x:f>
        <x:v>0</x:v>
      </x:c>
      <x:c r="M14" s="52" t="n">
        <x:v>0</x:v>
      </x:c>
      <x:c r="N14" s="53" t="n">
        <x:f>M14*C14</x:f>
        <x:v>0</x:v>
      </x:c>
      <x:c r="O14" s="53" t="n">
        <x:f>IF($A14&gt;=1927,10*(1-pac_quota),0)</x:f>
        <x:v>0</x:v>
      </x:c>
      <x:c r="P14" s="53" t="n">
        <x:f>jp_coupon*(Z13-0)+0</x:f>
        <x:v>0</x:v>
      </x:c>
      <x:c r="Q14" s="53" t="n">
        <x:f>H14+J14+K14+L14+N14+O14+P14</x:f>
        <x:v>0</x:v>
      </x:c>
      <x:c r="R14" s="53" t="n">
        <x:f>Q14-G14</x:f>
        <x:v>0</x:v>
      </x:c>
      <x:c r="S14" s="52" t="n">
        <x:v>0</x:v>
      </x:c>
      <x:c r="T14" s="53" t="n">
        <x:f>S14*IF($A14&gt;=1923,C14,1)</x:f>
        <x:v>0</x:v>
      </x:c>
      <x:c r="U14" s="52" t="n">
        <x:v>0</x:v>
      </x:c>
      <x:c r="V14" s="52" t="n">
        <x:v>0</x:v>
      </x:c>
      <x:c r="W14" s="53" t="n">
        <x:f>(X13-0)*jp_foreign_repay+0</x:f>
        <x:v>0</x:v>
      </x:c>
      <x:c r="X14" s="53" t="n">
        <x:f>X13+T14-W14</x:f>
        <x:v>0</x:v>
      </x:c>
      <x:c r="Y14" s="53" t="n">
        <x:f>AG14+AF14-AH14</x:f>
        <x:v>0</x:v>
      </x:c>
      <x:c r="Z14" s="53" t="n">
        <x:f>X14+Y14</x:f>
        <x:v>0</x:v>
      </x:c>
      <x:c r="AA14" s="63" t="n">
        <x:f>IF(D14&gt;0,Z14/D14,0)</x:f>
        <x:v>0</x:v>
      </x:c>
      <x:c r="AB14" s="63" t="n">
        <x:f>IF(G14&gt;0,P14/G14,0)</x:f>
        <x:v>0</x:v>
      </x:c>
      <x:c r="AC14" s="63" t="n">
        <x:f>IF(T14+AF14&gt;0,T14/(T14+AF14),0)</x:f>
        <x:v>0</x:v>
      </x:c>
      <x:c r="AD14" s="110" t="n">
        <x:f>AJ13</x:f>
        <x:v>0</x:v>
      </x:c>
      <x:c r="AE14" s="110" t="n">
        <x:f>AD14+G14+T14+U14+AP14-Q14-W14-AO14</x:f>
        <x:v>0</x:v>
      </x:c>
      <x:c r="AF14" s="110" t="n">
        <x:f>MAX(0,-AE14)</x:f>
        <x:v>0</x:v>
      </x:c>
      <x:c r="AG14" s="110" t="n">
        <x:f>Y13+V14</x:f>
        <x:v>0</x:v>
      </x:c>
      <x:c r="AH14" s="110" t="n">
        <x:f>MIN(MAX(0,AE14),AG14)</x:f>
        <x:v>0</x:v>
      </x:c>
      <x:c r="AI14" s="110" t="n">
        <x:f>AE14+AF14-AH14</x:f>
        <x:v>0</x:v>
      </x:c>
      <x:c r="AJ14" s="110" t="n">
        <x:f>AI14</x:f>
        <x:v>0</x:v>
      </x:c>
      <x:c r="AK14" s="110" t="n">
        <x:f>AK13</x:f>
        <x:v>0</x:v>
      </x:c>
      <x:c r="AL14" s="110" t="n">
        <x:f>AJ14+AK14+AN14-Z14</x:f>
        <x:v>0</x:v>
      </x:c>
      <x:c r="AM14" s="110" t="n">
        <x:f>AJ14-(AD14+G14+T14+U14+AF14+AP14-Q14-W14-AH14-AO14)</x:f>
        <x:v>0</x:v>
      </x:c>
      <x:c r="AN14" s="110" t="n">
        <x:f>0</x:f>
        <x:v>0</x:v>
      </x:c>
      <x:c r="AO14" s="110" t="n">
        <x:f>0</x:f>
        <x:v>0</x:v>
      </x:c>
      <x:c r="AP14" s="110" t="n">
        <x:f>0</x:f>
        <x:v>0</x:v>
      </x:c>
    </x:row>
    <x:row r="15">
      <x:c r="A15" s="58" t="n">
        <x:v>1855</x:v>
      </x:c>
      <x:c r="B15" s="45" t="n">
        <x:v>0</x:v>
      </x:c>
      <x:c r="C15" s="70" t="n">
        <x:f>Partners!H15</x:f>
        <x:v>1</x:v>
      </x:c>
      <x:c r="D15" s="47" t="n">
        <x:f>Partners!I15</x:f>
        <x:v>0</x:v>
      </x:c>
      <x:c r="E15" s="59" t="n">
        <x:v>0</x:v>
      </x:c>
      <x:c r="F15" s="59" t="n">
        <x:v>0</x:v>
      </x:c>
      <x:c r="G15" s="53" t="n">
        <x:f>D15*E15</x:f>
        <x:v>0</x:v>
      </x:c>
      <x:c r="H15" s="53" t="n">
        <x:f>D15*F15</x:f>
        <x:v>0</x:v>
      </x:c>
      <x:c r="I15" s="52" t="n">
        <x:v>0</x:v>
      </x:c>
      <x:c r="J15" s="53" t="n">
        <x:f>IF($A15&gt;=1927,(1-pac_quota)*Navy!X15,I15)</x:f>
        <x:v>0</x:v>
      </x:c>
      <x:c r="K15" s="52" t="n">
        <x:v>0</x:v>
      </x:c>
      <x:c r="L15" s="53" t="n">
        <x:f>IF($A15&gt;=1923,siberia_front*(1-pac_quota),0)</x:f>
        <x:v>0</x:v>
      </x:c>
      <x:c r="M15" s="52" t="n">
        <x:v>0</x:v>
      </x:c>
      <x:c r="N15" s="53" t="n">
        <x:f>M15*C15</x:f>
        <x:v>0</x:v>
      </x:c>
      <x:c r="O15" s="53" t="n">
        <x:f>IF($A15&gt;=1927,10*(1-pac_quota),0)</x:f>
        <x:v>0</x:v>
      </x:c>
      <x:c r="P15" s="53" t="n">
        <x:f>jp_coupon*(Z14-0)+0</x:f>
        <x:v>0</x:v>
      </x:c>
      <x:c r="Q15" s="53" t="n">
        <x:f>H15+J15+K15+L15+N15+O15+P15</x:f>
        <x:v>0</x:v>
      </x:c>
      <x:c r="R15" s="53" t="n">
        <x:f>Q15-G15</x:f>
        <x:v>0</x:v>
      </x:c>
      <x:c r="S15" s="52" t="n">
        <x:v>0</x:v>
      </x:c>
      <x:c r="T15" s="53" t="n">
        <x:f>S15*IF($A15&gt;=1923,C15,1)</x:f>
        <x:v>0</x:v>
      </x:c>
      <x:c r="U15" s="52" t="n">
        <x:v>0</x:v>
      </x:c>
      <x:c r="V15" s="52" t="n">
        <x:v>0</x:v>
      </x:c>
      <x:c r="W15" s="53" t="n">
        <x:f>(X14-0)*jp_foreign_repay+0</x:f>
        <x:v>0</x:v>
      </x:c>
      <x:c r="X15" s="53" t="n">
        <x:f>X14+T15-W15</x:f>
        <x:v>0</x:v>
      </x:c>
      <x:c r="Y15" s="53" t="n">
        <x:f>AG15+AF15-AH15</x:f>
        <x:v>0</x:v>
      </x:c>
      <x:c r="Z15" s="53" t="n">
        <x:f>X15+Y15</x:f>
        <x:v>0</x:v>
      </x:c>
      <x:c r="AA15" s="63" t="n">
        <x:f>IF(D15&gt;0,Z15/D15,0)</x:f>
        <x:v>0</x:v>
      </x:c>
      <x:c r="AB15" s="63" t="n">
        <x:f>IF(G15&gt;0,P15/G15,0)</x:f>
        <x:v>0</x:v>
      </x:c>
      <x:c r="AC15" s="63" t="n">
        <x:f>IF(T15+AF15&gt;0,T15/(T15+AF15),0)</x:f>
        <x:v>0</x:v>
      </x:c>
      <x:c r="AD15" s="110" t="n">
        <x:f>AJ14</x:f>
        <x:v>0</x:v>
      </x:c>
      <x:c r="AE15" s="110" t="n">
        <x:f>AD15+G15+T15+U15+AP15-Q15-W15-AO15</x:f>
        <x:v>0</x:v>
      </x:c>
      <x:c r="AF15" s="110" t="n">
        <x:f>MAX(0,-AE15)</x:f>
        <x:v>0</x:v>
      </x:c>
      <x:c r="AG15" s="110" t="n">
        <x:f>Y14+V15</x:f>
        <x:v>0</x:v>
      </x:c>
      <x:c r="AH15" s="110" t="n">
        <x:f>MIN(MAX(0,AE15),AG15)</x:f>
        <x:v>0</x:v>
      </x:c>
      <x:c r="AI15" s="110" t="n">
        <x:f>AE15+AF15-AH15</x:f>
        <x:v>0</x:v>
      </x:c>
      <x:c r="AJ15" s="110" t="n">
        <x:f>AI15</x:f>
        <x:v>0</x:v>
      </x:c>
      <x:c r="AK15" s="110" t="n">
        <x:f>AK14</x:f>
        <x:v>0</x:v>
      </x:c>
      <x:c r="AL15" s="110" t="n">
        <x:f>AJ15+AK15+AN15-Z15</x:f>
        <x:v>0</x:v>
      </x:c>
      <x:c r="AM15" s="110" t="n">
        <x:f>AJ15-(AD15+G15+T15+U15+AF15+AP15-Q15-W15-AH15-AO15)</x:f>
        <x:v>0</x:v>
      </x:c>
      <x:c r="AN15" s="110" t="n">
        <x:f>0</x:f>
        <x:v>0</x:v>
      </x:c>
      <x:c r="AO15" s="110" t="n">
        <x:f>0</x:f>
        <x:v>0</x:v>
      </x:c>
      <x:c r="AP15" s="110" t="n">
        <x:f>0</x:f>
        <x:v>0</x:v>
      </x:c>
    </x:row>
    <x:row r="16">
      <x:c r="A16" s="58" t="n">
        <x:v>1856</x:v>
      </x:c>
      <x:c r="B16" s="45" t="n">
        <x:v>0</x:v>
      </x:c>
      <x:c r="C16" s="70" t="n">
        <x:f>Partners!H16</x:f>
        <x:v>1</x:v>
      </x:c>
      <x:c r="D16" s="47" t="n">
        <x:f>Partners!I16</x:f>
        <x:v>0</x:v>
      </x:c>
      <x:c r="E16" s="59" t="n">
        <x:v>0</x:v>
      </x:c>
      <x:c r="F16" s="59" t="n">
        <x:v>0</x:v>
      </x:c>
      <x:c r="G16" s="53" t="n">
        <x:f>D16*E16</x:f>
        <x:v>0</x:v>
      </x:c>
      <x:c r="H16" s="53" t="n">
        <x:f>D16*F16</x:f>
        <x:v>0</x:v>
      </x:c>
      <x:c r="I16" s="52" t="n">
        <x:v>0</x:v>
      </x:c>
      <x:c r="J16" s="53" t="n">
        <x:f>IF($A16&gt;=1927,(1-pac_quota)*Navy!X16,I16)</x:f>
        <x:v>0</x:v>
      </x:c>
      <x:c r="K16" s="52" t="n">
        <x:v>0</x:v>
      </x:c>
      <x:c r="L16" s="53" t="n">
        <x:f>IF($A16&gt;=1923,siberia_front*(1-pac_quota),0)</x:f>
        <x:v>0</x:v>
      </x:c>
      <x:c r="M16" s="52" t="n">
        <x:v>0</x:v>
      </x:c>
      <x:c r="N16" s="53" t="n">
        <x:f>M16*C16</x:f>
        <x:v>0</x:v>
      </x:c>
      <x:c r="O16" s="53" t="n">
        <x:f>IF($A16&gt;=1927,10*(1-pac_quota),0)</x:f>
        <x:v>0</x:v>
      </x:c>
      <x:c r="P16" s="53" t="n">
        <x:f>jp_coupon*(Z15-0)+0</x:f>
        <x:v>0</x:v>
      </x:c>
      <x:c r="Q16" s="53" t="n">
        <x:f>H16+J16+K16+L16+N16+O16+P16</x:f>
        <x:v>0</x:v>
      </x:c>
      <x:c r="R16" s="53" t="n">
        <x:f>Q16-G16</x:f>
        <x:v>0</x:v>
      </x:c>
      <x:c r="S16" s="52" t="n">
        <x:v>0</x:v>
      </x:c>
      <x:c r="T16" s="53" t="n">
        <x:f>S16*IF($A16&gt;=1923,C16,1)</x:f>
        <x:v>0</x:v>
      </x:c>
      <x:c r="U16" s="52" t="n">
        <x:v>0</x:v>
      </x:c>
      <x:c r="V16" s="52" t="n">
        <x:v>0</x:v>
      </x:c>
      <x:c r="W16" s="53" t="n">
        <x:f>(X15-0)*jp_foreign_repay+0</x:f>
        <x:v>0</x:v>
      </x:c>
      <x:c r="X16" s="53" t="n">
        <x:f>X15+T16-W16</x:f>
        <x:v>0</x:v>
      </x:c>
      <x:c r="Y16" s="53" t="n">
        <x:f>AG16+AF16-AH16</x:f>
        <x:v>0</x:v>
      </x:c>
      <x:c r="Z16" s="53" t="n">
        <x:f>X16+Y16</x:f>
        <x:v>0</x:v>
      </x:c>
      <x:c r="AA16" s="63" t="n">
        <x:f>IF(D16&gt;0,Z16/D16,0)</x:f>
        <x:v>0</x:v>
      </x:c>
      <x:c r="AB16" s="63" t="n">
        <x:f>IF(G16&gt;0,P16/G16,0)</x:f>
        <x:v>0</x:v>
      </x:c>
      <x:c r="AC16" s="63" t="n">
        <x:f>IF(T16+AF16&gt;0,T16/(T16+AF16),0)</x:f>
        <x:v>0</x:v>
      </x:c>
      <x:c r="AD16" s="110" t="n">
        <x:f>AJ15</x:f>
        <x:v>0</x:v>
      </x:c>
      <x:c r="AE16" s="110" t="n">
        <x:f>AD16+G16+T16+U16+AP16-Q16-W16-AO16</x:f>
        <x:v>0</x:v>
      </x:c>
      <x:c r="AF16" s="110" t="n">
        <x:f>MAX(0,-AE16)</x:f>
        <x:v>0</x:v>
      </x:c>
      <x:c r="AG16" s="110" t="n">
        <x:f>Y15+V16</x:f>
        <x:v>0</x:v>
      </x:c>
      <x:c r="AH16" s="110" t="n">
        <x:f>MIN(MAX(0,AE16),AG16)</x:f>
        <x:v>0</x:v>
      </x:c>
      <x:c r="AI16" s="110" t="n">
        <x:f>AE16+AF16-AH16</x:f>
        <x:v>0</x:v>
      </x:c>
      <x:c r="AJ16" s="110" t="n">
        <x:f>AI16</x:f>
        <x:v>0</x:v>
      </x:c>
      <x:c r="AK16" s="110" t="n">
        <x:f>AK15</x:f>
        <x:v>0</x:v>
      </x:c>
      <x:c r="AL16" s="110" t="n">
        <x:f>AJ16+AK16+AN16-Z16</x:f>
        <x:v>0</x:v>
      </x:c>
      <x:c r="AM16" s="110" t="n">
        <x:f>AJ16-(AD16+G16+T16+U16+AF16+AP16-Q16-W16-AH16-AO16)</x:f>
        <x:v>0</x:v>
      </x:c>
      <x:c r="AN16" s="110" t="n">
        <x:f>0</x:f>
        <x:v>0</x:v>
      </x:c>
      <x:c r="AO16" s="110" t="n">
        <x:f>0</x:f>
        <x:v>0</x:v>
      </x:c>
      <x:c r="AP16" s="110" t="n">
        <x:f>0</x:f>
        <x:v>0</x:v>
      </x:c>
    </x:row>
    <x:row r="17">
      <x:c r="A17" s="58" t="n">
        <x:v>1857</x:v>
      </x:c>
      <x:c r="B17" s="45" t="n">
        <x:v>0</x:v>
      </x:c>
      <x:c r="C17" s="70" t="n">
        <x:f>Partners!H17</x:f>
        <x:v>1</x:v>
      </x:c>
      <x:c r="D17" s="47" t="n">
        <x:f>Partners!I17</x:f>
        <x:v>0</x:v>
      </x:c>
      <x:c r="E17" s="59" t="n">
        <x:v>0</x:v>
      </x:c>
      <x:c r="F17" s="59" t="n">
        <x:v>0</x:v>
      </x:c>
      <x:c r="G17" s="53" t="n">
        <x:f>D17*E17</x:f>
        <x:v>0</x:v>
      </x:c>
      <x:c r="H17" s="53" t="n">
        <x:f>D17*F17</x:f>
        <x:v>0</x:v>
      </x:c>
      <x:c r="I17" s="52" t="n">
        <x:v>0</x:v>
      </x:c>
      <x:c r="J17" s="53" t="n">
        <x:f>IF($A17&gt;=1927,(1-pac_quota)*Navy!X17,I17)</x:f>
        <x:v>0</x:v>
      </x:c>
      <x:c r="K17" s="52" t="n">
        <x:v>0</x:v>
      </x:c>
      <x:c r="L17" s="53" t="n">
        <x:f>IF($A17&gt;=1923,siberia_front*(1-pac_quota),0)</x:f>
        <x:v>0</x:v>
      </x:c>
      <x:c r="M17" s="52" t="n">
        <x:v>0</x:v>
      </x:c>
      <x:c r="N17" s="53" t="n">
        <x:f>M17*C17</x:f>
        <x:v>0</x:v>
      </x:c>
      <x:c r="O17" s="53" t="n">
        <x:f>IF($A17&gt;=1927,10*(1-pac_quota),0)</x:f>
        <x:v>0</x:v>
      </x:c>
      <x:c r="P17" s="53" t="n">
        <x:f>jp_coupon*(Z16-0)+0</x:f>
        <x:v>0</x:v>
      </x:c>
      <x:c r="Q17" s="53" t="n">
        <x:f>H17+J17+K17+L17+N17+O17+P17</x:f>
        <x:v>0</x:v>
      </x:c>
      <x:c r="R17" s="53" t="n">
        <x:f>Q17-G17</x:f>
        <x:v>0</x:v>
      </x:c>
      <x:c r="S17" s="52" t="n">
        <x:v>0</x:v>
      </x:c>
      <x:c r="T17" s="53" t="n">
        <x:f>S17*IF($A17&gt;=1923,C17,1)</x:f>
        <x:v>0</x:v>
      </x:c>
      <x:c r="U17" s="52" t="n">
        <x:v>0</x:v>
      </x:c>
      <x:c r="V17" s="52" t="n">
        <x:v>0</x:v>
      </x:c>
      <x:c r="W17" s="53" t="n">
        <x:f>(X16-0)*jp_foreign_repay+0</x:f>
        <x:v>0</x:v>
      </x:c>
      <x:c r="X17" s="53" t="n">
        <x:f>X16+T17-W17</x:f>
        <x:v>0</x:v>
      </x:c>
      <x:c r="Y17" s="53" t="n">
        <x:f>AG17+AF17-AH17</x:f>
        <x:v>0</x:v>
      </x:c>
      <x:c r="Z17" s="53" t="n">
        <x:f>X17+Y17</x:f>
        <x:v>0</x:v>
      </x:c>
      <x:c r="AA17" s="63" t="n">
        <x:f>IF(D17&gt;0,Z17/D17,0)</x:f>
        <x:v>0</x:v>
      </x:c>
      <x:c r="AB17" s="63" t="n">
        <x:f>IF(G17&gt;0,P17/G17,0)</x:f>
        <x:v>0</x:v>
      </x:c>
      <x:c r="AC17" s="63" t="n">
        <x:f>IF(T17+AF17&gt;0,T17/(T17+AF17),0)</x:f>
        <x:v>0</x:v>
      </x:c>
      <x:c r="AD17" s="110" t="n">
        <x:f>AJ16</x:f>
        <x:v>0</x:v>
      </x:c>
      <x:c r="AE17" s="110" t="n">
        <x:f>AD17+G17+T17+U17+AP17-Q17-W17-AO17</x:f>
        <x:v>0</x:v>
      </x:c>
      <x:c r="AF17" s="110" t="n">
        <x:f>MAX(0,-AE17)</x:f>
        <x:v>0</x:v>
      </x:c>
      <x:c r="AG17" s="110" t="n">
        <x:f>Y16+V17</x:f>
        <x:v>0</x:v>
      </x:c>
      <x:c r="AH17" s="110" t="n">
        <x:f>MIN(MAX(0,AE17),AG17)</x:f>
        <x:v>0</x:v>
      </x:c>
      <x:c r="AI17" s="110" t="n">
        <x:f>AE17+AF17-AH17</x:f>
        <x:v>0</x:v>
      </x:c>
      <x:c r="AJ17" s="110" t="n">
        <x:f>AI17</x:f>
        <x:v>0</x:v>
      </x:c>
      <x:c r="AK17" s="110" t="n">
        <x:f>AK16</x:f>
        <x:v>0</x:v>
      </x:c>
      <x:c r="AL17" s="110" t="n">
        <x:f>AJ17+AK17+AN17-Z17</x:f>
        <x:v>0</x:v>
      </x:c>
      <x:c r="AM17" s="110" t="n">
        <x:f>AJ17-(AD17+G17+T17+U17+AF17+AP17-Q17-W17-AH17-AO17)</x:f>
        <x:v>0</x:v>
      </x:c>
      <x:c r="AN17" s="110" t="n">
        <x:f>0</x:f>
        <x:v>0</x:v>
      </x:c>
      <x:c r="AO17" s="110" t="n">
        <x:f>0</x:f>
        <x:v>0</x:v>
      </x:c>
      <x:c r="AP17" s="110" t="n">
        <x:f>0</x:f>
        <x:v>0</x:v>
      </x:c>
    </x:row>
    <x:row r="18">
      <x:c r="A18" s="58" t="n">
        <x:v>1858</x:v>
      </x:c>
      <x:c r="B18" s="45" t="n">
        <x:v>0</x:v>
      </x:c>
      <x:c r="C18" s="70" t="n">
        <x:f>Partners!H18</x:f>
        <x:v>1</x:v>
      </x:c>
      <x:c r="D18" s="47" t="n">
        <x:f>Partners!I18</x:f>
        <x:v>0</x:v>
      </x:c>
      <x:c r="E18" s="59" t="n">
        <x:v>0</x:v>
      </x:c>
      <x:c r="F18" s="59" t="n">
        <x:v>0</x:v>
      </x:c>
      <x:c r="G18" s="53" t="n">
        <x:f>D18*E18</x:f>
        <x:v>0</x:v>
      </x:c>
      <x:c r="H18" s="53" t="n">
        <x:f>D18*F18</x:f>
        <x:v>0</x:v>
      </x:c>
      <x:c r="I18" s="52" t="n">
        <x:v>0</x:v>
      </x:c>
      <x:c r="J18" s="53" t="n">
        <x:f>IF($A18&gt;=1927,(1-pac_quota)*Navy!X18,I18)</x:f>
        <x:v>0</x:v>
      </x:c>
      <x:c r="K18" s="52" t="n">
        <x:v>0</x:v>
      </x:c>
      <x:c r="L18" s="53" t="n">
        <x:f>IF($A18&gt;=1923,siberia_front*(1-pac_quota),0)</x:f>
        <x:v>0</x:v>
      </x:c>
      <x:c r="M18" s="52" t="n">
        <x:v>0</x:v>
      </x:c>
      <x:c r="N18" s="53" t="n">
        <x:f>M18*C18</x:f>
        <x:v>0</x:v>
      </x:c>
      <x:c r="O18" s="53" t="n">
        <x:f>IF($A18&gt;=1927,10*(1-pac_quota),0)</x:f>
        <x:v>0</x:v>
      </x:c>
      <x:c r="P18" s="53" t="n">
        <x:f>jp_coupon*(Z17-0)+0</x:f>
        <x:v>0</x:v>
      </x:c>
      <x:c r="Q18" s="53" t="n">
        <x:f>H18+J18+K18+L18+N18+O18+P18</x:f>
        <x:v>0</x:v>
      </x:c>
      <x:c r="R18" s="53" t="n">
        <x:f>Q18-G18</x:f>
        <x:v>0</x:v>
      </x:c>
      <x:c r="S18" s="52" t="n">
        <x:v>0</x:v>
      </x:c>
      <x:c r="T18" s="53" t="n">
        <x:f>S18*IF($A18&gt;=1923,C18,1)</x:f>
        <x:v>0</x:v>
      </x:c>
      <x:c r="U18" s="52" t="n">
        <x:v>0</x:v>
      </x:c>
      <x:c r="V18" s="52" t="n">
        <x:v>0</x:v>
      </x:c>
      <x:c r="W18" s="53" t="n">
        <x:f>(X17-0)*jp_foreign_repay+0</x:f>
        <x:v>0</x:v>
      </x:c>
      <x:c r="X18" s="53" t="n">
        <x:f>X17+T18-W18</x:f>
        <x:v>0</x:v>
      </x:c>
      <x:c r="Y18" s="53" t="n">
        <x:f>AG18+AF18-AH18</x:f>
        <x:v>0</x:v>
      </x:c>
      <x:c r="Z18" s="53" t="n">
        <x:f>X18+Y18</x:f>
        <x:v>0</x:v>
      </x:c>
      <x:c r="AA18" s="63" t="n">
        <x:f>IF(D18&gt;0,Z18/D18,0)</x:f>
        <x:v>0</x:v>
      </x:c>
      <x:c r="AB18" s="63" t="n">
        <x:f>IF(G18&gt;0,P18/G18,0)</x:f>
        <x:v>0</x:v>
      </x:c>
      <x:c r="AC18" s="63" t="n">
        <x:f>IF(T18+AF18&gt;0,T18/(T18+AF18),0)</x:f>
        <x:v>0</x:v>
      </x:c>
      <x:c r="AD18" s="110" t="n">
        <x:f>AJ17</x:f>
        <x:v>0</x:v>
      </x:c>
      <x:c r="AE18" s="110" t="n">
        <x:f>AD18+G18+T18+U18+AP18-Q18-W18-AO18</x:f>
        <x:v>0</x:v>
      </x:c>
      <x:c r="AF18" s="110" t="n">
        <x:f>MAX(0,-AE18)</x:f>
        <x:v>0</x:v>
      </x:c>
      <x:c r="AG18" s="110" t="n">
        <x:f>Y17+V18</x:f>
        <x:v>0</x:v>
      </x:c>
      <x:c r="AH18" s="110" t="n">
        <x:f>MIN(MAX(0,AE18),AG18)</x:f>
        <x:v>0</x:v>
      </x:c>
      <x:c r="AI18" s="110" t="n">
        <x:f>AE18+AF18-AH18</x:f>
        <x:v>0</x:v>
      </x:c>
      <x:c r="AJ18" s="110" t="n">
        <x:f>AI18</x:f>
        <x:v>0</x:v>
      </x:c>
      <x:c r="AK18" s="110" t="n">
        <x:f>AK17</x:f>
        <x:v>0</x:v>
      </x:c>
      <x:c r="AL18" s="110" t="n">
        <x:f>AJ18+AK18+AN18-Z18</x:f>
        <x:v>0</x:v>
      </x:c>
      <x:c r="AM18" s="110" t="n">
        <x:f>AJ18-(AD18+G18+T18+U18+AF18+AP18-Q18-W18-AH18-AO18)</x:f>
        <x:v>0</x:v>
      </x:c>
      <x:c r="AN18" s="110" t="n">
        <x:f>0</x:f>
        <x:v>0</x:v>
      </x:c>
      <x:c r="AO18" s="110" t="n">
        <x:f>0</x:f>
        <x:v>0</x:v>
      </x:c>
      <x:c r="AP18" s="110" t="n">
        <x:f>0</x:f>
        <x:v>0</x:v>
      </x:c>
    </x:row>
    <x:row r="19">
      <x:c r="A19" s="58" t="n">
        <x:v>1859</x:v>
      </x:c>
      <x:c r="B19" s="45" t="n">
        <x:v>0</x:v>
      </x:c>
      <x:c r="C19" s="70" t="n">
        <x:f>Partners!H19</x:f>
        <x:v>1</x:v>
      </x:c>
      <x:c r="D19" s="47" t="n">
        <x:f>Partners!I19</x:f>
        <x:v>0</x:v>
      </x:c>
      <x:c r="E19" s="59" t="n">
        <x:v>0</x:v>
      </x:c>
      <x:c r="F19" s="59" t="n">
        <x:v>0</x:v>
      </x:c>
      <x:c r="G19" s="53" t="n">
        <x:f>D19*E19</x:f>
        <x:v>0</x:v>
      </x:c>
      <x:c r="H19" s="53" t="n">
        <x:f>D19*F19</x:f>
        <x:v>0</x:v>
      </x:c>
      <x:c r="I19" s="52" t="n">
        <x:v>0</x:v>
      </x:c>
      <x:c r="J19" s="53" t="n">
        <x:f>IF($A19&gt;=1927,(1-pac_quota)*Navy!X19,I19)</x:f>
        <x:v>0</x:v>
      </x:c>
      <x:c r="K19" s="52" t="n">
        <x:v>0</x:v>
      </x:c>
      <x:c r="L19" s="53" t="n">
        <x:f>IF($A19&gt;=1923,siberia_front*(1-pac_quota),0)</x:f>
        <x:v>0</x:v>
      </x:c>
      <x:c r="M19" s="52" t="n">
        <x:v>0</x:v>
      </x:c>
      <x:c r="N19" s="53" t="n">
        <x:f>M19*C19</x:f>
        <x:v>0</x:v>
      </x:c>
      <x:c r="O19" s="53" t="n">
        <x:f>IF($A19&gt;=1927,10*(1-pac_quota),0)</x:f>
        <x:v>0</x:v>
      </x:c>
      <x:c r="P19" s="53" t="n">
        <x:f>jp_coupon*(Z18-0)+0</x:f>
        <x:v>0</x:v>
      </x:c>
      <x:c r="Q19" s="53" t="n">
        <x:f>H19+J19+K19+L19+N19+O19+P19</x:f>
        <x:v>0</x:v>
      </x:c>
      <x:c r="R19" s="53" t="n">
        <x:f>Q19-G19</x:f>
        <x:v>0</x:v>
      </x:c>
      <x:c r="S19" s="52" t="n">
        <x:v>0</x:v>
      </x:c>
      <x:c r="T19" s="53" t="n">
        <x:f>S19*IF($A19&gt;=1923,C19,1)</x:f>
        <x:v>0</x:v>
      </x:c>
      <x:c r="U19" s="52" t="n">
        <x:v>0</x:v>
      </x:c>
      <x:c r="V19" s="52" t="n">
        <x:v>0</x:v>
      </x:c>
      <x:c r="W19" s="53" t="n">
        <x:f>(X18-0)*jp_foreign_repay+0</x:f>
        <x:v>0</x:v>
      </x:c>
      <x:c r="X19" s="53" t="n">
        <x:f>X18+T19-W19</x:f>
        <x:v>0</x:v>
      </x:c>
      <x:c r="Y19" s="53" t="n">
        <x:f>AG19+AF19-AH19</x:f>
        <x:v>0</x:v>
      </x:c>
      <x:c r="Z19" s="53" t="n">
        <x:f>X19+Y19</x:f>
        <x:v>0</x:v>
      </x:c>
      <x:c r="AA19" s="63" t="n">
        <x:f>IF(D19&gt;0,Z19/D19,0)</x:f>
        <x:v>0</x:v>
      </x:c>
      <x:c r="AB19" s="63" t="n">
        <x:f>IF(G19&gt;0,P19/G19,0)</x:f>
        <x:v>0</x:v>
      </x:c>
      <x:c r="AC19" s="63" t="n">
        <x:f>IF(T19+AF19&gt;0,T19/(T19+AF19),0)</x:f>
        <x:v>0</x:v>
      </x:c>
      <x:c r="AD19" s="110" t="n">
        <x:f>AJ18</x:f>
        <x:v>0</x:v>
      </x:c>
      <x:c r="AE19" s="110" t="n">
        <x:f>AD19+G19+T19+U19+AP19-Q19-W19-AO19</x:f>
        <x:v>0</x:v>
      </x:c>
      <x:c r="AF19" s="110" t="n">
        <x:f>MAX(0,-AE19)</x:f>
        <x:v>0</x:v>
      </x:c>
      <x:c r="AG19" s="110" t="n">
        <x:f>Y18+V19</x:f>
        <x:v>0</x:v>
      </x:c>
      <x:c r="AH19" s="110" t="n">
        <x:f>MIN(MAX(0,AE19),AG19)</x:f>
        <x:v>0</x:v>
      </x:c>
      <x:c r="AI19" s="110" t="n">
        <x:f>AE19+AF19-AH19</x:f>
        <x:v>0</x:v>
      </x:c>
      <x:c r="AJ19" s="110" t="n">
        <x:f>AI19</x:f>
        <x:v>0</x:v>
      </x:c>
      <x:c r="AK19" s="110" t="n">
        <x:f>AK18</x:f>
        <x:v>0</x:v>
      </x:c>
      <x:c r="AL19" s="110" t="n">
        <x:f>AJ19+AK19+AN19-Z19</x:f>
        <x:v>0</x:v>
      </x:c>
      <x:c r="AM19" s="110" t="n">
        <x:f>AJ19-(AD19+G19+T19+U19+AF19+AP19-Q19-W19-AH19-AO19)</x:f>
        <x:v>0</x:v>
      </x:c>
      <x:c r="AN19" s="110" t="n">
        <x:f>0</x:f>
        <x:v>0</x:v>
      </x:c>
      <x:c r="AO19" s="110" t="n">
        <x:f>0</x:f>
        <x:v>0</x:v>
      </x:c>
      <x:c r="AP19" s="110" t="n">
        <x:f>0</x:f>
        <x:v>0</x:v>
      </x:c>
    </x:row>
    <x:row r="20">
      <x:c r="A20" s="58" t="n">
        <x:v>1860</x:v>
      </x:c>
      <x:c r="B20" s="45" t="n">
        <x:v>0</x:v>
      </x:c>
      <x:c r="C20" s="70" t="n">
        <x:f>Partners!H20</x:f>
        <x:v>1</x:v>
      </x:c>
      <x:c r="D20" s="47" t="n">
        <x:f>Partners!I20</x:f>
        <x:v>0</x:v>
      </x:c>
      <x:c r="E20" s="59" t="n">
        <x:v>0</x:v>
      </x:c>
      <x:c r="F20" s="59" t="n">
        <x:v>0</x:v>
      </x:c>
      <x:c r="G20" s="53" t="n">
        <x:f>D20*E20</x:f>
        <x:v>0</x:v>
      </x:c>
      <x:c r="H20" s="53" t="n">
        <x:f>D20*F20</x:f>
        <x:v>0</x:v>
      </x:c>
      <x:c r="I20" s="52" t="n">
        <x:v>0</x:v>
      </x:c>
      <x:c r="J20" s="53" t="n">
        <x:f>IF($A20&gt;=1927,(1-pac_quota)*Navy!X20,I20)</x:f>
        <x:v>0</x:v>
      </x:c>
      <x:c r="K20" s="52" t="n">
        <x:v>0</x:v>
      </x:c>
      <x:c r="L20" s="53" t="n">
        <x:f>IF($A20&gt;=1923,siberia_front*(1-pac_quota),0)</x:f>
        <x:v>0</x:v>
      </x:c>
      <x:c r="M20" s="52" t="n">
        <x:v>0</x:v>
      </x:c>
      <x:c r="N20" s="53" t="n">
        <x:f>M20*C20</x:f>
        <x:v>0</x:v>
      </x:c>
      <x:c r="O20" s="53" t="n">
        <x:f>IF($A20&gt;=1927,10*(1-pac_quota),0)</x:f>
        <x:v>0</x:v>
      </x:c>
      <x:c r="P20" s="53" t="n">
        <x:f>jp_coupon*(Z19-0)+0</x:f>
        <x:v>0</x:v>
      </x:c>
      <x:c r="Q20" s="53" t="n">
        <x:f>H20+J20+K20+L20+N20+O20+P20</x:f>
        <x:v>0</x:v>
      </x:c>
      <x:c r="R20" s="53" t="n">
        <x:f>Q20-G20</x:f>
        <x:v>0</x:v>
      </x:c>
      <x:c r="S20" s="52" t="n">
        <x:v>0</x:v>
      </x:c>
      <x:c r="T20" s="53" t="n">
        <x:f>S20*IF($A20&gt;=1923,C20,1)</x:f>
        <x:v>0</x:v>
      </x:c>
      <x:c r="U20" s="52" t="n">
        <x:v>0</x:v>
      </x:c>
      <x:c r="V20" s="52" t="n">
        <x:v>0</x:v>
      </x:c>
      <x:c r="W20" s="53" t="n">
        <x:f>(X19-0)*jp_foreign_repay+0</x:f>
        <x:v>0</x:v>
      </x:c>
      <x:c r="X20" s="53" t="n">
        <x:f>X19+T20-W20</x:f>
        <x:v>0</x:v>
      </x:c>
      <x:c r="Y20" s="53" t="n">
        <x:f>AG20+AF20-AH20</x:f>
        <x:v>0</x:v>
      </x:c>
      <x:c r="Z20" s="53" t="n">
        <x:f>X20+Y20</x:f>
        <x:v>0</x:v>
      </x:c>
      <x:c r="AA20" s="63" t="n">
        <x:f>IF(D20&gt;0,Z20/D20,0)</x:f>
        <x:v>0</x:v>
      </x:c>
      <x:c r="AB20" s="63" t="n">
        <x:f>IF(G20&gt;0,P20/G20,0)</x:f>
        <x:v>0</x:v>
      </x:c>
      <x:c r="AC20" s="63" t="n">
        <x:f>IF(T20+AF20&gt;0,T20/(T20+AF20),0)</x:f>
        <x:v>0</x:v>
      </x:c>
      <x:c r="AD20" s="110" t="n">
        <x:f>AJ19</x:f>
        <x:v>0</x:v>
      </x:c>
      <x:c r="AE20" s="110" t="n">
        <x:f>AD20+G20+T20+U20+AP20-Q20-W20-AO20</x:f>
        <x:v>0</x:v>
      </x:c>
      <x:c r="AF20" s="110" t="n">
        <x:f>MAX(0,-AE20)</x:f>
        <x:v>0</x:v>
      </x:c>
      <x:c r="AG20" s="110" t="n">
        <x:f>Y19+V20</x:f>
        <x:v>0</x:v>
      </x:c>
      <x:c r="AH20" s="110" t="n">
        <x:f>MIN(MAX(0,AE20),AG20)</x:f>
        <x:v>0</x:v>
      </x:c>
      <x:c r="AI20" s="110" t="n">
        <x:f>AE20+AF20-AH20</x:f>
        <x:v>0</x:v>
      </x:c>
      <x:c r="AJ20" s="110" t="n">
        <x:f>AI20</x:f>
        <x:v>0</x:v>
      </x:c>
      <x:c r="AK20" s="110" t="n">
        <x:f>AK19</x:f>
        <x:v>0</x:v>
      </x:c>
      <x:c r="AL20" s="110" t="n">
        <x:f>AJ20+AK20+AN20-Z20</x:f>
        <x:v>0</x:v>
      </x:c>
      <x:c r="AM20" s="110" t="n">
        <x:f>AJ20-(AD20+G20+T20+U20+AF20+AP20-Q20-W20-AH20-AO20)</x:f>
        <x:v>0</x:v>
      </x:c>
      <x:c r="AN20" s="110" t="n">
        <x:f>0</x:f>
        <x:v>0</x:v>
      </x:c>
      <x:c r="AO20" s="110" t="n">
        <x:f>0</x:f>
        <x:v>0</x:v>
      </x:c>
      <x:c r="AP20" s="110" t="n">
        <x:f>0</x:f>
        <x:v>0</x:v>
      </x:c>
    </x:row>
    <x:row r="21">
      <x:c r="A21" s="61" t="n">
        <x:v>1861</x:v>
      </x:c>
      <x:c r="B21" s="45" t="n">
        <x:v>0</x:v>
      </x:c>
      <x:c r="C21" s="70" t="n">
        <x:f>Partners!H21</x:f>
        <x:v>1</x:v>
      </x:c>
      <x:c r="D21" s="47" t="n">
        <x:f>Partners!I21</x:f>
        <x:v>0</x:v>
      </x:c>
      <x:c r="E21" s="59" t="n">
        <x:v>0</x:v>
      </x:c>
      <x:c r="F21" s="59" t="n">
        <x:v>0</x:v>
      </x:c>
      <x:c r="G21" s="53" t="n">
        <x:f>D21*E21</x:f>
        <x:v>0</x:v>
      </x:c>
      <x:c r="H21" s="53" t="n">
        <x:f>D21*F21</x:f>
        <x:v>0</x:v>
      </x:c>
      <x:c r="I21" s="52" t="n">
        <x:v>0</x:v>
      </x:c>
      <x:c r="J21" s="53" t="n">
        <x:f>IF($A21&gt;=1927,(1-pac_quota)*Navy!X21,I21)</x:f>
        <x:v>0</x:v>
      </x:c>
      <x:c r="K21" s="52" t="n">
        <x:v>0</x:v>
      </x:c>
      <x:c r="L21" s="53" t="n">
        <x:f>IF($A21&gt;=1923,siberia_front*(1-pac_quota),0)</x:f>
        <x:v>0</x:v>
      </x:c>
      <x:c r="M21" s="52" t="n">
        <x:v>0</x:v>
      </x:c>
      <x:c r="N21" s="53" t="n">
        <x:f>M21*C21</x:f>
        <x:v>0</x:v>
      </x:c>
      <x:c r="O21" s="53" t="n">
        <x:f>IF($A21&gt;=1927,10*(1-pac_quota),0)</x:f>
        <x:v>0</x:v>
      </x:c>
      <x:c r="P21" s="53" t="n">
        <x:f>jp_coupon*(Z20-0)+0</x:f>
        <x:v>0</x:v>
      </x:c>
      <x:c r="Q21" s="53" t="n">
        <x:f>H21+J21+K21+L21+N21+O21+P21</x:f>
        <x:v>0</x:v>
      </x:c>
      <x:c r="R21" s="53" t="n">
        <x:f>Q21-G21</x:f>
        <x:v>0</x:v>
      </x:c>
      <x:c r="S21" s="52" t="n">
        <x:v>0</x:v>
      </x:c>
      <x:c r="T21" s="53" t="n">
        <x:f>S21*IF($A21&gt;=1923,C21,1)</x:f>
        <x:v>0</x:v>
      </x:c>
      <x:c r="U21" s="52" t="n">
        <x:v>0</x:v>
      </x:c>
      <x:c r="V21" s="52" t="n">
        <x:v>0</x:v>
      </x:c>
      <x:c r="W21" s="53" t="n">
        <x:f>(X20-0)*jp_foreign_repay+0</x:f>
        <x:v>0</x:v>
      </x:c>
      <x:c r="X21" s="53" t="n">
        <x:f>X20+T21-W21</x:f>
        <x:v>0</x:v>
      </x:c>
      <x:c r="Y21" s="53" t="n">
        <x:f>AG21+AF21-AH21</x:f>
        <x:v>0</x:v>
      </x:c>
      <x:c r="Z21" s="53" t="n">
        <x:f>X21+Y21</x:f>
        <x:v>0</x:v>
      </x:c>
      <x:c r="AA21" s="63" t="n">
        <x:f>IF(D21&gt;0,Z21/D21,0)</x:f>
        <x:v>0</x:v>
      </x:c>
      <x:c r="AB21" s="63" t="n">
        <x:f>IF(G21&gt;0,P21/G21,0)</x:f>
        <x:v>0</x:v>
      </x:c>
      <x:c r="AC21" s="63" t="n">
        <x:f>IF(T21+AF21&gt;0,T21/(T21+AF21),0)</x:f>
        <x:v>0</x:v>
      </x:c>
      <x:c r="AD21" s="110" t="n">
        <x:f>AJ20</x:f>
        <x:v>0</x:v>
      </x:c>
      <x:c r="AE21" s="110" t="n">
        <x:f>AD21+G21+T21+U21+AP21-Q21-W21-AO21</x:f>
        <x:v>0</x:v>
      </x:c>
      <x:c r="AF21" s="110" t="n">
        <x:f>MAX(0,-AE21)</x:f>
        <x:v>0</x:v>
      </x:c>
      <x:c r="AG21" s="110" t="n">
        <x:f>Y20+V21</x:f>
        <x:v>0</x:v>
      </x:c>
      <x:c r="AH21" s="110" t="n">
        <x:f>MIN(MAX(0,AE21),AG21)</x:f>
        <x:v>0</x:v>
      </x:c>
      <x:c r="AI21" s="110" t="n">
        <x:f>AE21+AF21-AH21</x:f>
        <x:v>0</x:v>
      </x:c>
      <x:c r="AJ21" s="110" t="n">
        <x:f>AI21</x:f>
        <x:v>0</x:v>
      </x:c>
      <x:c r="AK21" s="110" t="n">
        <x:f>AK20</x:f>
        <x:v>0</x:v>
      </x:c>
      <x:c r="AL21" s="110" t="n">
        <x:f>AJ21+AK21+AN21-Z21</x:f>
        <x:v>0</x:v>
      </x:c>
      <x:c r="AM21" s="110" t="n">
        <x:f>AJ21-(AD21+G21+T21+U21+AF21+AP21-Q21-W21-AH21-AO21)</x:f>
        <x:v>0</x:v>
      </x:c>
      <x:c r="AN21" s="110" t="n">
        <x:f>0</x:f>
        <x:v>0</x:v>
      </x:c>
      <x:c r="AO21" s="110" t="n">
        <x:f>0</x:f>
        <x:v>0</x:v>
      </x:c>
      <x:c r="AP21" s="110" t="n">
        <x:f>0</x:f>
        <x:v>0</x:v>
      </x:c>
    </x:row>
    <x:row r="22">
      <x:c r="A22" s="61" t="n">
        <x:v>1862</x:v>
      </x:c>
      <x:c r="B22" s="45" t="n">
        <x:v>0</x:v>
      </x:c>
      <x:c r="C22" s="70" t="n">
        <x:f>Partners!H22</x:f>
        <x:v>1</x:v>
      </x:c>
      <x:c r="D22" s="47" t="n">
        <x:f>Partners!I22</x:f>
        <x:v>0</x:v>
      </x:c>
      <x:c r="E22" s="59" t="n">
        <x:v>0</x:v>
      </x:c>
      <x:c r="F22" s="59" t="n">
        <x:v>0</x:v>
      </x:c>
      <x:c r="G22" s="53" t="n">
        <x:f>D22*E22</x:f>
        <x:v>0</x:v>
      </x:c>
      <x:c r="H22" s="53" t="n">
        <x:f>D22*F22</x:f>
        <x:v>0</x:v>
      </x:c>
      <x:c r="I22" s="52" t="n">
        <x:v>0</x:v>
      </x:c>
      <x:c r="J22" s="53" t="n">
        <x:f>IF($A22&gt;=1927,(1-pac_quota)*Navy!X22,I22)</x:f>
        <x:v>0</x:v>
      </x:c>
      <x:c r="K22" s="52" t="n">
        <x:v>0</x:v>
      </x:c>
      <x:c r="L22" s="53" t="n">
        <x:f>IF($A22&gt;=1923,siberia_front*(1-pac_quota),0)</x:f>
        <x:v>0</x:v>
      </x:c>
      <x:c r="M22" s="52" t="n">
        <x:v>0</x:v>
      </x:c>
      <x:c r="N22" s="53" t="n">
        <x:f>M22*C22</x:f>
        <x:v>0</x:v>
      </x:c>
      <x:c r="O22" s="53" t="n">
        <x:f>IF($A22&gt;=1927,10*(1-pac_quota),0)</x:f>
        <x:v>0</x:v>
      </x:c>
      <x:c r="P22" s="53" t="n">
        <x:f>jp_coupon*(Z21-0)+0</x:f>
        <x:v>0</x:v>
      </x:c>
      <x:c r="Q22" s="53" t="n">
        <x:f>H22+J22+K22+L22+N22+O22+P22</x:f>
        <x:v>0</x:v>
      </x:c>
      <x:c r="R22" s="53" t="n">
        <x:f>Q22-G22</x:f>
        <x:v>0</x:v>
      </x:c>
      <x:c r="S22" s="52" t="n">
        <x:v>0</x:v>
      </x:c>
      <x:c r="T22" s="53" t="n">
        <x:f>S22*IF($A22&gt;=1923,C22,1)</x:f>
        <x:v>0</x:v>
      </x:c>
      <x:c r="U22" s="52" t="n">
        <x:v>0</x:v>
      </x:c>
      <x:c r="V22" s="52" t="n">
        <x:v>0</x:v>
      </x:c>
      <x:c r="W22" s="53" t="n">
        <x:f>(X21-0)*jp_foreign_repay+0</x:f>
        <x:v>0</x:v>
      </x:c>
      <x:c r="X22" s="53" t="n">
        <x:f>X21+T22-W22</x:f>
        <x:v>0</x:v>
      </x:c>
      <x:c r="Y22" s="53" t="n">
        <x:f>AG22+AF22-AH22</x:f>
        <x:v>0</x:v>
      </x:c>
      <x:c r="Z22" s="53" t="n">
        <x:f>X22+Y22</x:f>
        <x:v>0</x:v>
      </x:c>
      <x:c r="AA22" s="63" t="n">
        <x:f>IF(D22&gt;0,Z22/D22,0)</x:f>
        <x:v>0</x:v>
      </x:c>
      <x:c r="AB22" s="63" t="n">
        <x:f>IF(G22&gt;0,P22/G22,0)</x:f>
        <x:v>0</x:v>
      </x:c>
      <x:c r="AC22" s="63" t="n">
        <x:f>IF(T22+AF22&gt;0,T22/(T22+AF22),0)</x:f>
        <x:v>0</x:v>
      </x:c>
      <x:c r="AD22" s="110" t="n">
        <x:f>AJ21</x:f>
        <x:v>0</x:v>
      </x:c>
      <x:c r="AE22" s="110" t="n">
        <x:f>AD22+G22+T22+U22+AP22-Q22-W22-AO22</x:f>
        <x:v>0</x:v>
      </x:c>
      <x:c r="AF22" s="110" t="n">
        <x:f>MAX(0,-AE22)</x:f>
        <x:v>0</x:v>
      </x:c>
      <x:c r="AG22" s="110" t="n">
        <x:f>Y21+V22</x:f>
        <x:v>0</x:v>
      </x:c>
      <x:c r="AH22" s="110" t="n">
        <x:f>MIN(MAX(0,AE22),AG22)</x:f>
        <x:v>0</x:v>
      </x:c>
      <x:c r="AI22" s="110" t="n">
        <x:f>AE22+AF22-AH22</x:f>
        <x:v>0</x:v>
      </x:c>
      <x:c r="AJ22" s="110" t="n">
        <x:f>AI22</x:f>
        <x:v>0</x:v>
      </x:c>
      <x:c r="AK22" s="110" t="n">
        <x:f>AK21</x:f>
        <x:v>0</x:v>
      </x:c>
      <x:c r="AL22" s="110" t="n">
        <x:f>AJ22+AK22+AN22-Z22</x:f>
        <x:v>0</x:v>
      </x:c>
      <x:c r="AM22" s="110" t="n">
        <x:f>AJ22-(AD22+G22+T22+U22+AF22+AP22-Q22-W22-AH22-AO22)</x:f>
        <x:v>0</x:v>
      </x:c>
      <x:c r="AN22" s="110" t="n">
        <x:f>0</x:f>
        <x:v>0</x:v>
      </x:c>
      <x:c r="AO22" s="110" t="n">
        <x:f>0</x:f>
        <x:v>0</x:v>
      </x:c>
      <x:c r="AP22" s="110" t="n">
        <x:f>0</x:f>
        <x:v>0</x:v>
      </x:c>
    </x:row>
    <x:row r="23">
      <x:c r="A23" s="61" t="n">
        <x:v>1863</x:v>
      </x:c>
      <x:c r="B23" s="45" t="n">
        <x:v>0</x:v>
      </x:c>
      <x:c r="C23" s="70" t="n">
        <x:f>Partners!H23</x:f>
        <x:v>1</x:v>
      </x:c>
      <x:c r="D23" s="47" t="n">
        <x:f>Partners!I23</x:f>
        <x:v>0</x:v>
      </x:c>
      <x:c r="E23" s="59" t="n">
        <x:v>0</x:v>
      </x:c>
      <x:c r="F23" s="59" t="n">
        <x:v>0</x:v>
      </x:c>
      <x:c r="G23" s="53" t="n">
        <x:f>D23*E23</x:f>
        <x:v>0</x:v>
      </x:c>
      <x:c r="H23" s="53" t="n">
        <x:f>D23*F23</x:f>
        <x:v>0</x:v>
      </x:c>
      <x:c r="I23" s="52" t="n">
        <x:v>0</x:v>
      </x:c>
      <x:c r="J23" s="53" t="n">
        <x:f>IF($A23&gt;=1927,(1-pac_quota)*Navy!X23,I23)</x:f>
        <x:v>0</x:v>
      </x:c>
      <x:c r="K23" s="52" t="n">
        <x:v>0</x:v>
      </x:c>
      <x:c r="L23" s="53" t="n">
        <x:f>IF($A23&gt;=1923,siberia_front*(1-pac_quota),0)</x:f>
        <x:v>0</x:v>
      </x:c>
      <x:c r="M23" s="52" t="n">
        <x:v>0</x:v>
      </x:c>
      <x:c r="N23" s="53" t="n">
        <x:f>M23*C23</x:f>
        <x:v>0</x:v>
      </x:c>
      <x:c r="O23" s="53" t="n">
        <x:f>IF($A23&gt;=1927,10*(1-pac_quota),0)</x:f>
        <x:v>0</x:v>
      </x:c>
      <x:c r="P23" s="53" t="n">
        <x:f>jp_coupon*(Z22-0)+0</x:f>
        <x:v>0</x:v>
      </x:c>
      <x:c r="Q23" s="53" t="n">
        <x:f>H23+J23+K23+L23+N23+O23+P23</x:f>
        <x:v>0</x:v>
      </x:c>
      <x:c r="R23" s="53" t="n">
        <x:f>Q23-G23</x:f>
        <x:v>0</x:v>
      </x:c>
      <x:c r="S23" s="52" t="n">
        <x:v>0</x:v>
      </x:c>
      <x:c r="T23" s="53" t="n">
        <x:f>S23*IF($A23&gt;=1923,C23,1)</x:f>
        <x:v>0</x:v>
      </x:c>
      <x:c r="U23" s="52" t="n">
        <x:v>0</x:v>
      </x:c>
      <x:c r="V23" s="52" t="n">
        <x:v>0</x:v>
      </x:c>
      <x:c r="W23" s="53" t="n">
        <x:f>(X22-0)*jp_foreign_repay+0</x:f>
        <x:v>0</x:v>
      </x:c>
      <x:c r="X23" s="53" t="n">
        <x:f>X22+T23-W23</x:f>
        <x:v>0</x:v>
      </x:c>
      <x:c r="Y23" s="53" t="n">
        <x:f>AG23+AF23-AH23</x:f>
        <x:v>0</x:v>
      </x:c>
      <x:c r="Z23" s="53" t="n">
        <x:f>X23+Y23</x:f>
        <x:v>0</x:v>
      </x:c>
      <x:c r="AA23" s="63" t="n">
        <x:f>IF(D23&gt;0,Z23/D23,0)</x:f>
        <x:v>0</x:v>
      </x:c>
      <x:c r="AB23" s="63" t="n">
        <x:f>IF(G23&gt;0,P23/G23,0)</x:f>
        <x:v>0</x:v>
      </x:c>
      <x:c r="AC23" s="63" t="n">
        <x:f>IF(T23+AF23&gt;0,T23/(T23+AF23),0)</x:f>
        <x:v>0</x:v>
      </x:c>
      <x:c r="AD23" s="110" t="n">
        <x:f>AJ22</x:f>
        <x:v>0</x:v>
      </x:c>
      <x:c r="AE23" s="110" t="n">
        <x:f>AD23+G23+T23+U23+AP23-Q23-W23-AO23</x:f>
        <x:v>0</x:v>
      </x:c>
      <x:c r="AF23" s="110" t="n">
        <x:f>MAX(0,-AE23)</x:f>
        <x:v>0</x:v>
      </x:c>
      <x:c r="AG23" s="110" t="n">
        <x:f>Y22+V23</x:f>
        <x:v>0</x:v>
      </x:c>
      <x:c r="AH23" s="110" t="n">
        <x:f>MIN(MAX(0,AE23),AG23)</x:f>
        <x:v>0</x:v>
      </x:c>
      <x:c r="AI23" s="110" t="n">
        <x:f>AE23+AF23-AH23</x:f>
        <x:v>0</x:v>
      </x:c>
      <x:c r="AJ23" s="110" t="n">
        <x:f>AI23</x:f>
        <x:v>0</x:v>
      </x:c>
      <x:c r="AK23" s="110" t="n">
        <x:f>AK22</x:f>
        <x:v>0</x:v>
      </x:c>
      <x:c r="AL23" s="110" t="n">
        <x:f>AJ23+AK23+AN23-Z23</x:f>
        <x:v>0</x:v>
      </x:c>
      <x:c r="AM23" s="110" t="n">
        <x:f>AJ23-(AD23+G23+T23+U23+AF23+AP23-Q23-W23-AH23-AO23)</x:f>
        <x:v>0</x:v>
      </x:c>
      <x:c r="AN23" s="110" t="n">
        <x:f>0</x:f>
        <x:v>0</x:v>
      </x:c>
      <x:c r="AO23" s="110" t="n">
        <x:f>0</x:f>
        <x:v>0</x:v>
      </x:c>
      <x:c r="AP23" s="110" t="n">
        <x:f>0</x:f>
        <x:v>0</x:v>
      </x:c>
    </x:row>
    <x:row r="24">
      <x:c r="A24" s="61" t="n">
        <x:v>1864</x:v>
      </x:c>
      <x:c r="B24" s="45" t="n">
        <x:v>0</x:v>
      </x:c>
      <x:c r="C24" s="70" t="n">
        <x:f>Partners!H24</x:f>
        <x:v>1</x:v>
      </x:c>
      <x:c r="D24" s="47" t="n">
        <x:f>Partners!I24</x:f>
        <x:v>0</x:v>
      </x:c>
      <x:c r="E24" s="59" t="n">
        <x:v>0</x:v>
      </x:c>
      <x:c r="F24" s="59" t="n">
        <x:v>0</x:v>
      </x:c>
      <x:c r="G24" s="53" t="n">
        <x:f>D24*E24</x:f>
        <x:v>0</x:v>
      </x:c>
      <x:c r="H24" s="53" t="n">
        <x:f>D24*F24</x:f>
        <x:v>0</x:v>
      </x:c>
      <x:c r="I24" s="52" t="n">
        <x:v>0</x:v>
      </x:c>
      <x:c r="J24" s="53" t="n">
        <x:f>IF($A24&gt;=1927,(1-pac_quota)*Navy!X24,I24)</x:f>
        <x:v>0</x:v>
      </x:c>
      <x:c r="K24" s="52" t="n">
        <x:v>0</x:v>
      </x:c>
      <x:c r="L24" s="53" t="n">
        <x:f>IF($A24&gt;=1923,siberia_front*(1-pac_quota),0)</x:f>
        <x:v>0</x:v>
      </x:c>
      <x:c r="M24" s="52" t="n">
        <x:v>0</x:v>
      </x:c>
      <x:c r="N24" s="53" t="n">
        <x:f>M24*C24</x:f>
        <x:v>0</x:v>
      </x:c>
      <x:c r="O24" s="53" t="n">
        <x:f>IF($A24&gt;=1927,10*(1-pac_quota),0)</x:f>
        <x:v>0</x:v>
      </x:c>
      <x:c r="P24" s="53" t="n">
        <x:f>jp_coupon*(Z23-0)+0</x:f>
        <x:v>0</x:v>
      </x:c>
      <x:c r="Q24" s="53" t="n">
        <x:f>H24+J24+K24+L24+N24+O24+P24</x:f>
        <x:v>0</x:v>
      </x:c>
      <x:c r="R24" s="53" t="n">
        <x:f>Q24-G24</x:f>
        <x:v>0</x:v>
      </x:c>
      <x:c r="S24" s="52" t="n">
        <x:v>0</x:v>
      </x:c>
      <x:c r="T24" s="53" t="n">
        <x:f>S24*IF($A24&gt;=1923,C24,1)</x:f>
        <x:v>0</x:v>
      </x:c>
      <x:c r="U24" s="52" t="n">
        <x:v>0</x:v>
      </x:c>
      <x:c r="V24" s="52" t="n">
        <x:v>0</x:v>
      </x:c>
      <x:c r="W24" s="53" t="n">
        <x:f>(X23-0)*jp_foreign_repay+0</x:f>
        <x:v>0</x:v>
      </x:c>
      <x:c r="X24" s="53" t="n">
        <x:f>X23+T24-W24</x:f>
        <x:v>0</x:v>
      </x:c>
      <x:c r="Y24" s="53" t="n">
        <x:f>AG24+AF24-AH24</x:f>
        <x:v>0</x:v>
      </x:c>
      <x:c r="Z24" s="53" t="n">
        <x:f>X24+Y24</x:f>
        <x:v>0</x:v>
      </x:c>
      <x:c r="AA24" s="63" t="n">
        <x:f>IF(D24&gt;0,Z24/D24,0)</x:f>
        <x:v>0</x:v>
      </x:c>
      <x:c r="AB24" s="63" t="n">
        <x:f>IF(G24&gt;0,P24/G24,0)</x:f>
        <x:v>0</x:v>
      </x:c>
      <x:c r="AC24" s="63" t="n">
        <x:f>IF(T24+AF24&gt;0,T24/(T24+AF24),0)</x:f>
        <x:v>0</x:v>
      </x:c>
      <x:c r="AD24" s="110" t="n">
        <x:f>AJ23</x:f>
        <x:v>0</x:v>
      </x:c>
      <x:c r="AE24" s="110" t="n">
        <x:f>AD24+G24+T24+U24+AP24-Q24-W24-AO24</x:f>
        <x:v>0</x:v>
      </x:c>
      <x:c r="AF24" s="110" t="n">
        <x:f>MAX(0,-AE24)</x:f>
        <x:v>0</x:v>
      </x:c>
      <x:c r="AG24" s="110" t="n">
        <x:f>Y23+V24</x:f>
        <x:v>0</x:v>
      </x:c>
      <x:c r="AH24" s="110" t="n">
        <x:f>MIN(MAX(0,AE24),AG24)</x:f>
        <x:v>0</x:v>
      </x:c>
      <x:c r="AI24" s="110" t="n">
        <x:f>AE24+AF24-AH24</x:f>
        <x:v>0</x:v>
      </x:c>
      <x:c r="AJ24" s="110" t="n">
        <x:f>AI24</x:f>
        <x:v>0</x:v>
      </x:c>
      <x:c r="AK24" s="110" t="n">
        <x:f>AK23</x:f>
        <x:v>0</x:v>
      </x:c>
      <x:c r="AL24" s="110" t="n">
        <x:f>AJ24+AK24+AN24-Z24</x:f>
        <x:v>0</x:v>
      </x:c>
      <x:c r="AM24" s="110" t="n">
        <x:f>AJ24-(AD24+G24+T24+U24+AF24+AP24-Q24-W24-AH24-AO24)</x:f>
        <x:v>0</x:v>
      </x:c>
      <x:c r="AN24" s="110" t="n">
        <x:f>0</x:f>
        <x:v>0</x:v>
      </x:c>
      <x:c r="AO24" s="110" t="n">
        <x:f>0</x:f>
        <x:v>0</x:v>
      </x:c>
      <x:c r="AP24" s="110" t="n">
        <x:f>0</x:f>
        <x:v>0</x:v>
      </x:c>
    </x:row>
    <x:row r="25">
      <x:c r="A25" s="61" t="n">
        <x:v>1865</x:v>
      </x:c>
      <x:c r="B25" s="45" t="n">
        <x:v>0</x:v>
      </x:c>
      <x:c r="C25" s="70" t="n">
        <x:f>Partners!H25</x:f>
        <x:v>1</x:v>
      </x:c>
      <x:c r="D25" s="47" t="n">
        <x:f>Partners!I25</x:f>
        <x:v>0</x:v>
      </x:c>
      <x:c r="E25" s="59" t="n">
        <x:v>0</x:v>
      </x:c>
      <x:c r="F25" s="59" t="n">
        <x:v>0</x:v>
      </x:c>
      <x:c r="G25" s="53" t="n">
        <x:f>D25*E25</x:f>
        <x:v>0</x:v>
      </x:c>
      <x:c r="H25" s="53" t="n">
        <x:f>D25*F25</x:f>
        <x:v>0</x:v>
      </x:c>
      <x:c r="I25" s="52" t="n">
        <x:v>0</x:v>
      </x:c>
      <x:c r="J25" s="53" t="n">
        <x:f>IF($A25&gt;=1927,(1-pac_quota)*Navy!X25,I25)</x:f>
        <x:v>0</x:v>
      </x:c>
      <x:c r="K25" s="52" t="n">
        <x:v>0</x:v>
      </x:c>
      <x:c r="L25" s="53" t="n">
        <x:f>IF($A25&gt;=1923,siberia_front*(1-pac_quota),0)</x:f>
        <x:v>0</x:v>
      </x:c>
      <x:c r="M25" s="52" t="n">
        <x:v>0</x:v>
      </x:c>
      <x:c r="N25" s="53" t="n">
        <x:f>M25*C25</x:f>
        <x:v>0</x:v>
      </x:c>
      <x:c r="O25" s="53" t="n">
        <x:f>IF($A25&gt;=1927,10*(1-pac_quota),0)</x:f>
        <x:v>0</x:v>
      </x:c>
      <x:c r="P25" s="53" t="n">
        <x:f>jp_coupon*(Z24-0)+0</x:f>
        <x:v>0</x:v>
      </x:c>
      <x:c r="Q25" s="53" t="n">
        <x:f>H25+J25+K25+L25+N25+O25+P25</x:f>
        <x:v>0</x:v>
      </x:c>
      <x:c r="R25" s="53" t="n">
        <x:f>Q25-G25</x:f>
        <x:v>0</x:v>
      </x:c>
      <x:c r="S25" s="52" t="n">
        <x:v>0</x:v>
      </x:c>
      <x:c r="T25" s="53" t="n">
        <x:f>S25*IF($A25&gt;=1923,C25,1)</x:f>
        <x:v>0</x:v>
      </x:c>
      <x:c r="U25" s="52" t="n">
        <x:v>0</x:v>
      </x:c>
      <x:c r="V25" s="52" t="n">
        <x:v>0</x:v>
      </x:c>
      <x:c r="W25" s="53" t="n">
        <x:f>(X24-0)*jp_foreign_repay+0</x:f>
        <x:v>0</x:v>
      </x:c>
      <x:c r="X25" s="53" t="n">
        <x:f>X24+T25-W25</x:f>
        <x:v>0</x:v>
      </x:c>
      <x:c r="Y25" s="53" t="n">
        <x:f>AG25+AF25-AH25</x:f>
        <x:v>0</x:v>
      </x:c>
      <x:c r="Z25" s="53" t="n">
        <x:f>X25+Y25</x:f>
        <x:v>0</x:v>
      </x:c>
      <x:c r="AA25" s="63" t="n">
        <x:f>IF(D25&gt;0,Z25/D25,0)</x:f>
        <x:v>0</x:v>
      </x:c>
      <x:c r="AB25" s="63" t="n">
        <x:f>IF(G25&gt;0,P25/G25,0)</x:f>
        <x:v>0</x:v>
      </x:c>
      <x:c r="AC25" s="63" t="n">
        <x:f>IF(T25+AF25&gt;0,T25/(T25+AF25),0)</x:f>
        <x:v>0</x:v>
      </x:c>
      <x:c r="AD25" s="110" t="n">
        <x:f>AJ24</x:f>
        <x:v>0</x:v>
      </x:c>
      <x:c r="AE25" s="110" t="n">
        <x:f>AD25+G25+T25+U25+AP25-Q25-W25-AO25</x:f>
        <x:v>0</x:v>
      </x:c>
      <x:c r="AF25" s="110" t="n">
        <x:f>MAX(0,-AE25)</x:f>
        <x:v>0</x:v>
      </x:c>
      <x:c r="AG25" s="110" t="n">
        <x:f>Y24+V25</x:f>
        <x:v>0</x:v>
      </x:c>
      <x:c r="AH25" s="110" t="n">
        <x:f>MIN(MAX(0,AE25),AG25)</x:f>
        <x:v>0</x:v>
      </x:c>
      <x:c r="AI25" s="110" t="n">
        <x:f>AE25+AF25-AH25</x:f>
        <x:v>0</x:v>
      </x:c>
      <x:c r="AJ25" s="110" t="n">
        <x:f>AI25</x:f>
        <x:v>0</x:v>
      </x:c>
      <x:c r="AK25" s="110" t="n">
        <x:f>AK24</x:f>
        <x:v>0</x:v>
      </x:c>
      <x:c r="AL25" s="110" t="n">
        <x:f>AJ25+AK25+AN25-Z25</x:f>
        <x:v>0</x:v>
      </x:c>
      <x:c r="AM25" s="110" t="n">
        <x:f>AJ25-(AD25+G25+T25+U25+AF25+AP25-Q25-W25-AH25-AO25)</x:f>
        <x:v>0</x:v>
      </x:c>
      <x:c r="AN25" s="110" t="n">
        <x:f>0</x:f>
        <x:v>0</x:v>
      </x:c>
      <x:c r="AO25" s="110" t="n">
        <x:f>0</x:f>
        <x:v>0</x:v>
      </x:c>
      <x:c r="AP25" s="110" t="n">
        <x:f>0</x:f>
        <x:v>0</x:v>
      </x:c>
    </x:row>
    <x:row r="26">
      <x:c r="A26" s="58" t="n">
        <x:v>1866</x:v>
      </x:c>
      <x:c r="B26" s="45" t="n">
        <x:v>0</x:v>
      </x:c>
      <x:c r="C26" s="70" t="n">
        <x:f>Partners!H26</x:f>
        <x:v>1</x:v>
      </x:c>
      <x:c r="D26" s="47" t="n">
        <x:f>Partners!I26</x:f>
        <x:v>0</x:v>
      </x:c>
      <x:c r="E26" s="59" t="n">
        <x:v>0</x:v>
      </x:c>
      <x:c r="F26" s="59" t="n">
        <x:v>0</x:v>
      </x:c>
      <x:c r="G26" s="53" t="n">
        <x:f>D26*E26</x:f>
        <x:v>0</x:v>
      </x:c>
      <x:c r="H26" s="53" t="n">
        <x:f>D26*F26</x:f>
        <x:v>0</x:v>
      </x:c>
      <x:c r="I26" s="52" t="n">
        <x:v>0</x:v>
      </x:c>
      <x:c r="J26" s="53" t="n">
        <x:f>IF($A26&gt;=1927,(1-pac_quota)*Navy!X26,I26)</x:f>
        <x:v>0</x:v>
      </x:c>
      <x:c r="K26" s="52" t="n">
        <x:v>0</x:v>
      </x:c>
      <x:c r="L26" s="53" t="n">
        <x:f>IF($A26&gt;=1923,siberia_front*(1-pac_quota),0)</x:f>
        <x:v>0</x:v>
      </x:c>
      <x:c r="M26" s="52" t="n">
        <x:v>0</x:v>
      </x:c>
      <x:c r="N26" s="53" t="n">
        <x:f>M26*C26</x:f>
        <x:v>0</x:v>
      </x:c>
      <x:c r="O26" s="53" t="n">
        <x:f>IF($A26&gt;=1927,10*(1-pac_quota),0)</x:f>
        <x:v>0</x:v>
      </x:c>
      <x:c r="P26" s="53" t="n">
        <x:f>jp_coupon*(Z25-0)+0</x:f>
        <x:v>0</x:v>
      </x:c>
      <x:c r="Q26" s="53" t="n">
        <x:f>H26+J26+K26+L26+N26+O26+P26</x:f>
        <x:v>0</x:v>
      </x:c>
      <x:c r="R26" s="53" t="n">
        <x:f>Q26-G26</x:f>
        <x:v>0</x:v>
      </x:c>
      <x:c r="S26" s="52" t="n">
        <x:v>0</x:v>
      </x:c>
      <x:c r="T26" s="53" t="n">
        <x:f>S26*IF($A26&gt;=1923,C26,1)</x:f>
        <x:v>0</x:v>
      </x:c>
      <x:c r="U26" s="52" t="n">
        <x:v>0</x:v>
      </x:c>
      <x:c r="V26" s="52" t="n">
        <x:v>0</x:v>
      </x:c>
      <x:c r="W26" s="53" t="n">
        <x:f>(X25-0)*jp_foreign_repay+0</x:f>
        <x:v>0</x:v>
      </x:c>
      <x:c r="X26" s="53" t="n">
        <x:f>X25+T26-W26</x:f>
        <x:v>0</x:v>
      </x:c>
      <x:c r="Y26" s="53" t="n">
        <x:f>AG26+AF26-AH26</x:f>
        <x:v>0</x:v>
      </x:c>
      <x:c r="Z26" s="53" t="n">
        <x:f>X26+Y26</x:f>
        <x:v>0</x:v>
      </x:c>
      <x:c r="AA26" s="63" t="n">
        <x:f>IF(D26&gt;0,Z26/D26,0)</x:f>
        <x:v>0</x:v>
      </x:c>
      <x:c r="AB26" s="63" t="n">
        <x:f>IF(G26&gt;0,P26/G26,0)</x:f>
        <x:v>0</x:v>
      </x:c>
      <x:c r="AC26" s="63" t="n">
        <x:f>IF(T26+AF26&gt;0,T26/(T26+AF26),0)</x:f>
        <x:v>0</x:v>
      </x:c>
      <x:c r="AD26" s="110" t="n">
        <x:f>AJ25</x:f>
        <x:v>0</x:v>
      </x:c>
      <x:c r="AE26" s="110" t="n">
        <x:f>AD26+G26+T26+U26+AP26-Q26-W26-AO26</x:f>
        <x:v>0</x:v>
      </x:c>
      <x:c r="AF26" s="110" t="n">
        <x:f>MAX(0,-AE26)</x:f>
        <x:v>0</x:v>
      </x:c>
      <x:c r="AG26" s="110" t="n">
        <x:f>Y25+V26</x:f>
        <x:v>0</x:v>
      </x:c>
      <x:c r="AH26" s="110" t="n">
        <x:f>MIN(MAX(0,AE26),AG26)</x:f>
        <x:v>0</x:v>
      </x:c>
      <x:c r="AI26" s="110" t="n">
        <x:f>AE26+AF26-AH26</x:f>
        <x:v>0</x:v>
      </x:c>
      <x:c r="AJ26" s="110" t="n">
        <x:f>AI26</x:f>
        <x:v>0</x:v>
      </x:c>
      <x:c r="AK26" s="110" t="n">
        <x:f>AK25</x:f>
        <x:v>0</x:v>
      </x:c>
      <x:c r="AL26" s="110" t="n">
        <x:f>AJ26+AK26+AN26-Z26</x:f>
        <x:v>0</x:v>
      </x:c>
      <x:c r="AM26" s="110" t="n">
        <x:f>AJ26-(AD26+G26+T26+U26+AF26+AP26-Q26-W26-AH26-AO26)</x:f>
        <x:v>0</x:v>
      </x:c>
      <x:c r="AN26" s="110" t="n">
        <x:f>0</x:f>
        <x:v>0</x:v>
      </x:c>
      <x:c r="AO26" s="110" t="n">
        <x:f>0</x:f>
        <x:v>0</x:v>
      </x:c>
      <x:c r="AP26" s="110" t="n">
        <x:f>0</x:f>
        <x:v>0</x:v>
      </x:c>
    </x:row>
    <x:row r="27">
      <x:c r="A27" s="58" t="n">
        <x:v>1867</x:v>
      </x:c>
      <x:c r="B27" s="45" t="n">
        <x:v>0</x:v>
      </x:c>
      <x:c r="C27" s="70" t="n">
        <x:f>Partners!H27</x:f>
        <x:v>1</x:v>
      </x:c>
      <x:c r="D27" s="47" t="n">
        <x:f>Partners!I27</x:f>
        <x:v>0</x:v>
      </x:c>
      <x:c r="E27" s="59" t="n">
        <x:v>0</x:v>
      </x:c>
      <x:c r="F27" s="59" t="n">
        <x:v>0</x:v>
      </x:c>
      <x:c r="G27" s="53" t="n">
        <x:f>D27*E27</x:f>
        <x:v>0</x:v>
      </x:c>
      <x:c r="H27" s="53" t="n">
        <x:f>D27*F27</x:f>
        <x:v>0</x:v>
      </x:c>
      <x:c r="I27" s="52" t="n">
        <x:v>0</x:v>
      </x:c>
      <x:c r="J27" s="53" t="n">
        <x:f>IF($A27&gt;=1927,(1-pac_quota)*Navy!X27,I27)</x:f>
        <x:v>0</x:v>
      </x:c>
      <x:c r="K27" s="52" t="n">
        <x:v>0</x:v>
      </x:c>
      <x:c r="L27" s="53" t="n">
        <x:f>IF($A27&gt;=1923,siberia_front*(1-pac_quota),0)</x:f>
        <x:v>0</x:v>
      </x:c>
      <x:c r="M27" s="52" t="n">
        <x:v>0</x:v>
      </x:c>
      <x:c r="N27" s="53" t="n">
        <x:f>M27*C27</x:f>
        <x:v>0</x:v>
      </x:c>
      <x:c r="O27" s="53" t="n">
        <x:f>IF($A27&gt;=1927,10*(1-pac_quota),0)</x:f>
        <x:v>0</x:v>
      </x:c>
      <x:c r="P27" s="53" t="n">
        <x:f>jp_coupon*(Z26-0)+0</x:f>
        <x:v>0</x:v>
      </x:c>
      <x:c r="Q27" s="53" t="n">
        <x:f>H27+J27+K27+L27+N27+O27+P27</x:f>
        <x:v>0</x:v>
      </x:c>
      <x:c r="R27" s="53" t="n">
        <x:f>Q27-G27</x:f>
        <x:v>0</x:v>
      </x:c>
      <x:c r="S27" s="52" t="n">
        <x:v>0</x:v>
      </x:c>
      <x:c r="T27" s="53" t="n">
        <x:f>S27*IF($A27&gt;=1923,C27,1)</x:f>
        <x:v>0</x:v>
      </x:c>
      <x:c r="U27" s="52" t="n">
        <x:v>0</x:v>
      </x:c>
      <x:c r="V27" s="52" t="n">
        <x:v>0</x:v>
      </x:c>
      <x:c r="W27" s="53" t="n">
        <x:f>(X26-0)*jp_foreign_repay+0</x:f>
        <x:v>0</x:v>
      </x:c>
      <x:c r="X27" s="53" t="n">
        <x:f>X26+T27-W27</x:f>
        <x:v>0</x:v>
      </x:c>
      <x:c r="Y27" s="53" t="n">
        <x:f>AG27+AF27-AH27</x:f>
        <x:v>0</x:v>
      </x:c>
      <x:c r="Z27" s="53" t="n">
        <x:f>X27+Y27</x:f>
        <x:v>0</x:v>
      </x:c>
      <x:c r="AA27" s="63" t="n">
        <x:f>IF(D27&gt;0,Z27/D27,0)</x:f>
        <x:v>0</x:v>
      </x:c>
      <x:c r="AB27" s="63" t="n">
        <x:f>IF(G27&gt;0,P27/G27,0)</x:f>
        <x:v>0</x:v>
      </x:c>
      <x:c r="AC27" s="63" t="n">
        <x:f>IF(T27+AF27&gt;0,T27/(T27+AF27),0)</x:f>
        <x:v>0</x:v>
      </x:c>
      <x:c r="AD27" s="110" t="n">
        <x:f>AJ26</x:f>
        <x:v>0</x:v>
      </x:c>
      <x:c r="AE27" s="110" t="n">
        <x:f>AD27+G27+T27+U27+AP27-Q27-W27-AO27</x:f>
        <x:v>0</x:v>
      </x:c>
      <x:c r="AF27" s="110" t="n">
        <x:f>MAX(0,-AE27)</x:f>
        <x:v>0</x:v>
      </x:c>
      <x:c r="AG27" s="110" t="n">
        <x:f>Y26+V27</x:f>
        <x:v>0</x:v>
      </x:c>
      <x:c r="AH27" s="110" t="n">
        <x:f>MIN(MAX(0,AE27),AG27)</x:f>
        <x:v>0</x:v>
      </x:c>
      <x:c r="AI27" s="110" t="n">
        <x:f>AE27+AF27-AH27</x:f>
        <x:v>0</x:v>
      </x:c>
      <x:c r="AJ27" s="110" t="n">
        <x:f>AI27</x:f>
        <x:v>0</x:v>
      </x:c>
      <x:c r="AK27" s="110" t="n">
        <x:f>AK26</x:f>
        <x:v>0</x:v>
      </x:c>
      <x:c r="AL27" s="110" t="n">
        <x:f>AJ27+AK27+AN27-Z27</x:f>
        <x:v>0</x:v>
      </x:c>
      <x:c r="AM27" s="110" t="n">
        <x:f>AJ27-(AD27+G27+T27+U27+AF27+AP27-Q27-W27-AH27-AO27)</x:f>
        <x:v>0</x:v>
      </x:c>
      <x:c r="AN27" s="110" t="n">
        <x:f>0</x:f>
        <x:v>0</x:v>
      </x:c>
      <x:c r="AO27" s="110" t="n">
        <x:f>0</x:f>
        <x:v>0</x:v>
      </x:c>
      <x:c r="AP27" s="110" t="n">
        <x:f>0</x:f>
        <x:v>0</x:v>
      </x:c>
    </x:row>
    <x:row r="28">
      <x:c r="A28" s="58" t="n">
        <x:v>1868</x:v>
      </x:c>
      <x:c r="B28" s="45" t="n">
        <x:v>450</x:v>
      </x:c>
      <x:c r="C28" s="70" t="n">
        <x:f>Partners!H28</x:f>
        <x:v>1</x:v>
      </x:c>
      <x:c r="D28" s="47" t="n">
        <x:f>Partners!I28</x:f>
        <x:v>450</x:v>
      </x:c>
      <x:c r="E28" s="59" t="n">
        <x:v>0.06</x:v>
      </x:c>
      <x:c r="F28" s="59" t="n">
        <x:v>0.06</x:v>
      </x:c>
      <x:c r="G28" s="53" t="n">
        <x:f>D28*E28</x:f>
        <x:v>27</x:v>
      </x:c>
      <x:c r="H28" s="53" t="n">
        <x:f>D28*F28</x:f>
        <x:v>27</x:v>
      </x:c>
      <x:c r="I28" s="52" t="n">
        <x:v>0</x:v>
      </x:c>
      <x:c r="J28" s="53" t="n">
        <x:f>IF($A28&gt;=1927,(1-pac_quota)*Navy!X28,I28)</x:f>
        <x:v>0</x:v>
      </x:c>
      <x:c r="K28" s="52" t="n">
        <x:v>0</x:v>
      </x:c>
      <x:c r="L28" s="53" t="n">
        <x:f>IF($A28&gt;=1923,siberia_front*(1-pac_quota),0)</x:f>
        <x:v>0</x:v>
      </x:c>
      <x:c r="M28" s="52" t="n">
        <x:v>0</x:v>
      </x:c>
      <x:c r="N28" s="53" t="n">
        <x:f>M28*C28</x:f>
        <x:v>0</x:v>
      </x:c>
      <x:c r="O28" s="53" t="n">
        <x:f>IF($A28&gt;=1927,10*(1-pac_quota),0)</x:f>
        <x:v>0</x:v>
      </x:c>
      <x:c r="P28" s="53" t="n">
        <x:f>jp_coupon*(Z27-0)+0</x:f>
        <x:v>0</x:v>
      </x:c>
      <x:c r="Q28" s="53" t="n">
        <x:f>H28+J28+K28+L28+N28+O28+P28</x:f>
        <x:v>27</x:v>
      </x:c>
      <x:c r="R28" s="53" t="n">
        <x:f>Q28-G28</x:f>
        <x:v>0</x:v>
      </x:c>
      <x:c r="S28" s="52" t="n">
        <x:v>0</x:v>
      </x:c>
      <x:c r="T28" s="53" t="n">
        <x:f>S28*IF($A28&gt;=1923,C28,1)</x:f>
        <x:v>0</x:v>
      </x:c>
      <x:c r="U28" s="52" t="n">
        <x:v>0</x:v>
      </x:c>
      <x:c r="V28" s="52" t="n">
        <x:v>0</x:v>
      </x:c>
      <x:c r="W28" s="53" t="n">
        <x:f>(X27-0)*jp_foreign_repay+0</x:f>
        <x:v>0</x:v>
      </x:c>
      <x:c r="X28" s="53" t="n">
        <x:f>X27+T28-W28</x:f>
        <x:v>0</x:v>
      </x:c>
      <x:c r="Y28" s="53" t="n">
        <x:f>AG28+AF28-AH28</x:f>
        <x:v>0</x:v>
      </x:c>
      <x:c r="Z28" s="53" t="n">
        <x:f>X28+Y28</x:f>
        <x:v>0</x:v>
      </x:c>
      <x:c r="AA28" s="63" t="n">
        <x:f>IF(D28&gt;0,Z28/D28,0)</x:f>
        <x:v>0</x:v>
      </x:c>
      <x:c r="AB28" s="63" t="n">
        <x:f>IF(G28&gt;0,P28/G28,0)</x:f>
        <x:v>0</x:v>
      </x:c>
      <x:c r="AC28" s="63" t="n">
        <x:f>IF(T28+AF28&gt;0,T28/(T28+AF28),0)</x:f>
        <x:v>0</x:v>
      </x:c>
      <x:c r="AD28" s="110" t="n">
        <x:f>AJ27</x:f>
        <x:v>0</x:v>
      </x:c>
      <x:c r="AE28" s="110" t="n">
        <x:f>AD28+G28+T28+U28+AP28-Q28-W28-AO28</x:f>
        <x:v>0</x:v>
      </x:c>
      <x:c r="AF28" s="110" t="n">
        <x:f>MAX(0,-AE28)</x:f>
        <x:v>0</x:v>
      </x:c>
      <x:c r="AG28" s="110" t="n">
        <x:f>Y27+V28</x:f>
        <x:v>0</x:v>
      </x:c>
      <x:c r="AH28" s="110" t="n">
        <x:f>MIN(MAX(0,AE28),AG28)</x:f>
        <x:v>0</x:v>
      </x:c>
      <x:c r="AI28" s="110" t="n">
        <x:f>AE28+AF28-AH28</x:f>
        <x:v>0</x:v>
      </x:c>
      <x:c r="AJ28" s="110" t="n">
        <x:f>AI28</x:f>
        <x:v>0</x:v>
      </x:c>
      <x:c r="AK28" s="110" t="n">
        <x:f>AK27</x:f>
        <x:v>0</x:v>
      </x:c>
      <x:c r="AL28" s="110" t="n">
        <x:f>AJ28+AK28+AN28-Z28</x:f>
        <x:v>0</x:v>
      </x:c>
      <x:c r="AM28" s="110" t="n">
        <x:f>AJ28-(AD28+G28+T28+U28+AF28+AP28-Q28-W28-AH28-AO28)</x:f>
        <x:v>0</x:v>
      </x:c>
      <x:c r="AN28" s="110" t="n">
        <x:f>0</x:f>
        <x:v>0</x:v>
      </x:c>
      <x:c r="AO28" s="110" t="n">
        <x:f>0</x:f>
        <x:v>0</x:v>
      </x:c>
      <x:c r="AP28" s="110" t="n">
        <x:f>0</x:f>
        <x:v>0</x:v>
      </x:c>
    </x:row>
    <x:row r="29">
      <x:c r="A29" s="58" t="n">
        <x:v>1869</x:v>
      </x:c>
      <x:c r="B29" s="45" t="n">
        <x:v>457</x:v>
      </x:c>
      <x:c r="C29" s="70" t="n">
        <x:f>Partners!H29</x:f>
        <x:v>1.0095136592161325</x:v>
      </x:c>
      <x:c r="D29" s="47" t="n">
        <x:f>Partners!I29</x:f>
        <x:v>461.3477422617725</x:v>
      </x:c>
      <x:c r="E29" s="59" t="n">
        <x:v>0.07000000000000001</x:v>
      </x:c>
      <x:c r="F29" s="59" t="n">
        <x:v>0.066</x:v>
      </x:c>
      <x:c r="G29" s="53" t="n">
        <x:f>D29*E29</x:f>
        <x:v>32.294341958324075</x:v>
      </x:c>
      <x:c r="H29" s="53" t="n">
        <x:f>D29*F29</x:f>
        <x:v>30.448950989276987</x:v>
      </x:c>
      <x:c r="I29" s="52" t="n">
        <x:v>0</x:v>
      </x:c>
      <x:c r="J29" s="53" t="n">
        <x:f>IF($A29&gt;=1927,(1-pac_quota)*Navy!X29,I29)</x:f>
        <x:v>0</x:v>
      </x:c>
      <x:c r="K29" s="52" t="n">
        <x:v>0</x:v>
      </x:c>
      <x:c r="L29" s="53" t="n">
        <x:f>IF($A29&gt;=1923,siberia_front*(1-pac_quota),0)</x:f>
        <x:v>0</x:v>
      </x:c>
      <x:c r="M29" s="52" t="n">
        <x:v>0</x:v>
      </x:c>
      <x:c r="N29" s="53" t="n">
        <x:f>M29*C29</x:f>
        <x:v>0</x:v>
      </x:c>
      <x:c r="O29" s="53" t="n">
        <x:f>IF($A29&gt;=1927,10*(1-pac_quota),0)</x:f>
        <x:v>0</x:v>
      </x:c>
      <x:c r="P29" s="53" t="n">
        <x:f>jp_coupon*(Z28-0)+0</x:f>
        <x:v>0</x:v>
      </x:c>
      <x:c r="Q29" s="53" t="n">
        <x:f>H29+J29+K29+L29+N29+O29+P29</x:f>
        <x:v>30.448950989276987</x:v>
      </x:c>
      <x:c r="R29" s="53" t="n">
        <x:f>Q29-G29</x:f>
        <x:v>-1.845390969047088</x:v>
      </x:c>
      <x:c r="S29" s="52" t="n">
        <x:v>0</x:v>
      </x:c>
      <x:c r="T29" s="53" t="n">
        <x:f>S29*IF($A29&gt;=1923,C29,1)</x:f>
        <x:v>0</x:v>
      </x:c>
      <x:c r="U29" s="52" t="n">
        <x:v>0</x:v>
      </x:c>
      <x:c r="V29" s="52" t="n">
        <x:v>0</x:v>
      </x:c>
      <x:c r="W29" s="53" t="n">
        <x:f>(X28-0)*jp_foreign_repay+0</x:f>
        <x:v>0</x:v>
      </x:c>
      <x:c r="X29" s="53" t="n">
        <x:f>X28+T29-W29</x:f>
        <x:v>0</x:v>
      </x:c>
      <x:c r="Y29" s="53" t="n">
        <x:f>AG29+AF29-AH29</x:f>
        <x:v>0</x:v>
      </x:c>
      <x:c r="Z29" s="53" t="n">
        <x:f>X29+Y29</x:f>
        <x:v>0</x:v>
      </x:c>
      <x:c r="AA29" s="63" t="n">
        <x:f>IF(D29&gt;0,Z29/D29,0)</x:f>
        <x:v>0</x:v>
      </x:c>
      <x:c r="AB29" s="63" t="n">
        <x:f>IF(G29&gt;0,P29/G29,0)</x:f>
        <x:v>0</x:v>
      </x:c>
      <x:c r="AC29" s="63" t="n">
        <x:f>IF(T29+AF29&gt;0,T29/(T29+AF29),0)</x:f>
        <x:v>0</x:v>
      </x:c>
      <x:c r="AD29" s="110" t="n">
        <x:f>AJ28</x:f>
        <x:v>0</x:v>
      </x:c>
      <x:c r="AE29" s="110" t="n">
        <x:f>AD29+G29+T29+U29+AP29-Q29-W29-AO29</x:f>
        <x:v>1.845390969047088</x:v>
      </x:c>
      <x:c r="AF29" s="110" t="n">
        <x:f>MAX(0,-AE29)</x:f>
        <x:v>0</x:v>
      </x:c>
      <x:c r="AG29" s="110" t="n">
        <x:f>Y28+V29</x:f>
        <x:v>0</x:v>
      </x:c>
      <x:c r="AH29" s="110" t="n">
        <x:f>MIN(MAX(0,AE29),AG29)</x:f>
        <x:v>0</x:v>
      </x:c>
      <x:c r="AI29" s="110" t="n">
        <x:f>AE29+AF29-AH29</x:f>
        <x:v>1.845390969047088</x:v>
      </x:c>
      <x:c r="AJ29" s="110" t="n">
        <x:f>AI29</x:f>
        <x:v>1.845390969047088</x:v>
      </x:c>
      <x:c r="AK29" s="110" t="n">
        <x:f>AK28</x:f>
        <x:v>0</x:v>
      </x:c>
      <x:c r="AL29" s="110" t="n">
        <x:f>AJ29+AK29+AN29-Z29</x:f>
        <x:v>1.845390969047088</x:v>
      </x:c>
      <x:c r="AM29" s="110" t="n">
        <x:f>AJ29-(AD29+G29+T29+U29+AF29+AP29-Q29-W29-AH29-AO29)</x:f>
        <x:v>0</x:v>
      </x:c>
      <x:c r="AN29" s="110" t="n">
        <x:f>0</x:f>
        <x:v>0</x:v>
      </x:c>
      <x:c r="AO29" s="110" t="n">
        <x:f>0</x:f>
        <x:v>0</x:v>
      </x:c>
      <x:c r="AP29" s="110" t="n">
        <x:f>0</x:f>
        <x:v>0</x:v>
      </x:c>
    </x:row>
    <x:row r="30">
      <x:c r="A30" s="61" t="n">
        <x:v>1870</x:v>
      </x:c>
      <x:c r="B30" s="45" t="n">
        <x:v>464</x:v>
      </x:c>
      <x:c r="C30" s="70" t="n">
        <x:f>Partners!H30</x:f>
        <x:v>1.0193992462405583</x:v>
      </x:c>
      <x:c r="D30" s="47" t="n">
        <x:f>Partners!I30</x:f>
        <x:v>473.0012502556191</x:v>
      </x:c>
      <x:c r="E30" s="59" t="n">
        <x:v>0.08</x:v>
      </x:c>
      <x:c r="F30" s="59" t="n">
        <x:v>0.07199999999999999</x:v>
      </x:c>
      <x:c r="G30" s="53" t="n">
        <x:f>D30*E30</x:f>
        <x:v>37.840100020449526</x:v>
      </x:c>
      <x:c r="H30" s="53" t="n">
        <x:f>D30*F30</x:f>
        <x:v>34.056090018404575</x:v>
      </x:c>
      <x:c r="I30" s="52" t="n">
        <x:v>2</x:v>
      </x:c>
      <x:c r="J30" s="53" t="n">
        <x:f>IF($A30&gt;=1927,(1-pac_quota)*Navy!X30,I30)</x:f>
        <x:v>2</x:v>
      </x:c>
      <x:c r="K30" s="52" t="n">
        <x:v>0</x:v>
      </x:c>
      <x:c r="L30" s="53" t="n">
        <x:f>IF($A30&gt;=1923,siberia_front*(1-pac_quota),0)</x:f>
        <x:v>0</x:v>
      </x:c>
      <x:c r="M30" s="52" t="n">
        <x:v>0</x:v>
      </x:c>
      <x:c r="N30" s="53" t="n">
        <x:f>M30*C30</x:f>
        <x:v>0</x:v>
      </x:c>
      <x:c r="O30" s="53" t="n">
        <x:f>IF($A30&gt;=1927,10*(1-pac_quota),0)</x:f>
        <x:v>0</x:v>
      </x:c>
      <x:c r="P30" s="53" t="n">
        <x:f>jp_coupon*(Z29-0)+0</x:f>
        <x:v>0</x:v>
      </x:c>
      <x:c r="Q30" s="53" t="n">
        <x:f>H30+J30+K30+L30+N30+O30+P30</x:f>
        <x:v>36.056090018404575</x:v>
      </x:c>
      <x:c r="R30" s="53" t="n">
        <x:f>Q30-G30</x:f>
        <x:v>-1.7840100020449512</x:v>
      </x:c>
      <x:c r="S30" s="52" t="n">
        <x:v>5</x:v>
      </x:c>
      <x:c r="T30" s="53" t="n">
        <x:f>S30*IF($A30&gt;=1923,C30,1)</x:f>
        <x:v>5</x:v>
      </x:c>
      <x:c r="U30" s="52" t="n">
        <x:v>0</x:v>
      </x:c>
      <x:c r="V30" s="52" t="n">
        <x:v>0</x:v>
      </x:c>
      <x:c r="W30" s="53" t="n">
        <x:f>(X29-0)*jp_foreign_repay+0</x:f>
        <x:v>0</x:v>
      </x:c>
      <x:c r="X30" s="53" t="n">
        <x:f>X29+T30-W30</x:f>
        <x:v>5</x:v>
      </x:c>
      <x:c r="Y30" s="53" t="n">
        <x:f>AG30+AF30-AH30</x:f>
        <x:v>0</x:v>
      </x:c>
      <x:c r="Z30" s="53" t="n">
        <x:f>X30+Y30</x:f>
        <x:v>5</x:v>
      </x:c>
      <x:c r="AA30" s="63" t="n">
        <x:f>IF(D30&gt;0,Z30/D30,0)</x:f>
        <x:v>0.010570796583091277</x:v>
      </x:c>
      <x:c r="AB30" s="63" t="n">
        <x:f>IF(G30&gt;0,P30/G30,0)</x:f>
        <x:v>0</x:v>
      </x:c>
      <x:c r="AC30" s="63" t="n">
        <x:f>IF(T30+AF30&gt;0,T30/(T30+AF30),0)</x:f>
        <x:v>1</x:v>
      </x:c>
      <x:c r="AD30" s="110" t="n">
        <x:f>AJ29</x:f>
        <x:v>1.845390969047088</x:v>
      </x:c>
      <x:c r="AE30" s="110" t="n">
        <x:f>AD30+G30+T30+U30+AP30-Q30-W30-AO30</x:f>
        <x:v>8.62940097109204</x:v>
      </x:c>
      <x:c r="AF30" s="110" t="n">
        <x:f>MAX(0,-AE30)</x:f>
        <x:v>0</x:v>
      </x:c>
      <x:c r="AG30" s="110" t="n">
        <x:f>Y29+V30</x:f>
        <x:v>0</x:v>
      </x:c>
      <x:c r="AH30" s="110" t="n">
        <x:f>MIN(MAX(0,AE30),AG30)</x:f>
        <x:v>0</x:v>
      </x:c>
      <x:c r="AI30" s="110" t="n">
        <x:f>AE30+AF30-AH30</x:f>
        <x:v>8.62940097109204</x:v>
      </x:c>
      <x:c r="AJ30" s="110" t="n">
        <x:f>AI30</x:f>
        <x:v>8.62940097109204</x:v>
      </x:c>
      <x:c r="AK30" s="110" t="n">
        <x:f>AK29</x:f>
        <x:v>0</x:v>
      </x:c>
      <x:c r="AL30" s="110" t="n">
        <x:f>AJ30+AK30+AN30-Z30</x:f>
        <x:v>3.629400971092039</x:v>
      </x:c>
      <x:c r="AM30" s="110" t="n">
        <x:f>AJ30-(AD30+G30+T30+U30+AF30+AP30-Q30-W30-AH30-AO30)</x:f>
        <x:v>0</x:v>
      </x:c>
      <x:c r="AN30" s="110" t="n">
        <x:f>0</x:f>
        <x:v>0</x:v>
      </x:c>
      <x:c r="AO30" s="110" t="n">
        <x:f>0</x:f>
        <x:v>0</x:v>
      </x:c>
      <x:c r="AP30" s="110" t="n">
        <x:f>0</x:f>
        <x:v>0</x:v>
      </x:c>
    </x:row>
    <x:row r="31">
      <x:c r="A31" s="61" t="n">
        <x:v>1871</x:v>
      </x:c>
      <x:c r="B31" s="45" t="n">
        <x:v>471</x:v>
      </x:c>
      <x:c r="C31" s="70" t="n">
        <x:f>Partners!H31</x:f>
        <x:v>1.029652163938165</x:v>
      </x:c>
      <x:c r="D31" s="47" t="n">
        <x:f>Partners!I31</x:f>
        <x:v>484.9661692148757</x:v>
      </x:c>
      <x:c r="E31" s="59" t="n">
        <x:v>0.09</x:v>
      </x:c>
      <x:c r="F31" s="59" t="n">
        <x:v>0.078</x:v>
      </x:c>
      <x:c r="G31" s="53" t="n">
        <x:f>D31*E31</x:f>
        <x:v>43.646955229338815</x:v>
      </x:c>
      <x:c r="H31" s="53" t="n">
        <x:f>D31*F31</x:f>
        <x:v>37.82736119876031</x:v>
      </x:c>
      <x:c r="I31" s="52" t="n">
        <x:v>2.2</x:v>
      </x:c>
      <x:c r="J31" s="53" t="n">
        <x:f>IF($A31&gt;=1927,(1-pac_quota)*Navy!X31,I31)</x:f>
        <x:v>2.2</x:v>
      </x:c>
      <x:c r="K31" s="52" t="n">
        <x:v>0</x:v>
      </x:c>
      <x:c r="L31" s="53" t="n">
        <x:f>IF($A31&gt;=1923,siberia_front*(1-pac_quota),0)</x:f>
        <x:v>0</x:v>
      </x:c>
      <x:c r="M31" s="52" t="n">
        <x:v>0</x:v>
      </x:c>
      <x:c r="N31" s="53" t="n">
        <x:f>M31*C31</x:f>
        <x:v>0</x:v>
      </x:c>
      <x:c r="O31" s="53" t="n">
        <x:f>IF($A31&gt;=1927,10*(1-pac_quota),0)</x:f>
        <x:v>0</x:v>
      </x:c>
      <x:c r="P31" s="53" t="n">
        <x:f>jp_coupon*(Z30-0)+0</x:f>
        <x:v>0.25</x:v>
      </x:c>
      <x:c r="Q31" s="53" t="n">
        <x:f>H31+J31+K31+L31+N31+O31+P31</x:f>
        <x:v>40.27736119876031</x:v>
      </x:c>
      <x:c r="R31" s="53" t="n">
        <x:f>Q31-G31</x:f>
        <x:v>-3.3695940305785044</x:v>
      </x:c>
      <x:c r="S31" s="52" t="n">
        <x:v>0</x:v>
      </x:c>
      <x:c r="T31" s="53" t="n">
        <x:f>S31*IF($A31&gt;=1923,C31,1)</x:f>
        <x:v>0</x:v>
      </x:c>
      <x:c r="U31" s="52" t="n">
        <x:v>0</x:v>
      </x:c>
      <x:c r="V31" s="52" t="n">
        <x:v>0</x:v>
      </x:c>
      <x:c r="W31" s="53" t="n">
        <x:f>(X30-0)*jp_foreign_repay+0</x:f>
        <x:v>0.15</x:v>
      </x:c>
      <x:c r="X31" s="53" t="n">
        <x:f>X30+T31-W31</x:f>
        <x:v>4.85</x:v>
      </x:c>
      <x:c r="Y31" s="53" t="n">
        <x:f>AG31+AF31-AH31</x:f>
        <x:v>0</x:v>
      </x:c>
      <x:c r="Z31" s="53" t="n">
        <x:f>X31+Y31</x:f>
        <x:v>4.85</x:v>
      </x:c>
      <x:c r="AA31" s="63" t="n">
        <x:f>IF(D31&gt;0,Z31/D31,0)</x:f>
        <x:v>0.010000697590621197</x:v>
      </x:c>
      <x:c r="AB31" s="63" t="n">
        <x:f>IF(G31&gt;0,P31/G31,0)</x:f>
        <x:v>0.005727776397835738</x:v>
      </x:c>
      <x:c r="AC31" s="63" t="n">
        <x:f>IF(T31+AF31&gt;0,T31/(T31+AF31),0)</x:f>
        <x:v>0</x:v>
      </x:c>
      <x:c r="AD31" s="110" t="n">
        <x:f>AJ30</x:f>
        <x:v>8.62940097109204</x:v>
      </x:c>
      <x:c r="AE31" s="110" t="n">
        <x:f>AD31+G31+T31+U31+AP31-Q31-W31-AO31</x:f>
        <x:v>11.848995001670543</x:v>
      </x:c>
      <x:c r="AF31" s="110" t="n">
        <x:f>MAX(0,-AE31)</x:f>
        <x:v>0</x:v>
      </x:c>
      <x:c r="AG31" s="110" t="n">
        <x:f>Y30+V31</x:f>
        <x:v>0</x:v>
      </x:c>
      <x:c r="AH31" s="110" t="n">
        <x:f>MIN(MAX(0,AE31),AG31)</x:f>
        <x:v>0</x:v>
      </x:c>
      <x:c r="AI31" s="110" t="n">
        <x:f>AE31+AF31-AH31</x:f>
        <x:v>11.848995001670543</x:v>
      </x:c>
      <x:c r="AJ31" s="110" t="n">
        <x:f>AI31</x:f>
        <x:v>11.848995001670543</x:v>
      </x:c>
      <x:c r="AK31" s="110" t="n">
        <x:f>AK30</x:f>
        <x:v>0</x:v>
      </x:c>
      <x:c r="AL31" s="110" t="n">
        <x:f>AJ31+AK31+AN31-Z31</x:f>
        <x:v>6.998995001670544</x:v>
      </x:c>
      <x:c r="AM31" s="110" t="n">
        <x:f>AJ31-(AD31+G31+T31+U31+AF31+AP31-Q31-W31-AH31-AO31)</x:f>
        <x:v>0</x:v>
      </x:c>
      <x:c r="AN31" s="110" t="n">
        <x:f>0</x:f>
        <x:v>0</x:v>
      </x:c>
      <x:c r="AO31" s="110" t="n">
        <x:f>0</x:f>
        <x:v>0</x:v>
      </x:c>
      <x:c r="AP31" s="110" t="n">
        <x:f>0</x:f>
        <x:v>0</x:v>
      </x:c>
    </x:row>
    <x:row r="32">
      <x:c r="A32" s="58" t="n">
        <x:v>1872</x:v>
      </x:c>
      <x:c r="B32" s="45" t="n">
        <x:v>479</x:v>
      </x:c>
      <x:c r="C32" s="70" t="n">
        <x:f>Partners!H32</x:f>
        <x:v>1.0402201950995227</x:v>
      </x:c>
      <x:c r="D32" s="47" t="n">
        <x:f>Partners!I32</x:f>
        <x:v>498.26547345267136</x:v>
      </x:c>
      <x:c r="E32" s="59" t="n">
        <x:v>0.1</x:v>
      </x:c>
      <x:c r="F32" s="59" t="n">
        <x:v>0.08400000000000001</x:v>
      </x:c>
      <x:c r="G32" s="53" t="n">
        <x:f>D32*E32</x:f>
        <x:v>49.82654734526714</x:v>
      </x:c>
      <x:c r="H32" s="53" t="n">
        <x:f>D32*F32</x:f>
        <x:v>41.8542997700244</x:v>
      </x:c>
      <x:c r="I32" s="52" t="n">
        <x:v>2.4</x:v>
      </x:c>
      <x:c r="J32" s="53" t="n">
        <x:f>IF($A32&gt;=1927,(1-pac_quota)*Navy!X32,I32)</x:f>
        <x:v>2.4</x:v>
      </x:c>
      <x:c r="K32" s="52" t="n">
        <x:v>0</x:v>
      </x:c>
      <x:c r="L32" s="53" t="n">
        <x:f>IF($A32&gt;=1923,siberia_front*(1-pac_quota),0)</x:f>
        <x:v>0</x:v>
      </x:c>
      <x:c r="M32" s="52" t="n">
        <x:v>0</x:v>
      </x:c>
      <x:c r="N32" s="53" t="n">
        <x:f>M32*C32</x:f>
        <x:v>0</x:v>
      </x:c>
      <x:c r="O32" s="53" t="n">
        <x:f>IF($A32&gt;=1927,10*(1-pac_quota),0)</x:f>
        <x:v>0</x:v>
      </x:c>
      <x:c r="P32" s="53" t="n">
        <x:f>jp_coupon*(Z31-0)+0</x:f>
        <x:v>0.2425</x:v>
      </x:c>
      <x:c r="Q32" s="53" t="n">
        <x:f>H32+J32+K32+L32+N32+O32+P32</x:f>
        <x:v>44.496799770024396</x:v>
      </x:c>
      <x:c r="R32" s="53" t="n">
        <x:f>Q32-G32</x:f>
        <x:v>-5.329747575242742</x:v>
      </x:c>
      <x:c r="S32" s="52" t="n">
        <x:v>0</x:v>
      </x:c>
      <x:c r="T32" s="53" t="n">
        <x:f>S32*IF($A32&gt;=1923,C32,1)</x:f>
        <x:v>0</x:v>
      </x:c>
      <x:c r="U32" s="52" t="n">
        <x:v>0</x:v>
      </x:c>
      <x:c r="V32" s="52" t="n">
        <x:v>0</x:v>
      </x:c>
      <x:c r="W32" s="53" t="n">
        <x:f>(X31-0)*jp_foreign_repay+0</x:f>
        <x:v>0.1455</x:v>
      </x:c>
      <x:c r="X32" s="53" t="n">
        <x:f>X31+T32-W32</x:f>
        <x:v>4.7044999999999995</x:v>
      </x:c>
      <x:c r="Y32" s="53" t="n">
        <x:f>AG32+AF32-AH32</x:f>
        <x:v>0</x:v>
      </x:c>
      <x:c r="Z32" s="53" t="n">
        <x:f>X32+Y32</x:f>
        <x:v>4.7044999999999995</x:v>
      </x:c>
      <x:c r="AA32" s="63" t="n">
        <x:f>IF(D32&gt;0,Z32/D32,0)</x:f>
        <x:v>0.009441753945744476</x:v>
      </x:c>
      <x:c r="AB32" s="63" t="n">
        <x:f>IF(G32&gt;0,P32/G32,0)</x:f>
        <x:v>0.004866883477187875</x:v>
      </x:c>
      <x:c r="AC32" s="63" t="n">
        <x:f>IF(T32+AF32&gt;0,T32/(T32+AF32),0)</x:f>
        <x:v>0</x:v>
      </x:c>
      <x:c r="AD32" s="110" t="n">
        <x:f>AJ31</x:f>
        <x:v>11.848995001670543</x:v>
      </x:c>
      <x:c r="AE32" s="110" t="n">
        <x:f>AD32+G32+T32+U32+AP32-Q32-W32-AO32</x:f>
        <x:v>17.03324257691329</x:v>
      </x:c>
      <x:c r="AF32" s="110" t="n">
        <x:f>MAX(0,-AE32)</x:f>
        <x:v>0</x:v>
      </x:c>
      <x:c r="AG32" s="110" t="n">
        <x:f>Y31+V32</x:f>
        <x:v>0</x:v>
      </x:c>
      <x:c r="AH32" s="110" t="n">
        <x:f>MIN(MAX(0,AE32),AG32)</x:f>
        <x:v>0</x:v>
      </x:c>
      <x:c r="AI32" s="110" t="n">
        <x:f>AE32+AF32-AH32</x:f>
        <x:v>17.03324257691329</x:v>
      </x:c>
      <x:c r="AJ32" s="110" t="n">
        <x:f>AI32</x:f>
        <x:v>17.03324257691329</x:v>
      </x:c>
      <x:c r="AK32" s="110" t="n">
        <x:f>AK31</x:f>
        <x:v>0</x:v>
      </x:c>
      <x:c r="AL32" s="110" t="n">
        <x:f>AJ32+AK32+AN32-Z32</x:f>
        <x:v>12.328742576913289</x:v>
      </x:c>
      <x:c r="AM32" s="110" t="n">
        <x:f>AJ32-(AD32+G32+T32+U32+AF32+AP32-Q32-W32-AH32-AO32)</x:f>
        <x:v>0</x:v>
      </x:c>
      <x:c r="AN32" s="110" t="n">
        <x:f>0</x:f>
        <x:v>0</x:v>
      </x:c>
      <x:c r="AO32" s="110" t="n">
        <x:f>0</x:f>
        <x:v>0</x:v>
      </x:c>
      <x:c r="AP32" s="110" t="n">
        <x:f>0</x:f>
        <x:v>0</x:v>
      </x:c>
    </x:row>
    <x:row r="33">
      <x:c r="A33" s="58" t="n">
        <x:v>1873</x:v>
      </x:c>
      <x:c r="B33" s="45" t="n">
        <x:v>486</x:v>
      </x:c>
      <x:c r="C33" s="70" t="n">
        <x:f>Partners!H33</x:f>
        <x:v>1.051132557487249</x:v>
      </x:c>
      <x:c r="D33" s="47" t="n">
        <x:f>Partners!I33</x:f>
        <x:v>510.85042293880304</x:v>
      </x:c>
      <x:c r="E33" s="59" t="n">
        <x:v>0.11</x:v>
      </x:c>
      <x:c r="F33" s="59" t="n">
        <x:v>0.09</x:v>
      </x:c>
      <x:c r="G33" s="53" t="n">
        <x:f>D33*E33</x:f>
        <x:v>56.19354652326833</x:v>
      </x:c>
      <x:c r="H33" s="53" t="n">
        <x:f>D33*F33</x:f>
        <x:v>45.976538064492274</x:v>
      </x:c>
      <x:c r="I33" s="52" t="n">
        <x:v>2.6</x:v>
      </x:c>
      <x:c r="J33" s="53" t="n">
        <x:f>IF($A33&gt;=1927,(1-pac_quota)*Navy!X33,I33)</x:f>
        <x:v>2.6</x:v>
      </x:c>
      <x:c r="K33" s="52" t="n">
        <x:v>0</x:v>
      </x:c>
      <x:c r="L33" s="53" t="n">
        <x:f>IF($A33&gt;=1923,siberia_front*(1-pac_quota),0)</x:f>
        <x:v>0</x:v>
      </x:c>
      <x:c r="M33" s="52" t="n">
        <x:v>0</x:v>
      </x:c>
      <x:c r="N33" s="53" t="n">
        <x:f>M33*C33</x:f>
        <x:v>0</x:v>
      </x:c>
      <x:c r="O33" s="53" t="n">
        <x:f>IF($A33&gt;=1927,10*(1-pac_quota),0)</x:f>
        <x:v>0</x:v>
      </x:c>
      <x:c r="P33" s="53" t="n">
        <x:f>jp_coupon*(Z32-0)+0</x:f>
        <x:v>0.235225</x:v>
      </x:c>
      <x:c r="Q33" s="53" t="n">
        <x:f>H33+J33+K33+L33+N33+O33+P33</x:f>
        <x:v>48.811763064492276</x:v>
      </x:c>
      <x:c r="R33" s="53" t="n">
        <x:f>Q33-G33</x:f>
        <x:v>-7.381783458776056</x:v>
      </x:c>
      <x:c r="S33" s="52" t="n">
        <x:v>0</x:v>
      </x:c>
      <x:c r="T33" s="53" t="n">
        <x:f>S33*IF($A33&gt;=1923,C33,1)</x:f>
        <x:v>0</x:v>
      </x:c>
      <x:c r="U33" s="52" t="n">
        <x:v>0</x:v>
      </x:c>
      <x:c r="V33" s="52" t="n">
        <x:v>0</x:v>
      </x:c>
      <x:c r="W33" s="53" t="n">
        <x:f>(X32-0)*jp_foreign_repay+0</x:f>
        <x:v>0.14113499999999998</x:v>
      </x:c>
      <x:c r="X33" s="53" t="n">
        <x:f>X32+T33-W33</x:f>
        <x:v>4.563364999999999</x:v>
      </x:c>
      <x:c r="Y33" s="53" t="n">
        <x:f>AG33+AF33-AH33</x:f>
        <x:v>0</x:v>
      </x:c>
      <x:c r="Z33" s="53" t="n">
        <x:f>X33+Y33</x:f>
        <x:v>4.563364999999999</x:v>
      </x:c>
      <x:c r="AA33" s="63" t="n">
        <x:f>IF(D33&gt;0,Z33/D33,0)</x:f>
        <x:v>0.008932878970223861</x:v>
      </x:c>
      <x:c r="AB33" s="63" t="n">
        <x:f>IF(G33&gt;0,P33/G33,0)</x:f>
        <x:v>0.004185978898886534</x:v>
      </x:c>
      <x:c r="AC33" s="63" t="n">
        <x:f>IF(T33+AF33&gt;0,T33/(T33+AF33),0)</x:f>
        <x:v>0</x:v>
      </x:c>
      <x:c r="AD33" s="110" t="n">
        <x:f>AJ32</x:f>
        <x:v>17.03324257691329</x:v>
      </x:c>
      <x:c r="AE33" s="110" t="n">
        <x:f>AD33+G33+T33+U33+AP33-Q33-W33-AO33</x:f>
        <x:v>24.273891035689346</x:v>
      </x:c>
      <x:c r="AF33" s="110" t="n">
        <x:f>MAX(0,-AE33)</x:f>
        <x:v>0</x:v>
      </x:c>
      <x:c r="AG33" s="110" t="n">
        <x:f>Y32+V33</x:f>
        <x:v>0</x:v>
      </x:c>
      <x:c r="AH33" s="110" t="n">
        <x:f>MIN(MAX(0,AE33),AG33)</x:f>
        <x:v>0</x:v>
      </x:c>
      <x:c r="AI33" s="110" t="n">
        <x:f>AE33+AF33-AH33</x:f>
        <x:v>24.273891035689346</x:v>
      </x:c>
      <x:c r="AJ33" s="110" t="n">
        <x:f>AI33</x:f>
        <x:v>24.273891035689346</x:v>
      </x:c>
      <x:c r="AK33" s="110" t="n">
        <x:f>AK32</x:f>
        <x:v>0</x:v>
      </x:c>
      <x:c r="AL33" s="110" t="n">
        <x:f>AJ33+AK33+AN33-Z33</x:f>
        <x:v>19.710526035689348</x:v>
      </x:c>
      <x:c r="AM33" s="110" t="n">
        <x:f>AJ33-(AD33+G33+T33+U33+AF33+AP33-Q33-W33-AH33-AO33)</x:f>
        <x:v>0</x:v>
      </x:c>
      <x:c r="AN33" s="110" t="n">
        <x:f>0</x:f>
        <x:v>0</x:v>
      </x:c>
      <x:c r="AO33" s="110" t="n">
        <x:f>0</x:f>
        <x:v>0</x:v>
      </x:c>
      <x:c r="AP33" s="110" t="n">
        <x:f>0</x:f>
        <x:v>0</x:v>
      </x:c>
    </x:row>
    <x:row r="34">
      <x:c r="A34" s="58" t="n">
        <x:v>1874</x:v>
      </x:c>
      <x:c r="B34" s="45" t="n">
        <x:v>493</x:v>
      </x:c>
      <x:c r="C34" s="70" t="n">
        <x:f>Partners!H34</x:f>
        <x:v>1.0623209338298156</x:v>
      </x:c>
      <x:c r="D34" s="47" t="n">
        <x:f>Partners!I34</x:f>
        <x:v>523.7242203780991</x:v>
      </x:c>
      <x:c r="E34" s="59" t="n">
        <x:v>0.11</x:v>
      </x:c>
      <x:c r="F34" s="59" t="n">
        <x:v>0.09</x:v>
      </x:c>
      <x:c r="G34" s="53" t="n">
        <x:f>D34*E34</x:f>
        <x:v>57.6096642415909</x:v>
      </x:c>
      <x:c r="H34" s="53" t="n">
        <x:f>D34*F34</x:f>
        <x:v>47.13517983402891</x:v>
      </x:c>
      <x:c r="I34" s="52" t="n">
        <x:v>2.8</x:v>
      </x:c>
      <x:c r="J34" s="53" t="n">
        <x:f>IF($A34&gt;=1927,(1-pac_quota)*Navy!X34,I34)</x:f>
        <x:v>2.8</x:v>
      </x:c>
      <x:c r="K34" s="52" t="n">
        <x:v>0</x:v>
      </x:c>
      <x:c r="L34" s="53" t="n">
        <x:f>IF($A34&gt;=1923,siberia_front*(1-pac_quota),0)</x:f>
        <x:v>0</x:v>
      </x:c>
      <x:c r="M34" s="52" t="n">
        <x:v>0</x:v>
      </x:c>
      <x:c r="N34" s="53" t="n">
        <x:f>M34*C34</x:f>
        <x:v>0</x:v>
      </x:c>
      <x:c r="O34" s="53" t="n">
        <x:f>IF($A34&gt;=1927,10*(1-pac_quota),0)</x:f>
        <x:v>0</x:v>
      </x:c>
      <x:c r="P34" s="53" t="n">
        <x:f>jp_coupon*(Z33-0)+0</x:f>
        <x:v>0.22816824999999996</x:v>
      </x:c>
      <x:c r="Q34" s="53" t="n">
        <x:f>H34+J34+K34+L34+N34+O34+P34</x:f>
        <x:v>50.16334808402891</x:v>
      </x:c>
      <x:c r="R34" s="53" t="n">
        <x:f>Q34-G34</x:f>
        <x:v>-7.446316157561988</x:v>
      </x:c>
      <x:c r="S34" s="52" t="n">
        <x:v>0</x:v>
      </x:c>
      <x:c r="T34" s="53" t="n">
        <x:f>S34*IF($A34&gt;=1923,C34,1)</x:f>
        <x:v>0</x:v>
      </x:c>
      <x:c r="U34" s="52" t="n">
        <x:v>0</x:v>
      </x:c>
      <x:c r="V34" s="52" t="n">
        <x:v>0</x:v>
      </x:c>
      <x:c r="W34" s="53" t="n">
        <x:f>(X33-0)*jp_foreign_repay+0</x:f>
        <x:v>0.13690094999999997</x:v>
      </x:c>
      <x:c r="X34" s="53" t="n">
        <x:f>X33+T34-W34</x:f>
        <x:v>4.426464049999999</x:v>
      </x:c>
      <x:c r="Y34" s="53" t="n">
        <x:f>AG34+AF34-AH34</x:f>
        <x:v>0</x:v>
      </x:c>
      <x:c r="Z34" s="53" t="n">
        <x:f>X34+Y34</x:f>
        <x:v>4.426464049999999</x:v>
      </x:c>
      <x:c r="AA34" s="63" t="n">
        <x:f>IF(D34&gt;0,Z34/D34,0)</x:f>
        <x:v>0.008451898685923566</x:v>
      </x:c>
      <x:c r="AB34" s="63" t="n">
        <x:f>IF(G34&gt;0,P34/G34,0)</x:f>
        <x:v>0.00396058982470645</x:v>
      </x:c>
      <x:c r="AC34" s="63" t="n">
        <x:f>IF(T34+AF34&gt;0,T34/(T34+AF34),0)</x:f>
        <x:v>0</x:v>
      </x:c>
      <x:c r="AD34" s="110" t="n">
        <x:f>AJ33</x:f>
        <x:v>24.273891035689346</x:v>
      </x:c>
      <x:c r="AE34" s="110" t="n">
        <x:f>AD34+G34+T34+U34+AP34-Q34-W34-AO34</x:f>
        <x:v>31.583306243251325</x:v>
      </x:c>
      <x:c r="AF34" s="110" t="n">
        <x:f>MAX(0,-AE34)</x:f>
        <x:v>0</x:v>
      </x:c>
      <x:c r="AG34" s="110" t="n">
        <x:f>Y33+V34</x:f>
        <x:v>0</x:v>
      </x:c>
      <x:c r="AH34" s="110" t="n">
        <x:f>MIN(MAX(0,AE34),AG34)</x:f>
        <x:v>0</x:v>
      </x:c>
      <x:c r="AI34" s="110" t="n">
        <x:f>AE34+AF34-AH34</x:f>
        <x:v>31.583306243251325</x:v>
      </x:c>
      <x:c r="AJ34" s="110" t="n">
        <x:f>AI34</x:f>
        <x:v>31.583306243251325</x:v>
      </x:c>
      <x:c r="AK34" s="110" t="n">
        <x:f>AK33</x:f>
        <x:v>0</x:v>
      </x:c>
      <x:c r="AL34" s="110" t="n">
        <x:f>AJ34+AK34+AN34-Z34</x:f>
        <x:v>27.156842193251325</x:v>
      </x:c>
      <x:c r="AM34" s="110" t="n">
        <x:f>AJ34-(AD34+G34+T34+U34+AF34+AP34-Q34-W34-AH34-AO34)</x:f>
        <x:v>0</x:v>
      </x:c>
      <x:c r="AN34" s="110" t="n">
        <x:f>0</x:f>
        <x:v>0</x:v>
      </x:c>
      <x:c r="AO34" s="110" t="n">
        <x:f>0</x:f>
        <x:v>0</x:v>
      </x:c>
      <x:c r="AP34" s="110" t="n">
        <x:f>0</x:f>
        <x:v>0</x:v>
      </x:c>
    </x:row>
    <x:row r="35">
      <x:c r="A35" s="58" t="n">
        <x:v>1875</x:v>
      </x:c>
      <x:c r="B35" s="45" t="n">
        <x:v>500</x:v>
      </x:c>
      <x:c r="C35" s="70" t="n">
        <x:f>Partners!H35</x:f>
        <x:v>1.0737983055403002</x:v>
      </x:c>
      <x:c r="D35" s="47" t="n">
        <x:f>Partners!I35</x:f>
        <x:v>536.8991527701501</x:v>
      </x:c>
      <x:c r="E35" s="59" t="n">
        <x:v>0.11</x:v>
      </x:c>
      <x:c r="F35" s="59" t="n">
        <x:v>0.09</x:v>
      </x:c>
      <x:c r="G35" s="53" t="n">
        <x:f>D35*E35</x:f>
        <x:v>59.05890680471651</x:v>
      </x:c>
      <x:c r="H35" s="53" t="n">
        <x:f>D35*F35</x:f>
        <x:v>48.32092374931351</x:v>
      </x:c>
      <x:c r="I35" s="52" t="n">
        <x:v>3</x:v>
      </x:c>
      <x:c r="J35" s="53" t="n">
        <x:f>IF($A35&gt;=1927,(1-pac_quota)*Navy!X35,I35)</x:f>
        <x:v>3</x:v>
      </x:c>
      <x:c r="K35" s="52" t="n">
        <x:v>0</x:v>
      </x:c>
      <x:c r="L35" s="53" t="n">
        <x:f>IF($A35&gt;=1923,siberia_front*(1-pac_quota),0)</x:f>
        <x:v>0</x:v>
      </x:c>
      <x:c r="M35" s="52" t="n">
        <x:v>0</x:v>
      </x:c>
      <x:c r="N35" s="53" t="n">
        <x:f>M35*C35</x:f>
        <x:v>0</x:v>
      </x:c>
      <x:c r="O35" s="53" t="n">
        <x:f>IF($A35&gt;=1927,10*(1-pac_quota),0)</x:f>
        <x:v>0</x:v>
      </x:c>
      <x:c r="P35" s="53" t="n">
        <x:f>jp_coupon*(Z34-0)+0</x:f>
        <x:v>0.22132320249999995</x:v>
      </x:c>
      <x:c r="Q35" s="53" t="n">
        <x:f>H35+J35+K35+L35+N35+O35+P35</x:f>
        <x:v>51.54224695181351</x:v>
      </x:c>
      <x:c r="R35" s="53" t="n">
        <x:f>Q35-G35</x:f>
        <x:v>-7.516659852902997</x:v>
      </x:c>
      <x:c r="S35" s="52" t="n">
        <x:v>0</x:v>
      </x:c>
      <x:c r="T35" s="53" t="n">
        <x:f>S35*IF($A35&gt;=1923,C35,1)</x:f>
        <x:v>0</x:v>
      </x:c>
      <x:c r="U35" s="52" t="n">
        <x:v>0</x:v>
      </x:c>
      <x:c r="V35" s="52" t="n">
        <x:v>0</x:v>
      </x:c>
      <x:c r="W35" s="53" t="n">
        <x:f>(X34-0)*jp_foreign_repay+0</x:f>
        <x:v>0.13279392149999997</x:v>
      </x:c>
      <x:c r="X35" s="53" t="n">
        <x:f>X34+T35-W35</x:f>
        <x:v>4.293670128499999</x:v>
      </x:c>
      <x:c r="Y35" s="53" t="n">
        <x:f>AG35+AF35-AH35</x:f>
        <x:v>0</x:v>
      </x:c>
      <x:c r="Z35" s="53" t="n">
        <x:f>X35+Y35</x:f>
        <x:v>4.293670128499999</x:v>
      </x:c>
      <x:c r="AA35" s="63" t="n">
        <x:f>IF(D35&gt;0,Z35/D35,0)</x:f>
        <x:v>0.007997163166204782</x:v>
      </x:c>
      <x:c r="AB35" s="63" t="n">
        <x:f>IF(G35&gt;0,P35/G35,0)</x:f>
        <x:v>0.003747499140677031</x:v>
      </x:c>
      <x:c r="AC35" s="63" t="n">
        <x:f>IF(T35+AF35&gt;0,T35/(T35+AF35),0)</x:f>
        <x:v>0</x:v>
      </x:c>
      <x:c r="AD35" s="110" t="n">
        <x:f>AJ34</x:f>
        <x:v>31.583306243251325</x:v>
      </x:c>
      <x:c r="AE35" s="110" t="n">
        <x:f>AD35+G35+T35+U35+AP35-Q35-W35-AO35</x:f>
        <x:v>38.967172174654316</x:v>
      </x:c>
      <x:c r="AF35" s="110" t="n">
        <x:f>MAX(0,-AE35)</x:f>
        <x:v>0</x:v>
      </x:c>
      <x:c r="AG35" s="110" t="n">
        <x:f>Y34+V35</x:f>
        <x:v>0</x:v>
      </x:c>
      <x:c r="AH35" s="110" t="n">
        <x:f>MIN(MAX(0,AE35),AG35)</x:f>
        <x:v>0</x:v>
      </x:c>
      <x:c r="AI35" s="110" t="n">
        <x:f>AE35+AF35-AH35</x:f>
        <x:v>38.967172174654316</x:v>
      </x:c>
      <x:c r="AJ35" s="110" t="n">
        <x:f>AI35</x:f>
        <x:v>38.967172174654316</x:v>
      </x:c>
      <x:c r="AK35" s="110" t="n">
        <x:f>AK34</x:f>
        <x:v>0</x:v>
      </x:c>
      <x:c r="AL35" s="110" t="n">
        <x:f>AJ35+AK35+AN35-Z35</x:f>
        <x:v>34.67350204615432</x:v>
      </x:c>
      <x:c r="AM35" s="110" t="n">
        <x:f>AJ35-(AD35+G35+T35+U35+AF35+AP35-Q35-W35-AH35-AO35)</x:f>
        <x:v>0</x:v>
      </x:c>
      <x:c r="AN35" s="110" t="n">
        <x:f>0</x:f>
        <x:v>0</x:v>
      </x:c>
      <x:c r="AO35" s="110" t="n">
        <x:f>0</x:f>
        <x:v>0</x:v>
      </x:c>
      <x:c r="AP35" s="110" t="n">
        <x:f>0</x:f>
        <x:v>0</x:v>
      </x:c>
    </x:row>
    <x:row r="36">
      <x:c r="A36" s="58" t="n">
        <x:v>1876</x:v>
      </x:c>
      <x:c r="B36" s="45" t="n">
        <x:v>520</x:v>
      </x:c>
      <x:c r="C36" s="70" t="n">
        <x:f>Partners!H36</x:f>
        <x:v>1.085673769398313</x:v>
      </x:c>
      <x:c r="D36" s="47" t="n">
        <x:f>Partners!I36</x:f>
        <x:v>564.5503600871227</x:v>
      </x:c>
      <x:c r="E36" s="59" t="n">
        <x:v>0.11</x:v>
      </x:c>
      <x:c r="F36" s="59" t="n">
        <x:v>0.09</x:v>
      </x:c>
      <x:c r="G36" s="53" t="n">
        <x:f>D36*E36</x:f>
        <x:v>62.1005396095835</x:v>
      </x:c>
      <x:c r="H36" s="53" t="n">
        <x:f>D36*F36</x:f>
        <x:v>50.80953240784104</x:v>
      </x:c>
      <x:c r="I36" s="52" t="n">
        <x:v>3.2</x:v>
      </x:c>
      <x:c r="J36" s="53" t="n">
        <x:f>IF($A36&gt;=1927,(1-pac_quota)*Navy!X36,I36)</x:f>
        <x:v>3.2</x:v>
      </x:c>
      <x:c r="K36" s="52" t="n">
        <x:v>0</x:v>
      </x:c>
      <x:c r="L36" s="53" t="n">
        <x:f>IF($A36&gt;=1923,siberia_front*(1-pac_quota),0)</x:f>
        <x:v>0</x:v>
      </x:c>
      <x:c r="M36" s="52" t="n">
        <x:v>0</x:v>
      </x:c>
      <x:c r="N36" s="53" t="n">
        <x:f>M36*C36</x:f>
        <x:v>0</x:v>
      </x:c>
      <x:c r="O36" s="53" t="n">
        <x:f>IF($A36&gt;=1927,10*(1-pac_quota),0)</x:f>
        <x:v>0</x:v>
      </x:c>
      <x:c r="P36" s="53" t="n">
        <x:f>jp_coupon*(Z35-0)+0</x:f>
        <x:v>0.21468350642499995</x:v>
      </x:c>
      <x:c r="Q36" s="53" t="n">
        <x:f>H36+J36+K36+L36+N36+O36+P36</x:f>
        <x:v>54.22421591426604</x:v>
      </x:c>
      <x:c r="R36" s="53" t="n">
        <x:f>Q36-G36</x:f>
        <x:v>-7.87632369531746</x:v>
      </x:c>
      <x:c r="S36" s="52" t="n">
        <x:v>0</x:v>
      </x:c>
      <x:c r="T36" s="53" t="n">
        <x:f>S36*IF($A36&gt;=1923,C36,1)</x:f>
        <x:v>0</x:v>
      </x:c>
      <x:c r="U36" s="52" t="n">
        <x:v>0</x:v>
      </x:c>
      <x:c r="V36" s="52" t="n">
        <x:v>170</x:v>
      </x:c>
      <x:c r="W36" s="53" t="n">
        <x:f>(X35-0)*jp_foreign_repay+0</x:f>
        <x:v>0.12881010385499997</x:v>
      </x:c>
      <x:c r="X36" s="53" t="n">
        <x:f>X35+T36-W36</x:f>
        <x:v>4.164860024644999</x:v>
      </x:c>
      <x:c r="Y36" s="53" t="n">
        <x:f>AG36+AF36-AH36</x:f>
        <x:v>123.28531423388323</x:v>
      </x:c>
      <x:c r="Z36" s="53" t="n">
        <x:f>X36+Y36</x:f>
        <x:v>127.45017425852822</x:v>
      </x:c>
      <x:c r="AA36" s="63" t="n">
        <x:f>IF(D36&gt;0,Z36/D36,0)</x:f>
        <x:v>0.2257551908015076</x:v>
      </x:c>
      <x:c r="AB36" s="63" t="n">
        <x:f>IF(G36&gt;0,P36/G36,0)</x:f>
        <x:v>0.0034570312556812225</x:v>
      </x:c>
      <x:c r="AC36" s="63" t="n">
        <x:f>IF(T36+AF36&gt;0,T36/(T36+AF36),0)</x:f>
        <x:v>0</x:v>
      </x:c>
      <x:c r="AD36" s="110" t="n">
        <x:f>AJ35</x:f>
        <x:v>38.967172174654316</x:v>
      </x:c>
      <x:c r="AE36" s="110" t="n">
        <x:f>AD36+G36+T36+U36+AP36-Q36-W36-AO36</x:f>
        <x:v>46.71468576611677</x:v>
      </x:c>
      <x:c r="AF36" s="110" t="n">
        <x:f>MAX(0,-AE36)</x:f>
        <x:v>0</x:v>
      </x:c>
      <x:c r="AG36" s="110" t="n">
        <x:f>Y35+V36</x:f>
        <x:v>170</x:v>
      </x:c>
      <x:c r="AH36" s="110" t="n">
        <x:f>MIN(MAX(0,AE36),AG36)</x:f>
        <x:v>46.71468576611677</x:v>
      </x:c>
      <x:c r="AI36" s="110" t="n">
        <x:f>AE36+AF36-AH36</x:f>
        <x:v>0</x:v>
      </x:c>
      <x:c r="AJ36" s="110" t="n">
        <x:f>AI36</x:f>
        <x:v>0</x:v>
      </x:c>
      <x:c r="AK36" s="110" t="n">
        <x:f>AK35</x:f>
        <x:v>0</x:v>
      </x:c>
      <x:c r="AL36" s="110" t="n">
        <x:f>AJ36+AK36+AN36-Z36</x:f>
        <x:v>-127.45017425852822</x:v>
      </x:c>
      <x:c r="AM36" s="110" t="n">
        <x:f>AJ36-(AD36+G36+T36+U36+AF36+AP36-Q36-W36-AH36-AO36)</x:f>
        <x:v>0</x:v>
      </x:c>
      <x:c r="AN36" s="110" t="n">
        <x:f>0</x:f>
        <x:v>0</x:v>
      </x:c>
      <x:c r="AO36" s="110" t="n">
        <x:f>0</x:f>
        <x:v>0</x:v>
      </x:c>
      <x:c r="AP36" s="110" t="n">
        <x:f>0</x:f>
        <x:v>0</x:v>
      </x:c>
    </x:row>
    <x:row r="37">
      <x:c r="A37" s="58" t="n">
        <x:v>1877</x:v>
      </x:c>
      <x:c r="B37" s="45" t="n">
        <x:v>540</x:v>
      </x:c>
      <x:c r="C37" s="70" t="n">
        <x:f>Partners!H37</x:f>
        <x:v>1.0978579621806446</x:v>
      </x:c>
      <x:c r="D37" s="47" t="n">
        <x:f>Partners!I37</x:f>
        <x:v>592.8432995775481</x:v>
      </x:c>
      <x:c r="E37" s="59" t="n">
        <x:v>0.11</x:v>
      </x:c>
      <x:c r="F37" s="59" t="n">
        <x:v>0.09</x:v>
      </x:c>
      <x:c r="G37" s="53" t="n">
        <x:f>D37*E37</x:f>
        <x:v>65.21276295353029</x:v>
      </x:c>
      <x:c r="H37" s="53" t="n">
        <x:f>D37*F37</x:f>
        <x:v>53.355896961979326</x:v>
      </x:c>
      <x:c r="I37" s="52" t="n">
        <x:v>3.4</x:v>
      </x:c>
      <x:c r="J37" s="53" t="n">
        <x:f>IF($A37&gt;=1927,(1-pac_quota)*Navy!X37,I37)</x:f>
        <x:v>3.4</x:v>
      </x:c>
      <x:c r="K37" s="52" t="n">
        <x:v>0</x:v>
      </x:c>
      <x:c r="L37" s="53" t="n">
        <x:f>IF($A37&gt;=1923,siberia_front*(1-pac_quota),0)</x:f>
        <x:v>0</x:v>
      </x:c>
      <x:c r="M37" s="52" t="n">
        <x:v>0</x:v>
      </x:c>
      <x:c r="N37" s="53" t="n">
        <x:f>M37*C37</x:f>
        <x:v>0</x:v>
      </x:c>
      <x:c r="O37" s="53" t="n">
        <x:f>IF($A37&gt;=1927,10*(1-pac_quota),0)</x:f>
        <x:v>0</x:v>
      </x:c>
      <x:c r="P37" s="53" t="n">
        <x:f>jp_coupon*(Z36-0)+0</x:f>
        <x:v>6.372508712926411</x:v>
      </x:c>
      <x:c r="Q37" s="53" t="n">
        <x:f>H37+J37+K37+L37+N37+O37+P37</x:f>
        <x:v>63.128405674905736</x:v>
      </x:c>
      <x:c r="R37" s="53" t="n">
        <x:f>Q37-G37</x:f>
        <x:v>-2.0843572786245517</x:v>
      </x:c>
      <x:c r="S37" s="52" t="n">
        <x:v>0</x:v>
      </x:c>
      <x:c r="T37" s="53" t="n">
        <x:f>S37*IF($A37&gt;=1923,C37,1)</x:f>
        <x:v>0</x:v>
      </x:c>
      <x:c r="U37" s="52" t="n">
        <x:v>0</x:v>
      </x:c>
      <x:c r="V37" s="52" t="n">
        <x:v>0</x:v>
      </x:c>
      <x:c r="W37" s="53" t="n">
        <x:f>(X36-0)*jp_foreign_repay+0</x:f>
        <x:v>0.12494580073934997</x:v>
      </x:c>
      <x:c r="X37" s="53" t="n">
        <x:f>X36+T37-W37</x:f>
        <x:v>4.039914223905649</x:v>
      </x:c>
      <x:c r="Y37" s="53" t="n">
        <x:f>AG37+AF37-AH37</x:f>
        <x:v>121.32590275599803</x:v>
      </x:c>
      <x:c r="Z37" s="53" t="n">
        <x:f>X37+Y37</x:f>
        <x:v>125.36581697990368</x:v>
      </x:c>
      <x:c r="AA37" s="63" t="n">
        <x:f>IF(D37&gt;0,Z37/D37,0)</x:f>
        <x:v>0.21146535192223243</x:v>
      </x:c>
      <x:c r="AB37" s="63" t="n">
        <x:f>IF(G37&gt;0,P37/G37,0)</x:f>
        <x:v>0.09771873517255161</x:v>
      </x:c>
      <x:c r="AC37" s="63" t="n">
        <x:f>IF(T37+AF37&gt;0,T37/(T37+AF37),0)</x:f>
        <x:v>0</x:v>
      </x:c>
      <x:c r="AD37" s="110" t="n">
        <x:f>AJ36</x:f>
        <x:v>0</x:v>
      </x:c>
      <x:c r="AE37" s="110" t="n">
        <x:f>AD37+G37+T37+U37+AP37-Q37-W37-AO37</x:f>
        <x:v>1.9594114778852016</x:v>
      </x:c>
      <x:c r="AF37" s="110" t="n">
        <x:f>MAX(0,-AE37)</x:f>
        <x:v>0</x:v>
      </x:c>
      <x:c r="AG37" s="110" t="n">
        <x:f>Y36+V37</x:f>
        <x:v>123.28531423388323</x:v>
      </x:c>
      <x:c r="AH37" s="110" t="n">
        <x:f>MIN(MAX(0,AE37),AG37)</x:f>
        <x:v>1.9594114778852016</x:v>
      </x:c>
      <x:c r="AI37" s="110" t="n">
        <x:f>AE37+AF37-AH37</x:f>
        <x:v>0</x:v>
      </x:c>
      <x:c r="AJ37" s="110" t="n">
        <x:f>AI37</x:f>
        <x:v>0</x:v>
      </x:c>
      <x:c r="AK37" s="110" t="n">
        <x:f>AK36</x:f>
        <x:v>0</x:v>
      </x:c>
      <x:c r="AL37" s="110" t="n">
        <x:f>AJ37+AK37+AN37-Z37</x:f>
        <x:v>-125.36581697990368</x:v>
      </x:c>
      <x:c r="AM37" s="110" t="n">
        <x:f>AJ37-(AD37+G37+T37+U37+AF37+AP37-Q37-W37-AH37-AO37)</x:f>
        <x:v>0</x:v>
      </x:c>
      <x:c r="AN37" s="110" t="n">
        <x:f>0</x:f>
        <x:v>0</x:v>
      </x:c>
      <x:c r="AO37" s="110" t="n">
        <x:f>0</x:f>
        <x:v>0</x:v>
      </x:c>
      <x:c r="AP37" s="110" t="n">
        <x:f>0</x:f>
        <x:v>0</x:v>
      </x:c>
    </x:row>
    <x:row r="38">
      <x:c r="A38" s="58" t="n">
        <x:v>1878</x:v>
      </x:c>
      <x:c r="B38" s="45" t="n">
        <x:v>560</x:v>
      </x:c>
      <x:c r="C38" s="70" t="n">
        <x:f>Partners!H38</x:f>
        <x:v>1.1102007580136941</x:v>
      </x:c>
      <x:c r="D38" s="47" t="n">
        <x:f>Partners!I38</x:f>
        <x:v>621.7124244876687</x:v>
      </x:c>
      <x:c r="E38" s="59" t="n">
        <x:v>0.11</x:v>
      </x:c>
      <x:c r="F38" s="59" t="n">
        <x:v>0.09</x:v>
      </x:c>
      <x:c r="G38" s="53" t="n">
        <x:f>D38*E38</x:f>
        <x:v>68.38836669364356</x:v>
      </x:c>
      <x:c r="H38" s="53" t="n">
        <x:f>D38*F38</x:f>
        <x:v>55.95411820389018</x:v>
      </x:c>
      <x:c r="I38" s="52" t="n">
        <x:v>3.6</x:v>
      </x:c>
      <x:c r="J38" s="53" t="n">
        <x:f>IF($A38&gt;=1927,(1-pac_quota)*Navy!X38,I38)</x:f>
        <x:v>3.6</x:v>
      </x:c>
      <x:c r="K38" s="52" t="n">
        <x:v>0</x:v>
      </x:c>
      <x:c r="L38" s="53" t="n">
        <x:f>IF($A38&gt;=1923,siberia_front*(1-pac_quota),0)</x:f>
        <x:v>0</x:v>
      </x:c>
      <x:c r="M38" s="52" t="n">
        <x:v>0</x:v>
      </x:c>
      <x:c r="N38" s="53" t="n">
        <x:f>M38*C38</x:f>
        <x:v>0</x:v>
      </x:c>
      <x:c r="O38" s="53" t="n">
        <x:f>IF($A38&gt;=1927,10*(1-pac_quota),0)</x:f>
        <x:v>0</x:v>
      </x:c>
      <x:c r="P38" s="53" t="n">
        <x:f>jp_coupon*(Z37-0)+0</x:f>
        <x:v>6.268290848995185</x:v>
      </x:c>
      <x:c r="Q38" s="53" t="n">
        <x:f>H38+J38+K38+L38+N38+O38+P38</x:f>
        <x:v>65.82240905288536</x:v>
      </x:c>
      <x:c r="R38" s="53" t="n">
        <x:f>Q38-G38</x:f>
        <x:v>-2.5659576407581994</x:v>
      </x:c>
      <x:c r="S38" s="52" t="n">
        <x:v>0</x:v>
      </x:c>
      <x:c r="T38" s="53" t="n">
        <x:f>S38*IF($A38&gt;=1923,C38,1)</x:f>
        <x:v>0</x:v>
      </x:c>
      <x:c r="U38" s="52" t="n">
        <x:v>0</x:v>
      </x:c>
      <x:c r="V38" s="52" t="n">
        <x:v>0</x:v>
      </x:c>
      <x:c r="W38" s="53" t="n">
        <x:f>(X37-0)*jp_foreign_repay+0</x:f>
        <x:v>0.12119742671716947</x:v>
      </x:c>
      <x:c r="X38" s="53" t="n">
        <x:f>X37+T38-W38</x:f>
        <x:v>3.9187167971884795</x:v>
      </x:c>
      <x:c r="Y38" s="53" t="n">
        <x:f>AG38+AF38-AH38</x:f>
        <x:v>118.881142541957</x:v>
      </x:c>
      <x:c r="Z38" s="53" t="n">
        <x:f>X38+Y38</x:f>
        <x:v>122.79985933914548</x:v>
      </x:c>
      <x:c r="AA38" s="63" t="n">
        <x:f>IF(D38&gt;0,Z38/D38,0)</x:f>
        <x:v>0.19751874741821432</x:v>
      </x:c>
      <x:c r="AB38" s="63" t="n">
        <x:f>IF(G38&gt;0,P38/G38,0)</x:f>
        <x:v>0.09165726792504021</x:v>
      </x:c>
      <x:c r="AC38" s="63" t="n">
        <x:f>IF(T38+AF38&gt;0,T38/(T38+AF38),0)</x:f>
        <x:v>0</x:v>
      </x:c>
      <x:c r="AD38" s="110" t="n">
        <x:f>AJ37</x:f>
        <x:v>0</x:v>
      </x:c>
      <x:c r="AE38" s="110" t="n">
        <x:f>AD38+G38+T38+U38+AP38-Q38-W38-AO38</x:f>
        <x:v>2.44476021404103</x:v>
      </x:c>
      <x:c r="AF38" s="110" t="n">
        <x:f>MAX(0,-AE38)</x:f>
        <x:v>0</x:v>
      </x:c>
      <x:c r="AG38" s="110" t="n">
        <x:f>Y37+V38</x:f>
        <x:v>121.32590275599803</x:v>
      </x:c>
      <x:c r="AH38" s="110" t="n">
        <x:f>MIN(MAX(0,AE38),AG38)</x:f>
        <x:v>2.44476021404103</x:v>
      </x:c>
      <x:c r="AI38" s="110" t="n">
        <x:f>AE38+AF38-AH38</x:f>
        <x:v>0</x:v>
      </x:c>
      <x:c r="AJ38" s="110" t="n">
        <x:f>AI38</x:f>
        <x:v>0</x:v>
      </x:c>
      <x:c r="AK38" s="110" t="n">
        <x:f>AK37</x:f>
        <x:v>0</x:v>
      </x:c>
      <x:c r="AL38" s="110" t="n">
        <x:f>AJ38+AK38+AN38-Z38</x:f>
        <x:v>-122.79985933914548</x:v>
      </x:c>
      <x:c r="AM38" s="110" t="n">
        <x:f>AJ38-(AD38+G38+T38+U38+AF38+AP38-Q38-W38-AH38-AO38)</x:f>
        <x:v>0</x:v>
      </x:c>
      <x:c r="AN38" s="110" t="n">
        <x:f>0</x:f>
        <x:v>0</x:v>
      </x:c>
      <x:c r="AO38" s="110" t="n">
        <x:f>0</x:f>
        <x:v>0</x:v>
      </x:c>
      <x:c r="AP38" s="110" t="n">
        <x:f>0</x:f>
        <x:v>0</x:v>
      </x:c>
    </x:row>
    <x:row r="39">
      <x:c r="A39" s="58" t="n">
        <x:v>1879</x:v>
      </x:c>
      <x:c r="B39" s="45" t="n">
        <x:v>580</x:v>
      </x:c>
      <x:c r="C39" s="70" t="n">
        <x:f>Partners!H39</x:f>
        <x:v>1.1228168915246945</x:v>
      </x:c>
      <x:c r="D39" s="47" t="n">
        <x:f>Partners!I39</x:f>
        <x:v>651.2337970843229</x:v>
      </x:c>
      <x:c r="E39" s="59" t="n">
        <x:v>0.11</x:v>
      </x:c>
      <x:c r="F39" s="59" t="n">
        <x:v>0.09</x:v>
      </x:c>
      <x:c r="G39" s="53" t="n">
        <x:f>D39*E39</x:f>
        <x:v>71.63571767927552</x:v>
      </x:c>
      <x:c r="H39" s="53" t="n">
        <x:f>D39*F39</x:f>
        <x:v>58.611041737589055</x:v>
      </x:c>
      <x:c r="I39" s="52" t="n">
        <x:v>3.8</x:v>
      </x:c>
      <x:c r="J39" s="53" t="n">
        <x:f>IF($A39&gt;=1927,(1-pac_quota)*Navy!X39,I39)</x:f>
        <x:v>3.8</x:v>
      </x:c>
      <x:c r="K39" s="52" t="n">
        <x:v>0</x:v>
      </x:c>
      <x:c r="L39" s="53" t="n">
        <x:f>IF($A39&gt;=1923,siberia_front*(1-pac_quota),0)</x:f>
        <x:v>0</x:v>
      </x:c>
      <x:c r="M39" s="52" t="n">
        <x:v>0</x:v>
      </x:c>
      <x:c r="N39" s="53" t="n">
        <x:f>M39*C39</x:f>
        <x:v>0</x:v>
      </x:c>
      <x:c r="O39" s="53" t="n">
        <x:f>IF($A39&gt;=1927,10*(1-pac_quota),0)</x:f>
        <x:v>0</x:v>
      </x:c>
      <x:c r="P39" s="53" t="n">
        <x:f>jp_coupon*(Z38-0)+0</x:f>
        <x:v>6.139992966957275</x:v>
      </x:c>
      <x:c r="Q39" s="53" t="n">
        <x:f>H39+J39+K39+L39+N39+O39+P39</x:f>
        <x:v>68.55103470454632</x:v>
      </x:c>
      <x:c r="R39" s="53" t="n">
        <x:f>Q39-G39</x:f>
        <x:v>-3.0846829747291906</x:v>
      </x:c>
      <x:c r="S39" s="52" t="n">
        <x:v>0</x:v>
      </x:c>
      <x:c r="T39" s="53" t="n">
        <x:f>S39*IF($A39&gt;=1923,C39,1)</x:f>
        <x:v>0</x:v>
      </x:c>
      <x:c r="U39" s="52" t="n">
        <x:v>0</x:v>
      </x:c>
      <x:c r="V39" s="52" t="n">
        <x:v>0</x:v>
      </x:c>
      <x:c r="W39" s="53" t="n">
        <x:f>(X38-0)*jp_foreign_repay+0</x:f>
        <x:v>0.11756150391565438</x:v>
      </x:c>
      <x:c r="X39" s="53" t="n">
        <x:f>X38+T39-W39</x:f>
        <x:v>3.801155293272825</x:v>
      </x:c>
      <x:c r="Y39" s="53" t="n">
        <x:f>AG39+AF39-AH39</x:f>
        <x:v>115.91402107114347</x:v>
      </x:c>
      <x:c r="Z39" s="53" t="n">
        <x:f>X39+Y39</x:f>
        <x:v>119.7151763644163</x:v>
      </x:c>
      <x:c r="AA39" s="63" t="n">
        <x:f>IF(D39&gt;0,Z39/D39,0)</x:f>
        <x:v>0.18382826091090504</x:v>
      </x:c>
      <x:c r="AB39" s="63" t="n">
        <x:f>IF(G39&gt;0,P39/G39,0)</x:f>
        <x:v>0.08571133459494323</x:v>
      </x:c>
      <x:c r="AC39" s="63" t="n">
        <x:f>IF(T39+AF39&gt;0,T39/(T39+AF39),0)</x:f>
        <x:v>0</x:v>
      </x:c>
      <x:c r="AD39" s="110" t="n">
        <x:f>AJ38</x:f>
        <x:v>0</x:v>
      </x:c>
      <x:c r="AE39" s="110" t="n">
        <x:f>AD39+G39+T39+U39+AP39-Q39-W39-AO39</x:f>
        <x:v>2.9671214708135363</x:v>
      </x:c>
      <x:c r="AF39" s="110" t="n">
        <x:f>MAX(0,-AE39)</x:f>
        <x:v>0</x:v>
      </x:c>
      <x:c r="AG39" s="110" t="n">
        <x:f>Y38+V39</x:f>
        <x:v>118.881142541957</x:v>
      </x:c>
      <x:c r="AH39" s="110" t="n">
        <x:f>MIN(MAX(0,AE39),AG39)</x:f>
        <x:v>2.9671214708135363</x:v>
      </x:c>
      <x:c r="AI39" s="110" t="n">
        <x:f>AE39+AF39-AH39</x:f>
        <x:v>0</x:v>
      </x:c>
      <x:c r="AJ39" s="110" t="n">
        <x:f>AI39</x:f>
        <x:v>0</x:v>
      </x:c>
      <x:c r="AK39" s="110" t="n">
        <x:f>AK38</x:f>
        <x:v>0</x:v>
      </x:c>
      <x:c r="AL39" s="110" t="n">
        <x:f>AJ39+AK39+AN39-Z39</x:f>
        <x:v>-119.7151763644163</x:v>
      </x:c>
      <x:c r="AM39" s="110" t="n">
        <x:f>AJ39-(AD39+G39+T39+U39+AF39+AP39-Q39-W39-AH39-AO39)</x:f>
        <x:v>0</x:v>
      </x:c>
      <x:c r="AN39" s="110" t="n">
        <x:f>0</x:f>
        <x:v>0</x:v>
      </x:c>
      <x:c r="AO39" s="110" t="n">
        <x:f>0</x:f>
        <x:v>0</x:v>
      </x:c>
      <x:c r="AP39" s="110" t="n">
        <x:f>0</x:f>
        <x:v>0</x:v>
      </x:c>
    </x:row>
    <x:row r="40">
      <x:c r="A40" s="58" t="n">
        <x:v>1880</x:v>
      </x:c>
      <x:c r="B40" s="45" t="n">
        <x:v>600</x:v>
      </x:c>
      <x:c r="C40" s="70" t="n">
        <x:f>Partners!H40</x:f>
        <x:v>1.1356156827744215</x:v>
      </x:c>
      <x:c r="D40" s="47" t="n">
        <x:f>Partners!I40</x:f>
        <x:v>681.369409664653</x:v>
      </x:c>
      <x:c r="E40" s="59" t="n">
        <x:v>0.11</x:v>
      </x:c>
      <x:c r="F40" s="59" t="n">
        <x:v>0.09</x:v>
      </x:c>
      <x:c r="G40" s="53" t="n">
        <x:f>D40*E40</x:f>
        <x:v>74.95063506311182</x:v>
      </x:c>
      <x:c r="H40" s="53" t="n">
        <x:f>D40*F40</x:f>
        <x:v>61.32324686981876</x:v>
      </x:c>
      <x:c r="I40" s="52" t="n">
        <x:v>4</x:v>
      </x:c>
      <x:c r="J40" s="53" t="n">
        <x:f>IF($A40&gt;=1927,(1-pac_quota)*Navy!X40,I40)</x:f>
        <x:v>4</x:v>
      </x:c>
      <x:c r="K40" s="52" t="n">
        <x:v>0</x:v>
      </x:c>
      <x:c r="L40" s="53" t="n">
        <x:f>IF($A40&gt;=1923,siberia_front*(1-pac_quota),0)</x:f>
        <x:v>0</x:v>
      </x:c>
      <x:c r="M40" s="52" t="n">
        <x:v>0</x:v>
      </x:c>
      <x:c r="N40" s="53" t="n">
        <x:f>M40*C40</x:f>
        <x:v>0</x:v>
      </x:c>
      <x:c r="O40" s="53" t="n">
        <x:f>IF($A40&gt;=1927,10*(1-pac_quota),0)</x:f>
        <x:v>0</x:v>
      </x:c>
      <x:c r="P40" s="53" t="n">
        <x:f>jp_coupon*(Z39-0)+0</x:f>
        <x:v>5.985758818220815</x:v>
      </x:c>
      <x:c r="Q40" s="53" t="n">
        <x:f>H40+J40+K40+L40+N40+O40+P40</x:f>
        <x:v>71.30900568803958</x:v>
      </x:c>
      <x:c r="R40" s="53" t="n">
        <x:f>Q40-G40</x:f>
        <x:v>-3.6416293750722417</x:v>
      </x:c>
      <x:c r="S40" s="52" t="n">
        <x:v>0</x:v>
      </x:c>
      <x:c r="T40" s="53" t="n">
        <x:f>S40*IF($A40&gt;=1923,C40,1)</x:f>
        <x:v>0</x:v>
      </x:c>
      <x:c r="U40" s="52" t="n">
        <x:v>0</x:v>
      </x:c>
      <x:c r="V40" s="52" t="n">
        <x:v>0</x:v>
      </x:c>
      <x:c r="W40" s="53" t="n">
        <x:f>(X39-0)*jp_foreign_repay+0</x:f>
        <x:v>0.11403465879818475</x:v>
      </x:c>
      <x:c r="X40" s="53" t="n">
        <x:f>X39+T40-W40</x:f>
        <x:v>3.6871206344746406</x:v>
      </x:c>
      <x:c r="Y40" s="53" t="n">
        <x:f>AG40+AF40-AH40</x:f>
        <x:v>112.38642635486941</x:v>
      </x:c>
      <x:c r="Z40" s="53" t="n">
        <x:f>X40+Y40</x:f>
        <x:v>116.07354698934405</x:v>
      </x:c>
      <x:c r="AA40" s="63" t="n">
        <x:f>IF(D40&gt;0,Z40/D40,0)</x:f>
        <x:v>0.17035332866861683</x:v>
      </x:c>
      <x:c r="AB40" s="63" t="n">
        <x:f>IF(G40&gt;0,P40/G40,0)</x:f>
        <x:v>0.07986268312710808</x:v>
      </x:c>
      <x:c r="AC40" s="63" t="n">
        <x:f>IF(T40+AF40&gt;0,T40/(T40+AF40),0)</x:f>
        <x:v>0</x:v>
      </x:c>
      <x:c r="AD40" s="110" t="n">
        <x:f>AJ39</x:f>
        <x:v>0</x:v>
      </x:c>
      <x:c r="AE40" s="110" t="n">
        <x:f>AD40+G40+T40+U40+AP40-Q40-W40-AO40</x:f>
        <x:v>3.527594716274057</x:v>
      </x:c>
      <x:c r="AF40" s="110" t="n">
        <x:f>MAX(0,-AE40)</x:f>
        <x:v>0</x:v>
      </x:c>
      <x:c r="AG40" s="110" t="n">
        <x:f>Y39+V40</x:f>
        <x:v>115.91402107114347</x:v>
      </x:c>
      <x:c r="AH40" s="110" t="n">
        <x:f>MIN(MAX(0,AE40),AG40)</x:f>
        <x:v>3.527594716274057</x:v>
      </x:c>
      <x:c r="AI40" s="110" t="n">
        <x:f>AE40+AF40-AH40</x:f>
        <x:v>0</x:v>
      </x:c>
      <x:c r="AJ40" s="110" t="n">
        <x:f>AI40</x:f>
        <x:v>0</x:v>
      </x:c>
      <x:c r="AK40" s="110" t="n">
        <x:f>AK39</x:f>
        <x:v>0</x:v>
      </x:c>
      <x:c r="AL40" s="110" t="n">
        <x:f>AJ40+AK40+AN40-Z40</x:f>
        <x:v>-116.07354698934405</x:v>
      </x:c>
      <x:c r="AM40" s="110" t="n">
        <x:f>AJ40-(AD40+G40+T40+U40+AF40+AP40-Q40-W40-AH40-AO40)</x:f>
        <x:v>0</x:v>
      </x:c>
      <x:c r="AN40" s="110" t="n">
        <x:f>0</x:f>
        <x:v>0</x:v>
      </x:c>
      <x:c r="AO40" s="110" t="n">
        <x:f>0</x:f>
        <x:v>0</x:v>
      </x:c>
      <x:c r="AP40" s="110" t="n">
        <x:f>0</x:f>
        <x:v>0</x:v>
      </x:c>
    </x:row>
    <x:row r="41">
      <x:c r="A41" s="58" t="n">
        <x:v>1881</x:v>
      </x:c>
      <x:c r="B41" s="45" t="n">
        <x:v>610</x:v>
      </x:c>
      <x:c r="C41" s="70" t="n">
        <x:f>Partners!H41</x:f>
        <x:v>1.1490484541410835</x:v>
      </x:c>
      <x:c r="D41" s="47" t="n">
        <x:f>Partners!I41</x:f>
        <x:v>700.9195570260609</x:v>
      </x:c>
      <x:c r="E41" s="59" t="n">
        <x:v>0.109</x:v>
      </x:c>
      <x:c r="F41" s="59" t="n">
        <x:v>0.0895</x:v>
      </x:c>
      <x:c r="G41" s="53" t="n">
        <x:f>D41*E41</x:f>
        <x:v>76.40023171584065</x:v>
      </x:c>
      <x:c r="H41" s="53" t="n">
        <x:f>D41*F41</x:f>
        <x:v>62.73230035383245</x:v>
      </x:c>
      <x:c r="I41" s="52" t="n">
        <x:v>4.4</x:v>
      </x:c>
      <x:c r="J41" s="53" t="n">
        <x:f>IF($A41&gt;=1927,(1-pac_quota)*Navy!X41,I41)</x:f>
        <x:v>4.4</x:v>
      </x:c>
      <x:c r="K41" s="52" t="n">
        <x:v>0</x:v>
      </x:c>
      <x:c r="L41" s="53" t="n">
        <x:f>IF($A41&gt;=1923,siberia_front*(1-pac_quota),0)</x:f>
        <x:v>0</x:v>
      </x:c>
      <x:c r="M41" s="52" t="n">
        <x:v>0</x:v>
      </x:c>
      <x:c r="N41" s="53" t="n">
        <x:f>M41*C41</x:f>
        <x:v>0</x:v>
      </x:c>
      <x:c r="O41" s="53" t="n">
        <x:f>IF($A41&gt;=1927,10*(1-pac_quota),0)</x:f>
        <x:v>0</x:v>
      </x:c>
      <x:c r="P41" s="53" t="n">
        <x:f>jp_coupon*(Z40-0)+0</x:f>
        <x:v>5.803677349467203</x:v>
      </x:c>
      <x:c r="Q41" s="53" t="n">
        <x:f>H41+J41+K41+L41+N41+O41+P41</x:f>
        <x:v>72.93597770329966</x:v>
      </x:c>
      <x:c r="R41" s="53" t="n">
        <x:f>Q41-G41</x:f>
        <x:v>-3.464254012540991</x:v>
      </x:c>
      <x:c r="S41" s="52" t="n">
        <x:v>0</x:v>
      </x:c>
      <x:c r="T41" s="53" t="n">
        <x:f>S41*IF($A41&gt;=1923,C41,1)</x:f>
        <x:v>0</x:v>
      </x:c>
      <x:c r="U41" s="52" t="n">
        <x:v>0</x:v>
      </x:c>
      <x:c r="V41" s="52" t="n">
        <x:v>0</x:v>
      </x:c>
      <x:c r="W41" s="53" t="n">
        <x:f>(X40-0)*jp_foreign_repay+0</x:f>
        <x:v>0.11061361903423922</x:v>
      </x:c>
      <x:c r="X41" s="53" t="n">
        <x:f>X40+T41-W41</x:f>
        <x:v>3.5765070154404013</x:v>
      </x:c>
      <x:c r="Y41" s="53" t="n">
        <x:f>AG41+AF41-AH41</x:f>
        <x:v>109.03278596136266</x:v>
      </x:c>
      <x:c r="Z41" s="53" t="n">
        <x:f>X41+Y41</x:f>
        <x:v>112.60929297680306</x:v>
      </x:c>
      <x:c r="AA41" s="63" t="n">
        <x:f>IF(D41&gt;0,Z41/D41,0)</x:f>
        <x:v>0.1606593678946472</x:v>
      </x:c>
      <x:c r="AB41" s="63" t="n">
        <x:f>IF(G41&gt;0,P41/G41,0)</x:f>
        <x:v>0.07596413281903544</x:v>
      </x:c>
      <x:c r="AC41" s="63" t="n">
        <x:f>IF(T41+AF41&gt;0,T41/(T41+AF41),0)</x:f>
        <x:v>0</x:v>
      </x:c>
      <x:c r="AD41" s="110" t="n">
        <x:f>AJ40</x:f>
        <x:v>0</x:v>
      </x:c>
      <x:c r="AE41" s="110" t="n">
        <x:f>AD41+G41+T41+U41+AP41-Q41-W41-AO41</x:f>
        <x:v>3.3536403935067516</x:v>
      </x:c>
      <x:c r="AF41" s="110" t="n">
        <x:f>MAX(0,-AE41)</x:f>
        <x:v>0</x:v>
      </x:c>
      <x:c r="AG41" s="110" t="n">
        <x:f>Y40+V41</x:f>
        <x:v>112.38642635486941</x:v>
      </x:c>
      <x:c r="AH41" s="110" t="n">
        <x:f>MIN(MAX(0,AE41),AG41)</x:f>
        <x:v>3.3536403935067516</x:v>
      </x:c>
      <x:c r="AI41" s="110" t="n">
        <x:f>AE41+AF41-AH41</x:f>
        <x:v>0</x:v>
      </x:c>
      <x:c r="AJ41" s="110" t="n">
        <x:f>AI41</x:f>
        <x:v>0</x:v>
      </x:c>
      <x:c r="AK41" s="110" t="n">
        <x:f>AK40</x:f>
        <x:v>0</x:v>
      </x:c>
      <x:c r="AL41" s="110" t="n">
        <x:f>AJ41+AK41+AN41-Z41</x:f>
        <x:v>-112.60929297680306</x:v>
      </x:c>
      <x:c r="AM41" s="110" t="n">
        <x:f>AJ41-(AD41+G41+T41+U41+AF41+AP41-Q41-W41-AH41-AO41)</x:f>
        <x:v>0</x:v>
      </x:c>
      <x:c r="AN41" s="110" t="n">
        <x:f>0</x:f>
        <x:v>0</x:v>
      </x:c>
      <x:c r="AO41" s="110" t="n">
        <x:f>0</x:f>
        <x:v>0</x:v>
      </x:c>
      <x:c r="AP41" s="110" t="n">
        <x:f>0</x:f>
        <x:v>0</x:v>
      </x:c>
    </x:row>
    <x:row r="42">
      <x:c r="A42" s="58" t="n">
        <x:v>1882</x:v>
      </x:c>
      <x:c r="B42" s="45" t="n">
        <x:v>620</x:v>
      </x:c>
      <x:c r="C42" s="70" t="n">
        <x:f>Partners!H42</x:f>
        <x:v>1.163290715339926</x:v>
      </x:c>
      <x:c r="D42" s="47" t="n">
        <x:f>Partners!I42</x:f>
        <x:v>721.240243510754</x:v>
      </x:c>
      <x:c r="E42" s="59" t="n">
        <x:v>0.108</x:v>
      </x:c>
      <x:c r="F42" s="59" t="n">
        <x:v>0.089</x:v>
      </x:c>
      <x:c r="G42" s="53" t="n">
        <x:f>D42*E42</x:f>
        <x:v>77.89394629916143</x:v>
      </x:c>
      <x:c r="H42" s="53" t="n">
        <x:f>D42*F42</x:f>
        <x:v>64.19038167245711</x:v>
      </x:c>
      <x:c r="I42" s="52" t="n">
        <x:v>4.8</x:v>
      </x:c>
      <x:c r="J42" s="53" t="n">
        <x:f>IF($A42&gt;=1927,(1-pac_quota)*Navy!X42,I42)</x:f>
        <x:v>4.8</x:v>
      </x:c>
      <x:c r="K42" s="52" t="n">
        <x:v>0</x:v>
      </x:c>
      <x:c r="L42" s="53" t="n">
        <x:f>IF($A42&gt;=1923,siberia_front*(1-pac_quota),0)</x:f>
        <x:v>0</x:v>
      </x:c>
      <x:c r="M42" s="52" t="n">
        <x:v>0</x:v>
      </x:c>
      <x:c r="N42" s="53" t="n">
        <x:f>M42*C42</x:f>
        <x:v>0</x:v>
      </x:c>
      <x:c r="O42" s="53" t="n">
        <x:f>IF($A42&gt;=1927,10*(1-pac_quota),0)</x:f>
        <x:v>0</x:v>
      </x:c>
      <x:c r="P42" s="53" t="n">
        <x:f>jp_coupon*(Z41-0)+0</x:f>
        <x:v>5.630464648840153</x:v>
      </x:c>
      <x:c r="Q42" s="53" t="n">
        <x:f>H42+J42+K42+L42+N42+O42+P42</x:f>
        <x:v>74.62084632129725</x:v>
      </x:c>
      <x:c r="R42" s="53" t="n">
        <x:f>Q42-G42</x:f>
        <x:v>-3.2730999778641774</x:v>
      </x:c>
      <x:c r="S42" s="52" t="n">
        <x:v>0</x:v>
      </x:c>
      <x:c r="T42" s="53" t="n">
        <x:f>S42*IF($A42&gt;=1923,C42,1)</x:f>
        <x:v>0</x:v>
      </x:c>
      <x:c r="U42" s="52" t="n">
        <x:v>0</x:v>
      </x:c>
      <x:c r="V42" s="52" t="n">
        <x:v>0</x:v>
      </x:c>
      <x:c r="W42" s="53" t="n">
        <x:f>(X41-0)*jp_foreign_repay+0</x:f>
        <x:v>0.10729521046321204</x:v>
      </x:c>
      <x:c r="X42" s="53" t="n">
        <x:f>X41+T42-W42</x:f>
        <x:v>3.4692118049771894</x:v>
      </x:c>
      <x:c r="Y42" s="53" t="n">
        <x:f>AG42+AF42-AH42</x:f>
        <x:v>105.86698119396169</x:v>
      </x:c>
      <x:c r="Z42" s="53" t="n">
        <x:f>X42+Y42</x:f>
        <x:v>109.33619299893888</x:v>
      </x:c>
      <x:c r="AA42" s="63" t="n">
        <x:f>IF(D42&gt;0,Z42/D42,0)</x:f>
        <x:v>0.1515946925905399</x:v>
      </x:c>
      <x:c r="AB42" s="63" t="n">
        <x:f>IF(G42&gt;0,P42/G42,0)</x:f>
        <x:v>0.07228372571105399</x:v>
      </x:c>
      <x:c r="AC42" s="63" t="n">
        <x:f>IF(T42+AF42&gt;0,T42/(T42+AF42),0)</x:f>
        <x:v>0</x:v>
      </x:c>
      <x:c r="AD42" s="110" t="n">
        <x:f>AJ41</x:f>
        <x:v>0</x:v>
      </x:c>
      <x:c r="AE42" s="110" t="n">
        <x:f>AD42+G42+T42+U42+AP42-Q42-W42-AO42</x:f>
        <x:v>3.1658047674009655</x:v>
      </x:c>
      <x:c r="AF42" s="110" t="n">
        <x:f>MAX(0,-AE42)</x:f>
        <x:v>0</x:v>
      </x:c>
      <x:c r="AG42" s="110" t="n">
        <x:f>Y41+V42</x:f>
        <x:v>109.03278596136266</x:v>
      </x:c>
      <x:c r="AH42" s="110" t="n">
        <x:f>MIN(MAX(0,AE42),AG42)</x:f>
        <x:v>3.1658047674009655</x:v>
      </x:c>
      <x:c r="AI42" s="110" t="n">
        <x:f>AE42+AF42-AH42</x:f>
        <x:v>0</x:v>
      </x:c>
      <x:c r="AJ42" s="110" t="n">
        <x:f>AI42</x:f>
        <x:v>0</x:v>
      </x:c>
      <x:c r="AK42" s="110" t="n">
        <x:f>AK41</x:f>
        <x:v>0</x:v>
      </x:c>
      <x:c r="AL42" s="110" t="n">
        <x:f>AJ42+AK42+AN42-Z42</x:f>
        <x:v>-109.33619299893888</x:v>
      </x:c>
      <x:c r="AM42" s="110" t="n">
        <x:f>AJ42-(AD42+G42+T42+U42+AF42+AP42-Q42-W42-AH42-AO42)</x:f>
        <x:v>0</x:v>
      </x:c>
      <x:c r="AN42" s="110" t="n">
        <x:f>0</x:f>
        <x:v>0</x:v>
      </x:c>
      <x:c r="AO42" s="110" t="n">
        <x:f>0</x:f>
        <x:v>0</x:v>
      </x:c>
      <x:c r="AP42" s="110" t="n">
        <x:f>0</x:f>
        <x:v>0</x:v>
      </x:c>
    </x:row>
    <x:row r="43">
      <x:c r="A43" s="58" t="n">
        <x:v>1883</x:v>
      </x:c>
      <x:c r="B43" s="45" t="n">
        <x:v>630</x:v>
      </x:c>
      <x:c r="C43" s="70" t="n">
        <x:f>Partners!H43</x:f>
        <x:v>1.178320775368597</x:v>
      </x:c>
      <x:c r="D43" s="47" t="n">
        <x:f>Partners!I43</x:f>
        <x:v>742.342088482216</x:v>
      </x:c>
      <x:c r="E43" s="59" t="n">
        <x:v>0.107</x:v>
      </x:c>
      <x:c r="F43" s="59" t="n">
        <x:v>0.0885</x:v>
      </x:c>
      <x:c r="G43" s="53" t="n">
        <x:f>D43*E43</x:f>
        <x:v>79.43060346759711</x:v>
      </x:c>
      <x:c r="H43" s="53" t="n">
        <x:f>D43*F43</x:f>
        <x:v>65.69727483067611</x:v>
      </x:c>
      <x:c r="I43" s="52" t="n">
        <x:v>5.2</x:v>
      </x:c>
      <x:c r="J43" s="53" t="n">
        <x:f>IF($A43&gt;=1927,(1-pac_quota)*Navy!X43,I43)</x:f>
        <x:v>5.2</x:v>
      </x:c>
      <x:c r="K43" s="52" t="n">
        <x:v>0</x:v>
      </x:c>
      <x:c r="L43" s="53" t="n">
        <x:f>IF($A43&gt;=1923,siberia_front*(1-pac_quota),0)</x:f>
        <x:v>0</x:v>
      </x:c>
      <x:c r="M43" s="52" t="n">
        <x:v>0</x:v>
      </x:c>
      <x:c r="N43" s="53" t="n">
        <x:f>M43*C43</x:f>
        <x:v>0</x:v>
      </x:c>
      <x:c r="O43" s="53" t="n">
        <x:f>IF($A43&gt;=1927,10*(1-pac_quota),0)</x:f>
        <x:v>0</x:v>
      </x:c>
      <x:c r="P43" s="53" t="n">
        <x:f>jp_coupon*(Z42-0)+0</x:f>
        <x:v>5.466809649946945</x:v>
      </x:c>
      <x:c r="Q43" s="53" t="n">
        <x:f>H43+J43+K43+L43+N43+O43+P43</x:f>
        <x:v>76.36408448062305</x:v>
      </x:c>
      <x:c r="R43" s="53" t="n">
        <x:f>Q43-G43</x:f>
        <x:v>-3.06651898697406</x:v>
      </x:c>
      <x:c r="S43" s="52" t="n">
        <x:v>0</x:v>
      </x:c>
      <x:c r="T43" s="53" t="n">
        <x:f>S43*IF($A43&gt;=1923,C43,1)</x:f>
        <x:v>0</x:v>
      </x:c>
      <x:c r="U43" s="52" t="n">
        <x:v>0</x:v>
      </x:c>
      <x:c r="V43" s="52" t="n">
        <x:v>0</x:v>
      </x:c>
      <x:c r="W43" s="53" t="n">
        <x:f>(X42-0)*jp_foreign_repay+0</x:f>
        <x:v>0.10407635414931568</x:v>
      </x:c>
      <x:c r="X43" s="53" t="n">
        <x:f>X42+T43-W43</x:f>
        <x:v>3.3651354508278737</x:v>
      </x:c>
      <x:c r="Y43" s="53" t="n">
        <x:f>AG43+AF43-AH43</x:f>
        <x:v>102.90453856113695</x:v>
      </x:c>
      <x:c r="Z43" s="53" t="n">
        <x:f>X43+Y43</x:f>
        <x:v>106.26967401196482</x:v>
      </x:c>
      <x:c r="AA43" s="63" t="n">
        <x:f>IF(D43&gt;0,Z43/D43,0)</x:f>
        <x:v>0.14315458554861488</x:v>
      </x:c>
      <x:c r="AB43" s="63" t="n">
        <x:f>IF(G43&gt;0,P43/G43,0)</x:f>
        <x:v>0.06882497943222946</x:v>
      </x:c>
      <x:c r="AC43" s="63" t="n">
        <x:f>IF(T43+AF43&gt;0,T43/(T43+AF43),0)</x:f>
        <x:v>0</x:v>
      </x:c>
      <x:c r="AD43" s="110" t="n">
        <x:f>AJ42</x:f>
        <x:v>0</x:v>
      </x:c>
      <x:c r="AE43" s="110" t="n">
        <x:f>AD43+G43+T43+U43+AP43-Q43-W43-AO43</x:f>
        <x:v>2.9624426328247444</x:v>
      </x:c>
      <x:c r="AF43" s="110" t="n">
        <x:f>MAX(0,-AE43)</x:f>
        <x:v>0</x:v>
      </x:c>
      <x:c r="AG43" s="110" t="n">
        <x:f>Y42+V43</x:f>
        <x:v>105.86698119396169</x:v>
      </x:c>
      <x:c r="AH43" s="110" t="n">
        <x:f>MIN(MAX(0,AE43),AG43)</x:f>
        <x:v>2.9624426328247444</x:v>
      </x:c>
      <x:c r="AI43" s="110" t="n">
        <x:f>AE43+AF43-AH43</x:f>
        <x:v>0</x:v>
      </x:c>
      <x:c r="AJ43" s="110" t="n">
        <x:f>AI43</x:f>
        <x:v>0</x:v>
      </x:c>
      <x:c r="AK43" s="110" t="n">
        <x:f>AK42</x:f>
        <x:v>0</x:v>
      </x:c>
      <x:c r="AL43" s="110" t="n">
        <x:f>AJ43+AK43+AN43-Z43</x:f>
        <x:v>-106.26967401196482</x:v>
      </x:c>
      <x:c r="AM43" s="110" t="n">
        <x:f>AJ43-(AD43+G43+T43+U43+AF43+AP43-Q43-W43-AH43-AO43)</x:f>
        <x:v>0</x:v>
      </x:c>
      <x:c r="AN43" s="110" t="n">
        <x:f>0</x:f>
        <x:v>0</x:v>
      </x:c>
      <x:c r="AO43" s="110" t="n">
        <x:f>0</x:f>
        <x:v>0</x:v>
      </x:c>
      <x:c r="AP43" s="110" t="n">
        <x:f>0</x:f>
        <x:v>0</x:v>
      </x:c>
    </x:row>
    <x:row r="44">
      <x:c r="A44" s="58" t="n">
        <x:v>1884</x:v>
      </x:c>
      <x:c r="B44" s="45" t="n">
        <x:v>640</x:v>
      </x:c>
      <x:c r="C44" s="70" t="n">
        <x:f>Partners!H44</x:f>
        <x:v>1.1941871051286628</x:v>
      </x:c>
      <x:c r="D44" s="47" t="n">
        <x:f>Partners!I44</x:f>
        <x:v>764.2797472823441</x:v>
      </x:c>
      <x:c r="E44" s="59" t="n">
        <x:v>0.106</x:v>
      </x:c>
      <x:c r="F44" s="59" t="n">
        <x:v>0.08799999999999999</x:v>
      </x:c>
      <x:c r="G44" s="53" t="n">
        <x:f>D44*E44</x:f>
        <x:v>81.01365321192847</x:v>
      </x:c>
      <x:c r="H44" s="53" t="n">
        <x:f>D44*F44</x:f>
        <x:v>67.25661776084628</x:v>
      </x:c>
      <x:c r="I44" s="52" t="n">
        <x:v>5.6</x:v>
      </x:c>
      <x:c r="J44" s="53" t="n">
        <x:f>IF($A44&gt;=1927,(1-pac_quota)*Navy!X44,I44)</x:f>
        <x:v>5.6</x:v>
      </x:c>
      <x:c r="K44" s="52" t="n">
        <x:v>0</x:v>
      </x:c>
      <x:c r="L44" s="53" t="n">
        <x:f>IF($A44&gt;=1923,siberia_front*(1-pac_quota),0)</x:f>
        <x:v>0</x:v>
      </x:c>
      <x:c r="M44" s="52" t="n">
        <x:v>0</x:v>
      </x:c>
      <x:c r="N44" s="53" t="n">
        <x:f>M44*C44</x:f>
        <x:v>0</x:v>
      </x:c>
      <x:c r="O44" s="53" t="n">
        <x:f>IF($A44&gt;=1927,10*(1-pac_quota),0)</x:f>
        <x:v>0</x:v>
      </x:c>
      <x:c r="P44" s="53" t="n">
        <x:f>jp_coupon*(Z43-0)+0</x:f>
        <x:v>5.313483700598241</x:v>
      </x:c>
      <x:c r="Q44" s="53" t="n">
        <x:f>H44+J44+K44+L44+N44+O44+P44</x:f>
        <x:v>78.17010146144452</x:v>
      </x:c>
      <x:c r="R44" s="53" t="n">
        <x:f>Q44-G44</x:f>
        <x:v>-2.843551750483954</x:v>
      </x:c>
      <x:c r="S44" s="52" t="n">
        <x:v>0</x:v>
      </x:c>
      <x:c r="T44" s="53" t="n">
        <x:f>S44*IF($A44&gt;=1923,C44,1)</x:f>
        <x:v>0</x:v>
      </x:c>
      <x:c r="U44" s="52" t="n">
        <x:v>0</x:v>
      </x:c>
      <x:c r="V44" s="52" t="n">
        <x:v>0</x:v>
      </x:c>
      <x:c r="W44" s="53" t="n">
        <x:f>(X43-0)*jp_foreign_repay+0</x:f>
        <x:v>0.10095406352483621</x:v>
      </x:c>
      <x:c r="X44" s="53" t="n">
        <x:f>X43+T44-W44</x:f>
        <x:v>3.2641813873030374</x:v>
      </x:c>
      <x:c r="Y44" s="53" t="n">
        <x:f>AG44+AF44-AH44</x:f>
        <x:v>100.16194087417783</x:v>
      </x:c>
      <x:c r="Z44" s="53" t="n">
        <x:f>X44+Y44</x:f>
        <x:v>103.42612226148087</x:v>
      </x:c>
      <x:c r="AA44" s="63" t="n">
        <x:f>IF(D44&gt;0,Z44/D44,0)</x:f>
        <x:v>0.13532495480777493</x:v>
      </x:c>
      <x:c r="AB44" s="63" t="n">
        <x:f>IF(G44&gt;0,P44/G44,0)</x:f>
        <x:v>0.06558750889431415</x:v>
      </x:c>
      <x:c r="AC44" s="63" t="n">
        <x:f>IF(T44+AF44&gt;0,T44/(T44+AF44),0)</x:f>
        <x:v>0</x:v>
      </x:c>
      <x:c r="AD44" s="110" t="n">
        <x:f>AJ43</x:f>
        <x:v>0</x:v>
      </x:c>
      <x:c r="AE44" s="110" t="n">
        <x:f>AD44+G44+T44+U44+AP44-Q44-W44-AO44</x:f>
        <x:v>2.7425976869591175</x:v>
      </x:c>
      <x:c r="AF44" s="110" t="n">
        <x:f>MAX(0,-AE44)</x:f>
        <x:v>0</x:v>
      </x:c>
      <x:c r="AG44" s="110" t="n">
        <x:f>Y43+V44</x:f>
        <x:v>102.90453856113695</x:v>
      </x:c>
      <x:c r="AH44" s="110" t="n">
        <x:f>MIN(MAX(0,AE44),AG44)</x:f>
        <x:v>2.7425976869591175</x:v>
      </x:c>
      <x:c r="AI44" s="110" t="n">
        <x:f>AE44+AF44-AH44</x:f>
        <x:v>0</x:v>
      </x:c>
      <x:c r="AJ44" s="110" t="n">
        <x:f>AI44</x:f>
        <x:v>0</x:v>
      </x:c>
      <x:c r="AK44" s="110" t="n">
        <x:f>AK43</x:f>
        <x:v>0</x:v>
      </x:c>
      <x:c r="AL44" s="110" t="n">
        <x:f>AJ44+AK44+AN44-Z44</x:f>
        <x:v>-103.42612226148087</x:v>
      </x:c>
      <x:c r="AM44" s="110" t="n">
        <x:f>AJ44-(AD44+G44+T44+U44+AF44+AP44-Q44-W44-AH44-AO44)</x:f>
        <x:v>0</x:v>
      </x:c>
      <x:c r="AN44" s="110" t="n">
        <x:f>0</x:f>
        <x:v>0</x:v>
      </x:c>
      <x:c r="AO44" s="110" t="n">
        <x:f>0</x:f>
        <x:v>0</x:v>
      </x:c>
      <x:c r="AP44" s="110" t="n">
        <x:f>0</x:f>
        <x:v>0</x:v>
      </x:c>
    </x:row>
    <x:row r="45">
      <x:c r="A45" s="58" t="n">
        <x:v>1885</x:v>
      </x:c>
      <x:c r="B45" s="45" t="n">
        <x:v>650</x:v>
      </x:c>
      <x:c r="C45" s="70" t="n">
        <x:f>Partners!H45</x:f>
        <x:v>1.2107559172810503</x:v>
      </x:c>
      <x:c r="D45" s="47" t="n">
        <x:f>Partners!I45</x:f>
        <x:v>786.9913462326826</x:v>
      </x:c>
      <x:c r="E45" s="59" t="n">
        <x:v>0.105</x:v>
      </x:c>
      <x:c r="F45" s="59" t="n">
        <x:v>0.08749999999999999</x:v>
      </x:c>
      <x:c r="G45" s="53" t="n">
        <x:f>D45*E45</x:f>
        <x:v>82.63409135443167</x:v>
      </x:c>
      <x:c r="H45" s="53" t="n">
        <x:f>D45*F45</x:f>
        <x:v>68.86174279535973</x:v>
      </x:c>
      <x:c r="I45" s="52" t="n">
        <x:v>6</x:v>
      </x:c>
      <x:c r="J45" s="53" t="n">
        <x:f>IF($A45&gt;=1927,(1-pac_quota)*Navy!X45,I45)</x:f>
        <x:v>6</x:v>
      </x:c>
      <x:c r="K45" s="52" t="n">
        <x:v>0</x:v>
      </x:c>
      <x:c r="L45" s="53" t="n">
        <x:f>IF($A45&gt;=1923,siberia_front*(1-pac_quota),0)</x:f>
        <x:v>0</x:v>
      </x:c>
      <x:c r="M45" s="52" t="n">
        <x:v>0</x:v>
      </x:c>
      <x:c r="N45" s="53" t="n">
        <x:f>M45*C45</x:f>
        <x:v>0</x:v>
      </x:c>
      <x:c r="O45" s="53" t="n">
        <x:f>IF($A45&gt;=1927,10*(1-pac_quota),0)</x:f>
        <x:v>0</x:v>
      </x:c>
      <x:c r="P45" s="53" t="n">
        <x:f>jp_coupon*(Z44-0)+0</x:f>
        <x:v>5.171306113074044</x:v>
      </x:c>
      <x:c r="Q45" s="53" t="n">
        <x:f>H45+J45+K45+L45+N45+O45+P45</x:f>
        <x:v>80.03304890843377</x:v>
      </x:c>
      <x:c r="R45" s="53" t="n">
        <x:f>Q45-G45</x:f>
        <x:v>-2.601042445997905</x:v>
      </x:c>
      <x:c r="S45" s="52" t="n">
        <x:v>0</x:v>
      </x:c>
      <x:c r="T45" s="53" t="n">
        <x:f>S45*IF($A45&gt;=1923,C45,1)</x:f>
        <x:v>0</x:v>
      </x:c>
      <x:c r="U45" s="52" t="n">
        <x:v>0</x:v>
      </x:c>
      <x:c r="V45" s="52" t="n">
        <x:v>0</x:v>
      </x:c>
      <x:c r="W45" s="53" t="n">
        <x:f>(X44-0)*jp_foreign_repay+0</x:f>
        <x:v>0.09792544161909111</x:v>
      </x:c>
      <x:c r="X45" s="53" t="n">
        <x:f>X44+T45-W45</x:f>
        <x:v>3.1662559456839463</x:v>
      </x:c>
      <x:c r="Y45" s="53" t="n">
        <x:f>AG45+AF45-AH45</x:f>
        <x:v>97.65882386979902</x:v>
      </x:c>
      <x:c r="Z45" s="53" t="n">
        <x:f>X45+Y45</x:f>
        <x:v>100.82507981548297</x:v>
      </x:c>
      <x:c r="AA45" s="63" t="n">
        <x:f>IF(D45&gt;0,Z45/D45,0)</x:f>
        <x:v>0.12811459782643267</x:v>
      </x:c>
      <x:c r="AB45" s="63" t="n">
        <x:f>IF(G45&gt;0,P45/G45,0)</x:f>
        <x:v>0.06258078268076346</x:v>
      </x:c>
      <x:c r="AC45" s="63" t="n">
        <x:f>IF(T45+AF45&gt;0,T45/(T45+AF45),0)</x:f>
        <x:v>0</x:v>
      </x:c>
      <x:c r="AD45" s="110" t="n">
        <x:f>AJ44</x:f>
        <x:v>0</x:v>
      </x:c>
      <x:c r="AE45" s="110" t="n">
        <x:f>AD45+G45+T45+U45+AP45-Q45-W45-AO45</x:f>
        <x:v>2.503117004378814</x:v>
      </x:c>
      <x:c r="AF45" s="110" t="n">
        <x:f>MAX(0,-AE45)</x:f>
        <x:v>0</x:v>
      </x:c>
      <x:c r="AG45" s="110" t="n">
        <x:f>Y44+V45</x:f>
        <x:v>100.16194087417783</x:v>
      </x:c>
      <x:c r="AH45" s="110" t="n">
        <x:f>MIN(MAX(0,AE45),AG45)</x:f>
        <x:v>2.503117004378814</x:v>
      </x:c>
      <x:c r="AI45" s="110" t="n">
        <x:f>AE45+AF45-AH45</x:f>
        <x:v>0</x:v>
      </x:c>
      <x:c r="AJ45" s="110" t="n">
        <x:f>AI45</x:f>
        <x:v>0</x:v>
      </x:c>
      <x:c r="AK45" s="110" t="n">
        <x:f>AK44</x:f>
        <x:v>0</x:v>
      </x:c>
      <x:c r="AL45" s="110" t="n">
        <x:f>AJ45+AK45+AN45-Z45</x:f>
        <x:v>-100.82507981548297</x:v>
      </x:c>
      <x:c r="AM45" s="110" t="n">
        <x:f>AJ45-(AD45+G45+T45+U45+AF45+AP45-Q45-W45-AH45-AO45)</x:f>
        <x:v>0</x:v>
      </x:c>
      <x:c r="AN45" s="110" t="n">
        <x:f>0</x:f>
        <x:v>0</x:v>
      </x:c>
      <x:c r="AO45" s="110" t="n">
        <x:f>0</x:f>
        <x:v>0</x:v>
      </x:c>
      <x:c r="AP45" s="110" t="n">
        <x:f>0</x:f>
        <x:v>0</x:v>
      </x:c>
    </x:row>
    <x:row r="46">
      <x:c r="A46" s="58" t="n">
        <x:v>1886</x:v>
      </x:c>
      <x:c r="B46" s="45" t="n">
        <x:v>680</x:v>
      </x:c>
      <x:c r="C46" s="70" t="n">
        <x:f>Partners!H46</x:f>
        <x:v>1.2282011710873793</x:v>
      </x:c>
      <x:c r="D46" s="47" t="n">
        <x:f>Partners!I46</x:f>
        <x:v>835.1767963394179</x:v>
      </x:c>
      <x:c r="E46" s="59" t="n">
        <x:v>0.104</x:v>
      </x:c>
      <x:c r="F46" s="59" t="n">
        <x:v>0.08699999999999999</x:v>
      </x:c>
      <x:c r="G46" s="53" t="n">
        <x:f>D46*E46</x:f>
        <x:v>86.85838681929945</x:v>
      </x:c>
      <x:c r="H46" s="53" t="n">
        <x:f>D46*F46</x:f>
        <x:v>72.66038128152935</x:v>
      </x:c>
      <x:c r="I46" s="52" t="n">
        <x:v>6.4</x:v>
      </x:c>
      <x:c r="J46" s="53" t="n">
        <x:f>IF($A46&gt;=1927,(1-pac_quota)*Navy!X46,I46)</x:f>
        <x:v>6.4</x:v>
      </x:c>
      <x:c r="K46" s="52" t="n">
        <x:v>0</x:v>
      </x:c>
      <x:c r="L46" s="53" t="n">
        <x:f>IF($A46&gt;=1923,siberia_front*(1-pac_quota),0)</x:f>
        <x:v>0</x:v>
      </x:c>
      <x:c r="M46" s="52" t="n">
        <x:v>0</x:v>
      </x:c>
      <x:c r="N46" s="53" t="n">
        <x:f>M46*C46</x:f>
        <x:v>0</x:v>
      </x:c>
      <x:c r="O46" s="53" t="n">
        <x:f>IF($A46&gt;=1927,10*(1-pac_quota),0)</x:f>
        <x:v>0</x:v>
      </x:c>
      <x:c r="P46" s="53" t="n">
        <x:f>jp_coupon*(Z45-0)+0</x:f>
        <x:v>5.041253990774148</x:v>
      </x:c>
      <x:c r="Q46" s="53" t="n">
        <x:f>H46+J46+K46+L46+N46+O46+P46</x:f>
        <x:v>84.10163527230351</x:v>
      </x:c>
      <x:c r="R46" s="53" t="n">
        <x:f>Q46-G46</x:f>
        <x:v>-2.756751546995943</x:v>
      </x:c>
      <x:c r="S46" s="52" t="n">
        <x:v>0</x:v>
      </x:c>
      <x:c r="T46" s="53" t="n">
        <x:f>S46*IF($A46&gt;=1923,C46,1)</x:f>
        <x:v>0</x:v>
      </x:c>
      <x:c r="U46" s="52" t="n">
        <x:v>0</x:v>
      </x:c>
      <x:c r="V46" s="52" t="n">
        <x:v>0</x:v>
      </x:c>
      <x:c r="W46" s="53" t="n">
        <x:f>(X45-0)*jp_foreign_repay+0</x:f>
        <x:v>0.09498767837051839</x:v>
      </x:c>
      <x:c r="X46" s="53" t="n">
        <x:f>X45+T46-W46</x:f>
        <x:v>3.0712682673134277</x:v>
      </x:c>
      <x:c r="Y46" s="53" t="n">
        <x:f>AG46+AF46-AH46</x:f>
        <x:v>94.9970600011736</x:v>
      </x:c>
      <x:c r="Z46" s="53" t="n">
        <x:f>X46+Y46</x:f>
        <x:v>98.06832826848702</x:v>
      </x:c>
      <x:c r="AA46" s="63" t="n">
        <x:f>IF(D46&gt;0,Z46/D46,0)</x:f>
        <x:v>0.11742223766072137</x:v>
      </x:c>
      <x:c r="AB46" s="63" t="n">
        <x:f>IF(G46&gt;0,P46/G46,0)</x:f>
        <x:v>0.05803992193939767</x:v>
      </x:c>
      <x:c r="AC46" s="63" t="n">
        <x:f>IF(T46+AF46&gt;0,T46/(T46+AF46),0)</x:f>
        <x:v>0</x:v>
      </x:c>
      <x:c r="AD46" s="110" t="n">
        <x:f>AJ45</x:f>
        <x:v>0</x:v>
      </x:c>
      <x:c r="AE46" s="110" t="n">
        <x:f>AD46+G46+T46+U46+AP46-Q46-W46-AO46</x:f>
        <x:v>2.6617638686254246</x:v>
      </x:c>
      <x:c r="AF46" s="110" t="n">
        <x:f>MAX(0,-AE46)</x:f>
        <x:v>0</x:v>
      </x:c>
      <x:c r="AG46" s="110" t="n">
        <x:f>Y45+V46</x:f>
        <x:v>97.65882386979902</x:v>
      </x:c>
      <x:c r="AH46" s="110" t="n">
        <x:f>MIN(MAX(0,AE46),AG46)</x:f>
        <x:v>2.6617638686254246</x:v>
      </x:c>
      <x:c r="AI46" s="110" t="n">
        <x:f>AE46+AF46-AH46</x:f>
        <x:v>0</x:v>
      </x:c>
      <x:c r="AJ46" s="110" t="n">
        <x:f>AI46</x:f>
        <x:v>0</x:v>
      </x:c>
      <x:c r="AK46" s="110" t="n">
        <x:f>AK45</x:f>
        <x:v>0</x:v>
      </x:c>
      <x:c r="AL46" s="110" t="n">
        <x:f>AJ46+AK46+AN46-Z46</x:f>
        <x:v>-98.06832826848702</x:v>
      </x:c>
      <x:c r="AM46" s="110" t="n">
        <x:f>AJ46-(AD46+G46+T46+U46+AF46+AP46-Q46-W46-AH46-AO46)</x:f>
        <x:v>0</x:v>
      </x:c>
      <x:c r="AN46" s="110" t="n">
        <x:f>0</x:f>
        <x:v>0</x:v>
      </x:c>
      <x:c r="AO46" s="110" t="n">
        <x:f>0</x:f>
        <x:v>0</x:v>
      </x:c>
      <x:c r="AP46" s="110" t="n">
        <x:f>0</x:f>
        <x:v>0</x:v>
      </x:c>
    </x:row>
    <x:row r="47">
      <x:c r="A47" s="58" t="n">
        <x:v>1887</x:v>
      </x:c>
      <x:c r="B47" s="45" t="n">
        <x:v>710</x:v>
      </x:c>
      <x:c r="C47" s="70" t="n">
        <x:f>Partners!H47</x:f>
        <x:v>1.246526288815221</x:v>
      </x:c>
      <x:c r="D47" s="47" t="n">
        <x:f>Partners!I47</x:f>
        <x:v>885.033665058807</x:v>
      </x:c>
      <x:c r="E47" s="59" t="n">
        <x:v>0.103</x:v>
      </x:c>
      <x:c r="F47" s="59" t="n">
        <x:v>0.08649999999999999</x:v>
      </x:c>
      <x:c r="G47" s="53" t="n">
        <x:f>D47*E47</x:f>
        <x:v>91.15846750105712</x:v>
      </x:c>
      <x:c r="H47" s="53" t="n">
        <x:f>D47*F47</x:f>
        <x:v>76.5554120275868</x:v>
      </x:c>
      <x:c r="I47" s="52" t="n">
        <x:v>6.8</x:v>
      </x:c>
      <x:c r="J47" s="53" t="n">
        <x:f>IF($A47&gt;=1927,(1-pac_quota)*Navy!X47,I47)</x:f>
        <x:v>6.8</x:v>
      </x:c>
      <x:c r="K47" s="52" t="n">
        <x:v>0</x:v>
      </x:c>
      <x:c r="L47" s="53" t="n">
        <x:f>IF($A47&gt;=1923,siberia_front*(1-pac_quota),0)</x:f>
        <x:v>0</x:v>
      </x:c>
      <x:c r="M47" s="52" t="n">
        <x:v>0</x:v>
      </x:c>
      <x:c r="N47" s="53" t="n">
        <x:f>M47*C47</x:f>
        <x:v>0</x:v>
      </x:c>
      <x:c r="O47" s="53" t="n">
        <x:f>IF($A47&gt;=1927,10*(1-pac_quota),0)</x:f>
        <x:v>0</x:v>
      </x:c>
      <x:c r="P47" s="53" t="n">
        <x:f>jp_coupon*(Z46-0)+0</x:f>
        <x:v>4.903416413424352</x:v>
      </x:c>
      <x:c r="Q47" s="53" t="n">
        <x:f>H47+J47+K47+L47+N47+O47+P47</x:f>
        <x:v>88.25882844101115</x:v>
      </x:c>
      <x:c r="R47" s="53" t="n">
        <x:f>Q47-G47</x:f>
        <x:v>-2.8996390600459705</x:v>
      </x:c>
      <x:c r="S47" s="52" t="n">
        <x:v>0</x:v>
      </x:c>
      <x:c r="T47" s="53" t="n">
        <x:f>S47*IF($A47&gt;=1923,C47,1)</x:f>
        <x:v>0</x:v>
      </x:c>
      <x:c r="U47" s="52" t="n">
        <x:v>0</x:v>
      </x:c>
      <x:c r="V47" s="52" t="n">
        <x:v>0</x:v>
      </x:c>
      <x:c r="W47" s="53" t="n">
        <x:f>(X46-0)*jp_foreign_repay+0</x:f>
        <x:v>0.09213804801940283</x:v>
      </x:c>
      <x:c r="X47" s="53" t="n">
        <x:f>X46+T47-W47</x:f>
        <x:v>2.9791302192940248</x:v>
      </x:c>
      <x:c r="Y47" s="53" t="n">
        <x:f>AG47+AF47-AH47</x:f>
        <x:v>92.18955898914703</x:v>
      </x:c>
      <x:c r="Z47" s="53" t="n">
        <x:f>X47+Y47</x:f>
        <x:v>95.16868920844105</x:v>
      </x:c>
      <x:c r="AA47" s="63" t="n">
        <x:f>IF(D47&gt;0,Z47/D47,0)</x:f>
        <x:v>0.10753115159988572</x:v>
      </x:c>
      <x:c r="AB47" s="63" t="n">
        <x:f>IF(G47&gt;0,P47/G47,0)</x:f>
        <x:v>0.053790026838345974</x:v>
      </x:c>
      <x:c r="AC47" s="63" t="n">
        <x:f>IF(T47+AF47&gt;0,T47/(T47+AF47),0)</x:f>
        <x:v>0</x:v>
      </x:c>
      <x:c r="AD47" s="110" t="n">
        <x:f>AJ46</x:f>
        <x:v>0</x:v>
      </x:c>
      <x:c r="AE47" s="110" t="n">
        <x:f>AD47+G47+T47+U47+AP47-Q47-W47-AO47</x:f>
        <x:v>2.8075010120265675</x:v>
      </x:c>
      <x:c r="AF47" s="110" t="n">
        <x:f>MAX(0,-AE47)</x:f>
        <x:v>0</x:v>
      </x:c>
      <x:c r="AG47" s="110" t="n">
        <x:f>Y46+V47</x:f>
        <x:v>94.9970600011736</x:v>
      </x:c>
      <x:c r="AH47" s="110" t="n">
        <x:f>MIN(MAX(0,AE47),AG47)</x:f>
        <x:v>2.8075010120265675</x:v>
      </x:c>
      <x:c r="AI47" s="110" t="n">
        <x:f>AE47+AF47-AH47</x:f>
        <x:v>0</x:v>
      </x:c>
      <x:c r="AJ47" s="110" t="n">
        <x:f>AI47</x:f>
        <x:v>0</x:v>
      </x:c>
      <x:c r="AK47" s="110" t="n">
        <x:f>AK46</x:f>
        <x:v>0</x:v>
      </x:c>
      <x:c r="AL47" s="110" t="n">
        <x:f>AJ47+AK47+AN47-Z47</x:f>
        <x:v>-95.16868920844105</x:v>
      </x:c>
      <x:c r="AM47" s="110" t="n">
        <x:f>AJ47-(AD47+G47+T47+U47+AF47+AP47-Q47-W47-AH47-AO47)</x:f>
        <x:v>0</x:v>
      </x:c>
      <x:c r="AN47" s="110" t="n">
        <x:f>0</x:f>
        <x:v>0</x:v>
      </x:c>
      <x:c r="AO47" s="110" t="n">
        <x:f>0</x:f>
        <x:v>0</x:v>
      </x:c>
      <x:c r="AP47" s="110" t="n">
        <x:f>0</x:f>
        <x:v>0</x:v>
      </x:c>
    </x:row>
    <x:row r="48">
      <x:c r="A48" s="58" t="n">
        <x:v>1888</x:v>
      </x:c>
      <x:c r="B48" s="45" t="n">
        <x:v>740</x:v>
      </x:c>
      <x:c r="C48" s="70" t="n">
        <x:f>Partners!H48</x:f>
        <x:v>1.2653299609788797</x:v>
      </x:c>
      <x:c r="D48" s="47" t="n">
        <x:f>Partners!I48</x:f>
        <x:v>936.344171124371</x:v>
      </x:c>
      <x:c r="E48" s="59" t="n">
        <x:v>0.102</x:v>
      </x:c>
      <x:c r="F48" s="59" t="n">
        <x:v>0.08599999999999999</x:v>
      </x:c>
      <x:c r="G48" s="53" t="n">
        <x:f>D48*E48</x:f>
        <x:v>95.50710545468583</x:v>
      </x:c>
      <x:c r="H48" s="53" t="n">
        <x:f>D48*F48</x:f>
        <x:v>80.5255987166959</x:v>
      </x:c>
      <x:c r="I48" s="52" t="n">
        <x:v>7.2</x:v>
      </x:c>
      <x:c r="J48" s="53" t="n">
        <x:f>IF($A48&gt;=1927,(1-pac_quota)*Navy!X48,I48)</x:f>
        <x:v>7.2</x:v>
      </x:c>
      <x:c r="K48" s="52" t="n">
        <x:v>0</x:v>
      </x:c>
      <x:c r="L48" s="53" t="n">
        <x:f>IF($A48&gt;=1923,siberia_front*(1-pac_quota),0)</x:f>
        <x:v>0</x:v>
      </x:c>
      <x:c r="M48" s="52" t="n">
        <x:v>0</x:v>
      </x:c>
      <x:c r="N48" s="53" t="n">
        <x:f>M48*C48</x:f>
        <x:v>0</x:v>
      </x:c>
      <x:c r="O48" s="53" t="n">
        <x:f>IF($A48&gt;=1927,10*(1-pac_quota),0)</x:f>
        <x:v>0</x:v>
      </x:c>
      <x:c r="P48" s="53" t="n">
        <x:f>jp_coupon*(Z47-0)+0</x:f>
        <x:v>4.758434460422053</x:v>
      </x:c>
      <x:c r="Q48" s="53" t="n">
        <x:f>H48+J48+K48+L48+N48+O48+P48</x:f>
        <x:v>92.48403317711795</x:v>
      </x:c>
      <x:c r="R48" s="53" t="n">
        <x:f>Q48-G48</x:f>
        <x:v>-3.023072277567877</x:v>
      </x:c>
      <x:c r="S48" s="52" t="n">
        <x:v>0</x:v>
      </x:c>
      <x:c r="T48" s="53" t="n">
        <x:f>S48*IF($A48&gt;=1923,C48,1)</x:f>
        <x:v>0</x:v>
      </x:c>
      <x:c r="U48" s="52" t="n">
        <x:v>0</x:v>
      </x:c>
      <x:c r="V48" s="52" t="n">
        <x:v>0</x:v>
      </x:c>
      <x:c r="W48" s="53" t="n">
        <x:f>(X47-0)*jp_foreign_repay+0</x:f>
        <x:v>0.08937390657882074</x:v>
      </x:c>
      <x:c r="X48" s="53" t="n">
        <x:f>X47+T48-W48</x:f>
        <x:v>2.889756312715204</x:v>
      </x:c>
      <x:c r="Y48" s="53" t="n">
        <x:f>AG48+AF48-AH48</x:f>
        <x:v>89.25586061815797</x:v>
      </x:c>
      <x:c r="Z48" s="53" t="n">
        <x:f>X48+Y48</x:f>
        <x:v>92.14561693087317</x:v>
      </x:c>
      <x:c r="AA48" s="63" t="n">
        <x:f>IF(D48&gt;0,Z48/D48,0)</x:f>
        <x:v>0.09840998617017484</x:v>
      </x:c>
      <x:c r="AB48" s="63" t="n">
        <x:f>IF(G48&gt;0,P48/G48,0)</x:f>
        <x:v>0.04982283190102262</x:v>
      </x:c>
      <x:c r="AC48" s="63" t="n">
        <x:f>IF(T48+AF48&gt;0,T48/(T48+AF48),0)</x:f>
        <x:v>0</x:v>
      </x:c>
      <x:c r="AD48" s="110" t="n">
        <x:f>AJ47</x:f>
        <x:v>0</x:v>
      </x:c>
      <x:c r="AE48" s="110" t="n">
        <x:f>AD48+G48+T48+U48+AP48-Q48-W48-AO48</x:f>
        <x:v>2.9336983709890565</x:v>
      </x:c>
      <x:c r="AF48" s="110" t="n">
        <x:f>MAX(0,-AE48)</x:f>
        <x:v>0</x:v>
      </x:c>
      <x:c r="AG48" s="110" t="n">
        <x:f>Y47+V48</x:f>
        <x:v>92.18955898914703</x:v>
      </x:c>
      <x:c r="AH48" s="110" t="n">
        <x:f>MIN(MAX(0,AE48),AG48)</x:f>
        <x:v>2.9336983709890565</x:v>
      </x:c>
      <x:c r="AI48" s="110" t="n">
        <x:f>AE48+AF48-AH48</x:f>
        <x:v>0</x:v>
      </x:c>
      <x:c r="AJ48" s="110" t="n">
        <x:f>AI48</x:f>
        <x:v>0</x:v>
      </x:c>
      <x:c r="AK48" s="110" t="n">
        <x:f>AK47</x:f>
        <x:v>0</x:v>
      </x:c>
      <x:c r="AL48" s="110" t="n">
        <x:f>AJ48+AK48+AN48-Z48</x:f>
        <x:v>-92.14561693087317</x:v>
      </x:c>
      <x:c r="AM48" s="110" t="n">
        <x:f>AJ48-(AD48+G48+T48+U48+AF48+AP48-Q48-W48-AH48-AO48)</x:f>
        <x:v>0</x:v>
      </x:c>
      <x:c r="AN48" s="110" t="n">
        <x:f>0</x:f>
        <x:v>0</x:v>
      </x:c>
      <x:c r="AO48" s="110" t="n">
        <x:f>0</x:f>
        <x:v>0</x:v>
      </x:c>
      <x:c r="AP48" s="110" t="n">
        <x:f>0</x:f>
        <x:v>0</x:v>
      </x:c>
    </x:row>
    <x:row r="49">
      <x:c r="A49" s="58" t="n">
        <x:v>1889</x:v>
      </x:c>
      <x:c r="B49" s="45" t="n">
        <x:v>770</x:v>
      </x:c>
      <x:c r="C49" s="70" t="n">
        <x:f>Partners!H49</x:f>
        <x:v>1.2847004313265313</x:v>
      </x:c>
      <x:c r="D49" s="47" t="n">
        <x:f>Partners!I49</x:f>
        <x:v>989.2193321214291</x:v>
      </x:c>
      <x:c r="E49" s="59" t="n">
        <x:v>0.101</x:v>
      </x:c>
      <x:c r="F49" s="59" t="n">
        <x:v>0.08550000000000001</x:v>
      </x:c>
      <x:c r="G49" s="53" t="n">
        <x:f>D49*E49</x:f>
        <x:v>99.91115254426435</x:v>
      </x:c>
      <x:c r="H49" s="53" t="n">
        <x:f>D49*F49</x:f>
        <x:v>84.5782528963822</x:v>
      </x:c>
      <x:c r="I49" s="52" t="n">
        <x:v>7.6</x:v>
      </x:c>
      <x:c r="J49" s="53" t="n">
        <x:f>IF($A49&gt;=1927,(1-pac_quota)*Navy!X49,I49)</x:f>
        <x:v>7.6</x:v>
      </x:c>
      <x:c r="K49" s="52" t="n">
        <x:v>0</x:v>
      </x:c>
      <x:c r="L49" s="53" t="n">
        <x:f>IF($A49&gt;=1923,siberia_front*(1-pac_quota),0)</x:f>
        <x:v>0</x:v>
      </x:c>
      <x:c r="M49" s="52" t="n">
        <x:v>0</x:v>
      </x:c>
      <x:c r="N49" s="53" t="n">
        <x:f>M49*C49</x:f>
        <x:v>0</x:v>
      </x:c>
      <x:c r="O49" s="53" t="n">
        <x:f>IF($A49&gt;=1927,10*(1-pac_quota),0)</x:f>
        <x:v>0</x:v>
      </x:c>
      <x:c r="P49" s="53" t="n">
        <x:f>jp_coupon*(Z48-0)+0</x:f>
        <x:v>4.6072808465436585</x:v>
      </x:c>
      <x:c r="Q49" s="53" t="n">
        <x:f>H49+J49+K49+L49+N49+O49+P49</x:f>
        <x:v>96.78553374292585</x:v>
      </x:c>
      <x:c r="R49" s="53" t="n">
        <x:f>Q49-G49</x:f>
        <x:v>-3.1256188013385042</x:v>
      </x:c>
      <x:c r="S49" s="52" t="n">
        <x:v>0</x:v>
      </x:c>
      <x:c r="T49" s="53" t="n">
        <x:f>S49*IF($A49&gt;=1923,C49,1)</x:f>
        <x:v>0</x:v>
      </x:c>
      <x:c r="U49" s="52" t="n">
        <x:v>0</x:v>
      </x:c>
      <x:c r="V49" s="52" t="n">
        <x:v>0</x:v>
      </x:c>
      <x:c r="W49" s="53" t="n">
        <x:f>(X48-0)*jp_foreign_repay+0</x:f>
        <x:v>0.08669268938145612</x:v>
      </x:c>
      <x:c r="X49" s="53" t="n">
        <x:f>X48+T49-W49</x:f>
        <x:v>2.803063623333748</x:v>
      </x:c>
      <x:c r="Y49" s="53" t="n">
        <x:f>AG49+AF49-AH49</x:f>
        <x:v>86.21693450620091</x:v>
      </x:c>
      <x:c r="Z49" s="53" t="n">
        <x:f>X49+Y49</x:f>
        <x:v>89.01999812953466</x:v>
      </x:c>
      <x:c r="AA49" s="63" t="n">
        <x:f>IF(D49&gt;0,Z49/D49,0)</x:f>
        <x:v>0.08999015207135805</x:v>
      </x:c>
      <x:c r="AB49" s="63" t="n">
        <x:f>IF(G49&gt;0,P49/G49,0)</x:f>
        <x:v>0.04611377938516385</x:v>
      </x:c>
      <x:c r="AC49" s="63" t="n">
        <x:f>IF(T49+AF49&gt;0,T49/(T49+AF49),0)</x:f>
        <x:v>0</x:v>
      </x:c>
      <x:c r="AD49" s="110" t="n">
        <x:f>AJ48</x:f>
        <x:v>0</x:v>
      </x:c>
      <x:c r="AE49" s="110" t="n">
        <x:f>AD49+G49+T49+U49+AP49-Q49-W49-AO49</x:f>
        <x:v>3.038926111957048</x:v>
      </x:c>
      <x:c r="AF49" s="110" t="n">
        <x:f>MAX(0,-AE49)</x:f>
        <x:v>0</x:v>
      </x:c>
      <x:c r="AG49" s="110" t="n">
        <x:f>Y48+V49</x:f>
        <x:v>89.25586061815797</x:v>
      </x:c>
      <x:c r="AH49" s="110" t="n">
        <x:f>MIN(MAX(0,AE49),AG49)</x:f>
        <x:v>3.038926111957048</x:v>
      </x:c>
      <x:c r="AI49" s="110" t="n">
        <x:f>AE49+AF49-AH49</x:f>
        <x:v>0</x:v>
      </x:c>
      <x:c r="AJ49" s="110" t="n">
        <x:f>AI49</x:f>
        <x:v>0</x:v>
      </x:c>
      <x:c r="AK49" s="110" t="n">
        <x:f>AK48</x:f>
        <x:v>0</x:v>
      </x:c>
      <x:c r="AL49" s="110" t="n">
        <x:f>AJ49+AK49+AN49-Z49</x:f>
        <x:v>-89.01999812953466</x:v>
      </x:c>
      <x:c r="AM49" s="110" t="n">
        <x:f>AJ49-(AD49+G49+T49+U49+AF49+AP49-Q49-W49-AH49-AO49)</x:f>
        <x:v>0</x:v>
      </x:c>
      <x:c r="AN49" s="110" t="n">
        <x:f>0</x:f>
        <x:v>0</x:v>
      </x:c>
      <x:c r="AO49" s="110" t="n">
        <x:f>0</x:f>
        <x:v>0</x:v>
      </x:c>
      <x:c r="AP49" s="110" t="n">
        <x:f>0</x:f>
        <x:v>0</x:v>
      </x:c>
    </x:row>
    <x:row r="50">
      <x:c r="A50" s="58" t="n">
        <x:v>1890</x:v>
      </x:c>
      <x:c r="B50" s="45" t="n">
        <x:v>800</x:v>
      </x:c>
      <x:c r="C50" s="70" t="n">
        <x:f>Partners!H50</x:f>
        <x:v>1.3046450690403113</x:v>
      </x:c>
      <x:c r="D50" s="47" t="n">
        <x:f>Partners!I50</x:f>
        <x:v>1043.7160552322491</x:v>
      </x:c>
      <x:c r="E50" s="59" t="n">
        <x:v>0.1</x:v>
      </x:c>
      <x:c r="F50" s="59" t="n">
        <x:v>0.08500000000000001</x:v>
      </x:c>
      <x:c r="G50" s="53" t="n">
        <x:f>D50*E50</x:f>
        <x:v>104.37160552322491</x:v>
      </x:c>
      <x:c r="H50" s="53" t="n">
        <x:f>D50*F50</x:f>
        <x:v>88.71586469474119</x:v>
      </x:c>
      <x:c r="I50" s="52" t="n">
        <x:v>8</x:v>
      </x:c>
      <x:c r="J50" s="53" t="n">
        <x:f>IF($A50&gt;=1927,(1-pac_quota)*Navy!X50,I50)</x:f>
        <x:v>8</x:v>
      </x:c>
      <x:c r="K50" s="52" t="n">
        <x:v>0</x:v>
      </x:c>
      <x:c r="L50" s="53" t="n">
        <x:f>IF($A50&gt;=1923,siberia_front*(1-pac_quota),0)</x:f>
        <x:v>0</x:v>
      </x:c>
      <x:c r="M50" s="52" t="n">
        <x:v>0</x:v>
      </x:c>
      <x:c r="N50" s="53" t="n">
        <x:f>M50*C50</x:f>
        <x:v>0</x:v>
      </x:c>
      <x:c r="O50" s="53" t="n">
        <x:f>IF($A50&gt;=1927,10*(1-pac_quota),0)</x:f>
        <x:v>0</x:v>
      </x:c>
      <x:c r="P50" s="53" t="n">
        <x:f>jp_coupon*(Z49-0)+0</x:f>
        <x:v>4.450999906476733</x:v>
      </x:c>
      <x:c r="Q50" s="53" t="n">
        <x:f>H50+J50+K50+L50+N50+O50+P50</x:f>
        <x:v>101.16686460121792</x:v>
      </x:c>
      <x:c r="R50" s="53" t="n">
        <x:f>Q50-G50</x:f>
        <x:v>-3.204740922006991</x:v>
      </x:c>
      <x:c r="S50" s="52" t="n">
        <x:v>0</x:v>
      </x:c>
      <x:c r="T50" s="53" t="n">
        <x:f>S50*IF($A50&gt;=1923,C50,1)</x:f>
        <x:v>0</x:v>
      </x:c>
      <x:c r="U50" s="52" t="n">
        <x:v>0</x:v>
      </x:c>
      <x:c r="V50" s="52" t="n">
        <x:v>0</x:v>
      </x:c>
      <x:c r="W50" s="53" t="n">
        <x:f>(X49-0)*jp_foreign_repay+0</x:f>
        <x:v>0.08409190870001244</x:v>
      </x:c>
      <x:c r="X50" s="53" t="n">
        <x:f>X49+T50-W50</x:f>
        <x:v>2.7189717146337355</x:v>
      </x:c>
      <x:c r="Y50" s="53" t="n">
        <x:f>AG50+AF50-AH50</x:f>
        <x:v>83.09628549289394</x:v>
      </x:c>
      <x:c r="Z50" s="53" t="n">
        <x:f>X50+Y50</x:f>
        <x:v>85.81525720752768</x:v>
      </x:c>
      <x:c r="AA50" s="63" t="n">
        <x:f>IF(D50&gt;0,Z50/D50,0)</x:f>
        <x:v>0.08222088448034073</x:v>
      </x:c>
      <x:c r="AB50" s="63" t="n">
        <x:f>IF(G50&gt;0,P50/G50,0)</x:f>
        <x:v>0.04264569740173529</x:v>
      </x:c>
      <x:c r="AC50" s="63" t="n">
        <x:f>IF(T50+AF50&gt;0,T50/(T50+AF50),0)</x:f>
        <x:v>0</x:v>
      </x:c>
      <x:c r="AD50" s="110" t="n">
        <x:f>AJ49</x:f>
        <x:v>0</x:v>
      </x:c>
      <x:c r="AE50" s="110" t="n">
        <x:f>AD50+G50+T50+U50+AP50-Q50-W50-AO50</x:f>
        <x:v>3.1206490133069784</x:v>
      </x:c>
      <x:c r="AF50" s="110" t="n">
        <x:f>MAX(0,-AE50)</x:f>
        <x:v>0</x:v>
      </x:c>
      <x:c r="AG50" s="110" t="n">
        <x:f>Y49+V50</x:f>
        <x:v>86.21693450620091</x:v>
      </x:c>
      <x:c r="AH50" s="110" t="n">
        <x:f>MIN(MAX(0,AE50),AG50)</x:f>
        <x:v>3.1206490133069784</x:v>
      </x:c>
      <x:c r="AI50" s="110" t="n">
        <x:f>AE50+AF50-AH50</x:f>
        <x:v>0</x:v>
      </x:c>
      <x:c r="AJ50" s="110" t="n">
        <x:f>AI50</x:f>
        <x:v>0</x:v>
      </x:c>
      <x:c r="AK50" s="110" t="n">
        <x:f>AK49</x:f>
        <x:v>0</x:v>
      </x:c>
      <x:c r="AL50" s="110" t="n">
        <x:f>AJ50+AK50+AN50-Z50</x:f>
        <x:v>-85.81525720752768</x:v>
      </x:c>
      <x:c r="AM50" s="110" t="n">
        <x:f>AJ50-(AD50+G50+T50+U50+AF50+AP50-Q50-W50-AH50-AO50)</x:f>
        <x:v>0</x:v>
      </x:c>
      <x:c r="AN50" s="110" t="n">
        <x:f>0</x:f>
        <x:v>0</x:v>
      </x:c>
      <x:c r="AO50" s="110" t="n">
        <x:f>0</x:f>
        <x:v>0</x:v>
      </x:c>
      <x:c r="AP50" s="110" t="n">
        <x:f>0</x:f>
        <x:v>0</x:v>
      </x:c>
    </x:row>
    <x:row r="51">
      <x:c r="A51" s="58" t="n">
        <x:v>1891</x:v>
      </x:c>
      <x:c r="B51" s="45" t="n">
        <x:v>804</x:v>
      </x:c>
      <x:c r="C51" s="70" t="n">
        <x:f>Partners!H51</x:f>
        <x:v>1.325165446809323</x:v>
      </x:c>
      <x:c r="D51" s="47" t="n">
        <x:f>Partners!I51</x:f>
        <x:v>1065.4330192346956</x:v>
      </x:c>
      <x:c r="E51" s="59" t="n">
        <x:v>0.101</x:v>
      </x:c>
      <x:c r="F51" s="59" t="n">
        <x:v>0.08500000000000001</x:v>
      </x:c>
      <x:c r="G51" s="53" t="n">
        <x:f>D51*E51</x:f>
        <x:v>107.60873494270426</x:v>
      </x:c>
      <x:c r="H51" s="53" t="n">
        <x:f>D51*F51</x:f>
        <x:v>90.56180663494914</x:v>
      </x:c>
      <x:c r="I51" s="52" t="n">
        <x:v>9</x:v>
      </x:c>
      <x:c r="J51" s="53" t="n">
        <x:f>IF($A51&gt;=1927,(1-pac_quota)*Navy!X51,I51)</x:f>
        <x:v>9</x:v>
      </x:c>
      <x:c r="K51" s="52" t="n">
        <x:v>0</x:v>
      </x:c>
      <x:c r="L51" s="53" t="n">
        <x:f>IF($A51&gt;=1923,siberia_front*(1-pac_quota),0)</x:f>
        <x:v>0</x:v>
      </x:c>
      <x:c r="M51" s="52" t="n">
        <x:v>0</x:v>
      </x:c>
      <x:c r="N51" s="53" t="n">
        <x:f>M51*C51</x:f>
        <x:v>0</x:v>
      </x:c>
      <x:c r="O51" s="53" t="n">
        <x:f>IF($A51&gt;=1927,10*(1-pac_quota),0)</x:f>
        <x:v>0</x:v>
      </x:c>
      <x:c r="P51" s="53" t="n">
        <x:f>jp_coupon*(Z50-0)+0</x:f>
        <x:v>4.290762860376384</x:v>
      </x:c>
      <x:c r="Q51" s="53" t="n">
        <x:f>H51+J51+K51+L51+N51+O51+P51</x:f>
        <x:v>103.85256949532553</x:v>
      </x:c>
      <x:c r="R51" s="53" t="n">
        <x:f>Q51-G51</x:f>
        <x:v>-3.7561654473787343</x:v>
      </x:c>
      <x:c r="S51" s="52" t="n">
        <x:v>0</x:v>
      </x:c>
      <x:c r="T51" s="53" t="n">
        <x:f>S51*IF($A51&gt;=1923,C51,1)</x:f>
        <x:v>0</x:v>
      </x:c>
      <x:c r="U51" s="52" t="n">
        <x:v>0</x:v>
      </x:c>
      <x:c r="V51" s="52" t="n">
        <x:v>0</x:v>
      </x:c>
      <x:c r="W51" s="53" t="n">
        <x:f>(X50-0)*jp_foreign_repay+0</x:f>
        <x:v>0.08156915143901207</x:v>
      </x:c>
      <x:c r="X51" s="53" t="n">
        <x:f>X50+T51-W51</x:f>
        <x:v>2.6374025631947235</x:v>
      </x:c>
      <x:c r="Y51" s="53" t="n">
        <x:f>AG51+AF51-AH51</x:f>
        <x:v>79.42168919695422</x:v>
      </x:c>
      <x:c r="Z51" s="53" t="n">
        <x:f>X51+Y51</x:f>
        <x:v>82.05909176014895</x:v>
      </x:c>
      <x:c r="AA51" s="63" t="n">
        <x:f>IF(D51&gt;0,Z51/D51,0)</x:f>
        <x:v>0.0770194749728071</x:v>
      </x:c>
      <x:c r="AB51" s="63" t="n">
        <x:f>IF(G51&gt;0,P51/G51,0)</x:f>
        <x:v>0.03987374131534006</x:v>
      </x:c>
      <x:c r="AC51" s="63" t="n">
        <x:f>IF(T51+AF51&gt;0,T51/(T51+AF51),0)</x:f>
        <x:v>0</x:v>
      </x:c>
      <x:c r="AD51" s="110" t="n">
        <x:f>AJ50</x:f>
        <x:v>0</x:v>
      </x:c>
      <x:c r="AE51" s="110" t="n">
        <x:f>AD51+G51+T51+U51+AP51-Q51-W51-AO51</x:f>
        <x:v>3.6745962959397223</x:v>
      </x:c>
      <x:c r="AF51" s="110" t="n">
        <x:f>MAX(0,-AE51)</x:f>
        <x:v>0</x:v>
      </x:c>
      <x:c r="AG51" s="110" t="n">
        <x:f>Y50+V51</x:f>
        <x:v>83.09628549289394</x:v>
      </x:c>
      <x:c r="AH51" s="110" t="n">
        <x:f>MIN(MAX(0,AE51),AG51)</x:f>
        <x:v>3.6745962959397223</x:v>
      </x:c>
      <x:c r="AI51" s="110" t="n">
        <x:f>AE51+AF51-AH51</x:f>
        <x:v>0</x:v>
      </x:c>
      <x:c r="AJ51" s="110" t="n">
        <x:f>AI51</x:f>
        <x:v>0</x:v>
      </x:c>
      <x:c r="AK51" s="110" t="n">
        <x:f>AK50</x:f>
        <x:v>0</x:v>
      </x:c>
      <x:c r="AL51" s="110" t="n">
        <x:f>AJ51+AK51+AN51-Z51</x:f>
        <x:v>-82.05909176014895</x:v>
      </x:c>
      <x:c r="AM51" s="110" t="n">
        <x:f>AJ51-(AD51+G51+T51+U51+AF51+AP51-Q51-W51-AH51-AO51)</x:f>
        <x:v>0</x:v>
      </x:c>
      <x:c r="AN51" s="110" t="n">
        <x:f>0</x:f>
        <x:v>0</x:v>
      </x:c>
      <x:c r="AO51" s="110" t="n">
        <x:f>0</x:f>
        <x:v>0</x:v>
      </x:c>
      <x:c r="AP51" s="110" t="n">
        <x:f>0</x:f>
        <x:v>0</x:v>
      </x:c>
    </x:row>
    <x:row r="52">
      <x:c r="A52" s="58" t="n">
        <x:v>1892</x:v>
      </x:c>
      <x:c r="B52" s="45" t="n">
        <x:v>808</x:v>
      </x:c>
      <x:c r="C52" s="70" t="n">
        <x:f>Partners!H52</x:f>
        <x:v>1.3465304657888388</x:v>
      </x:c>
      <x:c r="D52" s="47" t="n">
        <x:f>Partners!I52</x:f>
        <x:v>1087.9966163573818</x:v>
      </x:c>
      <x:c r="E52" s="59" t="n">
        <x:v>0.102</x:v>
      </x:c>
      <x:c r="F52" s="59" t="n">
        <x:v>0.08500000000000001</x:v>
      </x:c>
      <x:c r="G52" s="53" t="n">
        <x:f>D52*E52</x:f>
        <x:v>110.97565486845293</x:v>
      </x:c>
      <x:c r="H52" s="53" t="n">
        <x:f>D52*F52</x:f>
        <x:v>92.47971239037746</x:v>
      </x:c>
      <x:c r="I52" s="52" t="n">
        <x:v>10</x:v>
      </x:c>
      <x:c r="J52" s="53" t="n">
        <x:f>IF($A52&gt;=1927,(1-pac_quota)*Navy!X52,I52)</x:f>
        <x:v>10</x:v>
      </x:c>
      <x:c r="K52" s="52" t="n">
        <x:v>0</x:v>
      </x:c>
      <x:c r="L52" s="53" t="n">
        <x:f>IF($A52&gt;=1923,siberia_front*(1-pac_quota),0)</x:f>
        <x:v>0</x:v>
      </x:c>
      <x:c r="M52" s="52" t="n">
        <x:v>0</x:v>
      </x:c>
      <x:c r="N52" s="53" t="n">
        <x:f>M52*C52</x:f>
        <x:v>0</x:v>
      </x:c>
      <x:c r="O52" s="53" t="n">
        <x:f>IF($A52&gt;=1927,10*(1-pac_quota),0)</x:f>
        <x:v>0</x:v>
      </x:c>
      <x:c r="P52" s="53" t="n">
        <x:f>jp_coupon*(Z51-0)+0</x:f>
        <x:v>4.102954588007448</x:v>
      </x:c>
      <x:c r="Q52" s="53" t="n">
        <x:f>H52+J52+K52+L52+N52+O52+P52</x:f>
        <x:v>106.5826669783849</x:v>
      </x:c>
      <x:c r="R52" s="53" t="n">
        <x:f>Q52-G52</x:f>
        <x:v>-4.392987890068028</x:v>
      </x:c>
      <x:c r="S52" s="52" t="n">
        <x:v>0</x:v>
      </x:c>
      <x:c r="T52" s="53" t="n">
        <x:f>S52*IF($A52&gt;=1923,C52,1)</x:f>
        <x:v>0</x:v>
      </x:c>
      <x:c r="U52" s="52" t="n">
        <x:v>0</x:v>
      </x:c>
      <x:c r="V52" s="52" t="n">
        <x:v>0</x:v>
      </x:c>
      <x:c r="W52" s="53" t="n">
        <x:f>(X51-0)*jp_foreign_repay+0</x:f>
        <x:v>0.0791220768958417</x:v>
      </x:c>
      <x:c r="X52" s="53" t="n">
        <x:f>X51+T52-W52</x:f>
        <x:v>2.558280486298882</x:v>
      </x:c>
      <x:c r="Y52" s="53" t="n">
        <x:f>AG52+AF52-AH52</x:f>
        <x:v>75.10782338378203</x:v>
      </x:c>
      <x:c r="Z52" s="53" t="n">
        <x:f>X52+Y52</x:f>
        <x:v>77.66610387008092</x:v>
      </x:c>
      <x:c r="AA52" s="63" t="n">
        <x:f>IF(D52&gt;0,Z52/D52,0)</x:f>
        <x:v>0.07138450864866422</x:v>
      </x:c>
      <x:c r="AB52" s="63" t="n">
        <x:f>IF(G52&gt;0,P52/G52,0)</x:f>
        <x:v>0.03697166367588424</x:v>
      </x:c>
      <x:c r="AC52" s="63" t="n">
        <x:f>IF(T52+AF52&gt;0,T52/(T52+AF52),0)</x:f>
        <x:v>0</x:v>
      </x:c>
      <x:c r="AD52" s="110" t="n">
        <x:f>AJ51</x:f>
        <x:v>0</x:v>
      </x:c>
      <x:c r="AE52" s="110" t="n">
        <x:f>AD52+G52+T52+U52+AP52-Q52-W52-AO52</x:f>
        <x:v>4.313865813172186</x:v>
      </x:c>
      <x:c r="AF52" s="110" t="n">
        <x:f>MAX(0,-AE52)</x:f>
        <x:v>0</x:v>
      </x:c>
      <x:c r="AG52" s="110" t="n">
        <x:f>Y51+V52</x:f>
        <x:v>79.42168919695422</x:v>
      </x:c>
      <x:c r="AH52" s="110" t="n">
        <x:f>MIN(MAX(0,AE52),AG52)</x:f>
        <x:v>4.313865813172186</x:v>
      </x:c>
      <x:c r="AI52" s="110" t="n">
        <x:f>AE52+AF52-AH52</x:f>
        <x:v>0</x:v>
      </x:c>
      <x:c r="AJ52" s="110" t="n">
        <x:f>AI52</x:f>
        <x:v>0</x:v>
      </x:c>
      <x:c r="AK52" s="110" t="n">
        <x:f>AK51</x:f>
        <x:v>0</x:v>
      </x:c>
      <x:c r="AL52" s="110" t="n">
        <x:f>AJ52+AK52+AN52-Z52</x:f>
        <x:v>-77.66610387008092</x:v>
      </x:c>
      <x:c r="AM52" s="110" t="n">
        <x:f>AJ52-(AD52+G52+T52+U52+AF52+AP52-Q52-W52-AH52-AO52)</x:f>
        <x:v>0</x:v>
      </x:c>
      <x:c r="AN52" s="110" t="n">
        <x:f>0</x:f>
        <x:v>0</x:v>
      </x:c>
      <x:c r="AO52" s="110" t="n">
        <x:f>0</x:f>
        <x:v>0</x:v>
      </x:c>
      <x:c r="AP52" s="110" t="n">
        <x:f>0</x:f>
        <x:v>0</x:v>
      </x:c>
    </x:row>
    <x:row r="53">
      <x:c r="A53" s="58" t="n">
        <x:v>1893</x:v>
      </x:c>
      <x:c r="B53" s="45" t="n">
        <x:v>812</x:v>
      </x:c>
      <x:c r="C53" s="70" t="n">
        <x:f>Partners!H53</x:f>
        <x:v>1.3687284206120112</x:v>
      </x:c>
      <x:c r="D53" s="47" t="n">
        <x:f>Partners!I53</x:f>
        <x:v>1111.4074775369531</x:v>
      </x:c>
      <x:c r="E53" s="59" t="n">
        <x:v>0.103</x:v>
      </x:c>
      <x:c r="F53" s="59" t="n">
        <x:v>0.08500000000000001</x:v>
      </x:c>
      <x:c r="G53" s="53" t="n">
        <x:f>D53*E53</x:f>
        <x:v>114.47497018630617</x:v>
      </x:c>
      <x:c r="H53" s="53" t="n">
        <x:f>D53*F53</x:f>
        <x:v>94.46963559064102</x:v>
      </x:c>
      <x:c r="I53" s="52" t="n">
        <x:v>11</x:v>
      </x:c>
      <x:c r="J53" s="53" t="n">
        <x:f>IF($A53&gt;=1927,(1-pac_quota)*Navy!X53,I53)</x:f>
        <x:v>11</x:v>
      </x:c>
      <x:c r="K53" s="52" t="n">
        <x:v>0</x:v>
      </x:c>
      <x:c r="L53" s="53" t="n">
        <x:f>IF($A53&gt;=1923,siberia_front*(1-pac_quota),0)</x:f>
        <x:v>0</x:v>
      </x:c>
      <x:c r="M53" s="52" t="n">
        <x:v>0</x:v>
      </x:c>
      <x:c r="N53" s="53" t="n">
        <x:f>M53*C53</x:f>
        <x:v>0</x:v>
      </x:c>
      <x:c r="O53" s="53" t="n">
        <x:f>IF($A53&gt;=1927,10*(1-pac_quota),0)</x:f>
        <x:v>0</x:v>
      </x:c>
      <x:c r="P53" s="53" t="n">
        <x:f>jp_coupon*(Z52-0)+0</x:f>
        <x:v>3.883305193504046</x:v>
      </x:c>
      <x:c r="Q53" s="53" t="n">
        <x:f>H53+J53+K53+L53+N53+O53+P53</x:f>
        <x:v>109.35294078414506</x:v>
      </x:c>
      <x:c r="R53" s="53" t="n">
        <x:f>Q53-G53</x:f>
        <x:v>-5.122029402161104</x:v>
      </x:c>
      <x:c r="S53" s="52" t="n">
        <x:v>0</x:v>
      </x:c>
      <x:c r="T53" s="53" t="n">
        <x:f>S53*IF($A53&gt;=1923,C53,1)</x:f>
        <x:v>0</x:v>
      </x:c>
      <x:c r="U53" s="52" t="n">
        <x:v>0</x:v>
      </x:c>
      <x:c r="V53" s="52" t="n">
        <x:v>0</x:v>
      </x:c>
      <x:c r="W53" s="53" t="n">
        <x:f>(X52-0)*jp_foreign_repay+0</x:f>
        <x:v>0.07674841458896646</x:v>
      </x:c>
      <x:c r="X53" s="53" t="n">
        <x:f>X52+T53-W53</x:f>
        <x:v>2.4815320717099154</x:v>
      </x:c>
      <x:c r="Y53" s="53" t="n">
        <x:f>AG53+AF53-AH53</x:f>
        <x:v>70.06254239620989</x:v>
      </x:c>
      <x:c r="Z53" s="53" t="n">
        <x:f>X53+Y53</x:f>
        <x:v>72.54407446791981</x:v>
      </x:c>
      <x:c r="AA53" s="63" t="n">
        <x:f>IF(D53&gt;0,Z53/D53,0)</x:f>
        <x:v>0.06527225696617449</x:v>
      </x:c>
      <x:c r="AB53" s="63" t="n">
        <x:f>IF(G53&gt;0,P53/G53,0)</x:f>
        <x:v>0.03392274474659421</x:v>
      </x:c>
      <x:c r="AC53" s="63" t="n">
        <x:f>IF(T53+AF53&gt;0,T53/(T53+AF53),0)</x:f>
        <x:v>0</x:v>
      </x:c>
      <x:c r="AD53" s="110" t="n">
        <x:f>AJ52</x:f>
        <x:v>0</x:v>
      </x:c>
      <x:c r="AE53" s="110" t="n">
        <x:f>AD53+G53+T53+U53+AP53-Q53-W53-AO53</x:f>
        <x:v>5.045280987572138</x:v>
      </x:c>
      <x:c r="AF53" s="110" t="n">
        <x:f>MAX(0,-AE53)</x:f>
        <x:v>0</x:v>
      </x:c>
      <x:c r="AG53" s="110" t="n">
        <x:f>Y52+V53</x:f>
        <x:v>75.10782338378203</x:v>
      </x:c>
      <x:c r="AH53" s="110" t="n">
        <x:f>MIN(MAX(0,AE53),AG53)</x:f>
        <x:v>5.045280987572138</x:v>
      </x:c>
      <x:c r="AI53" s="110" t="n">
        <x:f>AE53+AF53-AH53</x:f>
        <x:v>0</x:v>
      </x:c>
      <x:c r="AJ53" s="110" t="n">
        <x:f>AI53</x:f>
        <x:v>0</x:v>
      </x:c>
      <x:c r="AK53" s="110" t="n">
        <x:f>AK52</x:f>
        <x:v>0</x:v>
      </x:c>
      <x:c r="AL53" s="110" t="n">
        <x:f>AJ53+AK53+AN53-Z53</x:f>
        <x:v>-72.54407446791981</x:v>
      </x:c>
      <x:c r="AM53" s="110" t="n">
        <x:f>AJ53-(AD53+G53+T53+U53+AF53+AP53-Q53-W53-AH53-AO53)</x:f>
        <x:v>0</x:v>
      </x:c>
      <x:c r="AN53" s="110" t="n">
        <x:f>0</x:f>
        <x:v>0</x:v>
      </x:c>
      <x:c r="AO53" s="110" t="n">
        <x:f>0</x:f>
        <x:v>0</x:v>
      </x:c>
      <x:c r="AP53" s="110" t="n">
        <x:f>0</x:f>
        <x:v>0</x:v>
      </x:c>
    </x:row>
    <x:row r="54">
      <x:c r="A54" s="58" t="n">
        <x:v>1894</x:v>
      </x:c>
      <x:c r="B54" s="45" t="n">
        <x:v>816</x:v>
      </x:c>
      <x:c r="C54" s="70" t="n">
        <x:f>Partners!H54</x:f>
        <x:v>1.3913985908484852</x:v>
      </x:c>
      <x:c r="D54" s="47" t="n">
        <x:f>Partners!I54</x:f>
        <x:v>1135.381250132364</x:v>
      </x:c>
      <x:c r="E54" s="59" t="n">
        <x:v>0.104</x:v>
      </x:c>
      <x:c r="F54" s="59" t="n">
        <x:v>0.08500000000000001</x:v>
      </x:c>
      <x:c r="G54" s="53" t="n">
        <x:f>D54*E54</x:f>
        <x:v>118.07965001376584</x:v>
      </x:c>
      <x:c r="H54" s="53" t="n">
        <x:f>D54*F54</x:f>
        <x:v>96.50740626125094</x:v>
      </x:c>
      <x:c r="I54" s="52" t="n">
        <x:v>12</x:v>
      </x:c>
      <x:c r="J54" s="53" t="n">
        <x:f>IF($A54&gt;=1927,(1-pac_quota)*Navy!X54,I54)</x:f>
        <x:v>12</x:v>
      </x:c>
      <x:c r="K54" s="52" t="n">
        <x:v>40</x:v>
      </x:c>
      <x:c r="L54" s="53" t="n">
        <x:f>IF($A54&gt;=1923,siberia_front*(1-pac_quota),0)</x:f>
        <x:v>0</x:v>
      </x:c>
      <x:c r="M54" s="52" t="n">
        <x:v>0</x:v>
      </x:c>
      <x:c r="N54" s="53" t="n">
        <x:f>M54*C54</x:f>
        <x:v>0</x:v>
      </x:c>
      <x:c r="O54" s="53" t="n">
        <x:f>IF($A54&gt;=1927,10*(1-pac_quota),0)</x:f>
        <x:v>0</x:v>
      </x:c>
      <x:c r="P54" s="53" t="n">
        <x:f>jp_coupon*(Z53-0)+0</x:f>
        <x:v>3.627203723395991</x:v>
      </x:c>
      <x:c r="Q54" s="53" t="n">
        <x:f>H54+J54+K54+L54+N54+O54+P54</x:f>
        <x:v>152.13460998464691</x:v>
      </x:c>
      <x:c r="R54" s="53" t="n">
        <x:f>Q54-G54</x:f>
        <x:v>34.05495997088107</x:v>
      </x:c>
      <x:c r="S54" s="52" t="n">
        <x:v>10</x:v>
      </x:c>
      <x:c r="T54" s="53" t="n">
        <x:f>S54*IF($A54&gt;=1923,C54,1)</x:f>
        <x:v>10</x:v>
      </x:c>
      <x:c r="U54" s="52" t="n">
        <x:v>0</x:v>
      </x:c>
      <x:c r="V54" s="52" t="n">
        <x:v>0</x:v>
      </x:c>
      <x:c r="W54" s="53" t="n">
        <x:f>(X53-0)*jp_foreign_repay+0</x:f>
        <x:v>0.07444596215129747</x:v>
      </x:c>
      <x:c r="X54" s="53" t="n">
        <x:f>X53+T54-W54</x:f>
        <x:v>12.407086109558618</x:v>
      </x:c>
      <x:c r="Y54" s="53" t="n">
        <x:f>AG54+AF54-AH54</x:f>
        <x:v>94.19194832924227</x:v>
      </x:c>
      <x:c r="Z54" s="53" t="n">
        <x:f>X54+Y54</x:f>
        <x:v>106.59903443880089</x:v>
      </x:c>
      <x:c r="AA54" s="63" t="n">
        <x:f>IF(D54&gt;0,Z54/D54,0)</x:f>
        <x:v>0.09388831674503473</x:v>
      </x:c>
      <x:c r="AB54" s="63" t="n">
        <x:f>IF(G54&gt;0,P54/G54,0)</x:f>
        <x:v>0.03071827976262741</x:v>
      </x:c>
      <x:c r="AC54" s="63" t="n">
        <x:f>IF(T54+AF54&gt;0,T54/(T54+AF54),0)</x:f>
        <x:v>0.29300246302621497</x:v>
      </x:c>
      <x:c r="AD54" s="110" t="n">
        <x:f>AJ53</x:f>
        <x:v>0</x:v>
      </x:c>
      <x:c r="AE54" s="110" t="n">
        <x:f>AD54+G54+T54+U54+AP54-Q54-W54-AO54</x:f>
        <x:v>-24.12940593303237</x:v>
      </x:c>
      <x:c r="AF54" s="110" t="n">
        <x:f>MAX(0,-AE54)</x:f>
        <x:v>24.12940593303237</x:v>
      </x:c>
      <x:c r="AG54" s="110" t="n">
        <x:f>Y53+V54</x:f>
        <x:v>70.06254239620989</x:v>
      </x:c>
      <x:c r="AH54" s="110" t="n">
        <x:f>MIN(MAX(0,AE54),AG54)</x:f>
        <x:v>0</x:v>
      </x:c>
      <x:c r="AI54" s="110" t="n">
        <x:f>AE54+AF54-AH54</x:f>
        <x:v>0</x:v>
      </x:c>
      <x:c r="AJ54" s="110" t="n">
        <x:f>AI54</x:f>
        <x:v>0</x:v>
      </x:c>
      <x:c r="AK54" s="110" t="n">
        <x:f>AK53</x:f>
        <x:v>0</x:v>
      </x:c>
      <x:c r="AL54" s="110" t="n">
        <x:f>AJ54+AK54+AN54-Z54</x:f>
        <x:v>-106.59903443880089</x:v>
      </x:c>
      <x:c r="AM54" s="110" t="n">
        <x:f>AJ54-(AD54+G54+T54+U54+AF54+AP54-Q54-W54-AH54-AO54)</x:f>
        <x:v>1.0061396160665481e-14</x:v>
      </x:c>
      <x:c r="AN54" s="110" t="n">
        <x:f>0</x:f>
        <x:v>0</x:v>
      </x:c>
      <x:c r="AO54" s="110" t="n">
        <x:f>0</x:f>
        <x:v>0</x:v>
      </x:c>
      <x:c r="AP54" s="110" t="n">
        <x:f>0</x:f>
        <x:v>0</x:v>
      </x:c>
    </x:row>
    <x:row r="55">
      <x:c r="A55" s="58" t="n">
        <x:v>1895</x:v>
      </x:c>
      <x:c r="B55" s="45" t="n">
        <x:v>820</x:v>
      </x:c>
      <x:c r="C55" s="70" t="n">
        <x:f>Partners!H55</x:f>
        <x:v>1.4148433830770781</x:v>
      </x:c>
      <x:c r="D55" s="47" t="n">
        <x:f>Partners!I55</x:f>
        <x:v>1160.171574123204</x:v>
      </x:c>
      <x:c r="E55" s="59" t="n">
        <x:v>0.105</x:v>
      </x:c>
      <x:c r="F55" s="59" t="n">
        <x:v>0.08500000000000001</x:v>
      </x:c>
      <x:c r="G55" s="53" t="n">
        <x:f>D55*E55</x:f>
        <x:v>121.81801528293641</x:v>
      </x:c>
      <x:c r="H55" s="53" t="n">
        <x:f>D55*F55</x:f>
        <x:v>98.61458380047235</x:v>
      </x:c>
      <x:c r="I55" s="52" t="n">
        <x:v>16.3</x:v>
      </x:c>
      <x:c r="J55" s="53" t="n">
        <x:f>IF($A55&gt;=1927,(1-pac_quota)*Navy!X55,I55)</x:f>
        <x:v>16.3</x:v>
      </x:c>
      <x:c r="K55" s="52" t="n">
        <x:v>60</x:v>
      </x:c>
      <x:c r="L55" s="53" t="n">
        <x:f>IF($A55&gt;=1923,siberia_front*(1-pac_quota),0)</x:f>
        <x:v>0</x:v>
      </x:c>
      <x:c r="M55" s="52" t="n">
        <x:v>0</x:v>
      </x:c>
      <x:c r="N55" s="53" t="n">
        <x:f>M55*C55</x:f>
        <x:v>0</x:v>
      </x:c>
      <x:c r="O55" s="53" t="n">
        <x:f>IF($A55&gt;=1927,10*(1-pac_quota),0)</x:f>
        <x:v>0</x:v>
      </x:c>
      <x:c r="P55" s="53" t="n">
        <x:f>jp_coupon*(Z54-0)+0</x:f>
        <x:v>5.329951721940045</x:v>
      </x:c>
      <x:c r="Q55" s="53" t="n">
        <x:f>H55+J55+K55+L55+N55+O55+P55</x:f>
        <x:v>180.24453552241238</x:v>
      </x:c>
      <x:c r="R55" s="53" t="n">
        <x:f>Q55-G55</x:f>
        <x:v>58.42652023947596</x:v>
      </x:c>
      <x:c r="S55" s="52" t="n">
        <x:v>0</x:v>
      </x:c>
      <x:c r="T55" s="53" t="n">
        <x:f>S55*IF($A55&gt;=1923,C55,1)</x:f>
        <x:v>0</x:v>
      </x:c>
      <x:c r="U55" s="52" t="n">
        <x:v>0</x:v>
      </x:c>
      <x:c r="V55" s="52" t="n">
        <x:v>0</x:v>
      </x:c>
      <x:c r="W55" s="53" t="n">
        <x:f>(X54-0)*jp_foreign_repay+0</x:f>
        <x:v>0.37221258328675855</x:v>
      </x:c>
      <x:c r="X55" s="53" t="n">
        <x:f>X54+T55-W55</x:f>
        <x:v>12.03487352627186</x:v>
      </x:c>
      <x:c r="Y55" s="53" t="n">
        <x:f>AG55+AF55-AH55</x:f>
        <x:v>152.99068115200498</x:v>
      </x:c>
      <x:c r="Z55" s="53" t="n">
        <x:f>X55+Y55</x:f>
        <x:v>165.02555467827685</x:v>
      </x:c>
      <x:c r="AA55" s="63" t="n">
        <x:f>IF(D55&gt;0,Z55/D55,0)</x:f>
        <x:v>0.14224237031750617</x:v>
      </x:c>
      <x:c r="AB55" s="63" t="n">
        <x:f>IF(G55&gt;0,P55/G55,0)</x:f>
        <x:v>0.04375339484525845</x:v>
      </x:c>
      <x:c r="AC55" s="63" t="n">
        <x:f>IF(T55+AF55&gt;0,T55/(T55+AF55),0)</x:f>
        <x:v>0</x:v>
      </x:c>
      <x:c r="AD55" s="110" t="n">
        <x:f>AJ54</x:f>
        <x:v>0</x:v>
      </x:c>
      <x:c r="AE55" s="110" t="n">
        <x:f>AD55+G55+T55+U55+AP55-Q55-W55-AO55</x:f>
        <x:v>-58.79873282276272</x:v>
      </x:c>
      <x:c r="AF55" s="110" t="n">
        <x:f>MAX(0,-AE55)</x:f>
        <x:v>58.79873282276272</x:v>
      </x:c>
      <x:c r="AG55" s="110" t="n">
        <x:f>Y54+V55</x:f>
        <x:v>94.19194832924227</x:v>
      </x:c>
      <x:c r="AH55" s="110" t="n">
        <x:f>MIN(MAX(0,AE55),AG55)</x:f>
        <x:v>0</x:v>
      </x:c>
      <x:c r="AI55" s="110" t="n">
        <x:f>AE55+AF55-AH55</x:f>
        <x:v>0</x:v>
      </x:c>
      <x:c r="AJ55" s="110" t="n">
        <x:f>AI55</x:f>
        <x:v>0</x:v>
      </x:c>
      <x:c r="AK55" s="110" t="n">
        <x:f>AK54</x:f>
        <x:v>0</x:v>
      </x:c>
      <x:c r="AL55" s="110" t="n">
        <x:f>AJ55+AK55+AN55-Z55</x:f>
        <x:v>-165.02555467827685</x:v>
      </x:c>
      <x:c r="AM55" s="110" t="n">
        <x:f>AJ55-(AD55+G55+T55+U55+AF55+AP55-Q55-W55-AH55-AO55)</x:f>
        <x:v>-8.992806499463768e-15</x:v>
      </x:c>
      <x:c r="AN55" s="110" t="n">
        <x:f>0</x:f>
        <x:v>0</x:v>
      </x:c>
      <x:c r="AO55" s="110" t="n">
        <x:f>0</x:f>
        <x:v>0</x:v>
      </x:c>
      <x:c r="AP55" s="110" t="n">
        <x:f>0</x:f>
        <x:v>0</x:v>
      </x:c>
    </x:row>
    <x:row r="56">
      <x:c r="A56" s="58" t="n">
        <x:v>1896</x:v>
      </x:c>
      <x:c r="B56" s="45" t="n">
        <x:v>960</x:v>
      </x:c>
      <x:c r="C56" s="70" t="n">
        <x:f>Partners!H56</x:f>
        <x:v>1.4393647143892436</x:v>
      </x:c>
      <x:c r="D56" s="47" t="n">
        <x:f>Partners!I56</x:f>
        <x:v>1381.790125813674</x:v>
      </x:c>
      <x:c r="E56" s="59" t="n">
        <x:v>0.106</x:v>
      </x:c>
      <x:c r="F56" s="59" t="n">
        <x:v>0.08500000000000001</x:v>
      </x:c>
      <x:c r="G56" s="53" t="n">
        <x:f>D56*E56</x:f>
        <x:v>146.46975333624943</x:v>
      </x:c>
      <x:c r="H56" s="53" t="n">
        <x:f>D56*F56</x:f>
        <x:v>117.4521606941623</x:v>
      </x:c>
      <x:c r="I56" s="52" t="n">
        <x:v>20.7</x:v>
      </x:c>
      <x:c r="J56" s="53" t="n">
        <x:f>IF($A56&gt;=1927,(1-pac_quota)*Navy!X56,I56)</x:f>
        <x:v>20.7</x:v>
      </x:c>
      <x:c r="K56" s="52" t="n">
        <x:v>0</x:v>
      </x:c>
      <x:c r="L56" s="53" t="n">
        <x:f>IF($A56&gt;=1923,siberia_front*(1-pac_quota),0)</x:f>
        <x:v>0</x:v>
      </x:c>
      <x:c r="M56" s="52" t="n">
        <x:v>0</x:v>
      </x:c>
      <x:c r="N56" s="53" t="n">
        <x:f>M56*C56</x:f>
        <x:v>0</x:v>
      </x:c>
      <x:c r="O56" s="53" t="n">
        <x:f>IF($A56&gt;=1927,10*(1-pac_quota),0)</x:f>
        <x:v>0</x:v>
      </x:c>
      <x:c r="P56" s="53" t="n">
        <x:f>jp_coupon*(Z55-0)+0</x:f>
        <x:v>8.251277733913843</x:v>
      </x:c>
      <x:c r="Q56" s="53" t="n">
        <x:f>H56+J56+K56+L56+N56+O56+P56</x:f>
        <x:v>146.40343842807613</x:v>
      </x:c>
      <x:c r="R56" s="53" t="n">
        <x:f>Q56-G56</x:f>
        <x:v>-0.06631490817329677</x:v>
      </x:c>
      <x:c r="S56" s="52" t="n">
        <x:v>0</x:v>
      </x:c>
      <x:c r="T56" s="53" t="n">
        <x:f>S56*IF($A56&gt;=1923,C56,1)</x:f>
        <x:v>0</x:v>
      </x:c>
      <x:c r="U56" s="52" t="n">
        <x:v>0</x:v>
      </x:c>
      <x:c r="V56" s="52" t="n">
        <x:v>0</x:v>
      </x:c>
      <x:c r="W56" s="53" t="n">
        <x:f>(X55-0)*jp_foreign_repay+0</x:f>
        <x:v>0.36104620578815577</x:v>
      </x:c>
      <x:c r="X56" s="53" t="n">
        <x:f>X55+T56-W56</x:f>
        <x:v>11.673827320483703</x:v>
      </x:c>
      <x:c r="Y56" s="53" t="n">
        <x:f>AG56+AF56-AH56</x:f>
        <x:v>153.28541244961983</x:v>
      </x:c>
      <x:c r="Z56" s="53" t="n">
        <x:f>X56+Y56</x:f>
        <x:v>164.95923977010352</x:v>
      </x:c>
      <x:c r="AA56" s="63" t="n">
        <x:f>IF(D56&gt;0,Z56/D56,0)</x:f>
        <x:v>0.11938082107292991</x:v>
      </x:c>
      <x:c r="AB56" s="63" t="n">
        <x:f>IF(G56&gt;0,P56/G56,0)</x:f>
        <x:v>0.05633434580156254</x:v>
      </x:c>
      <x:c r="AC56" s="63" t="n">
        <x:f>IF(T56+AF56&gt;0,T56/(T56+AF56),0)</x:f>
        <x:v>0</x:v>
      </x:c>
      <x:c r="AD56" s="110" t="n">
        <x:f>AJ55</x:f>
        <x:v>0</x:v>
      </x:c>
      <x:c r="AE56" s="110" t="n">
        <x:f>AD56+G56+T56+U56+AP56-Q56-W56-AO56</x:f>
        <x:v>-0.294731297614859</x:v>
      </x:c>
      <x:c r="AF56" s="110" t="n">
        <x:f>MAX(0,-AE56)</x:f>
        <x:v>0.294731297614859</x:v>
      </x:c>
      <x:c r="AG56" s="110" t="n">
        <x:f>Y55+V56</x:f>
        <x:v>152.99068115200498</x:v>
      </x:c>
      <x:c r="AH56" s="110" t="n">
        <x:f>MIN(MAX(0,AE56),AG56)</x:f>
        <x:v>0</x:v>
      </x:c>
      <x:c r="AI56" s="110" t="n">
        <x:f>AE56+AF56-AH56</x:f>
        <x:v>0</x:v>
      </x:c>
      <x:c r="AJ56" s="110" t="n">
        <x:f>AI56</x:f>
        <x:v>0</x:v>
      </x:c>
      <x:c r="AK56" s="110" t="n">
        <x:f>AK55</x:f>
        <x:v>0</x:v>
      </x:c>
      <x:c r="AL56" s="110" t="n">
        <x:f>AJ56+AK56+AN56-Z56</x:f>
        <x:v>-164.95923977010352</x:v>
      </x:c>
      <x:c r="AM56" s="110" t="n">
        <x:f>AJ56-(AD56+G56+T56+U56+AF56+AP56-Q56-W56-AH56-AO56)</x:f>
        <x:v>1.3711254354120683e-14</x:v>
      </x:c>
      <x:c r="AN56" s="110" t="n">
        <x:f>0</x:f>
        <x:v>0</x:v>
      </x:c>
      <x:c r="AO56" s="110" t="n">
        <x:f>0</x:f>
        <x:v>0</x:v>
      </x:c>
      <x:c r="AP56" s="110" t="n">
        <x:f>0</x:f>
        <x:v>0</x:v>
      </x:c>
    </x:row>
    <x:row r="57">
      <x:c r="A57" s="58" t="n">
        <x:v>1897</x:v>
      </x:c>
      <x:c r="B57" s="45" t="n">
        <x:v>1100</x:v>
      </x:c>
      <x:c r="C57" s="70" t="n">
        <x:f>Partners!H57</x:f>
        <x:v>1.4632990015983602</x:v>
      </x:c>
      <x:c r="D57" s="47" t="n">
        <x:f>Partners!I57</x:f>
        <x:v>1609.6289017581962</x:v>
      </x:c>
      <x:c r="E57" s="59" t="n">
        <x:v>0.107</x:v>
      </x:c>
      <x:c r="F57" s="59" t="n">
        <x:v>0.08500000000000001</x:v>
      </x:c>
      <x:c r="G57" s="53" t="n">
        <x:f>D57*E57</x:f>
        <x:v>172.230292488127</x:v>
      </x:c>
      <x:c r="H57" s="53" t="n">
        <x:f>D57*F57</x:f>
        <x:v>136.8184566494467</x:v>
      </x:c>
      <x:c r="I57" s="52" t="n">
        <x:v>25</x:v>
      </x:c>
      <x:c r="J57" s="53" t="n">
        <x:f>IF($A57&gt;=1927,(1-pac_quota)*Navy!X57,I57)</x:f>
        <x:v>25</x:v>
      </x:c>
      <x:c r="K57" s="52" t="n">
        <x:v>0</x:v>
      </x:c>
      <x:c r="L57" s="53" t="n">
        <x:f>IF($A57&gt;=1923,siberia_front*(1-pac_quota),0)</x:f>
        <x:v>0</x:v>
      </x:c>
      <x:c r="M57" s="52" t="n">
        <x:v>0</x:v>
      </x:c>
      <x:c r="N57" s="53" t="n">
        <x:f>M57*C57</x:f>
        <x:v>0</x:v>
      </x:c>
      <x:c r="O57" s="53" t="n">
        <x:f>IF($A57&gt;=1927,10*(1-pac_quota),0)</x:f>
        <x:v>0</x:v>
      </x:c>
      <x:c r="P57" s="53" t="n">
        <x:f>jp_coupon*(Z56-0)+0</x:f>
        <x:v>8.247961988505176</x:v>
      </x:c>
      <x:c r="Q57" s="53" t="n">
        <x:f>H57+J57+K57+L57+N57+O57+P57</x:f>
        <x:v>170.06641863795187</x:v>
      </x:c>
      <x:c r="R57" s="53" t="n">
        <x:f>Q57-G57</x:f>
        <x:v>-2.163873850175122</x:v>
      </x:c>
      <x:c r="S57" s="52" t="n">
        <x:v>20</x:v>
      </x:c>
      <x:c r="T57" s="53" t="n">
        <x:f>S57*IF($A57&gt;=1923,C57,1)</x:f>
        <x:v>20</x:v>
      </x:c>
      <x:c r="U57" s="52" t="n">
        <x:v>0</x:v>
      </x:c>
      <x:c r="V57" s="52" t="n">
        <x:v>0</x:v>
      </x:c>
      <x:c r="W57" s="53" t="n">
        <x:f>(X56-0)*jp_foreign_repay+0</x:f>
        <x:v>0.35021481961451106</x:v>
      </x:c>
      <x:c r="X57" s="53" t="n">
        <x:f>X56+T57-W57</x:f>
        <x:v>31.323612500869192</x:v>
      </x:c>
      <x:c r="Y57" s="53" t="n">
        <x:f>AG57+AF57-AH57</x:f>
        <x:v>131.4717534190592</x:v>
      </x:c>
      <x:c r="Z57" s="53" t="n">
        <x:f>X57+Y57</x:f>
        <x:v>162.7953659199284</x:v>
      </x:c>
      <x:c r="AA57" s="63" t="n">
        <x:f>IF(D57&gt;0,Z57/D57,0)</x:f>
        <x:v>0.10113844609904007</x:v>
      </x:c>
      <x:c r="AB57" s="63" t="n">
        <x:f>IF(G57&gt;0,P57/G57,0)</x:f>
        <x:v>0.04788914812458885</x:v>
      </x:c>
      <x:c r="AC57" s="63" t="n">
        <x:f>IF(T57+AF57&gt;0,T57/(T57+AF57),0)</x:f>
        <x:v>1</x:v>
      </x:c>
      <x:c r="AD57" s="110" t="n">
        <x:f>AJ56</x:f>
        <x:v>0</x:v>
      </x:c>
      <x:c r="AE57" s="110" t="n">
        <x:f>AD57+G57+T57+U57+AP57-Q57-W57-AO57</x:f>
        <x:v>21.81365903056061</x:v>
      </x:c>
      <x:c r="AF57" s="110" t="n">
        <x:f>MAX(0,-AE57)</x:f>
        <x:v>0</x:v>
      </x:c>
      <x:c r="AG57" s="110" t="n">
        <x:f>Y56+V57</x:f>
        <x:v>153.28541244961983</x:v>
      </x:c>
      <x:c r="AH57" s="110" t="n">
        <x:f>MIN(MAX(0,AE57),AG57)</x:f>
        <x:v>21.81365903056061</x:v>
      </x:c>
      <x:c r="AI57" s="110" t="n">
        <x:f>AE57+AF57-AH57</x:f>
        <x:v>0</x:v>
      </x:c>
      <x:c r="AJ57" s="110" t="n">
        <x:f>AI57</x:f>
        <x:v>0</x:v>
      </x:c>
      <x:c r="AK57" s="110" t="n">
        <x:f>AK56</x:f>
        <x:v>0</x:v>
      </x:c>
      <x:c r="AL57" s="110" t="n">
        <x:f>AJ57+AK57+AN57-Z57</x:f>
        <x:v>-162.7953659199284</x:v>
      </x:c>
      <x:c r="AM57" s="110" t="n">
        <x:f>AJ57-(AD57+G57+T57+U57+AF57+AP57-Q57-W57-AH57-AO57)</x:f>
        <x:v>0</x:v>
      </x:c>
      <x:c r="AN57" s="110" t="n">
        <x:f>0</x:f>
        <x:v>0</x:v>
      </x:c>
      <x:c r="AO57" s="110" t="n">
        <x:f>0</x:f>
        <x:v>0</x:v>
      </x:c>
      <x:c r="AP57" s="110" t="n">
        <x:f>0</x:f>
        <x:v>0</x:v>
      </x:c>
    </x:row>
    <x:row r="58">
      <x:c r="A58" s="58" t="n">
        <x:v>1898</x:v>
      </x:c>
      <x:c r="B58" s="45" t="n">
        <x:v>1133</x:v>
      </x:c>
      <x:c r="C58" s="70" t="n">
        <x:f>Partners!H58</x:f>
        <x:v>1.4873055929633692</x:v>
      </x:c>
      <x:c r="D58" s="47" t="n">
        <x:f>Partners!I58</x:f>
        <x:v>1685.1172368274972</x:v>
      </x:c>
      <x:c r="E58" s="59" t="n">
        <x:v>0.108</x:v>
      </x:c>
      <x:c r="F58" s="59" t="n">
        <x:v>0.08500000000000001</x:v>
      </x:c>
      <x:c r="G58" s="53" t="n">
        <x:f>D58*E58</x:f>
        <x:v>181.9926615773697</x:v>
      </x:c>
      <x:c r="H58" s="53" t="n">
        <x:f>D58*F58</x:f>
        <x:v>143.2349651303373</x:v>
      </x:c>
      <x:c r="I58" s="52" t="n">
        <x:v>26.7</x:v>
      </x:c>
      <x:c r="J58" s="53" t="n">
        <x:f>IF($A58&gt;=1927,(1-pac_quota)*Navy!X58,I58)</x:f>
        <x:v>26.7</x:v>
      </x:c>
      <x:c r="K58" s="52" t="n">
        <x:v>90</x:v>
      </x:c>
      <x:c r="L58" s="53" t="n">
        <x:f>IF($A58&gt;=1923,siberia_front*(1-pac_quota),0)</x:f>
        <x:v>0</x:v>
      </x:c>
      <x:c r="M58" s="52" t="n">
        <x:v>0</x:v>
      </x:c>
      <x:c r="N58" s="53" t="n">
        <x:f>M58*C58</x:f>
        <x:v>0</x:v>
      </x:c>
      <x:c r="O58" s="53" t="n">
        <x:f>IF($A58&gt;=1927,10*(1-pac_quota),0)</x:f>
        <x:v>0</x:v>
      </x:c>
      <x:c r="P58" s="53" t="n">
        <x:f>jp_coupon*(Z57-0)+0</x:f>
        <x:v>8.13976829599642</x:v>
      </x:c>
      <x:c r="Q58" s="53" t="n">
        <x:f>H58+J58+K58+L58+N58+O58+P58</x:f>
        <x:v>268.0747334263337</x:v>
      </x:c>
      <x:c r="R58" s="53" t="n">
        <x:f>Q58-G58</x:f>
        <x:v>86.082071848964</x:v>
      </x:c>
      <x:c r="S58" s="52" t="n">
        <x:v>15</x:v>
      </x:c>
      <x:c r="T58" s="53" t="n">
        <x:f>S58*IF($A58&gt;=1923,C58,1)</x:f>
        <x:v>15</x:v>
      </x:c>
      <x:c r="U58" s="52" t="n">
        <x:v>0</x:v>
      </x:c>
      <x:c r="V58" s="52" t="n">
        <x:v>0</x:v>
      </x:c>
      <x:c r="W58" s="53" t="n">
        <x:f>(X57-0)*jp_foreign_repay+0</x:f>
        <x:v>0.9397083750260757</x:v>
      </x:c>
      <x:c r="X58" s="53" t="n">
        <x:f>X57+T58-W58</x:f>
        <x:v>45.38390412584311</x:v>
      </x:c>
      <x:c r="Y58" s="53" t="n">
        <x:f>AG58+AF58-AH58</x:f>
        <x:v>203.4935336430493</x:v>
      </x:c>
      <x:c r="Z58" s="53" t="n">
        <x:f>X58+Y58</x:f>
        <x:v>248.8774377688924</x:v>
      </x:c>
      <x:c r="AA58" s="63" t="n">
        <x:f>IF(D58&gt;0,Z58/D58,0)</x:f>
        <x:v>0.14769146759037607</x:v>
      </x:c>
      <x:c r="AB58" s="63" t="n">
        <x:f>IF(G58&gt;0,P58/G58,0)</x:f>
        <x:v>0.04472580501569289</x:v>
      </x:c>
      <x:c r="AC58" s="63" t="n">
        <x:f>IF(T58+AF58&gt;0,T58/(T58+AF58),0)</x:f>
        <x:v>0.1723706405613708</x:v>
      </x:c>
      <x:c r="AD58" s="110" t="n">
        <x:f>AJ57</x:f>
        <x:v>0</x:v>
      </x:c>
      <x:c r="AE58" s="110" t="n">
        <x:f>AD58+G58+T58+U58+AP58-Q58-W58-AO58</x:f>
        <x:v>-72.02178022399008</x:v>
      </x:c>
      <x:c r="AF58" s="110" t="n">
        <x:f>MAX(0,-AE58)</x:f>
        <x:v>72.02178022399008</x:v>
      </x:c>
      <x:c r="AG58" s="110" t="n">
        <x:f>Y57+V58</x:f>
        <x:v>131.4717534190592</x:v>
      </x:c>
      <x:c r="AH58" s="110" t="n">
        <x:f>MIN(MAX(0,AE58),AG58)</x:f>
        <x:v>0</x:v>
      </x:c>
      <x:c r="AI58" s="110" t="n">
        <x:f>AE58+AF58-AH58</x:f>
        <x:v>0</x:v>
      </x:c>
      <x:c r="AJ58" s="110" t="n">
        <x:f>AI58</x:f>
        <x:v>0</x:v>
      </x:c>
      <x:c r="AK58" s="110" t="n">
        <x:f>AK57</x:f>
        <x:v>0</x:v>
      </x:c>
      <x:c r="AL58" s="110" t="n">
        <x:f>AJ58+AK58+AN58-Z58</x:f>
        <x:v>-248.8774377688924</x:v>
      </x:c>
      <x:c r="AM58" s="110" t="n">
        <x:f>AJ58-(AD58+G58+T58+U58+AF58+AP58-Q58-W58-AH58-AO58)</x:f>
        <x:v>-2.4646951146678475e-14</x:v>
      </x:c>
      <x:c r="AN58" s="110" t="n">
        <x:f>0</x:f>
        <x:v>0</x:v>
      </x:c>
      <x:c r="AO58" s="110" t="n">
        <x:f>0</x:f>
        <x:v>0</x:v>
      </x:c>
      <x:c r="AP58" s="110" t="n">
        <x:f>0</x:f>
        <x:v>0</x:v>
      </x:c>
    </x:row>
    <x:row r="59">
      <x:c r="A59" s="58" t="n">
        <x:v>1899</x:v>
      </x:c>
      <x:c r="B59" s="45" t="n">
        <x:v>1167</x:v>
      </x:c>
      <x:c r="C59" s="70" t="n">
        <x:f>Partners!H59</x:f>
        <x:v>1.5122157285822857</x:v>
      </x:c>
      <x:c r="D59" s="47" t="n">
        <x:f>Partners!I59</x:f>
        <x:v>1764.7557552555274</x:v>
      </x:c>
      <x:c r="E59" s="59" t="n">
        <x:v>0.109</x:v>
      </x:c>
      <x:c r="F59" s="59" t="n">
        <x:v>0.08500000000000001</x:v>
      </x:c>
      <x:c r="G59" s="53" t="n">
        <x:f>D59*E59</x:f>
        <x:v>192.3583773228525</x:v>
      </x:c>
      <x:c r="H59" s="53" t="n">
        <x:f>D59*F59</x:f>
        <x:v>150.00423919671985</x:v>
      </x:c>
      <x:c r="I59" s="52" t="n">
        <x:v>28.3</x:v>
      </x:c>
      <x:c r="J59" s="53" t="n">
        <x:f>IF($A59&gt;=1927,(1-pac_quota)*Navy!X59,I59)</x:f>
        <x:v>28.3</x:v>
      </x:c>
      <x:c r="K59" s="52" t="n">
        <x:v>90</x:v>
      </x:c>
      <x:c r="L59" s="53" t="n">
        <x:f>IF($A59&gt;=1923,siberia_front*(1-pac_quota),0)</x:f>
        <x:v>0</x:v>
      </x:c>
      <x:c r="M59" s="52" t="n">
        <x:v>0</x:v>
      </x:c>
      <x:c r="N59" s="53" t="n">
        <x:f>M59*C59</x:f>
        <x:v>0</x:v>
      </x:c>
      <x:c r="O59" s="53" t="n">
        <x:f>IF($A59&gt;=1927,10*(1-pac_quota),0)</x:f>
        <x:v>0</x:v>
      </x:c>
      <x:c r="P59" s="53" t="n">
        <x:f>jp_coupon*(Z58-0)+0</x:f>
        <x:v>12.44387188844462</x:v>
      </x:c>
      <x:c r="Q59" s="53" t="n">
        <x:f>H59+J59+K59+L59+N59+O59+P59</x:f>
        <x:v>280.7481110851645</x:v>
      </x:c>
      <x:c r="R59" s="53" t="n">
        <x:f>Q59-G59</x:f>
        <x:v>88.389733762312</x:v>
      </x:c>
      <x:c r="S59" s="52" t="n">
        <x:v>15</x:v>
      </x:c>
      <x:c r="T59" s="53" t="n">
        <x:f>S59*IF($A59&gt;=1923,C59,1)</x:f>
        <x:v>15</x:v>
      </x:c>
      <x:c r="U59" s="52" t="n">
        <x:v>0</x:v>
      </x:c>
      <x:c r="V59" s="52" t="n">
        <x:v>0</x:v>
      </x:c>
      <x:c r="W59" s="53" t="n">
        <x:f>(X58-0)*jp_foreign_repay+0</x:f>
        <x:v>1.3615171237752932</x:v>
      </x:c>
      <x:c r="X59" s="53" t="n">
        <x:f>X58+T59-W59</x:f>
        <x:v>59.022387002067816</x:v>
      </x:c>
      <x:c r="Y59" s="53" t="n">
        <x:f>AG59+AF59-AH59</x:f>
        <x:v>278.2447845291366</x:v>
      </x:c>
      <x:c r="Z59" s="53" t="n">
        <x:f>X59+Y59</x:f>
        <x:v>337.26717153120444</x:v>
      </x:c>
      <x:c r="AA59" s="63" t="n">
        <x:f>IF(D59&gt;0,Z59/D59,0)</x:f>
        <x:v>0.19111266277319486</x:v>
      </x:c>
      <x:c r="AB59" s="63" t="n">
        <x:f>IF(G59&gt;0,P59/G59,0)</x:f>
        <x:v>0.0646910837034092</x:v>
      </x:c>
      <x:c r="AC59" s="63" t="n">
        <x:f>IF(T59+AF59&gt;0,T59/(T59+AF59),0)</x:f>
        <x:v>0.16712858987378426</x:v>
      </x:c>
      <x:c r="AD59" s="110" t="n">
        <x:f>AJ58</x:f>
        <x:v>0</x:v>
      </x:c>
      <x:c r="AE59" s="110" t="n">
        <x:f>AD59+G59+T59+U59+AP59-Q59-W59-AO59</x:f>
        <x:v>-74.75125088608729</x:v>
      </x:c>
      <x:c r="AF59" s="110" t="n">
        <x:f>MAX(0,-AE59)</x:f>
        <x:v>74.75125088608729</x:v>
      </x:c>
      <x:c r="AG59" s="110" t="n">
        <x:f>Y58+V59</x:f>
        <x:v>203.4935336430493</x:v>
      </x:c>
      <x:c r="AH59" s="110" t="n">
        <x:f>MIN(MAX(0,AE59),AG59)</x:f>
        <x:v>0</x:v>
      </x:c>
      <x:c r="AI59" s="110" t="n">
        <x:f>AE59+AF59-AH59</x:f>
        <x:v>0</x:v>
      </x:c>
      <x:c r="AJ59" s="110" t="n">
        <x:f>AI59</x:f>
        <x:v>0</x:v>
      </x:c>
      <x:c r="AK59" s="110" t="n">
        <x:f>AK58</x:f>
        <x:v>0</x:v>
      </x:c>
      <x:c r="AL59" s="110" t="n">
        <x:f>AJ59+AK59+AN59-Z59</x:f>
        <x:v>-337.26717153120444</x:v>
      </x:c>
      <x:c r="AM59" s="110" t="n">
        <x:f>AJ59-(AD59+G59+T59+U59+AF59+AP59-Q59-W59-AH59-AO59)</x:f>
        <x:v>7.105427357601002e-15</x:v>
      </x:c>
      <x:c r="AN59" s="110" t="n">
        <x:f>0</x:f>
        <x:v>0</x:v>
      </x:c>
      <x:c r="AO59" s="110" t="n">
        <x:f>0</x:f>
        <x:v>0</x:v>
      </x:c>
      <x:c r="AP59" s="110" t="n">
        <x:f>0</x:f>
        <x:v>0</x:v>
      </x:c>
    </x:row>
    <x:row r="60">
      <x:c r="A60" s="58" t="n">
        <x:v>1900</x:v>
      </x:c>
      <x:c r="B60" s="45" t="n">
        <x:v>1200</x:v>
      </x:c>
      <x:c r="C60" s="70" t="n">
        <x:f>Partners!H60</x:f>
        <x:v>1.5380450588623829</x:v>
      </x:c>
      <x:c r="D60" s="47" t="n">
        <x:f>Partners!I60</x:f>
        <x:v>1845.6540706348594</x:v>
      </x:c>
      <x:c r="E60" s="59" t="n">
        <x:v>0.11</x:v>
      </x:c>
      <x:c r="F60" s="59" t="n">
        <x:v>0.08500000000000001</x:v>
      </x:c>
      <x:c r="G60" s="53" t="n">
        <x:f>D60*E60</x:f>
        <x:v>203.02194776983453</x:v>
      </x:c>
      <x:c r="H60" s="53" t="n">
        <x:f>D60*F60</x:f>
        <x:v>156.88059600396306</x:v>
      </x:c>
      <x:c r="I60" s="52" t="n">
        <x:v>30</x:v>
      </x:c>
      <x:c r="J60" s="53" t="n">
        <x:f>IF($A60&gt;=1927,(1-pac_quota)*Navy!X60,I60)</x:f>
        <x:v>30</x:v>
      </x:c>
      <x:c r="K60" s="52" t="n">
        <x:v>0</x:v>
      </x:c>
      <x:c r="L60" s="53" t="n">
        <x:f>IF($A60&gt;=1923,siberia_front*(1-pac_quota),0)</x:f>
        <x:v>0</x:v>
      </x:c>
      <x:c r="M60" s="52" t="n">
        <x:v>0</x:v>
      </x:c>
      <x:c r="N60" s="53" t="n">
        <x:f>M60*C60</x:f>
        <x:v>0</x:v>
      </x:c>
      <x:c r="O60" s="53" t="n">
        <x:f>IF($A60&gt;=1927,10*(1-pac_quota),0)</x:f>
        <x:v>0</x:v>
      </x:c>
      <x:c r="P60" s="53" t="n">
        <x:f>jp_coupon*(Z59-0)+0</x:f>
        <x:v>16.863358576560223</x:v>
      </x:c>
      <x:c r="Q60" s="53" t="n">
        <x:f>H60+J60+K60+L60+N60+O60+P60</x:f>
        <x:v>203.74395458052328</x:v>
      </x:c>
      <x:c r="R60" s="53" t="n">
        <x:f>Q60-G60</x:f>
        <x:v>0.7220068106887538</x:v>
      </x:c>
      <x:c r="S60" s="52" t="n">
        <x:v>0</x:v>
      </x:c>
      <x:c r="T60" s="53" t="n">
        <x:f>S60*IF($A60&gt;=1923,C60,1)</x:f>
        <x:v>0</x:v>
      </x:c>
      <x:c r="U60" s="52" t="n">
        <x:v>0</x:v>
      </x:c>
      <x:c r="V60" s="52" t="n">
        <x:v>0</x:v>
      </x:c>
      <x:c r="W60" s="53" t="n">
        <x:f>(X59-0)*jp_foreign_repay+0</x:f>
        <x:v>1.7706716100620343</x:v>
      </x:c>
      <x:c r="X60" s="53" t="n">
        <x:f>X59+T60-W60</x:f>
        <x:v>57.251715392005785</x:v>
      </x:c>
      <x:c r="Y60" s="53" t="n">
        <x:f>AG60+AF60-AH60</x:f>
        <x:v>280.7374629498874</x:v>
      </x:c>
      <x:c r="Z60" s="53" t="n">
        <x:f>X60+Y60</x:f>
        <x:v>337.9891783418932</x:v>
      </x:c>
      <x:c r="AA60" s="63" t="n">
        <x:f>IF(D60&gt;0,Z60/D60,0)</x:f>
        <x:v>0.18312704624308784</x:v>
      </x:c>
      <x:c r="AB60" s="63" t="n">
        <x:f>IF(G60&gt;0,P60/G60,0)</x:f>
        <x:v>0.08306175150914309</x:v>
      </x:c>
      <x:c r="AC60" s="63" t="n">
        <x:f>IF(T60+AF60&gt;0,T60/(T60+AF60),0)</x:f>
        <x:v>0</x:v>
      </x:c>
      <x:c r="AD60" s="110" t="n">
        <x:f>AJ59</x:f>
        <x:v>0</x:v>
      </x:c>
      <x:c r="AE60" s="110" t="n">
        <x:f>AD60+G60+T60+U60+AP60-Q60-W60-AO60</x:f>
        <x:v>-2.492678420750788</x:v>
      </x:c>
      <x:c r="AF60" s="110" t="n">
        <x:f>MAX(0,-AE60)</x:f>
        <x:v>2.492678420750788</x:v>
      </x:c>
      <x:c r="AG60" s="110" t="n">
        <x:f>Y59+V60</x:f>
        <x:v>278.2447845291366</x:v>
      </x:c>
      <x:c r="AH60" s="110" t="n">
        <x:f>MIN(MAX(0,AE60),AG60)</x:f>
        <x:v>0</x:v>
      </x:c>
      <x:c r="AI60" s="110" t="n">
        <x:f>AE60+AF60-AH60</x:f>
        <x:v>0</x:v>
      </x:c>
      <x:c r="AJ60" s="110" t="n">
        <x:f>AI60</x:f>
        <x:v>0</x:v>
      </x:c>
      <x:c r="AK60" s="110" t="n">
        <x:f>AK59</x:f>
        <x:v>0</x:v>
      </x:c>
      <x:c r="AL60" s="110" t="n">
        <x:f>AJ60+AK60+AN60-Z60</x:f>
        <x:v>-337.9891783418932</x:v>
      </x:c>
      <x:c r="AM60" s="110" t="n">
        <x:f>AJ60-(AD60+G60+T60+U60+AF60+AP60-Q60-W60-AH60-AO60)</x:f>
        <x:v>-3.9968028886505635e-15</x:v>
      </x:c>
      <x:c r="AN60" s="110" t="n">
        <x:f>0</x:f>
        <x:v>0</x:v>
      </x:c>
      <x:c r="AO60" s="110" t="n">
        <x:f>0</x:f>
        <x:v>0</x:v>
      </x:c>
      <x:c r="AP60" s="110" t="n">
        <x:f>0</x:f>
        <x:v>0</x:v>
      </x:c>
    </x:row>
    <x:row r="61">
      <x:c r="A61" s="58" t="n">
        <x:v>1901</x:v>
      </x:c>
      <x:c r="B61" s="45" t="n">
        <x:v>1270</x:v>
      </x:c>
      <x:c r="C61" s="70" t="n">
        <x:f>Partners!H61</x:f>
        <x:v>1.564836446988734</x:v>
      </x:c>
      <x:c r="D61" s="47" t="n">
        <x:f>Partners!I61</x:f>
        <x:v>1987.342287675692</x:v>
      </x:c>
      <x:c r="E61" s="59" t="n">
        <x:v>0.111</x:v>
      </x:c>
      <x:c r="F61" s="59" t="n">
        <x:v>0.08500000000000001</x:v>
      </x:c>
      <x:c r="G61" s="53" t="n">
        <x:f>D61*E61</x:f>
        <x:v>220.5949939320018</x:v>
      </x:c>
      <x:c r="H61" s="53" t="n">
        <x:f>D61*F61</x:f>
        <x:v>168.92409445243382</x:v>
      </x:c>
      <x:c r="I61" s="52" t="n">
        <x:v>31</x:v>
      </x:c>
      <x:c r="J61" s="53" t="n">
        <x:f>IF($A61&gt;=1927,(1-pac_quota)*Navy!X61,I61)</x:f>
        <x:v>31</x:v>
      </x:c>
      <x:c r="K61" s="52" t="n">
        <x:v>0</x:v>
      </x:c>
      <x:c r="L61" s="53" t="n">
        <x:f>IF($A61&gt;=1923,siberia_front*(1-pac_quota),0)</x:f>
        <x:v>0</x:v>
      </x:c>
      <x:c r="M61" s="52" t="n">
        <x:v>0</x:v>
      </x:c>
      <x:c r="N61" s="53" t="n">
        <x:f>M61*C61</x:f>
        <x:v>0</x:v>
      </x:c>
      <x:c r="O61" s="53" t="n">
        <x:f>IF($A61&gt;=1927,10*(1-pac_quota),0)</x:f>
        <x:v>0</x:v>
      </x:c>
      <x:c r="P61" s="53" t="n">
        <x:f>jp_coupon*(Z60-0)+0</x:f>
        <x:v>16.89945891709466</x:v>
      </x:c>
      <x:c r="Q61" s="53" t="n">
        <x:f>H61+J61+K61+L61+N61+O61+P61</x:f>
        <x:v>216.82355336952847</x:v>
      </x:c>
      <x:c r="R61" s="53" t="n">
        <x:f>Q61-G61</x:f>
        <x:v>-3.7714405624733445</x:v>
      </x:c>
      <x:c r="S61" s="52" t="n">
        <x:v>0</x:v>
      </x:c>
      <x:c r="T61" s="53" t="n">
        <x:f>S61*IF($A61&gt;=1923,C61,1)</x:f>
        <x:v>0</x:v>
      </x:c>
      <x:c r="U61" s="52" t="n">
        <x:v>0</x:v>
      </x:c>
      <x:c r="V61" s="52" t="n">
        <x:v>0</x:v>
      </x:c>
      <x:c r="W61" s="53" t="n">
        <x:f>(X60-0)*jp_foreign_repay+0</x:f>
        <x:v>1.7175514617601735</x:v>
      </x:c>
      <x:c r="X61" s="53" t="n">
        <x:f>X60+T61-W61</x:f>
        <x:v>55.53416393024561</x:v>
      </x:c>
      <x:c r="Y61" s="53" t="n">
        <x:f>AG61+AF61-AH61</x:f>
        <x:v>278.68357384917425</x:v>
      </x:c>
      <x:c r="Z61" s="53" t="n">
        <x:f>X61+Y61</x:f>
        <x:v>334.21773777941985</x:v>
      </x:c>
      <x:c r="AA61" s="63" t="n">
        <x:f>IF(D61&gt;0,Z61/D61,0)</x:f>
        <x:v>0.16817321296489202</x:v>
      </x:c>
      <x:c r="AB61" s="63" t="n">
        <x:f>IF(G61&gt;0,P61/G61,0)</x:f>
        <x:v>0.07660853320317822</x:v>
      </x:c>
      <x:c r="AC61" s="63" t="n">
        <x:f>IF(T61+AF61&gt;0,T61/(T61+AF61),0)</x:f>
        <x:v>0</x:v>
      </x:c>
      <x:c r="AD61" s="110" t="n">
        <x:f>AJ60</x:f>
        <x:v>0</x:v>
      </x:c>
      <x:c r="AE61" s="110" t="n">
        <x:f>AD61+G61+T61+U61+AP61-Q61-W61-AO61</x:f>
        <x:v>2.053889100713171</x:v>
      </x:c>
      <x:c r="AF61" s="110" t="n">
        <x:f>MAX(0,-AE61)</x:f>
        <x:v>0</x:v>
      </x:c>
      <x:c r="AG61" s="110" t="n">
        <x:f>Y60+V61</x:f>
        <x:v>280.7374629498874</x:v>
      </x:c>
      <x:c r="AH61" s="110" t="n">
        <x:f>MIN(MAX(0,AE61),AG61)</x:f>
        <x:v>2.053889100713171</x:v>
      </x:c>
      <x:c r="AI61" s="110" t="n">
        <x:f>AE61+AF61-AH61</x:f>
        <x:v>0</x:v>
      </x:c>
      <x:c r="AJ61" s="110" t="n">
        <x:f>AI61</x:f>
        <x:v>0</x:v>
      </x:c>
      <x:c r="AK61" s="110" t="n">
        <x:f>AK60</x:f>
        <x:v>0</x:v>
      </x:c>
      <x:c r="AL61" s="110" t="n">
        <x:f>AJ61+AK61+AN61-Z61</x:f>
        <x:v>-334.21773777941985</x:v>
      </x:c>
      <x:c r="AM61" s="110" t="n">
        <x:f>AJ61-(AD61+G61+T61+U61+AF61+AP61-Q61-W61-AH61-AO61)</x:f>
        <x:v>0</x:v>
      </x:c>
      <x:c r="AN61" s="110" t="n">
        <x:f>0</x:f>
        <x:v>0</x:v>
      </x:c>
      <x:c r="AO61" s="110" t="n">
        <x:f>0</x:f>
        <x:v>0</x:v>
      </x:c>
      <x:c r="AP61" s="110" t="n">
        <x:f>0</x:f>
        <x:v>0</x:v>
      </x:c>
    </x:row>
    <x:row r="62">
      <x:c r="A62" s="58" t="n">
        <x:v>1902</x:v>
      </x:c>
      <x:c r="B62" s="45" t="n">
        <x:v>1340</x:v>
      </x:c>
      <x:c r="C62" s="70" t="n">
        <x:f>Partners!H62</x:f>
        <x:v>1.5922417506940212</x:v>
      </x:c>
      <x:c r="D62" s="47" t="n">
        <x:f>Partners!I62</x:f>
        <x:v>2133.603945929988</x:v>
      </x:c>
      <x:c r="E62" s="59" t="n">
        <x:v>0.112</x:v>
      </x:c>
      <x:c r="F62" s="59" t="n">
        <x:v>0.08500000000000001</x:v>
      </x:c>
      <x:c r="G62" s="53" t="n">
        <x:f>D62*E62</x:f>
        <x:v>238.9636419441587</x:v>
      </x:c>
      <x:c r="H62" s="53" t="n">
        <x:f>D62*F62</x:f>
        <x:v>181.35633540404902</x:v>
      </x:c>
      <x:c r="I62" s="52" t="n">
        <x:v>32</x:v>
      </x:c>
      <x:c r="J62" s="53" t="n">
        <x:f>IF($A62&gt;=1927,(1-pac_quota)*Navy!X62,I62)</x:f>
        <x:v>32</x:v>
      </x:c>
      <x:c r="K62" s="52" t="n">
        <x:v>0</x:v>
      </x:c>
      <x:c r="L62" s="53" t="n">
        <x:f>IF($A62&gt;=1923,siberia_front*(1-pac_quota),0)</x:f>
        <x:v>0</x:v>
      </x:c>
      <x:c r="M62" s="52" t="n">
        <x:v>0</x:v>
      </x:c>
      <x:c r="N62" s="53" t="n">
        <x:f>M62*C62</x:f>
        <x:v>0</x:v>
      </x:c>
      <x:c r="O62" s="53" t="n">
        <x:f>IF($A62&gt;=1927,10*(1-pac_quota),0)</x:f>
        <x:v>0</x:v>
      </x:c>
      <x:c r="P62" s="53" t="n">
        <x:f>jp_coupon*(Z61-0)+0</x:f>
        <x:v>16.710886888970993</x:v>
      </x:c>
      <x:c r="Q62" s="53" t="n">
        <x:f>H62+J62+K62+L62+N62+O62+P62</x:f>
        <x:v>230.06722229302002</x:v>
      </x:c>
      <x:c r="R62" s="53" t="n">
        <x:f>Q62-G62</x:f>
        <x:v>-8.896419651138672</x:v>
      </x:c>
      <x:c r="S62" s="52" t="n">
        <x:v>0</x:v>
      </x:c>
      <x:c r="T62" s="53" t="n">
        <x:f>S62*IF($A62&gt;=1923,C62,1)</x:f>
        <x:v>0</x:v>
      </x:c>
      <x:c r="U62" s="52" t="n">
        <x:v>0</x:v>
      </x:c>
      <x:c r="V62" s="52" t="n">
        <x:v>0</x:v>
      </x:c>
      <x:c r="W62" s="53" t="n">
        <x:f>(X61-0)*jp_foreign_repay+0</x:f>
        <x:v>1.6660249179073683</x:v>
      </x:c>
      <x:c r="X62" s="53" t="n">
        <x:f>X61+T62-W62</x:f>
        <x:v>53.86813901233824</x:v>
      </x:c>
      <x:c r="Y62" s="53" t="n">
        <x:f>AG62+AF62-AH62</x:f>
        <x:v>271.45317911594293</x:v>
      </x:c>
      <x:c r="Z62" s="53" t="n">
        <x:f>X62+Y62</x:f>
        <x:v>325.3213181282812</x:v>
      </x:c>
      <x:c r="AA62" s="63" t="n">
        <x:f>IF(D62&gt;0,Z62/D62,0)</x:f>
        <x:v>0.15247502646817668</x:v>
      </x:c>
      <x:c r="AB62" s="63" t="n">
        <x:f>IF(G62&gt;0,P62/G62,0)</x:f>
        <x:v>0.06993066707978954</x:v>
      </x:c>
      <x:c r="AC62" s="63" t="n">
        <x:f>IF(T62+AF62&gt;0,T62/(T62+AF62),0)</x:f>
        <x:v>0</x:v>
      </x:c>
      <x:c r="AD62" s="110" t="n">
        <x:f>AJ61</x:f>
        <x:v>0</x:v>
      </x:c>
      <x:c r="AE62" s="110" t="n">
        <x:f>AD62+G62+T62+U62+AP62-Q62-W62-AO62</x:f>
        <x:v>7.230394733231304</x:v>
      </x:c>
      <x:c r="AF62" s="110" t="n">
        <x:f>MAX(0,-AE62)</x:f>
        <x:v>0</x:v>
      </x:c>
      <x:c r="AG62" s="110" t="n">
        <x:f>Y61+V62</x:f>
        <x:v>278.68357384917425</x:v>
      </x:c>
      <x:c r="AH62" s="110" t="n">
        <x:f>MIN(MAX(0,AE62),AG62)</x:f>
        <x:v>7.230394733231304</x:v>
      </x:c>
      <x:c r="AI62" s="110" t="n">
        <x:f>AE62+AF62-AH62</x:f>
        <x:v>0</x:v>
      </x:c>
      <x:c r="AJ62" s="110" t="n">
        <x:f>AI62</x:f>
        <x:v>0</x:v>
      </x:c>
      <x:c r="AK62" s="110" t="n">
        <x:f>AK61</x:f>
        <x:v>0</x:v>
      </x:c>
      <x:c r="AL62" s="110" t="n">
        <x:f>AJ62+AK62+AN62-Z62</x:f>
        <x:v>-325.3213181282812</x:v>
      </x:c>
      <x:c r="AM62" s="110" t="n">
        <x:f>AJ62-(AD62+G62+T62+U62+AF62+AP62-Q62-W62-AH62-AO62)</x:f>
        <x:v>0</x:v>
      </x:c>
      <x:c r="AN62" s="110" t="n">
        <x:f>0</x:f>
        <x:v>0</x:v>
      </x:c>
      <x:c r="AO62" s="110" t="n">
        <x:f>0</x:f>
        <x:v>0</x:v>
      </x:c>
      <x:c r="AP62" s="110" t="n">
        <x:f>0</x:f>
        <x:v>0</x:v>
      </x:c>
    </x:row>
    <x:row r="63">
      <x:c r="A63" s="58" t="n">
        <x:v>1903</x:v>
      </x:c>
      <x:c r="B63" s="45" t="n">
        <x:v>1410</x:v>
      </x:c>
      <x:c r="C63" s="70" t="n">
        <x:f>Partners!H63</x:f>
        <x:v>1.6202977359975803</x:v>
      </x:c>
      <x:c r="D63" s="47" t="n">
        <x:f>Partners!I63</x:f>
        <x:v>2284.619807756588</x:v>
      </x:c>
      <x:c r="E63" s="59" t="n">
        <x:v>0.113</x:v>
      </x:c>
      <x:c r="F63" s="59" t="n">
        <x:v>0.08500000000000001</x:v>
      </x:c>
      <x:c r="G63" s="53" t="n">
        <x:f>D63*E63</x:f>
        <x:v>258.16203827649446</x:v>
      </x:c>
      <x:c r="H63" s="53" t="n">
        <x:f>D63*F63</x:f>
        <x:v>194.19268365931</x:v>
      </x:c>
      <x:c r="I63" s="52" t="n">
        <x:v>33</x:v>
      </x:c>
      <x:c r="J63" s="53" t="n">
        <x:f>IF($A63&gt;=1927,(1-pac_quota)*Navy!X63,I63)</x:f>
        <x:v>33</x:v>
      </x:c>
      <x:c r="K63" s="52" t="n">
        <x:v>0</x:v>
      </x:c>
      <x:c r="L63" s="53" t="n">
        <x:f>IF($A63&gt;=1923,siberia_front*(1-pac_quota),0)</x:f>
        <x:v>0</x:v>
      </x:c>
      <x:c r="M63" s="52" t="n">
        <x:v>0</x:v>
      </x:c>
      <x:c r="N63" s="53" t="n">
        <x:f>M63*C63</x:f>
        <x:v>0</x:v>
      </x:c>
      <x:c r="O63" s="53" t="n">
        <x:f>IF($A63&gt;=1927,10*(1-pac_quota),0)</x:f>
        <x:v>0</x:v>
      </x:c>
      <x:c r="P63" s="53" t="n">
        <x:f>jp_coupon*(Z62-0)+0</x:f>
        <x:v>16.26606590641406</x:v>
      </x:c>
      <x:c r="Q63" s="53" t="n">
        <x:f>H63+J63+K63+L63+N63+O63+P63</x:f>
        <x:v>243.45874956572408</x:v>
      </x:c>
      <x:c r="R63" s="53" t="n">
        <x:f>Q63-G63</x:f>
        <x:v>-14.70328871077038</x:v>
      </x:c>
      <x:c r="S63" s="52" t="n">
        <x:v>0</x:v>
      </x:c>
      <x:c r="T63" s="53" t="n">
        <x:f>S63*IF($A63&gt;=1923,C63,1)</x:f>
        <x:v>0</x:v>
      </x:c>
      <x:c r="U63" s="52" t="n">
        <x:v>0</x:v>
      </x:c>
      <x:c r="V63" s="52" t="n">
        <x:v>0</x:v>
      </x:c>
      <x:c r="W63" s="53" t="n">
        <x:f>(X62-0)*jp_foreign_repay+0</x:f>
        <x:v>1.6160441703701471</x:v>
      </x:c>
      <x:c r="X63" s="53" t="n">
        <x:f>X62+T63-W63</x:f>
        <x:v>52.252094841968095</x:v>
      </x:c>
      <x:c r="Y63" s="53" t="n">
        <x:f>AG63+AF63-AH63</x:f>
        <x:v>258.3659345755427</x:v>
      </x:c>
      <x:c r="Z63" s="53" t="n">
        <x:f>X63+Y63</x:f>
        <x:v>310.6180294175108</x:v>
      </x:c>
      <x:c r="AA63" s="63" t="n">
        <x:f>IF(D63&gt;0,Z63/D63,0)</x:f>
        <x:v>0.13596049039009522</x:v>
      </x:c>
      <x:c r="AB63" s="63" t="n">
        <x:f>IF(G63&gt;0,P63/G63,0)</x:f>
        <x:v>0.06300719507409885</x:v>
      </x:c>
      <x:c r="AC63" s="63" t="n">
        <x:f>IF(T63+AF63&gt;0,T63/(T63+AF63),0)</x:f>
        <x:v>0</x:v>
      </x:c>
      <x:c r="AD63" s="110" t="n">
        <x:f>AJ62</x:f>
        <x:v>0</x:v>
      </x:c>
      <x:c r="AE63" s="110" t="n">
        <x:f>AD63+G63+T63+U63+AP63-Q63-W63-AO63</x:f>
        <x:v>13.087244540400233</x:v>
      </x:c>
      <x:c r="AF63" s="110" t="n">
        <x:f>MAX(0,-AE63)</x:f>
        <x:v>0</x:v>
      </x:c>
      <x:c r="AG63" s="110" t="n">
        <x:f>Y62+V63</x:f>
        <x:v>271.45317911594293</x:v>
      </x:c>
      <x:c r="AH63" s="110" t="n">
        <x:f>MIN(MAX(0,AE63),AG63)</x:f>
        <x:v>13.087244540400233</x:v>
      </x:c>
      <x:c r="AI63" s="110" t="n">
        <x:f>AE63+AF63-AH63</x:f>
        <x:v>0</x:v>
      </x:c>
      <x:c r="AJ63" s="110" t="n">
        <x:f>AI63</x:f>
        <x:v>0</x:v>
      </x:c>
      <x:c r="AK63" s="110" t="n">
        <x:f>AK62</x:f>
        <x:v>0</x:v>
      </x:c>
      <x:c r="AL63" s="110" t="n">
        <x:f>AJ63+AK63+AN63-Z63</x:f>
        <x:v>-310.6180294175108</x:v>
      </x:c>
      <x:c r="AM63" s="110" t="n">
        <x:f>AJ63-(AD63+G63+T63+U63+AF63+AP63-Q63-W63-AH63-AO63)</x:f>
        <x:v>0</x:v>
      </x:c>
      <x:c r="AN63" s="110" t="n">
        <x:f>0</x:f>
        <x:v>0</x:v>
      </x:c>
      <x:c r="AO63" s="110" t="n">
        <x:f>0</x:f>
        <x:v>0</x:v>
      </x:c>
      <x:c r="AP63" s="110" t="n">
        <x:f>0</x:f>
        <x:v>0</x:v>
      </x:c>
    </x:row>
    <x:row r="64">
      <x:c r="A64" s="58" t="n">
        <x:v>1904</x:v>
      </x:c>
      <x:c r="B64" s="45" t="n">
        <x:v>1480</x:v>
      </x:c>
      <x:c r="C64" s="70" t="n">
        <x:f>Partners!H64</x:f>
        <x:v>1.6490419967707175</x:v>
      </x:c>
      <x:c r="D64" s="47" t="n">
        <x:f>Partners!I64</x:f>
        <x:v>2440.582155220662</x:v>
      </x:c>
      <x:c r="E64" s="59" t="n">
        <x:v>0.114</x:v>
      </x:c>
      <x:c r="F64" s="59" t="n">
        <x:v>0.08500000000000001</x:v>
      </x:c>
      <x:c r="G64" s="53" t="n">
        <x:f>D64*E64</x:f>
        <x:v>278.2263656951555</x:v>
      </x:c>
      <x:c r="H64" s="53" t="n">
        <x:f>D64*F64</x:f>
        <x:v>207.4494831937563</x:v>
      </x:c>
      <x:c r="I64" s="52" t="n">
        <x:v>34</x:v>
      </x:c>
      <x:c r="J64" s="53" t="n">
        <x:f>IF($A64&gt;=1927,(1-pac_quota)*Navy!X64,I64)</x:f>
        <x:v>34</x:v>
      </x:c>
      <x:c r="K64" s="52" t="n">
        <x:v>400</x:v>
      </x:c>
      <x:c r="L64" s="53" t="n">
        <x:f>IF($A64&gt;=1923,siberia_front*(1-pac_quota),0)</x:f>
        <x:v>0</x:v>
      </x:c>
      <x:c r="M64" s="52" t="n">
        <x:v>0</x:v>
      </x:c>
      <x:c r="N64" s="53" t="n">
        <x:f>M64*C64</x:f>
        <x:v>0</x:v>
      </x:c>
      <x:c r="O64" s="53" t="n">
        <x:f>IF($A64&gt;=1927,10*(1-pac_quota),0)</x:f>
        <x:v>0</x:v>
      </x:c>
      <x:c r="P64" s="53" t="n">
        <x:f>jp_coupon*(Z63-0)+0</x:f>
        <x:v>15.530901470875541</x:v>
      </x:c>
      <x:c r="Q64" s="53" t="n">
        <x:f>H64+J64+K64+L64+N64+O64+P64</x:f>
        <x:v>656.9803846646319</x:v>
      </x:c>
      <x:c r="R64" s="53" t="n">
        <x:f>Q64-G64</x:f>
        <x:v>378.75401896947636</x:v>
      </x:c>
      <x:c r="S64" s="52" t="n">
        <x:v>200</x:v>
      </x:c>
      <x:c r="T64" s="53" t="n">
        <x:f>S64*IF($A64&gt;=1923,C64,1)</x:f>
        <x:v>200</x:v>
      </x:c>
      <x:c r="U64" s="52" t="n">
        <x:v>0</x:v>
      </x:c>
      <x:c r="V64" s="52" t="n">
        <x:v>0</x:v>
      </x:c>
      <x:c r="W64" s="53" t="n">
        <x:f>(X63-0)*jp_foreign_repay+0</x:f>
        <x:v>1.5675628452590429</x:v>
      </x:c>
      <x:c r="X64" s="53" t="n">
        <x:f>X63+T64-W64</x:f>
        <x:v>250.68453199670907</x:v>
      </x:c>
      <x:c r="Y64" s="53" t="n">
        <x:f>AG64+AF64-AH64</x:f>
        <x:v>438.6875163902781</x:v>
      </x:c>
      <x:c r="Z64" s="53" t="n">
        <x:f>X64+Y64</x:f>
        <x:v>689.3720483869872</x:v>
      </x:c>
      <x:c r="AA64" s="63" t="n">
        <x:f>IF(D64&gt;0,Z64/D64,0)</x:f>
        <x:v>0.282462135893417</x:v>
      </x:c>
      <x:c r="AB64" s="63" t="n">
        <x:f>IF(G64&gt;0,P64/G64,0)</x:f>
        <x:v>0.055821098881377394</x:v>
      </x:c>
      <x:c r="AC64" s="63" t="n">
        <x:f>IF(T64+AF64&gt;0,T64/(T64+AF64),0)</x:f>
        <x:v>0.5258707619107065</x:v>
      </x:c>
      <x:c r="AD64" s="110" t="n">
        <x:f>AJ63</x:f>
        <x:v>0</x:v>
      </x:c>
      <x:c r="AE64" s="110" t="n">
        <x:f>AD64+G64+T64+U64+AP64-Q64-W64-AO64</x:f>
        <x:v>-180.3215818147354</x:v>
      </x:c>
      <x:c r="AF64" s="110" t="n">
        <x:f>MAX(0,-AE64)</x:f>
        <x:v>180.3215818147354</x:v>
      </x:c>
      <x:c r="AG64" s="110" t="n">
        <x:f>Y63+V64</x:f>
        <x:v>258.3659345755427</x:v>
      </x:c>
      <x:c r="AH64" s="110" t="n">
        <x:f>MIN(MAX(0,AE64),AG64)</x:f>
        <x:v>0</x:v>
      </x:c>
      <x:c r="AI64" s="110" t="n">
        <x:f>AE64+AF64-AH64</x:f>
        <x:v>0</x:v>
      </x:c>
      <x:c r="AJ64" s="110" t="n">
        <x:f>AI64</x:f>
        <x:v>0</x:v>
      </x:c>
      <x:c r="AK64" s="110" t="n">
        <x:f>AK63</x:f>
        <x:v>0</x:v>
      </x:c>
      <x:c r="AL64" s="110" t="n">
        <x:f>AJ64+AK64+AN64-Z64</x:f>
        <x:v>-689.3720483869872</x:v>
      </x:c>
      <x:c r="AM64" s="110" t="n">
        <x:f>AJ64-(AD64+G64+T64+U64+AF64+AP64-Q64-W64-AH64-AO64)</x:f>
        <x:v>-4.707345624410664e-14</x:v>
      </x:c>
      <x:c r="AN64" s="110" t="n">
        <x:f>0</x:f>
        <x:v>0</x:v>
      </x:c>
      <x:c r="AO64" s="110" t="n">
        <x:f>0</x:f>
        <x:v>0</x:v>
      </x:c>
      <x:c r="AP64" s="110" t="n">
        <x:f>0</x:f>
        <x:v>0</x:v>
      </x:c>
    </x:row>
    <x:row r="65">
      <x:c r="A65" s="58" t="n">
        <x:v>1905</x:v>
      </x:c>
      <x:c r="B65" s="45" t="n">
        <x:v>1550</x:v>
      </x:c>
      <x:c r="C65" s="70" t="n">
        <x:f>Partners!H65</x:f>
        <x:v>1.67850816832076</x:v>
      </x:c>
      <x:c r="D65" s="47" t="n">
        <x:f>Partners!I65</x:f>
        <x:v>2601.6876608971784</x:v>
      </x:c>
      <x:c r="E65" s="59" t="n">
        <x:v>0.115</x:v>
      </x:c>
      <x:c r="F65" s="59" t="n">
        <x:v>0.08500000000000001</x:v>
      </x:c>
      <x:c r="G65" s="53" t="n">
        <x:f>D65*E65</x:f>
        <x:v>299.19408100317554</x:v>
      </x:c>
      <x:c r="H65" s="53" t="n">
        <x:f>D65*F65</x:f>
        <x:v>221.14345117626019</x:v>
      </x:c>
      <x:c r="I65" s="52" t="n">
        <x:v>35</x:v>
      </x:c>
      <x:c r="J65" s="53" t="n">
        <x:f>IF($A65&gt;=1927,(1-pac_quota)*Navy!X65,I65)</x:f>
        <x:v>35</x:v>
      </x:c>
      <x:c r="K65" s="52" t="n">
        <x:v>450</x:v>
      </x:c>
      <x:c r="L65" s="53" t="n">
        <x:f>IF($A65&gt;=1923,siberia_front*(1-pac_quota),0)</x:f>
        <x:v>0</x:v>
      </x:c>
      <x:c r="M65" s="52" t="n">
        <x:v>0</x:v>
      </x:c>
      <x:c r="N65" s="53" t="n">
        <x:f>M65*C65</x:f>
        <x:v>0</x:v>
      </x:c>
      <x:c r="O65" s="53" t="n">
        <x:f>IF($A65&gt;=1927,10*(1-pac_quota),0)</x:f>
        <x:v>0</x:v>
      </x:c>
      <x:c r="P65" s="53" t="n">
        <x:f>jp_coupon*(Z64-0)+0</x:f>
        <x:v>34.46860241934936</x:v>
      </x:c>
      <x:c r="Q65" s="53" t="n">
        <x:f>H65+J65+K65+L65+N65+O65+P65</x:f>
        <x:v>740.6120535956096</x:v>
      </x:c>
      <x:c r="R65" s="53" t="n">
        <x:f>Q65-G65</x:f>
        <x:v>441.41797259243407</x:v>
      </x:c>
      <x:c r="S65" s="52" t="n">
        <x:v>200</x:v>
      </x:c>
      <x:c r="T65" s="53" t="n">
        <x:f>S65*IF($A65&gt;=1923,C65,1)</x:f>
        <x:v>200</x:v>
      </x:c>
      <x:c r="U65" s="52" t="n">
        <x:v>0</x:v>
      </x:c>
      <x:c r="V65" s="52" t="n">
        <x:v>0</x:v>
      </x:c>
      <x:c r="W65" s="53" t="n">
        <x:f>(X64-0)*jp_foreign_repay+0</x:f>
        <x:v>7.520535959901272</x:v>
      </x:c>
      <x:c r="X65" s="53" t="n">
        <x:f>X64+T65-W65</x:f>
        <x:v>443.1639960368078</x:v>
      </x:c>
      <x:c r="Y65" s="53" t="n">
        <x:f>AG65+AF65-AH65</x:f>
        <x:v>687.6260249426134</x:v>
      </x:c>
      <x:c r="Z65" s="53" t="n">
        <x:f>X65+Y65</x:f>
        <x:v>1130.7900209794211</x:v>
      </x:c>
      <x:c r="AA65" s="63" t="n">
        <x:f>IF(D65&gt;0,Z65/D65,0)</x:f>
        <x:v>0.43463711573643476</x:v>
      </x:c>
      <x:c r="AB65" s="63" t="n">
        <x:f>IF(G65&gt;0,P65/G65,0)</x:f>
        <x:v>0.11520482726054838</x:v>
      </x:c>
      <x:c r="AC65" s="63" t="n">
        <x:f>IF(T65+AF65&gt;0,T65/(T65+AF65),0)</x:f>
        <x:v>0.4454953099143306</x:v>
      </x:c>
      <x:c r="AD65" s="110" t="n">
        <x:f>AJ64</x:f>
        <x:v>0</x:v>
      </x:c>
      <x:c r="AE65" s="110" t="n">
        <x:f>AD65+G65+T65+U65+AP65-Q65-W65-AO65</x:f>
        <x:v>-248.93850855233535</x:v>
      </x:c>
      <x:c r="AF65" s="110" t="n">
        <x:f>MAX(0,-AE65)</x:f>
        <x:v>248.93850855233535</x:v>
      </x:c>
      <x:c r="AG65" s="110" t="n">
        <x:f>Y64+V65</x:f>
        <x:v>438.6875163902781</x:v>
      </x:c>
      <x:c r="AH65" s="110" t="n">
        <x:f>MIN(MAX(0,AE65),AG65)</x:f>
        <x:v>0</x:v>
      </x:c>
      <x:c r="AI65" s="110" t="n">
        <x:f>AE65+AF65-AH65</x:f>
        <x:v>0</x:v>
      </x:c>
      <x:c r="AJ65" s="110" t="n">
        <x:f>AI65</x:f>
        <x:v>0</x:v>
      </x:c>
      <x:c r="AK65" s="110" t="n">
        <x:f>AK64</x:f>
        <x:v>0</x:v>
      </x:c>
      <x:c r="AL65" s="110" t="n">
        <x:f>AJ65+AK65+AN65-Z65</x:f>
        <x:v>-1130.7900209794211</x:v>
      </x:c>
      <x:c r="AM65" s="110" t="n">
        <x:f>AJ65-(AD65+G65+T65+U65+AF65+AP65-Q65-W65-AH65-AO65)</x:f>
        <x:v>-8.881784197001252e-15</x:v>
      </x:c>
      <x:c r="AN65" s="110" t="n">
        <x:f>0</x:f>
        <x:v>0</x:v>
      </x:c>
      <x:c r="AO65" s="110" t="n">
        <x:f>0</x:f>
        <x:v>0</x:v>
      </x:c>
      <x:c r="AP65" s="110" t="n">
        <x:f>0</x:f>
        <x:v>0</x:v>
      </x:c>
    </x:row>
    <x:row r="66">
      <x:c r="A66" s="58" t="n">
        <x:v>1906</x:v>
      </x:c>
      <x:c r="B66" s="45" t="n">
        <x:v>1632</x:v>
      </x:c>
      <x:c r="C66" s="70" t="n">
        <x:f>Partners!H66</x:f>
        <x:v>1.7085382268768732</x:v>
      </x:c>
      <x:c r="D66" s="47" t="n">
        <x:f>Partners!I66</x:f>
        <x:v>2788.3343862630572</x:v>
      </x:c>
      <x:c r="E66" s="59" t="n">
        <x:v>0.116</x:v>
      </x:c>
      <x:c r="F66" s="59" t="n">
        <x:v>0.08500000000000001</x:v>
      </x:c>
      <x:c r="G66" s="53" t="n">
        <x:f>D66*E66</x:f>
        <x:v>323.44678880651463</x:v>
      </x:c>
      <x:c r="H66" s="53" t="n">
        <x:f>D66*F66</x:f>
        <x:v>237.00842283235988</x:v>
      </x:c>
      <x:c r="I66" s="52" t="n">
        <x:v>37</x:v>
      </x:c>
      <x:c r="J66" s="53" t="n">
        <x:f>IF($A66&gt;=1927,(1-pac_quota)*Navy!X66,I66)</x:f>
        <x:v>37</x:v>
      </x:c>
      <x:c r="K66" s="52" t="n">
        <x:v>0</x:v>
      </x:c>
      <x:c r="L66" s="53" t="n">
        <x:f>IF($A66&gt;=1923,siberia_front*(1-pac_quota),0)</x:f>
        <x:v>0</x:v>
      </x:c>
      <x:c r="M66" s="52" t="n">
        <x:v>0</x:v>
      </x:c>
      <x:c r="N66" s="53" t="n">
        <x:f>M66*C66</x:f>
        <x:v>0</x:v>
      </x:c>
      <x:c r="O66" s="53" t="n">
        <x:f>IF($A66&gt;=1927,10*(1-pac_quota),0)</x:f>
        <x:v>0</x:v>
      </x:c>
      <x:c r="P66" s="53" t="n">
        <x:f>jp_coupon*(Z65-0)+0</x:f>
        <x:v>56.53950104897106</x:v>
      </x:c>
      <x:c r="Q66" s="53" t="n">
        <x:f>H66+J66+K66+L66+N66+O66+P66</x:f>
        <x:v>330.5479238813309</x:v>
      </x:c>
      <x:c r="R66" s="53" t="n">
        <x:f>Q66-G66</x:f>
        <x:v>7.101135074816284</x:v>
      </x:c>
      <x:c r="S66" s="52" t="n">
        <x:v>0</x:v>
      </x:c>
      <x:c r="T66" s="53" t="n">
        <x:f>S66*IF($A66&gt;=1923,C66,1)</x:f>
        <x:v>0</x:v>
      </x:c>
      <x:c r="U66" s="52" t="n">
        <x:v>60</x:v>
      </x:c>
      <x:c r="V66" s="52" t="n">
        <x:v>0</x:v>
      </x:c>
      <x:c r="W66" s="53" t="n">
        <x:f>(X65-0)*jp_foreign_repay+0</x:f>
        <x:v>13.294919881104233</x:v>
      </x:c>
      <x:c r="X66" s="53" t="n">
        <x:f>X65+T66-W66</x:f>
        <x:v>429.86907615570357</x:v>
      </x:c>
      <x:c r="Y66" s="53" t="n">
        <x:f>AG66+AF66-AH66</x:f>
        <x:v>648.0220798985339</x:v>
      </x:c>
      <x:c r="Z66" s="53" t="n">
        <x:f>X66+Y66</x:f>
        <x:v>1077.8911560542374</x:v>
      </x:c>
      <x:c r="AA66" s="63" t="n">
        <x:f>IF(D66&gt;0,Z66/D66,0)</x:f>
        <x:v>0.38657169719835277</x:v>
      </x:c>
      <x:c r="AB66" s="63" t="n">
        <x:f>IF(G66&gt;0,P66/G66,0)</x:f>
        <x:v>0.1748030990123476</x:v>
      </x:c>
      <x:c r="AC66" s="63" t="n">
        <x:f>IF(T66+AF66&gt;0,T66/(T66+AF66),0)</x:f>
        <x:v>0</x:v>
      </x:c>
      <x:c r="AD66" s="110" t="n">
        <x:f>AJ65</x:f>
        <x:v>0</x:v>
      </x:c>
      <x:c r="AE66" s="110" t="n">
        <x:f>AD66+G66+T66+U66+AP66-Q66-W66-AO66</x:f>
        <x:v>39.60394504407948</x:v>
      </x:c>
      <x:c r="AF66" s="110" t="n">
        <x:f>MAX(0,-AE66)</x:f>
        <x:v>0</x:v>
      </x:c>
      <x:c r="AG66" s="110" t="n">
        <x:f>Y65+V66</x:f>
        <x:v>687.6260249426134</x:v>
      </x:c>
      <x:c r="AH66" s="110" t="n">
        <x:f>MIN(MAX(0,AE66),AG66)</x:f>
        <x:v>39.60394504407948</x:v>
      </x:c>
      <x:c r="AI66" s="110" t="n">
        <x:f>AE66+AF66-AH66</x:f>
        <x:v>0</x:v>
      </x:c>
      <x:c r="AJ66" s="110" t="n">
        <x:f>AI66</x:f>
        <x:v>0</x:v>
      </x:c>
      <x:c r="AK66" s="110" t="n">
        <x:f>AK65</x:f>
        <x:v>0</x:v>
      </x:c>
      <x:c r="AL66" s="110" t="n">
        <x:f>AJ66+AK66+AN66-Z66</x:f>
        <x:v>-1077.8911560542374</x:v>
      </x:c>
      <x:c r="AM66" s="110" t="n">
        <x:f>AJ66-(AD66+G66+T66+U66+AF66+AP66-Q66-W66-AH66-AO66)</x:f>
        <x:v>0</x:v>
      </x:c>
      <x:c r="AN66" s="110" t="n">
        <x:f>0</x:f>
        <x:v>0</x:v>
      </x:c>
      <x:c r="AO66" s="110" t="n">
        <x:f>0</x:f>
        <x:v>0</x:v>
      </x:c>
      <x:c r="AP66" s="110" t="n">
        <x:f>0</x:f>
        <x:v>0</x:v>
      </x:c>
    </x:row>
    <x:row r="67">
      <x:c r="A67" s="58" t="n">
        <x:v>1907</x:v>
      </x:c>
      <x:c r="B67" s="45" t="n">
        <x:v>1714</x:v>
      </x:c>
      <x:c r="C67" s="70" t="n">
        <x:f>Partners!H67</x:f>
        <x:v>1.7392049341030793</x:v>
      </x:c>
      <x:c r="D67" s="47" t="n">
        <x:f>Partners!I67</x:f>
        <x:v>2980.997257052678</x:v>
      </x:c>
      <x:c r="E67" s="59" t="n">
        <x:v>0.117</x:v>
      </x:c>
      <x:c r="F67" s="59" t="n">
        <x:v>0.08500000000000001</x:v>
      </x:c>
      <x:c r="G67" s="53" t="n">
        <x:f>D67*E67</x:f>
        <x:v>348.7766790751633</x:v>
      </x:c>
      <x:c r="H67" s="53" t="n">
        <x:f>D67*F67</x:f>
        <x:v>253.38476684947764</x:v>
      </x:c>
      <x:c r="I67" s="52" t="n">
        <x:v>39</x:v>
      </x:c>
      <x:c r="J67" s="53" t="n">
        <x:f>IF($A67&gt;=1927,(1-pac_quota)*Navy!X67,I67)</x:f>
        <x:v>39</x:v>
      </x:c>
      <x:c r="K67" s="52" t="n">
        <x:v>0</x:v>
      </x:c>
      <x:c r="L67" s="53" t="n">
        <x:f>IF($A67&gt;=1923,siberia_front*(1-pac_quota),0)</x:f>
        <x:v>0</x:v>
      </x:c>
      <x:c r="M67" s="52" t="n">
        <x:v>0</x:v>
      </x:c>
      <x:c r="N67" s="53" t="n">
        <x:f>M67*C67</x:f>
        <x:v>0</x:v>
      </x:c>
      <x:c r="O67" s="53" t="n">
        <x:f>IF($A67&gt;=1927,10*(1-pac_quota),0)</x:f>
        <x:v>0</x:v>
      </x:c>
      <x:c r="P67" s="53" t="n">
        <x:f>jp_coupon*(Z66-0)+0</x:f>
        <x:v>53.89455780271187</x:v>
      </x:c>
      <x:c r="Q67" s="53" t="n">
        <x:f>H67+J67+K67+L67+N67+O67+P67</x:f>
        <x:v>346.2793246521895</x:v>
      </x:c>
      <x:c r="R67" s="53" t="n">
        <x:f>Q67-G67</x:f>
        <x:v>-2.4973544229738422</x:v>
      </x:c>
      <x:c r="S67" s="52" t="n">
        <x:v>0</x:v>
      </x:c>
      <x:c r="T67" s="53" t="n">
        <x:f>S67*IF($A67&gt;=1923,C67,1)</x:f>
        <x:v>0</x:v>
      </x:c>
      <x:c r="U67" s="52" t="n">
        <x:v>60</x:v>
      </x:c>
      <x:c r="V67" s="52" t="n">
        <x:v>0</x:v>
      </x:c>
      <x:c r="W67" s="53" t="n">
        <x:f>(X66-0)*jp_foreign_repay+0</x:f>
        <x:v>12.896072284671106</x:v>
      </x:c>
      <x:c r="X67" s="53" t="n">
        <x:f>X66+T67-W67</x:f>
        <x:v>416.97300387103246</x:v>
      </x:c>
      <x:c r="Y67" s="53" t="n">
        <x:f>AG67+AF67-AH67</x:f>
        <x:v>598.4207977602312</x:v>
      </x:c>
      <x:c r="Z67" s="53" t="n">
        <x:f>X67+Y67</x:f>
        <x:v>1015.3938016312636</x:v>
      </x:c>
      <x:c r="AA67" s="63" t="n">
        <x:f>IF(D67&gt;0,Z67/D67,0)</x:f>
        <x:v>0.3406221858235411</x:v>
      </x:c>
      <x:c r="AB67" s="63" t="n">
        <x:f>IF(G67&gt;0,P67/G67,0)</x:f>
        <x:v>0.15452454546451283</x:v>
      </x:c>
      <x:c r="AC67" s="63" t="n">
        <x:f>IF(T67+AF67&gt;0,T67/(T67+AF67),0)</x:f>
        <x:v>0</x:v>
      </x:c>
      <x:c r="AD67" s="110" t="n">
        <x:f>AJ66</x:f>
        <x:v>0</x:v>
      </x:c>
      <x:c r="AE67" s="110" t="n">
        <x:f>AD67+G67+T67+U67+AP67-Q67-W67-AO67</x:f>
        <x:v>49.601282138302736</x:v>
      </x:c>
      <x:c r="AF67" s="110" t="n">
        <x:f>MAX(0,-AE67)</x:f>
        <x:v>0</x:v>
      </x:c>
      <x:c r="AG67" s="110" t="n">
        <x:f>Y66+V67</x:f>
        <x:v>648.0220798985339</x:v>
      </x:c>
      <x:c r="AH67" s="110" t="n">
        <x:f>MIN(MAX(0,AE67),AG67)</x:f>
        <x:v>49.601282138302736</x:v>
      </x:c>
      <x:c r="AI67" s="110" t="n">
        <x:f>AE67+AF67-AH67</x:f>
        <x:v>0</x:v>
      </x:c>
      <x:c r="AJ67" s="110" t="n">
        <x:f>AI67</x:f>
        <x:v>0</x:v>
      </x:c>
      <x:c r="AK67" s="110" t="n">
        <x:f>AK66</x:f>
        <x:v>0</x:v>
      </x:c>
      <x:c r="AL67" s="110" t="n">
        <x:f>AJ67+AK67+AN67-Z67</x:f>
        <x:v>-1015.3938016312636</x:v>
      </x:c>
      <x:c r="AM67" s="110" t="n">
        <x:f>AJ67-(AD67+G67+T67+U67+AF67+AP67-Q67-W67-AH67-AO67)</x:f>
        <x:v>0</x:v>
      </x:c>
      <x:c r="AN67" s="110" t="n">
        <x:f>0</x:f>
        <x:v>0</x:v>
      </x:c>
      <x:c r="AO67" s="110" t="n">
        <x:f>0</x:f>
        <x:v>0</x:v>
      </x:c>
      <x:c r="AP67" s="110" t="n">
        <x:f>0</x:f>
        <x:v>0</x:v>
      </x:c>
    </x:row>
    <x:row r="68">
      <x:c r="A68" s="58" t="n">
        <x:v>1908</x:v>
      </x:c>
      <x:c r="B68" s="45" t="n">
        <x:v>1796</x:v>
      </x:c>
      <x:c r="C68" s="70" t="n">
        <x:f>Partners!H68</x:f>
        <x:v>1.7704006869275677</x:v>
      </x:c>
      <x:c r="D68" s="47" t="n">
        <x:f>Partners!I68</x:f>
        <x:v>3179.6396337219117</x:v>
      </x:c>
      <x:c r="E68" s="59" t="n">
        <x:v>0.118</x:v>
      </x:c>
      <x:c r="F68" s="59" t="n">
        <x:v>0.08500000000000001</x:v>
      </x:c>
      <x:c r="G68" s="53" t="n">
        <x:f>D68*E68</x:f>
        <x:v>375.19747677918554</x:v>
      </x:c>
      <x:c r="H68" s="53" t="n">
        <x:f>D68*F68</x:f>
        <x:v>270.2693688663625</x:v>
      </x:c>
      <x:c r="I68" s="52" t="n">
        <x:v>41</x:v>
      </x:c>
      <x:c r="J68" s="53" t="n">
        <x:f>IF($A68&gt;=1927,(1-pac_quota)*Navy!X68,I68)</x:f>
        <x:v>41</x:v>
      </x:c>
      <x:c r="K68" s="52" t="n">
        <x:v>0</x:v>
      </x:c>
      <x:c r="L68" s="53" t="n">
        <x:f>IF($A68&gt;=1923,siberia_front*(1-pac_quota),0)</x:f>
        <x:v>0</x:v>
      </x:c>
      <x:c r="M68" s="52" t="n">
        <x:v>0</x:v>
      </x:c>
      <x:c r="N68" s="53" t="n">
        <x:f>M68*C68</x:f>
        <x:v>0</x:v>
      </x:c>
      <x:c r="O68" s="53" t="n">
        <x:f>IF($A68&gt;=1927,10*(1-pac_quota),0)</x:f>
        <x:v>0</x:v>
      </x:c>
      <x:c r="P68" s="53" t="n">
        <x:f>jp_coupon*(Z67-0)+0</x:f>
        <x:v>50.76969008156318</x:v>
      </x:c>
      <x:c r="Q68" s="53" t="n">
        <x:f>H68+J68+K68+L68+N68+O68+P68</x:f>
        <x:v>362.0390589479257</x:v>
      </x:c>
      <x:c r="R68" s="53" t="n">
        <x:f>Q68-G68</x:f>
        <x:v>-13.15841783125984</x:v>
      </x:c>
      <x:c r="S68" s="52" t="n">
        <x:v>0</x:v>
      </x:c>
      <x:c r="T68" s="53" t="n">
        <x:f>S68*IF($A68&gt;=1923,C68,1)</x:f>
        <x:v>0</x:v>
      </x:c>
      <x:c r="U68" s="52" t="n">
        <x:v>60</x:v>
      </x:c>
      <x:c r="V68" s="52" t="n">
        <x:v>0</x:v>
      </x:c>
      <x:c r="W68" s="53" t="n">
        <x:f>(X67-0)*jp_foreign_repay+0</x:f>
        <x:v>12.509190116130974</x:v>
      </x:c>
      <x:c r="X68" s="53" t="n">
        <x:f>X67+T68-W68</x:f>
        <x:v>404.4638137549015</x:v>
      </x:c>
      <x:c r="Y68" s="53" t="n">
        <x:f>AG68+AF68-AH68</x:f>
        <x:v>537.7715700451023</x:v>
      </x:c>
      <x:c r="Z68" s="53" t="n">
        <x:f>X68+Y68</x:f>
        <x:v>942.2353838000038</x:v>
      </x:c>
      <x:c r="AA68" s="63" t="n">
        <x:f>IF(D68&gt;0,Z68/D68,0)</x:f>
        <x:v>0.2963340165366711</x:v>
      </x:c>
      <x:c r="AB68" s="63" t="n">
        <x:f>IF(G68&gt;0,P68/G68,0)</x:f>
        <x:v>0.13531458291613885</x:v>
      </x:c>
      <x:c r="AC68" s="63" t="n">
        <x:f>IF(T68+AF68&gt;0,T68/(T68+AF68),0)</x:f>
        <x:v>0</x:v>
      </x:c>
      <x:c r="AD68" s="110" t="n">
        <x:f>AJ67</x:f>
        <x:v>0</x:v>
      </x:c>
      <x:c r="AE68" s="110" t="n">
        <x:f>AD68+G68+T68+U68+AP68-Q68-W68-AO68</x:f>
        <x:v>60.649227715128866</x:v>
      </x:c>
      <x:c r="AF68" s="110" t="n">
        <x:f>MAX(0,-AE68)</x:f>
        <x:v>0</x:v>
      </x:c>
      <x:c r="AG68" s="110" t="n">
        <x:f>Y67+V68</x:f>
        <x:v>598.4207977602312</x:v>
      </x:c>
      <x:c r="AH68" s="110" t="n">
        <x:f>MIN(MAX(0,AE68),AG68)</x:f>
        <x:v>60.649227715128866</x:v>
      </x:c>
      <x:c r="AI68" s="110" t="n">
        <x:f>AE68+AF68-AH68</x:f>
        <x:v>0</x:v>
      </x:c>
      <x:c r="AJ68" s="110" t="n">
        <x:f>AI68</x:f>
        <x:v>0</x:v>
      </x:c>
      <x:c r="AK68" s="110" t="n">
        <x:f>AK67</x:f>
        <x:v>0</x:v>
      </x:c>
      <x:c r="AL68" s="110" t="n">
        <x:f>AJ68+AK68+AN68-Z68</x:f>
        <x:v>-942.2353838000038</x:v>
      </x:c>
      <x:c r="AM68" s="110" t="n">
        <x:f>AJ68-(AD68+G68+T68+U68+AF68+AP68-Q68-W68-AH68-AO68)</x:f>
        <x:v>0</x:v>
      </x:c>
      <x:c r="AN68" s="110" t="n">
        <x:f>0</x:f>
        <x:v>0</x:v>
      </x:c>
      <x:c r="AO68" s="110" t="n">
        <x:f>0</x:f>
        <x:v>0</x:v>
      </x:c>
      <x:c r="AP68" s="110" t="n">
        <x:f>0</x:f>
        <x:v>0</x:v>
      </x:c>
    </x:row>
    <x:row r="69">
      <x:c r="A69" s="58" t="n">
        <x:v>1909</x:v>
      </x:c>
      <x:c r="B69" s="45" t="n">
        <x:v>1878</x:v>
      </x:c>
      <x:c r="C69" s="70" t="n">
        <x:f>Partners!H69</x:f>
        <x:v>1.801819538967389</x:v>
      </x:c>
      <x:c r="D69" s="47" t="n">
        <x:f>Partners!I69</x:f>
        <x:v>3383.8170941807566</x:v>
      </x:c>
      <x:c r="E69" s="59" t="n">
        <x:v>0.119</x:v>
      </x:c>
      <x:c r="F69" s="59" t="n">
        <x:v>0.08500000000000001</x:v>
      </x:c>
      <x:c r="G69" s="53" t="n">
        <x:f>D69*E69</x:f>
        <x:v>402.67423420751004</x:v>
      </x:c>
      <x:c r="H69" s="53" t="n">
        <x:f>D69*F69</x:f>
        <x:v>287.62445300536433</x:v>
      </x:c>
      <x:c r="I69" s="52" t="n">
        <x:v>43</x:v>
      </x:c>
      <x:c r="J69" s="53" t="n">
        <x:f>IF($A69&gt;=1927,(1-pac_quota)*Navy!X69,I69)</x:f>
        <x:v>43</x:v>
      </x:c>
      <x:c r="K69" s="52" t="n">
        <x:v>0</x:v>
      </x:c>
      <x:c r="L69" s="53" t="n">
        <x:f>IF($A69&gt;=1923,siberia_front*(1-pac_quota),0)</x:f>
        <x:v>0</x:v>
      </x:c>
      <x:c r="M69" s="52" t="n">
        <x:v>0</x:v>
      </x:c>
      <x:c r="N69" s="53" t="n">
        <x:f>M69*C69</x:f>
        <x:v>0</x:v>
      </x:c>
      <x:c r="O69" s="53" t="n">
        <x:f>IF($A69&gt;=1927,10*(1-pac_quota),0)</x:f>
        <x:v>0</x:v>
      </x:c>
      <x:c r="P69" s="53" t="n">
        <x:f>jp_coupon*(Z68-0)+0</x:f>
        <x:v>47.11176919000019</x:v>
      </x:c>
      <x:c r="Q69" s="53" t="n">
        <x:f>H69+J69+K69+L69+N69+O69+P69</x:f>
        <x:v>377.7362221953645</x:v>
      </x:c>
      <x:c r="R69" s="53" t="n">
        <x:f>Q69-G69</x:f>
        <x:v>-24.93801201214552</x:v>
      </x:c>
      <x:c r="S69" s="52" t="n">
        <x:v>0</x:v>
      </x:c>
      <x:c r="T69" s="53" t="n">
        <x:f>S69*IF($A69&gt;=1923,C69,1)</x:f>
        <x:v>0</x:v>
      </x:c>
      <x:c r="U69" s="52" t="n">
        <x:v>60</x:v>
      </x:c>
      <x:c r="V69" s="52" t="n">
        <x:v>0</x:v>
      </x:c>
      <x:c r="W69" s="53" t="n">
        <x:f>(X68-0)*jp_foreign_repay+0</x:f>
        <x:v>12.133914412647044</x:v>
      </x:c>
      <x:c r="X69" s="53" t="n">
        <x:f>X68+T69-W69</x:f>
        <x:v>392.3298993422544</x:v>
      </x:c>
      <x:c r="Y69" s="53" t="n">
        <x:f>AG69+AF69-AH69</x:f>
        <x:v>464.9674724456038</x:v>
      </x:c>
      <x:c r="Z69" s="53" t="n">
        <x:f>X69+Y69</x:f>
        <x:v>857.2973717878582</x:v>
      </x:c>
      <x:c r="AA69" s="63" t="n">
        <x:f>IF(D69&gt;0,Z69/D69,0)</x:f>
        <x:v>0.2533521605710238</x:v>
      </x:c>
      <x:c r="AB69" s="63" t="n">
        <x:f>IF(G69&gt;0,P69/G69,0)</x:f>
        <x:v>0.11699722800173525</x:v>
      </x:c>
      <x:c r="AC69" s="63" t="n">
        <x:f>IF(T69+AF69&gt;0,T69/(T69+AF69),0)</x:f>
        <x:v>0</x:v>
      </x:c>
      <x:c r="AD69" s="110" t="n">
        <x:f>AJ68</x:f>
        <x:v>0</x:v>
      </x:c>
      <x:c r="AE69" s="110" t="n">
        <x:f>AD69+G69+T69+U69+AP69-Q69-W69-AO69</x:f>
        <x:v>72.80409759949848</x:v>
      </x:c>
      <x:c r="AF69" s="110" t="n">
        <x:f>MAX(0,-AE69)</x:f>
        <x:v>0</x:v>
      </x:c>
      <x:c r="AG69" s="110" t="n">
        <x:f>Y68+V69</x:f>
        <x:v>537.7715700451023</x:v>
      </x:c>
      <x:c r="AH69" s="110" t="n">
        <x:f>MIN(MAX(0,AE69),AG69)</x:f>
        <x:v>72.80409759949848</x:v>
      </x:c>
      <x:c r="AI69" s="110" t="n">
        <x:f>AE69+AF69-AH69</x:f>
        <x:v>0</x:v>
      </x:c>
      <x:c r="AJ69" s="110" t="n">
        <x:f>AI69</x:f>
        <x:v>0</x:v>
      </x:c>
      <x:c r="AK69" s="110" t="n">
        <x:f>AK68</x:f>
        <x:v>0</x:v>
      </x:c>
      <x:c r="AL69" s="110" t="n">
        <x:f>AJ69+AK69+AN69-Z69</x:f>
        <x:v>-857.2973717878582</x:v>
      </x:c>
      <x:c r="AM69" s="110" t="n">
        <x:f>AJ69-(AD69+G69+T69+U69+AF69+AP69-Q69-W69-AH69-AO69)</x:f>
        <x:v>0</x:v>
      </x:c>
      <x:c r="AN69" s="110" t="n">
        <x:f>0</x:f>
        <x:v>0</x:v>
      </x:c>
      <x:c r="AO69" s="110" t="n">
        <x:f>0</x:f>
        <x:v>0</x:v>
      </x:c>
      <x:c r="AP69" s="110" t="n">
        <x:f>0</x:f>
        <x:v>0</x:v>
      </x:c>
    </x:row>
    <x:row r="70">
      <x:c r="A70" s="58" t="n">
        <x:v>1910</x:v>
      </x:c>
      <x:c r="B70" s="45" t="n">
        <x:v>1960</x:v>
      </x:c>
      <x:c r="C70" s="70" t="n">
        <x:f>Partners!H70</x:f>
        <x:v>1.834689258543082</x:v>
      </x:c>
      <x:c r="D70" s="47" t="n">
        <x:f>Partners!I70</x:f>
        <x:v>3595.990946744441</x:v>
      </x:c>
      <x:c r="E70" s="59" t="n">
        <x:v>0.12</x:v>
      </x:c>
      <x:c r="F70" s="59" t="n">
        <x:v>0.08500000000000001</x:v>
      </x:c>
      <x:c r="G70" s="53" t="n">
        <x:f>D70*E70</x:f>
        <x:v>431.5189136093329</x:v>
      </x:c>
      <x:c r="H70" s="53" t="n">
        <x:f>D70*F70</x:f>
        <x:v>305.6592304732775</x:v>
      </x:c>
      <x:c r="I70" s="52" t="n">
        <x:v>45</x:v>
      </x:c>
      <x:c r="J70" s="53" t="n">
        <x:f>IF($A70&gt;=1927,(1-pac_quota)*Navy!X70,I70)</x:f>
        <x:v>45</x:v>
      </x:c>
      <x:c r="K70" s="52" t="n">
        <x:v>0</x:v>
      </x:c>
      <x:c r="L70" s="53" t="n">
        <x:f>IF($A70&gt;=1923,siberia_front*(1-pac_quota),0)</x:f>
        <x:v>0</x:v>
      </x:c>
      <x:c r="M70" s="52" t="n">
        <x:v>0</x:v>
      </x:c>
      <x:c r="N70" s="53" t="n">
        <x:f>M70*C70</x:f>
        <x:v>0</x:v>
      </x:c>
      <x:c r="O70" s="53" t="n">
        <x:f>IF($A70&gt;=1927,10*(1-pac_quota),0)</x:f>
        <x:v>0</x:v>
      </x:c>
      <x:c r="P70" s="53" t="n">
        <x:f>jp_coupon*(Z69-0)+0</x:f>
        <x:v>42.86486858939291</x:v>
      </x:c>
      <x:c r="Q70" s="53" t="n">
        <x:f>H70+J70+K70+L70+N70+O70+P70</x:f>
        <x:v>393.5240990626704</x:v>
      </x:c>
      <x:c r="R70" s="53" t="n">
        <x:f>Q70-G70</x:f>
        <x:v>-37.9948145466625</x:v>
      </x:c>
      <x:c r="S70" s="52" t="n">
        <x:v>0</x:v>
      </x:c>
      <x:c r="T70" s="53" t="n">
        <x:f>S70*IF($A70&gt;=1923,C70,1)</x:f>
        <x:v>0</x:v>
      </x:c>
      <x:c r="U70" s="52" t="n">
        <x:v>60</x:v>
      </x:c>
      <x:c r="V70" s="52" t="n">
        <x:v>0</x:v>
      </x:c>
      <x:c r="W70" s="53" t="n">
        <x:f>(X69-0)*jp_foreign_repay+0</x:f>
        <x:v>11.769896980267632</x:v>
      </x:c>
      <x:c r="X70" s="53" t="n">
        <x:f>X69+T70-W70</x:f>
        <x:v>380.5600023619868</x:v>
      </x:c>
      <x:c r="Y70" s="53" t="n">
        <x:f>AG70+AF70-AH70</x:f>
        <x:v>378.7425548792089</x:v>
      </x:c>
      <x:c r="Z70" s="53" t="n">
        <x:f>X70+Y70</x:f>
        <x:v>759.3025572411957</x:v>
      </x:c>
      <x:c r="AA70" s="63" t="n">
        <x:f>IF(D70&gt;0,Z70/D70,0)</x:f>
        <x:v>0.211152521929627</x:v>
      </x:c>
      <x:c r="AB70" s="63" t="n">
        <x:f>IF(G70&gt;0,P70/G70,0)</x:f>
        <x:v>0.09933485471322763</x:v>
      </x:c>
      <x:c r="AC70" s="63" t="n">
        <x:f>IF(T70+AF70&gt;0,T70/(T70+AF70),0)</x:f>
        <x:v>0</x:v>
      </x:c>
      <x:c r="AD70" s="110" t="n">
        <x:f>AJ69</x:f>
        <x:v>0</x:v>
      </x:c>
      <x:c r="AE70" s="110" t="n">
        <x:f>AD70+G70+T70+U70+AP70-Q70-W70-AO70</x:f>
        <x:v>86.22491756639486</x:v>
      </x:c>
      <x:c r="AF70" s="110" t="n">
        <x:f>MAX(0,-AE70)</x:f>
        <x:v>0</x:v>
      </x:c>
      <x:c r="AG70" s="110" t="n">
        <x:f>Y69+V70</x:f>
        <x:v>464.9674724456038</x:v>
      </x:c>
      <x:c r="AH70" s="110" t="n">
        <x:f>MIN(MAX(0,AE70),AG70)</x:f>
        <x:v>86.22491756639486</x:v>
      </x:c>
      <x:c r="AI70" s="110" t="n">
        <x:f>AE70+AF70-AH70</x:f>
        <x:v>0</x:v>
      </x:c>
      <x:c r="AJ70" s="110" t="n">
        <x:f>AI70</x:f>
        <x:v>0</x:v>
      </x:c>
      <x:c r="AK70" s="110" t="n">
        <x:f>AK69</x:f>
        <x:v>0</x:v>
      </x:c>
      <x:c r="AL70" s="110" t="n">
        <x:f>AJ70+AK70+AN70-Z70</x:f>
        <x:v>-759.3025572411957</x:v>
      </x:c>
      <x:c r="AM70" s="110" t="n">
        <x:f>AJ70-(AD70+G70+T70+U70+AF70+AP70-Q70-W70-AH70-AO70)</x:f>
        <x:v>0</x:v>
      </x:c>
      <x:c r="AN70" s="110" t="n">
        <x:f>0</x:f>
        <x:v>0</x:v>
      </x:c>
      <x:c r="AO70" s="110" t="n">
        <x:f>0</x:f>
        <x:v>0</x:v>
      </x:c>
      <x:c r="AP70" s="110" t="n">
        <x:f>0</x:f>
        <x:v>0</x:v>
      </x:c>
    </x:row>
    <x:row r="71">
      <x:c r="A71" s="58" t="n">
        <x:v>1911</x:v>
      </x:c>
      <x:c r="B71" s="45" t="n">
        <x:v>2140</x:v>
      </x:c>
      <x:c r="C71" s="70" t="n">
        <x:f>Partners!H71</x:f>
        <x:v>1.8683467133537588</x:v>
      </x:c>
      <x:c r="D71" s="47" t="n">
        <x:f>Partners!I71</x:f>
        <x:v>3998.261966577044</x:v>
      </x:c>
      <x:c r="E71" s="59" t="n">
        <x:v>0.12</x:v>
      </x:c>
      <x:c r="F71" s="59" t="n">
        <x:v>0.08500000000000001</x:v>
      </x:c>
      <x:c r="G71" s="53" t="n">
        <x:f>D71*E71</x:f>
        <x:v>479.79143598924526</x:v>
      </x:c>
      <x:c r="H71" s="53" t="n">
        <x:f>D71*F71</x:f>
        <x:v>339.8522671590488</x:v>
      </x:c>
      <x:c r="I71" s="52" t="n">
        <x:v>46.7</x:v>
      </x:c>
      <x:c r="J71" s="53" t="n">
        <x:f>IF($A71&gt;=1927,(1-pac_quota)*Navy!X71,I71)</x:f>
        <x:v>46.7</x:v>
      </x:c>
      <x:c r="K71" s="52" t="n">
        <x:v>0</x:v>
      </x:c>
      <x:c r="L71" s="53" t="n">
        <x:f>IF($A71&gt;=1923,siberia_front*(1-pac_quota),0)</x:f>
        <x:v>0</x:v>
      </x:c>
      <x:c r="M71" s="52" t="n">
        <x:v>0</x:v>
      </x:c>
      <x:c r="N71" s="53" t="n">
        <x:f>M71*C71</x:f>
        <x:v>0</x:v>
      </x:c>
      <x:c r="O71" s="53" t="n">
        <x:f>IF($A71&gt;=1927,10*(1-pac_quota),0)</x:f>
        <x:v>0</x:v>
      </x:c>
      <x:c r="P71" s="53" t="n">
        <x:f>jp_coupon*(Z70-0)+0</x:f>
        <x:v>37.96512786205979</x:v>
      </x:c>
      <x:c r="Q71" s="53" t="n">
        <x:f>H71+J71+K71+L71+N71+O71+P71</x:f>
        <x:v>424.51739502110854</x:v>
      </x:c>
      <x:c r="R71" s="53" t="n">
        <x:f>Q71-G71</x:f>
        <x:v>-55.27404096813672</x:v>
      </x:c>
      <x:c r="S71" s="52" t="n">
        <x:v>0</x:v>
      </x:c>
      <x:c r="T71" s="53" t="n">
        <x:f>S71*IF($A71&gt;=1923,C71,1)</x:f>
        <x:v>0</x:v>
      </x:c>
      <x:c r="U71" s="52" t="n">
        <x:v>0</x:v>
      </x:c>
      <x:c r="V71" s="52" t="n">
        <x:v>0</x:v>
      </x:c>
      <x:c r="W71" s="53" t="n">
        <x:f>(X70-0)*jp_foreign_repay+0</x:f>
        <x:v>11.416800070859603</x:v>
      </x:c>
      <x:c r="X71" s="53" t="n">
        <x:f>X70+T71-W71</x:f>
        <x:v>369.1432022911272</x:v>
      </x:c>
      <x:c r="Y71" s="53" t="n">
        <x:f>AG71+AF71-AH71</x:f>
        <x:v>334.8853139819318</x:v>
      </x:c>
      <x:c r="Z71" s="53" t="n">
        <x:f>X71+Y71</x:f>
        <x:v>704.028516273059</x:v>
      </x:c>
      <x:c r="AA71" s="63" t="n">
        <x:f>IF(D71&gt;0,Z71/D71,0)</x:f>
        <x:v>0.17608363888066733</x:v>
      </x:c>
      <x:c r="AB71" s="63" t="n">
        <x:f>IF(G71&gt;0,P71/G71,0)</x:f>
        <x:v>0.07912839832954166</x:v>
      </x:c>
      <x:c r="AC71" s="63" t="n">
        <x:f>IF(T71+AF71&gt;0,T71/(T71+AF71),0)</x:f>
        <x:v>0</x:v>
      </x:c>
      <x:c r="AD71" s="110" t="n">
        <x:f>AJ70</x:f>
        <x:v>0</x:v>
      </x:c>
      <x:c r="AE71" s="110" t="n">
        <x:f>AD71+G71+T71+U71+AP71-Q71-W71-AO71</x:f>
        <x:v>43.857240897277116</x:v>
      </x:c>
      <x:c r="AF71" s="110" t="n">
        <x:f>MAX(0,-AE71)</x:f>
        <x:v>0</x:v>
      </x:c>
      <x:c r="AG71" s="110" t="n">
        <x:f>Y70+V71</x:f>
        <x:v>378.7425548792089</x:v>
      </x:c>
      <x:c r="AH71" s="110" t="n">
        <x:f>MIN(MAX(0,AE71),AG71)</x:f>
        <x:v>43.857240897277116</x:v>
      </x:c>
      <x:c r="AI71" s="110" t="n">
        <x:f>AE71+AF71-AH71</x:f>
        <x:v>0</x:v>
      </x:c>
      <x:c r="AJ71" s="110" t="n">
        <x:f>AI71</x:f>
        <x:v>0</x:v>
      </x:c>
      <x:c r="AK71" s="110" t="n">
        <x:f>AK70</x:f>
        <x:v>0</x:v>
      </x:c>
      <x:c r="AL71" s="110" t="n">
        <x:f>AJ71+AK71+AN71-Z71</x:f>
        <x:v>-704.028516273059</x:v>
      </x:c>
      <x:c r="AM71" s="110" t="n">
        <x:f>AJ71-(AD71+G71+T71+U71+AF71+AP71-Q71-W71-AH71-AO71)</x:f>
        <x:v>0</x:v>
      </x:c>
      <x:c r="AN71" s="110" t="n">
        <x:f>0</x:f>
        <x:v>0</x:v>
      </x:c>
      <x:c r="AO71" s="110" t="n">
        <x:f>0</x:f>
        <x:v>0</x:v>
      </x:c>
      <x:c r="AP71" s="110" t="n">
        <x:f>0</x:f>
        <x:v>0</x:v>
      </x:c>
    </x:row>
    <x:row r="72">
      <x:c r="A72" s="58" t="n">
        <x:v>1912</x:v>
      </x:c>
      <x:c r="B72" s="45" t="n">
        <x:v>2320</x:v>
      </x:c>
      <x:c r="C72" s="70" t="n">
        <x:f>Partners!H72</x:f>
        <x:v>1.9021079485532637</x:v>
      </x:c>
      <x:c r="D72" s="47" t="n">
        <x:f>Partners!I72</x:f>
        <x:v>4412.890440643572</x:v>
      </x:c>
      <x:c r="E72" s="59" t="n">
        <x:v>0.12</x:v>
      </x:c>
      <x:c r="F72" s="59" t="n">
        <x:v>0.08500000000000001</x:v>
      </x:c>
      <x:c r="G72" s="53" t="n">
        <x:f>D72*E72</x:f>
        <x:v>529.5468528772286</x:v>
      </x:c>
      <x:c r="H72" s="53" t="n">
        <x:f>D72*F72</x:f>
        <x:v>375.0956874547037</x:v>
      </x:c>
      <x:c r="I72" s="52" t="n">
        <x:v>48.3</x:v>
      </x:c>
      <x:c r="J72" s="53" t="n">
        <x:f>IF($A72&gt;=1927,(1-pac_quota)*Navy!X72,I72)</x:f>
        <x:v>48.3</x:v>
      </x:c>
      <x:c r="K72" s="52" t="n">
        <x:v>0</x:v>
      </x:c>
      <x:c r="L72" s="53" t="n">
        <x:f>IF($A72&gt;=1923,siberia_front*(1-pac_quota),0)</x:f>
        <x:v>0</x:v>
      </x:c>
      <x:c r="M72" s="52" t="n">
        <x:v>0</x:v>
      </x:c>
      <x:c r="N72" s="53" t="n">
        <x:f>M72*C72</x:f>
        <x:v>0</x:v>
      </x:c>
      <x:c r="O72" s="53" t="n">
        <x:f>IF($A72&gt;=1927,10*(1-pac_quota),0)</x:f>
        <x:v>0</x:v>
      </x:c>
      <x:c r="P72" s="53" t="n">
        <x:f>jp_coupon*(Z71-0)+0</x:f>
        <x:v>35.20142581365295</x:v>
      </x:c>
      <x:c r="Q72" s="53" t="n">
        <x:f>H72+J72+K72+L72+N72+O72+P72</x:f>
        <x:v>458.5971132683567</x:v>
      </x:c>
      <x:c r="R72" s="53" t="n">
        <x:f>Q72-G72</x:f>
        <x:v>-70.94973960887194</x:v>
      </x:c>
      <x:c r="S72" s="52" t="n">
        <x:v>0</x:v>
      </x:c>
      <x:c r="T72" s="53" t="n">
        <x:f>S72*IF($A72&gt;=1923,C72,1)</x:f>
        <x:v>0</x:v>
      </x:c>
      <x:c r="U72" s="52" t="n">
        <x:v>0</x:v>
      </x:c>
      <x:c r="V72" s="52" t="n">
        <x:v>0</x:v>
      </x:c>
      <x:c r="W72" s="53" t="n">
        <x:f>(X71-0)*jp_foreign_repay+0</x:f>
        <x:v>11.074296068733815</x:v>
      </x:c>
      <x:c r="X72" s="53" t="n">
        <x:f>X71+T72-W72</x:f>
        <x:v>358.06890622239337</x:v>
      </x:c>
      <x:c r="Y72" s="53" t="n">
        <x:f>AG72+AF72-AH72</x:f>
        <x:v>275.0098704417937</x:v>
      </x:c>
      <x:c r="Z72" s="53" t="n">
        <x:f>X72+Y72</x:f>
        <x:v>633.078776664187</x:v>
      </x:c>
      <x:c r="AA72" s="63" t="n">
        <x:f>IF(D72&gt;0,Z72/D72,0)</x:f>
        <x:v>0.1434612495323721</x:v>
      </x:c>
      <x:c r="AB72" s="63" t="n">
        <x:f>IF(G72&gt;0,P72/G72,0)</x:f>
        <x:v>0.06647461999328345</x:v>
      </x:c>
      <x:c r="AC72" s="63" t="n">
        <x:f>IF(T72+AF72&gt;0,T72/(T72+AF72),0)</x:f>
        <x:v>0</x:v>
      </x:c>
      <x:c r="AD72" s="110" t="n">
        <x:f>AJ71</x:f>
        <x:v>0</x:v>
      </x:c>
      <x:c r="AE72" s="110" t="n">
        <x:f>AD72+G72+T72+U72+AP72-Q72-W72-AO72</x:f>
        <x:v>59.87544354013812</x:v>
      </x:c>
      <x:c r="AF72" s="110" t="n">
        <x:f>MAX(0,-AE72)</x:f>
        <x:v>0</x:v>
      </x:c>
      <x:c r="AG72" s="110" t="n">
        <x:f>Y71+V72</x:f>
        <x:v>334.8853139819318</x:v>
      </x:c>
      <x:c r="AH72" s="110" t="n">
        <x:f>MIN(MAX(0,AE72),AG72)</x:f>
        <x:v>59.87544354013812</x:v>
      </x:c>
      <x:c r="AI72" s="110" t="n">
        <x:f>AE72+AF72-AH72</x:f>
        <x:v>0</x:v>
      </x:c>
      <x:c r="AJ72" s="110" t="n">
        <x:f>AI72</x:f>
        <x:v>0</x:v>
      </x:c>
      <x:c r="AK72" s="110" t="n">
        <x:f>AK71</x:f>
        <x:v>0</x:v>
      </x:c>
      <x:c r="AL72" s="110" t="n">
        <x:f>AJ72+AK72+AN72-Z72</x:f>
        <x:v>-633.078776664187</x:v>
      </x:c>
      <x:c r="AM72" s="110" t="n">
        <x:f>AJ72-(AD72+G72+T72+U72+AF72+AP72-Q72-W72-AH72-AO72)</x:f>
        <x:v>0</x:v>
      </x:c>
      <x:c r="AN72" s="110" t="n">
        <x:f>0</x:f>
        <x:v>0</x:v>
      </x:c>
      <x:c r="AO72" s="110" t="n">
        <x:f>0</x:f>
        <x:v>0</x:v>
      </x:c>
      <x:c r="AP72" s="110" t="n">
        <x:f>0</x:f>
        <x:v>0</x:v>
      </x:c>
    </x:row>
    <x:row r="73">
      <x:c r="A73" s="58" t="n">
        <x:v>1913</x:v>
      </x:c>
      <x:c r="B73" s="45" t="n">
        <x:v>2500</x:v>
      </x:c>
      <x:c r="C73" s="70" t="n">
        <x:f>Partners!H73</x:f>
        <x:v>1.936020073499859</x:v>
      </x:c>
      <x:c r="D73" s="47" t="n">
        <x:f>Partners!I73</x:f>
        <x:v>4840.050183749648</x:v>
      </x:c>
      <x:c r="E73" s="59" t="n">
        <x:v>0.12</x:v>
      </x:c>
      <x:c r="F73" s="59" t="n">
        <x:v>0.08500000000000001</x:v>
      </x:c>
      <x:c r="G73" s="53" t="n">
        <x:f>D73*E73</x:f>
        <x:v>580.8060220499577</x:v>
      </x:c>
      <x:c r="H73" s="53" t="n">
        <x:f>D73*F73</x:f>
        <x:v>411.4042656187201</x:v>
      </x:c>
      <x:c r="I73" s="52" t="n">
        <x:v>50</x:v>
      </x:c>
      <x:c r="J73" s="53" t="n">
        <x:f>IF($A73&gt;=1927,(1-pac_quota)*Navy!X73,I73)</x:f>
        <x:v>50</x:v>
      </x:c>
      <x:c r="K73" s="52" t="n">
        <x:v>0</x:v>
      </x:c>
      <x:c r="L73" s="53" t="n">
        <x:f>IF($A73&gt;=1923,siberia_front*(1-pac_quota),0)</x:f>
        <x:v>0</x:v>
      </x:c>
      <x:c r="M73" s="52" t="n">
        <x:v>0</x:v>
      </x:c>
      <x:c r="N73" s="53" t="n">
        <x:f>M73*C73</x:f>
        <x:v>0</x:v>
      </x:c>
      <x:c r="O73" s="53" t="n">
        <x:f>IF($A73&gt;=1927,10*(1-pac_quota),0)</x:f>
        <x:v>0</x:v>
      </x:c>
      <x:c r="P73" s="53" t="n">
        <x:f>jp_coupon*(Z72-0)+0</x:f>
        <x:v>31.653938833209352</x:v>
      </x:c>
      <x:c r="Q73" s="53" t="n">
        <x:f>H73+J73+K73+L73+N73+O73+P73</x:f>
        <x:v>493.05820445192944</x:v>
      </x:c>
      <x:c r="R73" s="53" t="n">
        <x:f>Q73-G73</x:f>
        <x:v>-87.74781759802829</x:v>
      </x:c>
      <x:c r="S73" s="52" t="n">
        <x:v>0</x:v>
      </x:c>
      <x:c r="T73" s="53" t="n">
        <x:f>S73*IF($A73&gt;=1923,C73,1)</x:f>
        <x:v>0</x:v>
      </x:c>
      <x:c r="U73" s="52" t="n">
        <x:v>0</x:v>
      </x:c>
      <x:c r="V73" s="52" t="n">
        <x:v>0</x:v>
      </x:c>
      <x:c r="W73" s="53" t="n">
        <x:f>(X72-0)*jp_foreign_repay+0</x:f>
        <x:v>10.7420671866718</x:v>
      </x:c>
      <x:c r="X73" s="53" t="n">
        <x:f>X72+T73-W73</x:f>
        <x:v>347.32683903572155</x:v>
      </x:c>
      <x:c r="Y73" s="53" t="n">
        <x:f>AG73+AF73-AH73</x:f>
        <x:v>198.0041200304372</x:v>
      </x:c>
      <x:c r="Z73" s="53" t="n">
        <x:f>X73+Y73</x:f>
        <x:v>545.3309590661588</x:v>
      </x:c>
      <x:c r="AA73" s="63" t="n">
        <x:f>IF(D73&gt;0,Z73/D73,0)</x:f>
        <x:v>0.11267051752832945</x:v>
      </x:c>
      <x:c r="AB73" s="63" t="n">
        <x:f>IF(G73&gt;0,P73/G73,0)</x:f>
        <x:v>0.054500018304711476</x:v>
      </x:c>
      <x:c r="AC73" s="63" t="n">
        <x:f>IF(T73+AF73&gt;0,T73/(T73+AF73),0)</x:f>
        <x:v>0</x:v>
      </x:c>
      <x:c r="AD73" s="110" t="n">
        <x:f>AJ72</x:f>
        <x:v>0</x:v>
      </x:c>
      <x:c r="AE73" s="110" t="n">
        <x:f>AD73+G73+T73+U73+AP73-Q73-W73-AO73</x:f>
        <x:v>77.00575041135649</x:v>
      </x:c>
      <x:c r="AF73" s="110" t="n">
        <x:f>MAX(0,-AE73)</x:f>
        <x:v>0</x:v>
      </x:c>
      <x:c r="AG73" s="110" t="n">
        <x:f>Y72+V73</x:f>
        <x:v>275.0098704417937</x:v>
      </x:c>
      <x:c r="AH73" s="110" t="n">
        <x:f>MIN(MAX(0,AE73),AG73)</x:f>
        <x:v>77.00575041135649</x:v>
      </x:c>
      <x:c r="AI73" s="110" t="n">
        <x:f>AE73+AF73-AH73</x:f>
        <x:v>0</x:v>
      </x:c>
      <x:c r="AJ73" s="110" t="n">
        <x:f>AI73</x:f>
        <x:v>0</x:v>
      </x:c>
      <x:c r="AK73" s="110" t="n">
        <x:f>AK72</x:f>
        <x:v>0</x:v>
      </x:c>
      <x:c r="AL73" s="110" t="n">
        <x:f>AJ73+AK73+AN73-Z73</x:f>
        <x:v>-545.3309590661588</x:v>
      </x:c>
      <x:c r="AM73" s="110" t="n">
        <x:f>AJ73-(AD73+G73+T73+U73+AF73+AP73-Q73-W73-AH73-AO73)</x:f>
        <x:v>0</x:v>
      </x:c>
      <x:c r="AN73" s="110" t="n">
        <x:f>0</x:f>
        <x:v>0</x:v>
      </x:c>
      <x:c r="AO73" s="110" t="n">
        <x:f>0</x:f>
        <x:v>0</x:v>
      </x:c>
      <x:c r="AP73" s="110" t="n">
        <x:f>0</x:f>
        <x:v>0</x:v>
      </x:c>
    </x:row>
    <x:row r="74">
      <x:c r="A74" s="61" t="n">
        <x:v>1914</x:v>
      </x:c>
      <x:c r="B74" s="45" t="n">
        <x:v>2495</x:v>
      </x:c>
      <x:c r="C74" s="70" t="n">
        <x:f>Partners!H74</x:f>
        <x:v>1.9701800089695336</x:v>
      </x:c>
      <x:c r="D74" s="47" t="n">
        <x:f>Partners!I74</x:f>
        <x:v>4915.599122378986</x:v>
      </x:c>
      <x:c r="E74" s="59" t="n">
        <x:v>0.12</x:v>
      </x:c>
      <x:c r="F74" s="59" t="n">
        <x:v>0.08500000000000001</x:v>
      </x:c>
      <x:c r="G74" s="53" t="n">
        <x:f>D74*E74</x:f>
        <x:v>589.8718946854783</x:v>
      </x:c>
      <x:c r="H74" s="53" t="n">
        <x:f>D74*F74</x:f>
        <x:v>417.82592540221384</x:v>
      </x:c>
      <x:c r="I74" s="52" t="n">
        <x:v>55</x:v>
      </x:c>
      <x:c r="J74" s="53" t="n">
        <x:f>IF($A74&gt;=1927,(1-pac_quota)*Navy!X74,I74)</x:f>
        <x:v>55</x:v>
      </x:c>
      <x:c r="K74" s="52" t="n">
        <x:v>30</x:v>
      </x:c>
      <x:c r="L74" s="53" t="n">
        <x:f>IF($A74&gt;=1923,siberia_front*(1-pac_quota),0)</x:f>
        <x:v>0</x:v>
      </x:c>
      <x:c r="M74" s="52" t="n">
        <x:v>0</x:v>
      </x:c>
      <x:c r="N74" s="53" t="n">
        <x:f>M74*C74</x:f>
        <x:v>0</x:v>
      </x:c>
      <x:c r="O74" s="53" t="n">
        <x:f>IF($A74&gt;=1927,10*(1-pac_quota),0)</x:f>
        <x:v>0</x:v>
      </x:c>
      <x:c r="P74" s="53" t="n">
        <x:f>jp_coupon*(Z73-0)+0</x:f>
        <x:v>27.266547953307942</x:v>
      </x:c>
      <x:c r="Q74" s="53" t="n">
        <x:f>H74+J74+K74+L74+N74+O74+P74</x:f>
        <x:v>530.0924733555217</x:v>
      </x:c>
      <x:c r="R74" s="53" t="n">
        <x:f>Q74-G74</x:f>
        <x:v>-59.77942132995656</x:v>
      </x:c>
      <x:c r="S74" s="52" t="n">
        <x:v>0</x:v>
      </x:c>
      <x:c r="T74" s="53" t="n">
        <x:f>S74*IF($A74&gt;=1923,C74,1)</x:f>
        <x:v>0</x:v>
      </x:c>
      <x:c r="U74" s="52" t="n">
        <x:v>0</x:v>
      </x:c>
      <x:c r="V74" s="52" t="n">
        <x:v>0</x:v>
      </x:c>
      <x:c r="W74" s="53" t="n">
        <x:f>(X73-0)*jp_foreign_repay+0</x:f>
        <x:v>10.419805171071646</x:v>
      </x:c>
      <x:c r="X74" s="53" t="n">
        <x:f>X73+T74-W74</x:f>
        <x:v>336.9070338646499</x:v>
      </x:c>
      <x:c r="Y74" s="53" t="n">
        <x:f>AG74+AF74-AH74</x:f>
        <x:v>148.64450387155227</x:v>
      </x:c>
      <x:c r="Z74" s="53" t="n">
        <x:f>X74+Y74</x:f>
        <x:v>485.5515377362022</x:v>
      </x:c>
      <x:c r="AA74" s="63" t="n">
        <x:f>IF(D74&gt;0,Z74/D74,0)</x:f>
        <x:v>0.09877769233167481</x:v>
      </x:c>
      <x:c r="AB74" s="63" t="n">
        <x:f>IF(G74&gt;0,P74/G74,0)</x:f>
        <x:v>0.046224524678950094</x:v>
      </x:c>
      <x:c r="AC74" s="63" t="n">
        <x:f>IF(T74+AF74&gt;0,T74/(T74+AF74),0)</x:f>
        <x:v>0</x:v>
      </x:c>
      <x:c r="AD74" s="110" t="n">
        <x:f>AJ73</x:f>
        <x:v>0</x:v>
      </x:c>
      <x:c r="AE74" s="110" t="n">
        <x:f>AD74+G74+T74+U74+AP74-Q74-W74-AO74</x:f>
        <x:v>49.35961615888492</x:v>
      </x:c>
      <x:c r="AF74" s="110" t="n">
        <x:f>MAX(0,-AE74)</x:f>
        <x:v>0</x:v>
      </x:c>
      <x:c r="AG74" s="110" t="n">
        <x:f>Y73+V74</x:f>
        <x:v>198.0041200304372</x:v>
      </x:c>
      <x:c r="AH74" s="110" t="n">
        <x:f>MIN(MAX(0,AE74),AG74)</x:f>
        <x:v>49.35961615888492</x:v>
      </x:c>
      <x:c r="AI74" s="110" t="n">
        <x:f>AE74+AF74-AH74</x:f>
        <x:v>0</x:v>
      </x:c>
      <x:c r="AJ74" s="110" t="n">
        <x:f>AI74</x:f>
        <x:v>0</x:v>
      </x:c>
      <x:c r="AK74" s="110" t="n">
        <x:f>AK73</x:f>
        <x:v>0</x:v>
      </x:c>
      <x:c r="AL74" s="110" t="n">
        <x:f>AJ74+AK74+AN74-Z74</x:f>
        <x:v>-485.5515377362022</x:v>
      </x:c>
      <x:c r="AM74" s="110" t="n">
        <x:f>AJ74-(AD74+G74+T74+U74+AF74+AP74-Q74-W74-AH74-AO74)</x:f>
        <x:v>0</x:v>
      </x:c>
      <x:c r="AN74" s="110" t="n">
        <x:f>0</x:f>
        <x:v>0</x:v>
      </x:c>
      <x:c r="AO74" s="110" t="n">
        <x:f>0</x:f>
        <x:v>0</x:v>
      </x:c>
      <x:c r="AP74" s="110" t="n">
        <x:f>0</x:f>
        <x:v>0</x:v>
      </x:c>
    </x:row>
    <x:row r="75">
      <x:c r="A75" s="61" t="n">
        <x:v>1915</x:v>
      </x:c>
      <x:c r="B75" s="45" t="n">
        <x:v>2490</x:v>
      </x:c>
      <x:c r="C75" s="70" t="n">
        <x:f>Partners!H75</x:f>
        <x:v>2.0053946616873413</x:v>
      </x:c>
      <x:c r="D75" s="47" t="n">
        <x:f>Partners!I75</x:f>
        <x:v>4993.43270760148</x:v>
      </x:c>
      <x:c r="E75" s="59" t="n">
        <x:v>0.12</x:v>
      </x:c>
      <x:c r="F75" s="59" t="n">
        <x:v>0.08500000000000001</x:v>
      </x:c>
      <x:c r="G75" s="53" t="n">
        <x:f>D75*E75</x:f>
        <x:v>599.2119249121776</x:v>
      </x:c>
      <x:c r="H75" s="53" t="n">
        <x:f>D75*F75</x:f>
        <x:v>424.4417801461258</x:v>
      </x:c>
      <x:c r="I75" s="52" t="n">
        <x:v>60</x:v>
      </x:c>
      <x:c r="J75" s="53" t="n">
        <x:f>IF($A75&gt;=1927,(1-pac_quota)*Navy!X75,I75)</x:f>
        <x:v>60</x:v>
      </x:c>
      <x:c r="K75" s="52" t="n">
        <x:v>0</x:v>
      </x:c>
      <x:c r="L75" s="53" t="n">
        <x:f>IF($A75&gt;=1923,siberia_front*(1-pac_quota),0)</x:f>
        <x:v>0</x:v>
      </x:c>
      <x:c r="M75" s="52" t="n">
        <x:v>0</x:v>
      </x:c>
      <x:c r="N75" s="53" t="n">
        <x:f>M75*C75</x:f>
        <x:v>0</x:v>
      </x:c>
      <x:c r="O75" s="53" t="n">
        <x:f>IF($A75&gt;=1927,10*(1-pac_quota),0)</x:f>
        <x:v>0</x:v>
      </x:c>
      <x:c r="P75" s="53" t="n">
        <x:f>jp_coupon*(Z74-0)+0</x:f>
        <x:v>24.27757688681011</x:v>
      </x:c>
      <x:c r="Q75" s="53" t="n">
        <x:f>H75+J75+K75+L75+N75+O75+P75</x:f>
        <x:v>508.7193570329359</x:v>
      </x:c>
      <x:c r="R75" s="53" t="n">
        <x:f>Q75-G75</x:f>
        <x:v>-90.49256787924168</x:v>
      </x:c>
      <x:c r="S75" s="52" t="n">
        <x:v>0</x:v>
      </x:c>
      <x:c r="T75" s="53" t="n">
        <x:f>S75*IF($A75&gt;=1923,C75,1)</x:f>
        <x:v>0</x:v>
      </x:c>
      <x:c r="U75" s="52" t="n">
        <x:v>0</x:v>
      </x:c>
      <x:c r="V75" s="52" t="n">
        <x:v>0</x:v>
      </x:c>
      <x:c r="W75" s="53" t="n">
        <x:f>(X74-0)*jp_foreign_repay+0</x:f>
        <x:v>10.107211015939496</x:v>
      </x:c>
      <x:c r="X75" s="53" t="n">
        <x:f>X74+T75-W75</x:f>
        <x:v>326.79982284871045</x:v>
      </x:c>
      <x:c r="Y75" s="53" t="n">
        <x:f>AG75+AF75-AH75</x:f>
        <x:v>68.2591470082501</x:v>
      </x:c>
      <x:c r="Z75" s="53" t="n">
        <x:f>X75+Y75</x:f>
        <x:v>395.0589698569605</x:v>
      </x:c>
      <x:c r="AA75" s="63" t="n">
        <x:f>IF(D75&gt;0,Z75/D75,0)</x:f>
        <x:v>0.07911570917047987</x:v>
      </x:c>
      <x:c r="AB75" s="63" t="n">
        <x:f>IF(G75&gt;0,P75/G75,0)</x:f>
        <x:v>0.040515844023578655</x:v>
      </x:c>
      <x:c r="AC75" s="63" t="n">
        <x:f>IF(T75+AF75&gt;0,T75/(T75+AF75),0)</x:f>
        <x:v>0</x:v>
      </x:c>
      <x:c r="AD75" s="110" t="n">
        <x:f>AJ74</x:f>
        <x:v>0</x:v>
      </x:c>
      <x:c r="AE75" s="110" t="n">
        <x:f>AD75+G75+T75+U75+AP75-Q75-W75-AO75</x:f>
        <x:v>80.38535686330218</x:v>
      </x:c>
      <x:c r="AF75" s="110" t="n">
        <x:f>MAX(0,-AE75)</x:f>
        <x:v>0</x:v>
      </x:c>
      <x:c r="AG75" s="110" t="n">
        <x:f>Y74+V75</x:f>
        <x:v>148.64450387155227</x:v>
      </x:c>
      <x:c r="AH75" s="110" t="n">
        <x:f>MIN(MAX(0,AE75),AG75)</x:f>
        <x:v>80.38535686330218</x:v>
      </x:c>
      <x:c r="AI75" s="110" t="n">
        <x:f>AE75+AF75-AH75</x:f>
        <x:v>0</x:v>
      </x:c>
      <x:c r="AJ75" s="110" t="n">
        <x:f>AI75</x:f>
        <x:v>0</x:v>
      </x:c>
      <x:c r="AK75" s="110" t="n">
        <x:f>AK74</x:f>
        <x:v>0</x:v>
      </x:c>
      <x:c r="AL75" s="110" t="n">
        <x:f>AJ75+AK75+AN75-Z75</x:f>
        <x:v>-395.0589698569605</x:v>
      </x:c>
      <x:c r="AM75" s="110" t="n">
        <x:f>AJ75-(AD75+G75+T75+U75+AF75+AP75-Q75-W75-AH75-AO75)</x:f>
        <x:v>0</x:v>
      </x:c>
      <x:c r="AN75" s="110" t="n">
        <x:f>0</x:f>
        <x:v>0</x:v>
      </x:c>
      <x:c r="AO75" s="110" t="n">
        <x:f>0</x:f>
        <x:v>0</x:v>
      </x:c>
      <x:c r="AP75" s="110" t="n">
        <x:f>0</x:f>
        <x:v>0</x:v>
      </x:c>
    </x:row>
    <x:row r="76">
      <x:c r="A76" s="61" t="n">
        <x:v>1916</x:v>
      </x:c>
      <x:c r="B76" s="45" t="n">
        <x:v>3390</x:v>
      </x:c>
      <x:c r="C76" s="70" t="n">
        <x:f>Partners!H76</x:f>
        <x:v>2.0428753031998355</x:v>
      </x:c>
      <x:c r="D76" s="47" t="n">
        <x:f>Partners!I76</x:f>
        <x:v>6925.3472778474425</x:v>
      </x:c>
      <x:c r="E76" s="59" t="n">
        <x:v>0.12</x:v>
      </x:c>
      <x:c r="F76" s="59" t="n">
        <x:v>0.08500000000000001</x:v>
      </x:c>
      <x:c r="G76" s="53" t="n">
        <x:f>D76*E76</x:f>
        <x:v>831.041673341693</x:v>
      </x:c>
      <x:c r="H76" s="53" t="n">
        <x:f>D76*F76</x:f>
        <x:v>588.6545186170326</x:v>
      </x:c>
      <x:c r="I76" s="52" t="n">
        <x:v>65</x:v>
      </x:c>
      <x:c r="J76" s="53" t="n">
        <x:f>IF($A76&gt;=1927,(1-pac_quota)*Navy!X76,I76)</x:f>
        <x:v>65</x:v>
      </x:c>
      <x:c r="K76" s="52" t="n">
        <x:v>0</x:v>
      </x:c>
      <x:c r="L76" s="53" t="n">
        <x:f>IF($A76&gt;=1923,siberia_front*(1-pac_quota),0)</x:f>
        <x:v>0</x:v>
      </x:c>
      <x:c r="M76" s="52" t="n">
        <x:v>0</x:v>
      </x:c>
      <x:c r="N76" s="53" t="n">
        <x:f>M76*C76</x:f>
        <x:v>0</x:v>
      </x:c>
      <x:c r="O76" s="53" t="n">
        <x:f>IF($A76&gt;=1927,10*(1-pac_quota),0)</x:f>
        <x:v>0</x:v>
      </x:c>
      <x:c r="P76" s="53" t="n">
        <x:f>jp_coupon*(Z75-0)+0</x:f>
        <x:v>19.752948492848027</x:v>
      </x:c>
      <x:c r="Q76" s="53" t="n">
        <x:f>H76+J76+K76+L76+N76+O76+P76</x:f>
        <x:v>673.4074671098807</x:v>
      </x:c>
      <x:c r="R76" s="53" t="n">
        <x:f>Q76-G76</x:f>
        <x:v>-157.6342062318123</x:v>
      </x:c>
      <x:c r="S76" s="52" t="n">
        <x:v>0</x:v>
      </x:c>
      <x:c r="T76" s="53" t="n">
        <x:f>S76*IF($A76&gt;=1923,C76,1)</x:f>
        <x:v>0</x:v>
      </x:c>
      <x:c r="U76" s="52" t="n">
        <x:v>0</x:v>
      </x:c>
      <x:c r="V76" s="52" t="n">
        <x:v>0</x:v>
      </x:c>
      <x:c r="W76" s="53" t="n">
        <x:f>(X75-0)*jp_foreign_repay+0</x:f>
        <x:v>9.803994685461314</x:v>
      </x:c>
      <x:c r="X76" s="53" t="n">
        <x:f>X75+T76-W76</x:f>
        <x:v>316.99582816324914</x:v>
      </x:c>
      <x:c r="Y76" s="53" t="n">
        <x:f>AG76+AF76-AH76</x:f>
        <x:v>0</x:v>
      </x:c>
      <x:c r="Z76" s="53" t="n">
        <x:f>X76+Y76</x:f>
        <x:v>316.99582816324914</x:v>
      </x:c>
      <x:c r="AA76" s="63" t="n">
        <x:f>IF(D76&gt;0,Z76/D76,0)</x:f>
        <x:v>0.045773275396202046</x:v>
      </x:c>
      <x:c r="AB76" s="63" t="n">
        <x:f>IF(G76&gt;0,P76/G76,0)</x:f>
        <x:v>0.023768902482855826</x:v>
      </x:c>
      <x:c r="AC76" s="63" t="n">
        <x:f>IF(T76+AF76&gt;0,T76/(T76+AF76),0)</x:f>
        <x:v>0</x:v>
      </x:c>
      <x:c r="AD76" s="110" t="n">
        <x:f>AJ75</x:f>
        <x:v>0</x:v>
      </x:c>
      <x:c r="AE76" s="110" t="n">
        <x:f>AD76+G76+T76+U76+AP76-Q76-W76-AO76</x:f>
        <x:v>147.830211546351</x:v>
      </x:c>
      <x:c r="AF76" s="110" t="n">
        <x:f>MAX(0,-AE76)</x:f>
        <x:v>0</x:v>
      </x:c>
      <x:c r="AG76" s="110" t="n">
        <x:f>Y75+V76</x:f>
        <x:v>68.2591470082501</x:v>
      </x:c>
      <x:c r="AH76" s="110" t="n">
        <x:f>MIN(MAX(0,AE76),AG76)</x:f>
        <x:v>68.2591470082501</x:v>
      </x:c>
      <x:c r="AI76" s="110" t="n">
        <x:f>AE76+AF76-AH76</x:f>
        <x:v>79.5710645381009</x:v>
      </x:c>
      <x:c r="AJ76" s="110" t="n">
        <x:f>AI76</x:f>
        <x:v>79.5710645381009</x:v>
      </x:c>
      <x:c r="AK76" s="110" t="n">
        <x:f>AK75</x:f>
        <x:v>0</x:v>
      </x:c>
      <x:c r="AL76" s="110" t="n">
        <x:f>AJ76+AK76+AN76-Z76</x:f>
        <x:v>-237.42476362514824</x:v>
      </x:c>
      <x:c r="AM76" s="110" t="n">
        <x:f>AJ76-(AD76+G76+T76+U76+AF76+AP76-Q76-W76-AH76-AO76)</x:f>
        <x:v>0</x:v>
      </x:c>
      <x:c r="AN76" s="110" t="n">
        <x:f>0</x:f>
        <x:v>0</x:v>
      </x:c>
      <x:c r="AO76" s="110" t="n">
        <x:f>0</x:f>
        <x:v>0</x:v>
      </x:c>
      <x:c r="AP76" s="110" t="n">
        <x:f>0</x:f>
        <x:v>0</x:v>
      </x:c>
    </x:row>
    <x:row r="77">
      <x:c r="A77" s="61" t="n">
        <x:v>1917</x:v>
      </x:c>
      <x:c r="B77" s="45" t="n">
        <x:v>4290</x:v>
      </x:c>
      <x:c r="C77" s="70" t="n">
        <x:f>Partners!H77</x:f>
        <x:v>2.0785067664871435</x:v>
      </x:c>
      <x:c r="D77" s="47" t="n">
        <x:f>Partners!I77</x:f>
        <x:v>8916.794028229846</x:v>
      </x:c>
      <x:c r="E77" s="59" t="n">
        <x:v>0.12</x:v>
      </x:c>
      <x:c r="F77" s="59" t="n">
        <x:v>0.08500000000000001</x:v>
      </x:c>
      <x:c r="G77" s="53" t="n">
        <x:f>D77*E77</x:f>
        <x:v>1070.0152833875816</x:v>
      </x:c>
      <x:c r="H77" s="53" t="n">
        <x:f>D77*F77</x:f>
        <x:v>757.927492399537</x:v>
      </x:c>
      <x:c r="I77" s="52" t="n">
        <x:v>77.5</x:v>
      </x:c>
      <x:c r="J77" s="53" t="n">
        <x:f>IF($A77&gt;=1927,(1-pac_quota)*Navy!X77,I77)</x:f>
        <x:v>77.5</x:v>
      </x:c>
      <x:c r="K77" s="52" t="n">
        <x:v>0</x:v>
      </x:c>
      <x:c r="L77" s="53" t="n">
        <x:f>IF($A77&gt;=1923,siberia_front*(1-pac_quota),0)</x:f>
        <x:v>0</x:v>
      </x:c>
      <x:c r="M77" s="52" t="n">
        <x:v>0</x:v>
      </x:c>
      <x:c r="N77" s="53" t="n">
        <x:f>M77*C77</x:f>
        <x:v>0</x:v>
      </x:c>
      <x:c r="O77" s="53" t="n">
        <x:f>IF($A77&gt;=1927,10*(1-pac_quota),0)</x:f>
        <x:v>0</x:v>
      </x:c>
      <x:c r="P77" s="53" t="n">
        <x:f>jp_coupon*(Z76-0)+0</x:f>
        <x:v>15.849791408162458</x:v>
      </x:c>
      <x:c r="Q77" s="53" t="n">
        <x:f>H77+J77+K77+L77+N77+O77+P77</x:f>
        <x:v>851.2772838076994</x:v>
      </x:c>
      <x:c r="R77" s="53" t="n">
        <x:f>Q77-G77</x:f>
        <x:v>-218.73799957988217</x:v>
      </x:c>
      <x:c r="S77" s="52" t="n">
        <x:v>0</x:v>
      </x:c>
      <x:c r="T77" s="53" t="n">
        <x:f>S77*IF($A77&gt;=1923,C77,1)</x:f>
        <x:v>0</x:v>
      </x:c>
      <x:c r="U77" s="52" t="n">
        <x:v>0</x:v>
      </x:c>
      <x:c r="V77" s="52" t="n">
        <x:v>0</x:v>
      </x:c>
      <x:c r="W77" s="53" t="n">
        <x:f>(X76-0)*jp_foreign_repay+0</x:f>
        <x:v>9.509874844897475</x:v>
      </x:c>
      <x:c r="X77" s="53" t="n">
        <x:f>X76+T77-W77</x:f>
        <x:v>307.4859533183517</x:v>
      </x:c>
      <x:c r="Y77" s="53" t="n">
        <x:f>AG77+AF77-AH77</x:f>
        <x:v>0</x:v>
      </x:c>
      <x:c r="Z77" s="53" t="n">
        <x:f>X77+Y77</x:f>
        <x:v>307.4859533183517</x:v>
      </x:c>
      <x:c r="AA77" s="63" t="n">
        <x:f>IF(D77&gt;0,Z77/D77,0)</x:f>
        <x:v>0.034483913427278474</x:v>
      </x:c>
      <x:c r="AB77" s="63" t="n">
        <x:f>IF(G77&gt;0,P77/G77,0)</x:f>
        <x:v>0.014812677589037144</x:v>
      </x:c>
      <x:c r="AC77" s="63" t="n">
        <x:f>IF(T77+AF77&gt;0,T77/(T77+AF77),0)</x:f>
        <x:v>0</x:v>
      </x:c>
      <x:c r="AD77" s="110" t="n">
        <x:f>AJ76</x:f>
        <x:v>79.5710645381009</x:v>
      </x:c>
      <x:c r="AE77" s="110" t="n">
        <x:f>AD77+G77+T77+U77+AP77-Q77-W77-AO77</x:f>
        <x:v>288.79918927308563</x:v>
      </x:c>
      <x:c r="AF77" s="110" t="n">
        <x:f>MAX(0,-AE77)</x:f>
        <x:v>0</x:v>
      </x:c>
      <x:c r="AG77" s="110" t="n">
        <x:f>Y76+V77</x:f>
        <x:v>0</x:v>
      </x:c>
      <x:c r="AH77" s="110" t="n">
        <x:f>MIN(MAX(0,AE77),AG77)</x:f>
        <x:v>0</x:v>
      </x:c>
      <x:c r="AI77" s="110" t="n">
        <x:f>AE77+AF77-AH77</x:f>
        <x:v>288.79918927308563</x:v>
      </x:c>
      <x:c r="AJ77" s="110" t="n">
        <x:f>AI77</x:f>
        <x:v>288.79918927308563</x:v>
      </x:c>
      <x:c r="AK77" s="110" t="n">
        <x:f>AK76</x:f>
        <x:v>0</x:v>
      </x:c>
      <x:c r="AL77" s="110" t="n">
        <x:f>AJ77+AK77+AN77-Z77</x:f>
        <x:v>-18.686764045266045</x:v>
      </x:c>
      <x:c r="AM77" s="110" t="n">
        <x:f>AJ77-(AD77+G77+T77+U77+AF77+AP77-Q77-W77-AH77-AO77)</x:f>
        <x:v>0</x:v>
      </x:c>
      <x:c r="AN77" s="110" t="n">
        <x:f>0</x:f>
        <x:v>0</x:v>
      </x:c>
      <x:c r="AO77" s="110" t="n">
        <x:f>0</x:f>
        <x:v>0</x:v>
      </x:c>
      <x:c r="AP77" s="110" t="n">
        <x:f>0</x:f>
        <x:v>0</x:v>
      </x:c>
    </x:row>
    <x:row r="78">
      <x:c r="A78" s="61" t="n">
        <x:v>1918</x:v>
      </x:c>
      <x:c r="B78" s="45" t="n">
        <x:v>6010</x:v>
      </x:c>
      <x:c r="C78" s="70" t="n">
        <x:f>Partners!H78</x:f>
        <x:v>2.1144727107466905</x:v>
      </x:c>
      <x:c r="D78" s="47" t="n">
        <x:f>Partners!I78</x:f>
        <x:v>12707.98099158761</x:v>
      </x:c>
      <x:c r="E78" s="59" t="n">
        <x:v>0.12</x:v>
      </x:c>
      <x:c r="F78" s="59" t="n">
        <x:v>0.08500000000000001</x:v>
      </x:c>
      <x:c r="G78" s="53" t="n">
        <x:f>D78*E78</x:f>
        <x:v>1524.9577189905133</x:v>
      </x:c>
      <x:c r="H78" s="53" t="n">
        <x:f>D78*F78</x:f>
        <x:v>1080.178384284947</x:v>
      </x:c>
      <x:c r="I78" s="52" t="n">
        <x:v>90</x:v>
      </x:c>
      <x:c r="J78" s="53" t="n">
        <x:f>IF($A78&gt;=1927,(1-pac_quota)*Navy!X78,I78)</x:f>
        <x:v>90</x:v>
      </x:c>
      <x:c r="K78" s="52" t="n">
        <x:v>84</x:v>
      </x:c>
      <x:c r="L78" s="53" t="n">
        <x:f>IF($A78&gt;=1923,siberia_front*(1-pac_quota),0)</x:f>
        <x:v>0</x:v>
      </x:c>
      <x:c r="M78" s="52" t="n">
        <x:v>0</x:v>
      </x:c>
      <x:c r="N78" s="53" t="n">
        <x:f>M78*C78</x:f>
        <x:v>0</x:v>
      </x:c>
      <x:c r="O78" s="53" t="n">
        <x:f>IF($A78&gt;=1927,10*(1-pac_quota),0)</x:f>
        <x:v>0</x:v>
      </x:c>
      <x:c r="P78" s="53" t="n">
        <x:f>jp_coupon*(Z77-0)+0</x:f>
        <x:v>15.374297665917585</x:v>
      </x:c>
      <x:c r="Q78" s="53" t="n">
        <x:f>H78+J78+K78+L78+N78+O78+P78</x:f>
        <x:v>1269.5526819508646</x:v>
      </x:c>
      <x:c r="R78" s="53" t="n">
        <x:f>Q78-G78</x:f>
        <x:v>-255.40503703964873</x:v>
      </x:c>
      <x:c r="S78" s="52" t="n">
        <x:v>0</x:v>
      </x:c>
      <x:c r="T78" s="53" t="n">
        <x:f>S78*IF($A78&gt;=1923,C78,1)</x:f>
        <x:v>0</x:v>
      </x:c>
      <x:c r="U78" s="52" t="n">
        <x:v>0</x:v>
      </x:c>
      <x:c r="V78" s="52" t="n">
        <x:v>0</x:v>
      </x:c>
      <x:c r="W78" s="53" t="n">
        <x:f>(X77-0)*jp_foreign_repay+0</x:f>
        <x:v>9.22457859955055</x:v>
      </x:c>
      <x:c r="X78" s="53" t="n">
        <x:f>X77+T78-W78</x:f>
        <x:v>298.2613747188011</x:v>
      </x:c>
      <x:c r="Y78" s="53" t="n">
        <x:f>AG78+AF78-AH78</x:f>
        <x:v>0</x:v>
      </x:c>
      <x:c r="Z78" s="53" t="n">
        <x:f>X78+Y78</x:f>
        <x:v>298.2613747188011</x:v>
      </x:c>
      <x:c r="AA78" s="63" t="n">
        <x:f>IF(D78&gt;0,Z78/D78,0)</x:f>
        <x:v>0.023470398241565143</x:v>
      </x:c>
      <x:c r="AB78" s="63" t="n">
        <x:f>IF(G78&gt;0,P78/G78,0)</x:f>
        <x:v>0.010081786186239323</x:v>
      </x:c>
      <x:c r="AC78" s="63" t="n">
        <x:f>IF(T78+AF78&gt;0,T78/(T78+AF78),0)</x:f>
        <x:v>0</x:v>
      </x:c>
      <x:c r="AD78" s="110" t="n">
        <x:f>AJ77</x:f>
        <x:v>288.79918927308563</x:v>
      </x:c>
      <x:c r="AE78" s="110" t="n">
        <x:f>AD78+G78+T78+U78+AP78-Q78-W78-AO78</x:f>
        <x:v>534.9796477131838</x:v>
      </x:c>
      <x:c r="AF78" s="110" t="n">
        <x:f>MAX(0,-AE78)</x:f>
        <x:v>0</x:v>
      </x:c>
      <x:c r="AG78" s="110" t="n">
        <x:f>Y77+V78</x:f>
        <x:v>0</x:v>
      </x:c>
      <x:c r="AH78" s="110" t="n">
        <x:f>MIN(MAX(0,AE78),AG78)</x:f>
        <x:v>0</x:v>
      </x:c>
      <x:c r="AI78" s="110" t="n">
        <x:f>AE78+AF78-AH78</x:f>
        <x:v>534.9796477131838</x:v>
      </x:c>
      <x:c r="AJ78" s="110" t="n">
        <x:f>AI78</x:f>
        <x:v>534.9796477131838</x:v>
      </x:c>
      <x:c r="AK78" s="110" t="n">
        <x:f>AK77</x:f>
        <x:v>0</x:v>
      </x:c>
      <x:c r="AL78" s="110" t="n">
        <x:f>AJ78+AK78+AN78-Z78</x:f>
        <x:v>236.7182729943827</x:v>
      </x:c>
      <x:c r="AM78" s="110" t="n">
        <x:f>AJ78-(AD78+G78+T78+U78+AF78+AP78-Q78-W78-AH78-AO78)</x:f>
        <x:v>0</x:v>
      </x:c>
      <x:c r="AN78" s="110" t="n">
        <x:f>0</x:f>
        <x:v>0</x:v>
      </x:c>
      <x:c r="AO78" s="110" t="n">
        <x:f>0</x:f>
        <x:v>0</x:v>
      </x:c>
      <x:c r="AP78" s="110" t="n">
        <x:f>0</x:f>
        <x:v>0</x:v>
      </x:c>
    </x:row>
    <x:row r="79">
      <x:c r="A79" s="61" t="n">
        <x:v>1919</x:v>
      </x:c>
      <x:c r="B79" s="45" t="n">
        <x:v>7730</x:v>
      </x:c>
      <x:c r="C79" s="70" t="n">
        <x:f>Partners!H79</x:f>
        <x:v>2.148277460266411</x:v>
      </x:c>
      <x:c r="D79" s="47" t="n">
        <x:f>Partners!I79</x:f>
        <x:v>16606.18476785936</x:v>
      </x:c>
      <x:c r="E79" s="59" t="n">
        <x:v>0.12</x:v>
      </x:c>
      <x:c r="F79" s="59" t="n">
        <x:v>0.08500000000000001</x:v>
      </x:c>
      <x:c r="G79" s="53" t="n">
        <x:f>D79*E79</x:f>
        <x:v>1992.7421721431228</x:v>
      </x:c>
      <x:c r="H79" s="53" t="n">
        <x:f>D79*F79</x:f>
        <x:v>1411.5257052680456</x:v>
      </x:c>
      <x:c r="I79" s="52" t="n">
        <x:v>120</x:v>
      </x:c>
      <x:c r="J79" s="53" t="n">
        <x:f>IF($A79&gt;=1927,(1-pac_quota)*Navy!X79,I79)</x:f>
        <x:v>120</x:v>
      </x:c>
      <x:c r="K79" s="52" t="n">
        <x:v>123</x:v>
      </x:c>
      <x:c r="L79" s="53" t="n">
        <x:f>IF($A79&gt;=1923,siberia_front*(1-pac_quota),0)</x:f>
        <x:v>0</x:v>
      </x:c>
      <x:c r="M79" s="52" t="n">
        <x:v>0</x:v>
      </x:c>
      <x:c r="N79" s="53" t="n">
        <x:f>M79*C79</x:f>
        <x:v>0</x:v>
      </x:c>
      <x:c r="O79" s="53" t="n">
        <x:f>IF($A79&gt;=1927,10*(1-pac_quota),0)</x:f>
        <x:v>0</x:v>
      </x:c>
      <x:c r="P79" s="53" t="n">
        <x:f>jp_coupon*(Z78-0)+0</x:f>
        <x:v>14.913068735940056</x:v>
      </x:c>
      <x:c r="Q79" s="53" t="n">
        <x:f>H79+J79+K79+L79+N79+O79+P79</x:f>
        <x:v>1669.4387740039856</x:v>
      </x:c>
      <x:c r="R79" s="53" t="n">
        <x:f>Q79-G79</x:f>
        <x:v>-323.30339813913724</x:v>
      </x:c>
      <x:c r="S79" s="52" t="n">
        <x:v>0</x:v>
      </x:c>
      <x:c r="T79" s="53" t="n">
        <x:f>S79*IF($A79&gt;=1923,C79,1)</x:f>
        <x:v>0</x:v>
      </x:c>
      <x:c r="U79" s="52" t="n">
        <x:v>0</x:v>
      </x:c>
      <x:c r="V79" s="52" t="n">
        <x:v>0</x:v>
      </x:c>
      <x:c r="W79" s="53" t="n">
        <x:f>(X78-0)*jp_foreign_repay+0</x:f>
        <x:v>8.947841241564033</x:v>
      </x:c>
      <x:c r="X79" s="53" t="n">
        <x:f>X78+T79-W79</x:f>
        <x:v>289.31353347723706</x:v>
      </x:c>
      <x:c r="Y79" s="53" t="n">
        <x:f>AG79+AF79-AH79</x:f>
        <x:v>0</x:v>
      </x:c>
      <x:c r="Z79" s="53" t="n">
        <x:f>X79+Y79</x:f>
        <x:v>289.31353347723706</x:v>
      </x:c>
      <x:c r="AA79" s="63" t="n">
        <x:f>IF(D79&gt;0,Z79/D79,0)</x:f>
        <x:v>0.017422035074377375</x:v>
      </x:c>
      <x:c r="AB79" s="63" t="n">
        <x:f>IF(G79&gt;0,P79/G79,0)</x:f>
        <x:v>0.0074836920422583246</x:v>
      </x:c>
      <x:c r="AC79" s="63" t="n">
        <x:f>IF(T79+AF79&gt;0,T79/(T79+AF79),0)</x:f>
        <x:v>0</x:v>
      </x:c>
      <x:c r="AD79" s="110" t="n">
        <x:f>AJ78</x:f>
        <x:v>534.9796477131838</x:v>
      </x:c>
      <x:c r="AE79" s="110" t="n">
        <x:f>AD79+G79+T79+U79+AP79-Q79-W79-AO79</x:f>
        <x:v>849.3352046107573</x:v>
      </x:c>
      <x:c r="AF79" s="110" t="n">
        <x:f>MAX(0,-AE79)</x:f>
        <x:v>0</x:v>
      </x:c>
      <x:c r="AG79" s="110" t="n">
        <x:f>Y78+V79</x:f>
        <x:v>0</x:v>
      </x:c>
      <x:c r="AH79" s="110" t="n">
        <x:f>MIN(MAX(0,AE79),AG79)</x:f>
        <x:v>0</x:v>
      </x:c>
      <x:c r="AI79" s="110" t="n">
        <x:f>AE79+AF79-AH79</x:f>
        <x:v>849.3352046107573</x:v>
      </x:c>
      <x:c r="AJ79" s="110" t="n">
        <x:f>AI79</x:f>
        <x:v>849.3352046107573</x:v>
      </x:c>
      <x:c r="AK79" s="110" t="n">
        <x:f>AK78</x:f>
        <x:v>0</x:v>
      </x:c>
      <x:c r="AL79" s="110" t="n">
        <x:f>AJ79+AK79+AN79-Z79</x:f>
        <x:v>560.0216711335202</x:v>
      </x:c>
      <x:c r="AM79" s="110" t="n">
        <x:f>AJ79-(AD79+G79+T79+U79+AF79+AP79-Q79-W79-AH79-AO79)</x:f>
        <x:v>0</x:v>
      </x:c>
      <x:c r="AN79" s="110" t="n">
        <x:f>0</x:f>
        <x:v>0</x:v>
      </x:c>
      <x:c r="AO79" s="110" t="n">
        <x:f>0</x:f>
        <x:v>0</x:v>
      </x:c>
      <x:c r="AP79" s="110" t="n">
        <x:f>0</x:f>
        <x:v>0</x:v>
      </x:c>
    </x:row>
    <x:row r="80">
      <x:c r="A80" s="61" t="n">
        <x:v>1920</x:v>
      </x:c>
      <x:c r="B80" s="45" t="n">
        <x:v>7930</x:v>
      </x:c>
      <x:c r="C80" s="70" t="n">
        <x:f>Partners!H80</x:f>
        <x:v>2.1805461619194704</x:v>
      </x:c>
      <x:c r="D80" s="47" t="n">
        <x:f>Partners!I80</x:f>
        <x:v>17291.731064021402</x:v>
      </x:c>
      <x:c r="E80" s="59" t="n">
        <x:v>0.12</x:v>
      </x:c>
      <x:c r="F80" s="59" t="n">
        <x:v>0.08500000000000001</x:v>
      </x:c>
      <x:c r="G80" s="53" t="n">
        <x:f>D80*E80</x:f>
        <x:v>2075.007727682568</x:v>
      </x:c>
      <x:c r="H80" s="53" t="n">
        <x:f>D80*F80</x:f>
        <x:v>1469.7971404418192</x:v>
      </x:c>
      <x:c r="I80" s="52" t="n">
        <x:v>150</x:v>
      </x:c>
      <x:c r="J80" s="53" t="n">
        <x:f>IF($A80&gt;=1927,(1-pac_quota)*Navy!X80,I80)</x:f>
        <x:v>150</x:v>
      </x:c>
      <x:c r="K80" s="52" t="n">
        <x:v>136</x:v>
      </x:c>
      <x:c r="L80" s="53" t="n">
        <x:f>IF($A80&gt;=1923,siberia_front*(1-pac_quota),0)</x:f>
        <x:v>0</x:v>
      </x:c>
      <x:c r="M80" s="52" t="n">
        <x:v>0</x:v>
      </x:c>
      <x:c r="N80" s="53" t="n">
        <x:f>M80*C80</x:f>
        <x:v>0</x:v>
      </x:c>
      <x:c r="O80" s="53" t="n">
        <x:f>IF($A80&gt;=1927,10*(1-pac_quota),0)</x:f>
        <x:v>0</x:v>
      </x:c>
      <x:c r="P80" s="53" t="n">
        <x:f>jp_coupon*(Z79-0)+0</x:f>
        <x:v>14.465676673861854</x:v>
      </x:c>
      <x:c r="Q80" s="53" t="n">
        <x:f>H80+J80+K80+L80+N80+O80+P80</x:f>
        <x:v>1770.2628171156812</x:v>
      </x:c>
      <x:c r="R80" s="53" t="n">
        <x:f>Q80-G80</x:f>
        <x:v>-304.74491056688703</x:v>
      </x:c>
      <x:c r="S80" s="52" t="n">
        <x:v>0</x:v>
      </x:c>
      <x:c r="T80" s="53" t="n">
        <x:f>S80*IF($A80&gt;=1923,C80,1)</x:f>
        <x:v>0</x:v>
      </x:c>
      <x:c r="U80" s="52" t="n">
        <x:v>0</x:v>
      </x:c>
      <x:c r="V80" s="52" t="n">
        <x:v>0</x:v>
      </x:c>
      <x:c r="W80" s="53" t="n">
        <x:f>(X79-0)*jp_foreign_repay+0</x:f>
        <x:v>8.679406004317112</x:v>
      </x:c>
      <x:c r="X80" s="53" t="n">
        <x:f>X79+T80-W80</x:f>
        <x:v>280.63412747291994</x:v>
      </x:c>
      <x:c r="Y80" s="53" t="n">
        <x:f>AG80+AF80-AH80</x:f>
        <x:v>0</x:v>
      </x:c>
      <x:c r="Z80" s="53" t="n">
        <x:f>X80+Y80</x:f>
        <x:v>280.63412747291994</x:v>
      </x:c>
      <x:c r="AA80" s="63" t="n">
        <x:f>IF(D80&gt;0,Z80/D80,0)</x:f>
        <x:v>0.016229383075291426</x:v>
      </x:c>
      <x:c r="AB80" s="63" t="n">
        <x:f>IF(G80&gt;0,P80/G80,0)</x:f>
        <x:v>0.006971384482513499</x:v>
      </x:c>
      <x:c r="AC80" s="63" t="n">
        <x:f>IF(T80+AF80&gt;0,T80/(T80+AF80),0)</x:f>
        <x:v>0</x:v>
      </x:c>
      <x:c r="AD80" s="110" t="n">
        <x:f>AJ79</x:f>
        <x:v>849.3352046107573</x:v>
      </x:c>
      <x:c r="AE80" s="110" t="n">
        <x:f>AD80+G80+T80+U80+AP80-Q80-W80-AO80</x:f>
        <x:v>1145.400709173327</x:v>
      </x:c>
      <x:c r="AF80" s="110" t="n">
        <x:f>MAX(0,-AE80)</x:f>
        <x:v>0</x:v>
      </x:c>
      <x:c r="AG80" s="110" t="n">
        <x:f>Y79+V80</x:f>
        <x:v>0</x:v>
      </x:c>
      <x:c r="AH80" s="110" t="n">
        <x:f>MIN(MAX(0,AE80),AG80)</x:f>
        <x:v>0</x:v>
      </x:c>
      <x:c r="AI80" s="110" t="n">
        <x:f>AE80+AF80-AH80</x:f>
        <x:v>1145.400709173327</x:v>
      </x:c>
      <x:c r="AJ80" s="110" t="n">
        <x:f>AI80</x:f>
        <x:v>1145.400709173327</x:v>
      </x:c>
      <x:c r="AK80" s="110" t="n">
        <x:f>AK79</x:f>
        <x:v>0</x:v>
      </x:c>
      <x:c r="AL80" s="110" t="n">
        <x:f>AJ80+AK80+AN80-Z80</x:f>
        <x:v>864.766581700407</x:v>
      </x:c>
      <x:c r="AM80" s="110" t="n">
        <x:f>AJ80-(AD80+G80+T80+U80+AF80+AP80-Q80-W80-AH80-AO80)</x:f>
        <x:v>0</x:v>
      </x:c>
      <x:c r="AN80" s="110" t="n">
        <x:f>0</x:f>
        <x:v>0</x:v>
      </x:c>
      <x:c r="AO80" s="110" t="n">
        <x:f>0</x:f>
        <x:v>0</x:v>
      </x:c>
      <x:c r="AP80" s="110" t="n">
        <x:f>0</x:f>
        <x:v>0</x:v>
      </x:c>
    </x:row>
    <x:row r="81">
      <x:c r="A81" s="61" t="n">
        <x:v>1921</x:v>
      </x:c>
      <x:c r="B81" s="45" t="n">
        <x:v>7430</x:v>
      </x:c>
      <x:c r="C81" s="70" t="n">
        <x:f>Partners!H81</x:f>
        <x:v>2.215899027844653</x:v>
      </x:c>
      <x:c r="D81" s="47" t="n">
        <x:f>Partners!I81</x:f>
        <x:v>16464.129776885773</x:v>
      </x:c>
      <x:c r="E81" s="59" t="n">
        <x:v>0.1211</x:v>
      </x:c>
      <x:c r="F81" s="59" t="n">
        <x:v>0.0867</x:v>
      </x:c>
      <x:c r="G81" s="53" t="n">
        <x:f>D81*E81</x:f>
        <x:v>1993.8061159808672</x:v>
      </x:c>
      <x:c r="H81" s="53" t="n">
        <x:f>D81*F81</x:f>
        <x:v>1427.4400516559965</x:v>
      </x:c>
      <x:c r="I81" s="52" t="n">
        <x:v>160</x:v>
      </x:c>
      <x:c r="J81" s="53" t="n">
        <x:f>IF($A81&gt;=1927,(1-pac_quota)*Navy!X81,I81)</x:f>
        <x:v>160</x:v>
      </x:c>
      <x:c r="K81" s="52" t="n">
        <x:v>127</x:v>
      </x:c>
      <x:c r="L81" s="53" t="n">
        <x:f>IF($A81&gt;=1923,siberia_front*(1-pac_quota),0)</x:f>
        <x:v>0</x:v>
      </x:c>
      <x:c r="M81" s="52" t="n">
        <x:v>0</x:v>
      </x:c>
      <x:c r="N81" s="53" t="n">
        <x:f>M81*C81</x:f>
        <x:v>0</x:v>
      </x:c>
      <x:c r="O81" s="53" t="n">
        <x:f>IF($A81&gt;=1927,10*(1-pac_quota),0)</x:f>
        <x:v>0</x:v>
      </x:c>
      <x:c r="P81" s="53" t="n">
        <x:f>jp_coupon*(Z80-0)+0</x:f>
        <x:v>14.031706373645997</x:v>
      </x:c>
      <x:c r="Q81" s="53" t="n">
        <x:f>H81+J81+K81+L81+N81+O81+P81</x:f>
        <x:v>1728.4717580296426</x:v>
      </x:c>
      <x:c r="R81" s="53" t="n">
        <x:f>Q81-G81</x:f>
        <x:v>-265.33435795122455</x:v>
      </x:c>
      <x:c r="S81" s="52" t="n">
        <x:v>0</x:v>
      </x:c>
      <x:c r="T81" s="53" t="n">
        <x:f>S81*IF($A81&gt;=1923,C81,1)</x:f>
        <x:v>0</x:v>
      </x:c>
      <x:c r="U81" s="52" t="n">
        <x:v>0</x:v>
      </x:c>
      <x:c r="V81" s="52" t="n">
        <x:v>0</x:v>
      </x:c>
      <x:c r="W81" s="53" t="n">
        <x:f>(X80-0)*jp_foreign_repay+0</x:f>
        <x:v>8.419023824187597</x:v>
      </x:c>
      <x:c r="X81" s="53" t="n">
        <x:f>X80+T81-W81</x:f>
        <x:v>272.21510364873234</x:v>
      </x:c>
      <x:c r="Y81" s="53" t="n">
        <x:f>AG81+AF81-AH81</x:f>
        <x:v>0</x:v>
      </x:c>
      <x:c r="Z81" s="53" t="n">
        <x:f>X81+Y81</x:f>
        <x:v>272.21510364873234</x:v>
      </x:c>
      <x:c r="AA81" s="63" t="n">
        <x:f>IF(D81&gt;0,Z81/D81,0)</x:f>
        <x:v>0.016533828835028925</x:v>
      </x:c>
      <x:c r="AB81" s="63" t="n">
        <x:f>IF(G81&gt;0,P81/G81,0)</x:f>
        <x:v>0.007037648375726343</x:v>
      </x:c>
      <x:c r="AC81" s="63" t="n">
        <x:f>IF(T81+AF81&gt;0,T81/(T81+AF81),0)</x:f>
        <x:v>0</x:v>
      </x:c>
      <x:c r="AD81" s="110" t="n">
        <x:f>AJ80</x:f>
        <x:v>1145.400709173327</x:v>
      </x:c>
      <x:c r="AE81" s="110" t="n">
        <x:f>AD81+G81+T81+U81+AP81-Q81-W81-AO81</x:f>
        <x:v>1402.3160433003638</x:v>
      </x:c>
      <x:c r="AF81" s="110" t="n">
        <x:f>MAX(0,-AE81)</x:f>
        <x:v>0</x:v>
      </x:c>
      <x:c r="AG81" s="110" t="n">
        <x:f>Y80+V81</x:f>
        <x:v>0</x:v>
      </x:c>
      <x:c r="AH81" s="110" t="n">
        <x:f>MIN(MAX(0,AE81),AG81)</x:f>
        <x:v>0</x:v>
      </x:c>
      <x:c r="AI81" s="110" t="n">
        <x:f>AE81+AF81-AH81</x:f>
        <x:v>1402.3160433003638</x:v>
      </x:c>
      <x:c r="AJ81" s="110" t="n">
        <x:f>AI81</x:f>
        <x:v>1402.3160433003638</x:v>
      </x:c>
      <x:c r="AK81" s="110" t="n">
        <x:f>AK80</x:f>
        <x:v>0</x:v>
      </x:c>
      <x:c r="AL81" s="110" t="n">
        <x:f>AJ81+AK81+AN81-Z81</x:f>
        <x:v>1130.1009396516315</x:v>
      </x:c>
      <x:c r="AM81" s="110" t="n">
        <x:f>AJ81-(AD81+G81+T81+U81+AF81+AP81-Q81-W81-AH81-AO81)</x:f>
        <x:v>0</x:v>
      </x:c>
      <x:c r="AN81" s="110" t="n">
        <x:f>0</x:f>
        <x:v>0</x:v>
      </x:c>
      <x:c r="AO81" s="110" t="n">
        <x:f>0</x:f>
        <x:v>0</x:v>
      </x:c>
      <x:c r="AP81" s="110" t="n">
        <x:f>0</x:f>
        <x:v>0</x:v>
      </x:c>
    </x:row>
    <x:row r="82">
      <x:c r="A82" s="61" t="n">
        <x:v>1922</x:v>
      </x:c>
      <x:c r="B82" s="45" t="n">
        <x:v>7700</x:v>
      </x:c>
      <x:c r="C82" s="70" t="n">
        <x:f>Partners!H82</x:f>
        <x:v>2.2492610798373045</x:v>
      </x:c>
      <x:c r="D82" s="47" t="n">
        <x:f>Partners!I82</x:f>
        <x:v>17319.310314747243</x:v>
      </x:c>
      <x:c r="E82" s="59" t="n">
        <x:v>0.1222</x:v>
      </x:c>
      <x:c r="F82" s="59" t="n">
        <x:v>0.0883</x:v>
      </x:c>
      <x:c r="G82" s="53" t="n">
        <x:f>D82*E82</x:f>
        <x:v>2116.419720462113</x:v>
      </x:c>
      <x:c r="H82" s="53" t="n">
        <x:f>D82*F82</x:f>
        <x:v>1529.2951007921815</x:v>
      </x:c>
      <x:c r="I82" s="52" t="n">
        <x:v>130</x:v>
      </x:c>
      <x:c r="J82" s="53" t="n">
        <x:f>IF($A82&gt;=1927,(1-pac_quota)*Navy!X82,I82)</x:f>
        <x:v>130</x:v>
      </x:c>
      <x:c r="K82" s="52" t="n">
        <x:v>87</x:v>
      </x:c>
      <x:c r="L82" s="53" t="n">
        <x:f>IF($A82&gt;=1923,siberia_front*(1-pac_quota),0)</x:f>
        <x:v>0</x:v>
      </x:c>
      <x:c r="M82" s="52" t="n">
        <x:v>0</x:v>
      </x:c>
      <x:c r="N82" s="53" t="n">
        <x:f>M82*C82</x:f>
        <x:v>0</x:v>
      </x:c>
      <x:c r="O82" s="53" t="n">
        <x:f>IF($A82&gt;=1927,10*(1-pac_quota),0)</x:f>
        <x:v>0</x:v>
      </x:c>
      <x:c r="P82" s="53" t="n">
        <x:f>jp_coupon*(Z81-0)+0</x:f>
        <x:v>13.610755182436618</x:v>
      </x:c>
      <x:c r="Q82" s="53" t="n">
        <x:f>H82+J82+K82+L82+N82+O82+P82</x:f>
        <x:v>1759.9058559746181</x:v>
      </x:c>
      <x:c r="R82" s="53" t="n">
        <x:f>Q82-G82</x:f>
        <x:v>-356.5138644874951</x:v>
      </x:c>
      <x:c r="S82" s="52" t="n">
        <x:v>0</x:v>
      </x:c>
      <x:c r="T82" s="53" t="n">
        <x:f>S82*IF($A82&gt;=1923,C82,1)</x:f>
        <x:v>0</x:v>
      </x:c>
      <x:c r="U82" s="52" t="n">
        <x:v>0</x:v>
      </x:c>
      <x:c r="V82" s="52" t="n">
        <x:v>0</x:v>
      </x:c>
      <x:c r="W82" s="53" t="n">
        <x:f>(X81-0)*jp_foreign_repay+0</x:f>
        <x:v>8.166453109461969</x:v>
      </x:c>
      <x:c r="X82" s="53" t="n">
        <x:f>X81+T82-W82</x:f>
        <x:v>264.0486505392704</x:v>
      </x:c>
      <x:c r="Y82" s="53" t="n">
        <x:f>AG82+AF82-AH82</x:f>
        <x:v>0</x:v>
      </x:c>
      <x:c r="Z82" s="53" t="n">
        <x:f>X82+Y82</x:f>
        <x:v>264.0486505392704</x:v>
      </x:c>
      <x:c r="AA82" s="63" t="n">
        <x:f>IF(D82&gt;0,Z82/D82,0)</x:f>
        <x:v>0.015245910243575649</x:v>
      </x:c>
      <x:c r="AB82" s="63" t="n">
        <x:f>IF(G82&gt;0,P82/G82,0)</x:f>
        <x:v>0.006431028330932748</x:v>
      </x:c>
      <x:c r="AC82" s="63" t="n">
        <x:f>IF(T82+AF82&gt;0,T82/(T82+AF82),0)</x:f>
        <x:v>0</x:v>
      </x:c>
      <x:c r="AD82" s="110" t="n">
        <x:f>AJ81</x:f>
        <x:v>1402.3160433003638</x:v>
      </x:c>
      <x:c r="AE82" s="110" t="n">
        <x:f>AD82+G82+T82+U82+AP82-Q82-W82-AO82</x:f>
        <x:v>1750.663454678397</x:v>
      </x:c>
      <x:c r="AF82" s="110" t="n">
        <x:f>MAX(0,-AE82)</x:f>
        <x:v>0</x:v>
      </x:c>
      <x:c r="AG82" s="110" t="n">
        <x:f>Y81+V82</x:f>
        <x:v>0</x:v>
      </x:c>
      <x:c r="AH82" s="110" t="n">
        <x:f>MIN(MAX(0,AE82),AG82)</x:f>
        <x:v>0</x:v>
      </x:c>
      <x:c r="AI82" s="110" t="n">
        <x:f>AE82+AF82-AH82</x:f>
        <x:v>1750.663454678397</x:v>
      </x:c>
      <x:c r="AJ82" s="110" t="n">
        <x:f>AI82</x:f>
        <x:v>1750.663454678397</x:v>
      </x:c>
      <x:c r="AK82" s="110" t="n">
        <x:f>AK81</x:f>
        <x:v>0</x:v>
      </x:c>
      <x:c r="AL82" s="110" t="n">
        <x:f>AJ82+AK82+AN82-Z82</x:f>
        <x:v>1486.6148041391266</x:v>
      </x:c>
      <x:c r="AM82" s="110" t="n">
        <x:f>AJ82-(AD82+G82+T82+U82+AF82+AP82-Q82-W82-AH82-AO82)</x:f>
        <x:v>0</x:v>
      </x:c>
      <x:c r="AN82" s="110" t="n">
        <x:f>0</x:f>
        <x:v>0</x:v>
      </x:c>
      <x:c r="AO82" s="110" t="n">
        <x:f>0</x:f>
        <x:v>0</x:v>
      </x:c>
      <x:c r="AP82" s="110" t="n">
        <x:f>0</x:f>
        <x:v>0</x:v>
      </x:c>
    </x:row>
    <x:row r="83">
      <x:c r="A83" s="58" t="n">
        <x:v>1923</x:v>
      </x:c>
      <x:c r="B83" s="45" t="n">
        <x:v>7430</x:v>
      </x:c>
      <x:c r="C83" s="70" t="n">
        <x:f>Partners!H83</x:f>
        <x:v>2.2830994199715824</x:v>
      </x:c>
      <x:c r="D83" s="47" t="n">
        <x:f>Partners!I83</x:f>
        <x:v>16963.428690388857</x:v>
      </x:c>
      <x:c r="E83" s="59" t="n">
        <x:v>0.1233</x:v>
      </x:c>
      <x:c r="F83" s="59" t="n">
        <x:v>0.09</x:v>
      </x:c>
      <x:c r="G83" s="53" t="n">
        <x:f>D83*E83</x:f>
        <x:v>2091.590757524946</x:v>
      </x:c>
      <x:c r="H83" s="53" t="n">
        <x:f>D83*F83</x:f>
        <x:v>1526.708582134997</x:v>
      </x:c>
      <x:c r="I83" s="52" t="n">
        <x:v>120</x:v>
      </x:c>
      <x:c r="J83" s="53" t="n">
        <x:f>IF($A83&gt;=1927,(1-pac_quota)*Navy!X83,I83)</x:f>
        <x:v>120</x:v>
      </x:c>
      <x:c r="K83" s="52" t="n">
        <x:v>0</x:v>
      </x:c>
      <x:c r="L83" s="53" t="n">
        <x:f>IF($A83&gt;=1923,siberia_front*(1-pac_quota),0)</x:f>
        <x:v>28</x:v>
      </x:c>
      <x:c r="M83" s="52" t="n">
        <x:v>150</x:v>
      </x:c>
      <x:c r="N83" s="53" t="n">
        <x:f>M83*C83</x:f>
        <x:v>342.46491299573734</x:v>
      </x:c>
      <x:c r="O83" s="53" t="n">
        <x:f>IF($A83&gt;=1927,10*(1-pac_quota),0)</x:f>
        <x:v>0</x:v>
      </x:c>
      <x:c r="P83" s="53" t="n">
        <x:f>jp_coupon*(Z82-0)+0</x:f>
        <x:v>13.20243252696352</x:v>
      </x:c>
      <x:c r="Q83" s="53" t="n">
        <x:f>H83+J83+K83+L83+N83+O83+P83</x:f>
        <x:v>2030.375927657698</x:v>
      </x:c>
      <x:c r="R83" s="53" t="n">
        <x:f>Q83-G83</x:f>
        <x:v>-61.21482986724823</x:v>
      </x:c>
      <x:c r="S83" s="52" t="n">
        <x:v>150</x:v>
      </x:c>
      <x:c r="T83" s="53" t="n">
        <x:f>S83*IF($A83&gt;=1923,C83,1)</x:f>
        <x:v>342.46491299573734</x:v>
      </x:c>
      <x:c r="U83" s="52" t="n">
        <x:v>0</x:v>
      </x:c>
      <x:c r="V83" s="52" t="n">
        <x:v>0</x:v>
      </x:c>
      <x:c r="W83" s="53" t="n">
        <x:f>(X82-0)*jp_foreign_repay+0</x:f>
        <x:v>7.921459516178111</x:v>
      </x:c>
      <x:c r="X83" s="53" t="n">
        <x:f>X82+T83-W83</x:f>
        <x:v>598.5921040188297</x:v>
      </x:c>
      <x:c r="Y83" s="53" t="n">
        <x:f>AG83+AF83-AH83</x:f>
        <x:v>0</x:v>
      </x:c>
      <x:c r="Z83" s="53" t="n">
        <x:f>X83+Y83</x:f>
        <x:v>598.5921040188297</x:v>
      </x:c>
      <x:c r="AA83" s="63" t="n">
        <x:f>IF(D83&gt;0,Z83/D83,0)</x:f>
        <x:v>0.03528721197489869</x:v>
      </x:c>
      <x:c r="AB83" s="63" t="n">
        <x:f>IF(G83&gt;0,P83/G83,0)</x:f>
        <x:v>0.00631214900881778</x:v>
      </x:c>
      <x:c r="AC83" s="63" t="n">
        <x:f>IF(T83+AF83&gt;0,T83/(T83+AF83),0)</x:f>
        <x:v>1</x:v>
      </x:c>
      <x:c r="AD83" s="110" t="n">
        <x:f>AJ82</x:f>
        <x:v>1750.663454678397</x:v>
      </x:c>
      <x:c r="AE83" s="110" t="n">
        <x:f>AD83+G83+T83+U83+AP83-Q83-W83-AO83</x:f>
        <x:v>2146.421738025205</x:v>
      </x:c>
      <x:c r="AF83" s="110" t="n">
        <x:f>MAX(0,-AE83)</x:f>
        <x:v>0</x:v>
      </x:c>
      <x:c r="AG83" s="110" t="n">
        <x:f>Y82+V83</x:f>
        <x:v>0</x:v>
      </x:c>
      <x:c r="AH83" s="110" t="n">
        <x:f>MIN(MAX(0,AE83),AG83)</x:f>
        <x:v>0</x:v>
      </x:c>
      <x:c r="AI83" s="110" t="n">
        <x:f>AE83+AF83-AH83</x:f>
        <x:v>2146.421738025205</x:v>
      </x:c>
      <x:c r="AJ83" s="110" t="n">
        <x:f>AI83</x:f>
        <x:v>2146.421738025205</x:v>
      </x:c>
      <x:c r="AK83" s="110" t="n">
        <x:f>AK82</x:f>
        <x:v>0</x:v>
      </x:c>
      <x:c r="AL83" s="110" t="n">
        <x:f>AJ83+AK83+AN83-Z83</x:f>
        <x:v>1547.8296340063753</x:v>
      </x:c>
      <x:c r="AM83" s="110" t="n">
        <x:f>AJ83-(AD83+G83+T83+U83+AF83+AP83-Q83-W83-AH83-AO83)</x:f>
        <x:v>0</x:v>
      </x:c>
      <x:c r="AN83" s="110" t="n">
        <x:f>0</x:f>
        <x:v>0</x:v>
      </x:c>
      <x:c r="AO83" s="110" t="n">
        <x:f>0</x:f>
        <x:v>0</x:v>
      </x:c>
      <x:c r="AP83" s="110" t="n">
        <x:f>0</x:f>
        <x:v>0</x:v>
      </x:c>
    </x:row>
    <x:row r="84">
      <x:c r="A84" s="58" t="n">
        <x:v>1924</x:v>
      </x:c>
      <x:c r="B84" s="45" t="n">
        <x:v>7900</x:v>
      </x:c>
      <x:c r="C84" s="70" t="n">
        <x:f>Partners!H84</x:f>
        <x:v>2.3207127613954532</x:v>
      </x:c>
      <x:c r="D84" s="47" t="n">
        <x:f>Partners!I84</x:f>
        <x:v>18333.63081502408</x:v>
      </x:c>
      <x:c r="E84" s="59" t="n">
        <x:v>0.1244</x:v>
      </x:c>
      <x:c r="F84" s="59" t="n">
        <x:v>0.0917</x:v>
      </x:c>
      <x:c r="G84" s="53" t="n">
        <x:f>D84*E84</x:f>
        <x:v>2280.7036733889954</x:v>
      </x:c>
      <x:c r="H84" s="53" t="n">
        <x:f>D84*F84</x:f>
        <x:v>1681.1939457377082</x:v>
      </x:c>
      <x:c r="I84" s="52" t="n">
        <x:v>110</x:v>
      </x:c>
      <x:c r="J84" s="53" t="n">
        <x:f>IF($A84&gt;=1927,(1-pac_quota)*Navy!X84,I84)</x:f>
        <x:v>110</x:v>
      </x:c>
      <x:c r="K84" s="52" t="n">
        <x:v>0</x:v>
      </x:c>
      <x:c r="L84" s="53" t="n">
        <x:f>IF($A84&gt;=1923,siberia_front*(1-pac_quota),0)</x:f>
        <x:v>28</x:v>
      </x:c>
      <x:c r="M84" s="52" t="n">
        <x:v>200</x:v>
      </x:c>
      <x:c r="N84" s="53" t="n">
        <x:f>M84*C84</x:f>
        <x:v>464.14255227909064</x:v>
      </x:c>
      <x:c r="O84" s="53" t="n">
        <x:f>IF($A84&gt;=1927,10*(1-pac_quota),0)</x:f>
        <x:v>0</x:v>
      </x:c>
      <x:c r="P84" s="53" t="n">
        <x:f>jp_coupon*(Z83-0)+0</x:f>
        <x:v>29.929605200941484</x:v>
      </x:c>
      <x:c r="Q84" s="53" t="n">
        <x:f>H84+J84+K84+L84+N84+O84+P84</x:f>
        <x:v>2313.2661032177402</x:v>
      </x:c>
      <x:c r="R84" s="53" t="n">
        <x:f>Q84-G84</x:f>
        <x:v>32.562429828744825</x:v>
      </x:c>
      <x:c r="S84" s="52" t="n">
        <x:v>0</x:v>
      </x:c>
      <x:c r="T84" s="53" t="n">
        <x:f>S84*IF($A84&gt;=1923,C84,1)</x:f>
        <x:v>0</x:v>
      </x:c>
      <x:c r="U84" s="52" t="n">
        <x:v>0</x:v>
      </x:c>
      <x:c r="V84" s="52" t="n">
        <x:v>0</x:v>
      </x:c>
      <x:c r="W84" s="53" t="n">
        <x:f>(X83-0)*jp_foreign_repay+0</x:f>
        <x:v>17.957763120564888</x:v>
      </x:c>
      <x:c r="X84" s="53" t="n">
        <x:f>X83+T84-W84</x:f>
        <x:v>580.6343408982648</x:v>
      </x:c>
      <x:c r="Y84" s="53" t="n">
        <x:f>AG84+AF84-AH84</x:f>
        <x:v>0</x:v>
      </x:c>
      <x:c r="Z84" s="53" t="n">
        <x:f>X84+Y84</x:f>
        <x:v>580.6343408982648</x:v>
      </x:c>
      <x:c r="AA84" s="63" t="n">
        <x:f>IF(D84&gt;0,Z84/D84,0)</x:f>
        <x:v>0.03167045015559304</x:v>
      </x:c>
      <x:c r="AB84" s="63" t="n">
        <x:f>IF(G84&gt;0,P84/G84,0)</x:f>
        <x:v>0.013122969700166177</x:v>
      </x:c>
      <x:c r="AC84" s="63" t="n">
        <x:f>IF(T84+AF84&gt;0,T84/(T84+AF84),0)</x:f>
        <x:v>0</x:v>
      </x:c>
      <x:c r="AD84" s="110" t="n">
        <x:f>AJ83</x:f>
        <x:v>2146.421738025205</x:v>
      </x:c>
      <x:c r="AE84" s="110" t="n">
        <x:f>AD84+G84+T84+U84+AP84-Q84-W84-AO84</x:f>
        <x:v>2095.9015450758952</x:v>
      </x:c>
      <x:c r="AF84" s="110" t="n">
        <x:f>MAX(0,-AE84)</x:f>
        <x:v>0</x:v>
      </x:c>
      <x:c r="AG84" s="110" t="n">
        <x:f>Y83+V84</x:f>
        <x:v>0</x:v>
      </x:c>
      <x:c r="AH84" s="110" t="n">
        <x:f>MIN(MAX(0,AE84),AG84)</x:f>
        <x:v>0</x:v>
      </x:c>
      <x:c r="AI84" s="110" t="n">
        <x:f>AE84+AF84-AH84</x:f>
        <x:v>2095.9015450758952</x:v>
      </x:c>
      <x:c r="AJ84" s="110" t="n">
        <x:f>AI84</x:f>
        <x:v>2095.9015450758952</x:v>
      </x:c>
      <x:c r="AK84" s="110" t="n">
        <x:f>AK83</x:f>
        <x:v>0</x:v>
      </x:c>
      <x:c r="AL84" s="110" t="n">
        <x:f>AJ84+AK84+AN84-Z84</x:f>
        <x:v>1515.2672041776304</x:v>
      </x:c>
      <x:c r="AM84" s="110" t="n">
        <x:f>AJ84-(AD84+G84+T84+U84+AF84+AP84-Q84-W84-AH84-AO84)</x:f>
        <x:v>0</x:v>
      </x:c>
      <x:c r="AN84" s="110" t="n">
        <x:f>0</x:f>
        <x:v>0</x:v>
      </x:c>
      <x:c r="AO84" s="110" t="n">
        <x:f>0</x:f>
        <x:v>0</x:v>
      </x:c>
      <x:c r="AP84" s="110" t="n">
        <x:f>0</x:f>
        <x:v>0</x:v>
      </x:c>
    </x:row>
    <x:row r="85">
      <x:c r="A85" s="58" t="n">
        <x:v>1925</x:v>
      </x:c>
      <x:c r="B85" s="45" t="n">
        <x:v>8130</x:v>
      </x:c>
      <x:c r="C85" s="70" t="n">
        <x:f>Partners!H85</x:f>
        <x:v>2.358952331415889</x:v>
      </x:c>
      <x:c r="D85" s="47" t="n">
        <x:f>Partners!I85</x:f>
        <x:v>19178.282454411175</x:v>
      </x:c>
      <x:c r="E85" s="59" t="n">
        <x:v>0.1256</x:v>
      </x:c>
      <x:c r="F85" s="59" t="n">
        <x:v>0.09329999999999999</x:v>
      </x:c>
      <x:c r="G85" s="53" t="n">
        <x:f>D85*E85</x:f>
        <x:v>2408.7922762740436</x:v>
      </x:c>
      <x:c r="H85" s="53" t="n">
        <x:f>D85*F85</x:f>
        <x:v>1789.3337529965625</x:v>
      </x:c>
      <x:c r="I85" s="52" t="n">
        <x:v>112.5</x:v>
      </x:c>
      <x:c r="J85" s="53" t="n">
        <x:f>IF($A85&gt;=1927,(1-pac_quota)*Navy!X85,I85)</x:f>
        <x:v>112.5</x:v>
      </x:c>
      <x:c r="K85" s="52" t="n">
        <x:v>0</x:v>
      </x:c>
      <x:c r="L85" s="53" t="n">
        <x:f>IF($A85&gt;=1923,siberia_front*(1-pac_quota),0)</x:f>
        <x:v>28</x:v>
      </x:c>
      <x:c r="M85" s="52" t="n">
        <x:v>150</x:v>
      </x:c>
      <x:c r="N85" s="53" t="n">
        <x:f>M85*C85</x:f>
        <x:v>353.8428497123833</x:v>
      </x:c>
      <x:c r="O85" s="53" t="n">
        <x:f>IF($A85&gt;=1927,10*(1-pac_quota),0)</x:f>
        <x:v>0</x:v>
      </x:c>
      <x:c r="P85" s="53" t="n">
        <x:f>jp_coupon*(Z84-0)+0</x:f>
        <x:v>29.03171704491324</x:v>
      </x:c>
      <x:c r="Q85" s="53" t="n">
        <x:f>H85+J85+K85+L85+N85+O85+P85</x:f>
        <x:v>2312.708319753859</x:v>
      </x:c>
      <x:c r="R85" s="53" t="n">
        <x:f>Q85-G85</x:f>
        <x:v>-96.08395652018453</x:v>
      </x:c>
      <x:c r="S85" s="52" t="n">
        <x:v>0</x:v>
      </x:c>
      <x:c r="T85" s="53" t="n">
        <x:f>S85*IF($A85&gt;=1923,C85,1)</x:f>
        <x:v>0</x:v>
      </x:c>
      <x:c r="U85" s="52" t="n">
        <x:v>0</x:v>
      </x:c>
      <x:c r="V85" s="52" t="n">
        <x:v>0</x:v>
      </x:c>
      <x:c r="W85" s="53" t="n">
        <x:f>(X84-0)*jp_foreign_repay+0</x:f>
        <x:v>17.419030226947942</x:v>
      </x:c>
      <x:c r="X85" s="53" t="n">
        <x:f>X84+T85-W85</x:f>
        <x:v>563.2153106713168</x:v>
      </x:c>
      <x:c r="Y85" s="53" t="n">
        <x:f>AG85+AF85-AH85</x:f>
        <x:v>0</x:v>
      </x:c>
      <x:c r="Z85" s="53" t="n">
        <x:f>X85+Y85</x:f>
        <x:v>563.2153106713168</x:v>
      </x:c>
      <x:c r="AA85" s="63" t="n">
        <x:f>IF(D85&gt;0,Z85/D85,0)</x:f>
        <x:v>0.02936734882334431</x:v>
      </x:c>
      <x:c r="AB85" s="63" t="n">
        <x:f>IF(G85&gt;0,P85/G85,0)</x:f>
        <x:v>0.012052395439352678</x:v>
      </x:c>
      <x:c r="AC85" s="63" t="n">
        <x:f>IF(T85+AF85&gt;0,T85/(T85+AF85),0)</x:f>
        <x:v>0</x:v>
      </x:c>
      <x:c r="AD85" s="110" t="n">
        <x:f>AJ84</x:f>
        <x:v>2095.9015450758952</x:v>
      </x:c>
      <x:c r="AE85" s="110" t="n">
        <x:f>AD85+G85+T85+U85+AP85-Q85-W85-AO85</x:f>
        <x:v>2174.5664713691317</x:v>
      </x:c>
      <x:c r="AF85" s="110" t="n">
        <x:f>MAX(0,-AE85)</x:f>
        <x:v>0</x:v>
      </x:c>
      <x:c r="AG85" s="110" t="n">
        <x:f>Y84+V85</x:f>
        <x:v>0</x:v>
      </x:c>
      <x:c r="AH85" s="110" t="n">
        <x:f>MIN(MAX(0,AE85),AG85)</x:f>
        <x:v>0</x:v>
      </x:c>
      <x:c r="AI85" s="110" t="n">
        <x:f>AE85+AF85-AH85</x:f>
        <x:v>2174.5664713691317</x:v>
      </x:c>
      <x:c r="AJ85" s="110" t="n">
        <x:f>AI85</x:f>
        <x:v>2174.5664713691317</x:v>
      </x:c>
      <x:c r="AK85" s="110" t="n">
        <x:f>AK84</x:f>
        <x:v>0</x:v>
      </x:c>
      <x:c r="AL85" s="110" t="n">
        <x:f>AJ85+AK85+AN85-Z85</x:f>
        <x:v>1611.351160697815</x:v>
      </x:c>
      <x:c r="AM85" s="110" t="n">
        <x:f>AJ85-(AD85+G85+T85+U85+AF85+AP85-Q85-W85-AH85-AO85)</x:f>
        <x:v>0</x:v>
      </x:c>
      <x:c r="AN85" s="110" t="n">
        <x:f>0</x:f>
        <x:v>0</x:v>
      </x:c>
      <x:c r="AO85" s="110" t="n">
        <x:f>0</x:f>
        <x:v>0</x:v>
      </x:c>
      <x:c r="AP85" s="110" t="n">
        <x:f>0</x:f>
        <x:v>0</x:v>
      </x:c>
    </x:row>
    <x:row r="86">
      <x:c r="A86" s="58" t="n">
        <x:v>1926</x:v>
      </x:c>
      <x:c r="B86" s="45" t="n">
        <x:v>7980</x:v>
      </x:c>
      <x:c r="C86" s="70" t="n">
        <x:f>Partners!H86</x:f>
        <x:v>2.3988289905241524</x:v>
      </x:c>
      <x:c r="D86" s="47" t="n">
        <x:f>Partners!I86</x:f>
        <x:v>19142.655344382736</x:v>
      </x:c>
      <x:c r="E86" s="59" t="n">
        <x:v>0.1267</x:v>
      </x:c>
      <x:c r="F86" s="59" t="n">
        <x:v>0.095</x:v>
      </x:c>
      <x:c r="G86" s="53" t="n">
        <x:f>D86*E86</x:f>
        <x:v>2425.374432133293</x:v>
      </x:c>
      <x:c r="H86" s="53" t="n">
        <x:f>D86*F86</x:f>
        <x:v>1818.55225771636</x:v>
      </x:c>
      <x:c r="I86" s="52" t="n">
        <x:v>115</x:v>
      </x:c>
      <x:c r="J86" s="53" t="n">
        <x:f>IF($A86&gt;=1927,(1-pac_quota)*Navy!X86,I86)</x:f>
        <x:v>115</x:v>
      </x:c>
      <x:c r="K86" s="52" t="n">
        <x:v>0</x:v>
      </x:c>
      <x:c r="L86" s="53" t="n">
        <x:f>IF($A86&gt;=1923,siberia_front*(1-pac_quota),0)</x:f>
        <x:v>28</x:v>
      </x:c>
      <x:c r="M86" s="52" t="n">
        <x:v>100</x:v>
      </x:c>
      <x:c r="N86" s="53" t="n">
        <x:f>M86*C86</x:f>
        <x:v>239.88289905241524</x:v>
      </x:c>
      <x:c r="O86" s="53" t="n">
        <x:f>IF($A86&gt;=1927,10*(1-pac_quota),0)</x:f>
        <x:v>0</x:v>
      </x:c>
      <x:c r="P86" s="53" t="n">
        <x:f>jp_coupon*(Z85-0)+0</x:f>
        <x:v>28.160765533565844</x:v>
      </x:c>
      <x:c r="Q86" s="53" t="n">
        <x:f>H86+J86+K86+L86+N86+O86+P86</x:f>
        <x:v>2229.595922302341</x:v>
      </x:c>
      <x:c r="R86" s="53" t="n">
        <x:f>Q86-G86</x:f>
        <x:v>-195.77850983095186</x:v>
      </x:c>
      <x:c r="S86" s="52" t="n">
        <x:v>0</x:v>
      </x:c>
      <x:c r="T86" s="53" t="n">
        <x:f>S86*IF($A86&gt;=1923,C86,1)</x:f>
        <x:v>0</x:v>
      </x:c>
      <x:c r="U86" s="52" t="n">
        <x:v>0</x:v>
      </x:c>
      <x:c r="V86" s="52" t="n">
        <x:v>0</x:v>
      </x:c>
      <x:c r="W86" s="53" t="n">
        <x:f>(X85-0)*jp_foreign_repay+0</x:f>
        <x:v>16.896459320139506</x:v>
      </x:c>
      <x:c r="X86" s="53" t="n">
        <x:f>X85+T86-W86</x:f>
        <x:v>546.3188513511774</x:v>
      </x:c>
      <x:c r="Y86" s="53" t="n">
        <x:f>AG86+AF86-AH86</x:f>
        <x:v>0</x:v>
      </x:c>
      <x:c r="Z86" s="53" t="n">
        <x:f>X86+Y86</x:f>
        <x:v>546.3188513511774</x:v>
      </x:c>
      <x:c r="AA86" s="63" t="n">
        <x:f>IF(D86&gt;0,Z86/D86,0)</x:f>
        <x:v>0.028539345327109514</x:v>
      </x:c>
      <x:c r="AB86" s="63" t="n">
        <x:f>IF(G86&gt;0,P86/G86,0)</x:f>
        <x:v>0.011610894037831679</x:v>
      </x:c>
      <x:c r="AC86" s="63" t="n">
        <x:f>IF(T86+AF86&gt;0,T86/(T86+AF86),0)</x:f>
        <x:v>0</x:v>
      </x:c>
      <x:c r="AD86" s="110" t="n">
        <x:f>AJ85</x:f>
        <x:v>2174.5664713691317</x:v>
      </x:c>
      <x:c r="AE86" s="110" t="n">
        <x:f>AD86+G86+T86+U86+AP86-Q86-W86-AO86</x:f>
        <x:v>2353.448521879944</x:v>
      </x:c>
      <x:c r="AF86" s="110" t="n">
        <x:f>MAX(0,-AE86)</x:f>
        <x:v>0</x:v>
      </x:c>
      <x:c r="AG86" s="110" t="n">
        <x:f>Y85+V86</x:f>
        <x:v>0</x:v>
      </x:c>
      <x:c r="AH86" s="110" t="n">
        <x:f>MIN(MAX(0,AE86),AG86)</x:f>
        <x:v>0</x:v>
      </x:c>
      <x:c r="AI86" s="110" t="n">
        <x:f>AE86+AF86-AH86</x:f>
        <x:v>2353.448521879944</x:v>
      </x:c>
      <x:c r="AJ86" s="110" t="n">
        <x:f>AI86</x:f>
        <x:v>2353.448521879944</x:v>
      </x:c>
      <x:c r="AK86" s="110" t="n">
        <x:f>AK85</x:f>
        <x:v>0</x:v>
      </x:c>
      <x:c r="AL86" s="110" t="n">
        <x:f>AJ86+AK86+AN86-Z86</x:f>
        <x:v>1807.1296705287668</x:v>
      </x:c>
      <x:c r="AM86" s="110" t="n">
        <x:f>AJ86-(AD86+G86+T86+U86+AF86+AP86-Q86-W86-AH86-AO86)</x:f>
        <x:v>0</x:v>
      </x:c>
      <x:c r="AN86" s="110" t="n">
        <x:f>0</x:f>
        <x:v>0</x:v>
      </x:c>
      <x:c r="AO86" s="110" t="n">
        <x:f>0</x:f>
        <x:v>0</x:v>
      </x:c>
      <x:c r="AP86" s="110" t="n">
        <x:f>0</x:f>
        <x:v>0</x:v>
      </x:c>
    </x:row>
    <x:row r="87">
      <x:c r="A87" s="58" t="n">
        <x:v>1927</x:v>
      </x:c>
      <x:c r="B87" s="45" t="n">
        <x:v>8130</x:v>
      </x:c>
      <x:c r="C87" s="70" t="n">
        <x:f>Partners!H87</x:f>
        <x:v>2.4407606053223874</x:v>
      </x:c>
      <x:c r="D87" s="47" t="n">
        <x:f>Partners!I87</x:f>
        <x:v>19843.38372127101</x:v>
      </x:c>
      <x:c r="E87" s="59" t="n">
        <x:v>0.1278</x:v>
      </x:c>
      <x:c r="F87" s="59" t="n">
        <x:v>0.09669999999999999</x:v>
      </x:c>
      <x:c r="G87" s="53" t="n">
        <x:f>D87*E87+'Japan rescue'!J89</x:f>
        <x:v>2551.9251321043357</x:v>
      </x:c>
      <x:c r="H87" s="53" t="n">
        <x:f>D87*F87</x:f>
        <x:v>1918.8552058469065</x:v>
      </x:c>
      <x:c r="I87" s="52" t="n">
        <x:v>120</x:v>
      </x:c>
      <x:c r="J87" s="53" t="n">
        <x:f>IF($A87&gt;=1927,(1-pac_quota)*Navy!X87,I87)</x:f>
        <x:v>103.8141111</x:v>
      </x:c>
      <x:c r="K87" s="52" t="n">
        <x:v>0</x:v>
      </x:c>
      <x:c r="L87" s="53" t="n">
        <x:f>IF($A87&gt;=1923,siberia_front*(1-pac_quota),0)</x:f>
        <x:v>28</x:v>
      </x:c>
      <x:c r="M87" s="52" t="n">
        <x:v>450</x:v>
      </x:c>
      <x:c r="N87" s="53" t="n">
        <x:f>'Japan rescue'!D59</x:f>
        <x:v>400</x:v>
      </x:c>
      <x:c r="O87" s="53" t="n">
        <x:f>IF($A87&gt;=1927,10*(1-pac_quota),0)</x:f>
        <x:v>3.5</x:v>
      </x:c>
      <x:c r="P87" s="53" t="n">
        <x:f>jp_coupon*(Z86-'Japan rescue'!B89)+'Japan rescue'!J89</x:f>
        <x:v>43.25663509345954</x:v>
      </x:c>
      <x:c r="Q87" s="53" t="n">
        <x:f>H87+J87+K87+L87+N87+O87+P87</x:f>
        <x:v>2497.4259520403657</x:v>
      </x:c>
      <x:c r="R87" s="53" t="n">
        <x:f>Q87-G87</x:f>
        <x:v>-54.499180063970016</x:v>
      </x:c>
      <x:c r="S87" s="52" t="n">
        <x:v>0</x:v>
      </x:c>
      <x:c r="T87" s="53" t="n">
        <x:f>'Japan rescue'!C89</x:f>
        <x:v>496.85275405404695</x:v>
      </x:c>
      <x:c r="U87" s="52" t="n">
        <x:v>0</x:v>
      </x:c>
      <x:c r="V87" s="52" t="n">
        <x:v>0</x:v>
      </x:c>
      <x:c r="W87" s="53" t="n">
        <x:f>(X86-'Japan rescue'!B89)*jp_foreign_repay+'Japan rescue'!F89</x:f>
        <x:v>16.389565540535322</x:v>
      </x:c>
      <x:c r="X87" s="53" t="n">
        <x:f>X86+T87-W87</x:f>
        <x:v>1026.782039864689</x:v>
      </x:c>
      <x:c r="Y87" s="53" t="n">
        <x:f>AG87+AF87-AH87</x:f>
        <x:v>0</x:v>
      </x:c>
      <x:c r="Z87" s="53" t="n">
        <x:f>X87+Y87</x:f>
        <x:v>1026.782039864689</x:v>
      </x:c>
      <x:c r="AA87" s="63" t="n">
        <x:f>IF(D87&gt;0,Z87/D87,0)</x:f>
        <x:v>0.051744301994424244</x:v>
      </x:c>
      <x:c r="AB87" s="63" t="n">
        <x:f>IF(G87&gt;0,P87/G87,0)</x:f>
        <x:v>0.016950589399850384</x:v>
      </x:c>
      <x:c r="AC87" s="63" t="n">
        <x:f>IF(T87+AF87&gt;0,T87/(T87+AF87),0)</x:f>
        <x:v>1</x:v>
      </x:c>
      <x:c r="AD87" s="110" t="n">
        <x:f>AJ86</x:f>
        <x:v>2353.448521879944</x:v>
      </x:c>
      <x:c r="AE87" s="110" t="n">
        <x:f>AD87+G87+T87+U87+AP87-Q87-W87-AO87</x:f>
        <x:v>2391.5581364033787</x:v>
      </x:c>
      <x:c r="AF87" s="110" t="n">
        <x:f>MAX(0,-AE87)</x:f>
        <x:v>0</x:v>
      </x:c>
      <x:c r="AG87" s="110" t="n">
        <x:f>Y86+V87</x:f>
        <x:v>0</x:v>
      </x:c>
      <x:c r="AH87" s="110" t="n">
        <x:f>MIN(MAX(0,AE87),AG87)</x:f>
        <x:v>0</x:v>
      </x:c>
      <x:c r="AI87" s="110" t="n">
        <x:f>AE87+AF87-AH87</x:f>
        <x:v>2391.5581364033787</x:v>
      </x:c>
      <x:c r="AJ87" s="110" t="n">
        <x:f>AI87</x:f>
        <x:v>2391.5581364033787</x:v>
      </x:c>
      <x:c r="AK87" s="110" t="n">
        <x:f>N87</x:f>
        <x:v>400</x:v>
      </x:c>
      <x:c r="AL87" s="110" t="n">
        <x:f>AJ87+AK87+AN87-Z87</x:f>
        <x:v>2261.628850592737</x:v>
      </x:c>
      <x:c r="AM87" s="110" t="n">
        <x:f>AJ87-(AD87+G87+T87+U87+AF87+AP87-Q87-W87-AH87-AO87)</x:f>
        <x:v>0</x:v>
      </x:c>
      <x:c r="AN87" s="110" t="n">
        <x:f>'Japan rescue'!H89</x:f>
        <x:v>496.85275405404695</x:v>
      </x:c>
      <x:c r="AO87" s="110" t="n">
        <x:f>'Japan rescue'!C89</x:f>
        <x:v>496.85275405404695</x:v>
      </x:c>
      <x:c r="AP87" s="110" t="n">
        <x:f>'Japan rescue'!F89</x:f>
        <x:v>0</x:v>
      </x:c>
    </x:row>
    <x:row r="88">
      <x:c r="A88" s="58" t="n">
        <x:v>1928</x:v>
      </x:c>
      <x:c r="B88" s="45" t="n">
        <x:v>8180</x:v>
      </x:c>
      <x:c r="C88" s="70" t="n">
        <x:f>Partners!H88</x:f>
        <x:v>2.4829674241909867</x:v>
      </x:c>
      <x:c r="D88" s="47" t="n">
        <x:f>Partners!I88</x:f>
        <x:v>20310.67352988227</x:v>
      </x:c>
      <x:c r="E88" s="59" t="n">
        <x:v>0.1289</x:v>
      </x:c>
      <x:c r="F88" s="59" t="n">
        <x:v>0.0983</x:v>
      </x:c>
      <x:c r="G88" s="53" t="n">
        <x:f>D88*E88+'Japan rescue'!J90</x:f>
        <x:v>2645.372719474797</x:v>
      </x:c>
      <x:c r="H88" s="53" t="n">
        <x:f>D88*F88</x:f>
        <x:v>1996.5392079874273</x:v>
      </x:c>
      <x:c r="I88" s="52" t="n">
        <x:v>120</x:v>
      </x:c>
      <x:c r="J88" s="53" t="n">
        <x:f>IF($A88&gt;=1927,(1-pac_quota)*Navy!X88,I88)</x:f>
        <x:v>105.267908375</x:v>
      </x:c>
      <x:c r="K88" s="52" t="n">
        <x:v>0</x:v>
      </x:c>
      <x:c r="L88" s="53" t="n">
        <x:f>IF($A88&gt;=1923,siberia_front*(1-pac_quota),0)</x:f>
        <x:v>28</x:v>
      </x:c>
      <x:c r="M88" s="52" t="n">
        <x:v>0</x:v>
      </x:c>
      <x:c r="N88" s="53" t="n">
        <x:f>M88*C88</x:f>
        <x:v>0</x:v>
      </x:c>
      <x:c r="O88" s="53" t="n">
        <x:f>IF($A88&gt;=1927,10*(1-pac_quota),0)</x:f>
        <x:v>3.5</x:v>
      </x:c>
      <x:c r="P88" s="53" t="n">
        <x:f>jp_coupon*(Z87-'Japan rescue'!B90)+'Japan rescue'!J90</x:f>
        <x:v>53.82336576350469</x:v>
      </x:c>
      <x:c r="Q88" s="53" t="n">
        <x:f>H88+J88+K88+L88+N88+O88+P88</x:f>
        <x:v>2187.130482125932</x:v>
      </x:c>
      <x:c r="R88" s="53" t="n">
        <x:f>Q88-G88</x:f>
        <x:v>-458.2422373488653</x:v>
      </x:c>
      <x:c r="S88" s="52" t="n">
        <x:v>0</x:v>
      </x:c>
      <x:c r="T88" s="53" t="n">
        <x:f>S88*IF($A88&gt;=1923,C88,1)</x:f>
        <x:v>0</x:v>
      </x:c>
      <x:c r="U88" s="52" t="n">
        <x:v>0</x:v>
      </x:c>
      <x:c r="V88" s="52" t="n">
        <x:v>0</x:v>
      </x:c>
      <x:c r="W88" s="53" t="n">
        <x:f>(X87-'Japan rescue'!B90)*jp_foreign_repay+'Japan rescue'!F90</x:f>
        <x:v>15.897878574319263</x:v>
      </x:c>
      <x:c r="X88" s="53" t="n">
        <x:f>X87+T88-W88</x:f>
        <x:v>1010.8841612903698</x:v>
      </x:c>
      <x:c r="Y88" s="53" t="n">
        <x:f>AG88+AF88-AH88</x:f>
        <x:v>0</x:v>
      </x:c>
      <x:c r="Z88" s="53" t="n">
        <x:f>X88+Y88</x:f>
        <x:v>1010.8841612903698</x:v>
      </x:c>
      <x:c r="AA88" s="63" t="n">
        <x:f>IF(D88&gt;0,Z88/D88,0)</x:f>
        <x:v>0.04977108020583842</x:v>
      </x:c>
      <x:c r="AB88" s="63" t="n">
        <x:f>IF(G88&gt;0,P88/G88,0)</x:f>
        <x:v>0.020346231503510247</x:v>
      </x:c>
      <x:c r="AC88" s="63" t="n">
        <x:f>IF(T88+AF88&gt;0,T88/(T88+AF88),0)</x:f>
        <x:v>0</x:v>
      </x:c>
      <x:c r="AD88" s="110" t="n">
        <x:f>AJ87</x:f>
        <x:v>2391.5581364033787</x:v>
      </x:c>
      <x:c r="AE88" s="110" t="n">
        <x:f>AD88+G88+T88+U88+AP88-Q88-W88-AO88</x:f>
        <x:v>2833.9024951779247</x:v>
      </x:c>
      <x:c r="AF88" s="110" t="n">
        <x:f>MAX(0,-AE88)</x:f>
        <x:v>0</x:v>
      </x:c>
      <x:c r="AG88" s="110" t="n">
        <x:f>Y87+V88</x:f>
        <x:v>0</x:v>
      </x:c>
      <x:c r="AH88" s="110" t="n">
        <x:f>MIN(MAX(0,AE88),AG88)</x:f>
        <x:v>0</x:v>
      </x:c>
      <x:c r="AI88" s="110" t="n">
        <x:f>AE88+AF88-AH88</x:f>
        <x:v>2833.9024951779247</x:v>
      </x:c>
      <x:c r="AJ88" s="110" t="n">
        <x:f>AI88</x:f>
        <x:v>2833.9024951779247</x:v>
      </x:c>
      <x:c r="AK88" s="110" t="n">
        <x:f>AK87</x:f>
        <x:v>400</x:v>
      </x:c>
      <x:c r="AL88" s="110" t="n">
        <x:f>AJ88+AK88+AN88-Z88</x:f>
        <x:v>2719.871087941602</x:v>
      </x:c>
      <x:c r="AM88" s="110" t="n">
        <x:f>AJ88-(AD88+G88+T88+U88+AF88+AP88-Q88-W88-AH88-AO88)</x:f>
        <x:v>0</x:v>
      </x:c>
      <x:c r="AN88" s="110" t="n">
        <x:f>'Japan rescue'!H90</x:f>
        <x:v>496.85275405404695</x:v>
      </x:c>
      <x:c r="AO88" s="110" t="n">
        <x:f>'Japan rescue'!C90</x:f>
        <x:v>0</x:v>
      </x:c>
      <x:c r="AP88" s="110" t="n">
        <x:f>'Japan rescue'!F90</x:f>
        <x:v>0</x:v>
      </x:c>
    </x:row>
    <x:row r="89">
      <x:c r="A89" s="58" t="n">
        <x:v>1929</x:v>
      </x:c>
      <x:c r="B89" s="45" t="n">
        <x:v>8130</x:v>
      </x:c>
      <x:c r="C89" s="70" t="n">
        <x:f>Partners!H89</x:f>
        <x:v>2.5265914428412652</x:v>
      </x:c>
      <x:c r="D89" s="47" t="n">
        <x:f>Partners!I89</x:f>
        <x:v>20541.188430299488</x:v>
      </x:c>
      <x:c r="E89" s="59" t="n">
        <x:v>0.13</x:v>
      </x:c>
      <x:c r="F89" s="59" t="n">
        <x:v>0.1</x:v>
      </x:c>
      <x:c r="G89" s="53" t="n">
        <x:f>D89*E89+'Japan rescue'!J91</x:f>
        <x:v>2697.681397411906</x:v>
      </x:c>
      <x:c r="H89" s="53" t="n">
        <x:f>D89*F89</x:f>
        <x:v>2054.118843029949</x:v>
      </x:c>
      <x:c r="I89" s="52" t="n">
        <x:v>120</x:v>
      </x:c>
      <x:c r="J89" s="53" t="n">
        <x:f>IF($A89&gt;=1927,(1-pac_quota)*Navy!X89,I89)</x:f>
        <x:v>98.72828962499999</x:v>
      </x:c>
      <x:c r="K89" s="52" t="n">
        <x:v>0</x:v>
      </x:c>
      <x:c r="L89" s="53" t="n">
        <x:f>IF($A89&gt;=1923,siberia_front*(1-pac_quota),0)</x:f>
        <x:v>28</x:v>
      </x:c>
      <x:c r="M89" s="52" t="n">
        <x:v>0</x:v>
      </x:c>
      <x:c r="N89" s="53" t="n">
        <x:f>M89*C89</x:f>
        <x:v>0</x:v>
      </x:c>
      <x:c r="O89" s="53" t="n">
        <x:f>IF($A89&gt;=1927,10*(1-pac_quota),0)</x:f>
        <x:v>3.5</x:v>
      </x:c>
      <x:c r="P89" s="53" t="n">
        <x:f>jp_coupon*(Z88-'Japan rescue'!B91)+'Japan rescue'!J91</x:f>
        <x:v>53.028471834788725</x:v>
      </x:c>
      <x:c r="Q89" s="53" t="n">
        <x:f>H89+J89+K89+L89+N89+O89+P89</x:f>
        <x:v>2237.3756044897377</x:v>
      </x:c>
      <x:c r="R89" s="53" t="n">
        <x:f>Q89-G89</x:f>
        <x:v>-460.30579292216817</x:v>
      </x:c>
      <x:c r="S89" s="52" t="n">
        <x:v>0</x:v>
      </x:c>
      <x:c r="T89" s="53" t="n">
        <x:f>S89*IF($A89&gt;=1923,C89,1)</x:f>
        <x:v>0</x:v>
      </x:c>
      <x:c r="U89" s="52" t="n">
        <x:v>0</x:v>
      </x:c>
      <x:c r="V89" s="52" t="n">
        <x:v>0</x:v>
      </x:c>
      <x:c r="W89" s="53" t="n">
        <x:f>(X88-'Japan rescue'!B91)*jp_foreign_repay+'Japan rescue'!F91</x:f>
        <x:v>114.79149302789908</x:v>
      </x:c>
      <x:c r="X89" s="53" t="n">
        <x:f>X88+T89-W89</x:f>
        <x:v>896.0926682624707</x:v>
      </x:c>
      <x:c r="Y89" s="53" t="n">
        <x:f>AG89+AF89-AH89</x:f>
        <x:v>0</x:v>
      </x:c>
      <x:c r="Z89" s="53" t="n">
        <x:f>X89+Y89</x:f>
        <x:v>896.0926682624707</x:v>
      </x:c>
      <x:c r="AA89" s="63" t="n">
        <x:f>IF(D89&gt;0,Z89/D89,0)</x:f>
        <x:v>0.04362418811857449</x:v>
      </x:c>
      <x:c r="AB89" s="63" t="n">
        <x:f>IF(G89&gt;0,P89/G89,0)</x:f>
        <x:v>0.019657055086513563</x:v>
      </x:c>
      <x:c r="AC89" s="63" t="n">
        <x:f>IF(T89+AF89&gt;0,T89/(T89+AF89),0)</x:f>
        <x:v>0</x:v>
      </x:c>
      <x:c r="AD89" s="110" t="n">
        <x:f>AJ88</x:f>
        <x:v>2833.9024951779247</x:v>
      </x:c>
      <x:c r="AE89" s="110" t="n">
        <x:f>AD89+G89+T89+U89+AP89-Q89-W89-AO89</x:f>
        <x:v>3278.7873458830036</x:v>
      </x:c>
      <x:c r="AF89" s="110" t="n">
        <x:f>MAX(0,-AE89)</x:f>
        <x:v>0</x:v>
      </x:c>
      <x:c r="AG89" s="110" t="n">
        <x:f>Y88+V89</x:f>
        <x:v>0</x:v>
      </x:c>
      <x:c r="AH89" s="110" t="n">
        <x:f>MIN(MAX(0,AE89),AG89)</x:f>
        <x:v>0</x:v>
      </x:c>
      <x:c r="AI89" s="110" t="n">
        <x:f>AE89+AF89-AH89</x:f>
        <x:v>3278.7873458830036</x:v>
      </x:c>
      <x:c r="AJ89" s="110" t="n">
        <x:f>AI89</x:f>
        <x:v>3278.7873458830036</x:v>
      </x:c>
      <x:c r="AK89" s="110" t="n">
        <x:f>AK88</x:f>
        <x:v>400</x:v>
      </x:c>
      <x:c r="AL89" s="110" t="n">
        <x:f>AJ89+AK89+AN89-Z89</x:f>
        <x:v>3180.1768808637703</x:v>
      </x:c>
      <x:c r="AM89" s="110" t="n">
        <x:f>AJ89-(AD89+G89+T89+U89+AF89+AP89-Q89-W89-AH89-AO89)</x:f>
        <x:v>0</x:v>
      </x:c>
      <x:c r="AN89" s="110" t="n">
        <x:f>'Japan rescue'!H91</x:f>
        <x:v>397.48220324323756</x:v>
      </x:c>
      <x:c r="AO89" s="110" t="n">
        <x:f>'Japan rescue'!C91</x:f>
        <x:v>0</x:v>
      </x:c>
      <x:c r="AP89" s="110" t="n">
        <x:f>'Japan rescue'!F91</x:f>
        <x:v>99.37055081080939</x:v>
      </x:c>
    </x:row>
    <x:row r="90">
      <x:c r="A90" s="58" t="n">
        <x:v>1930</x:v>
      </x:c>
      <x:c r="B90" s="45" t="n">
        <x:v>7330</x:v>
      </x:c>
      <x:c r="C90" s="70" t="n">
        <x:f>Partners!H90</x:f>
        <x:v>2.57170220370847</x:v>
      </x:c>
      <x:c r="D90" s="47" t="n">
        <x:f>Partners!I90</x:f>
        <x:v>18850.577153183083</x:v>
      </x:c>
      <x:c r="E90" s="59" t="n">
        <x:v>0.1267</x:v>
      </x:c>
      <x:c r="F90" s="59" t="n">
        <x:v>0.1017</x:v>
      </x:c>
      <x:c r="G90" s="53" t="n">
        <x:f>D90*E90+'Japan rescue'!J92</x:f>
        <x:v>2410.229646486675</x:v>
      </x:c>
      <x:c r="H90" s="53" t="n">
        <x:f>D90*F90</x:f>
        <x:v>1917.1036964787195</x:v>
      </x:c>
      <x:c r="I90" s="52" t="n">
        <x:v>120</x:v>
      </x:c>
      <x:c r="J90" s="53" t="n">
        <x:f>IF($A90&gt;=1927,(1-pac_quota)*Navy!X90,I90)</x:f>
        <x:v>101.27252282</x:v>
      </x:c>
      <x:c r="K90" s="52" t="n">
        <x:v>0</x:v>
      </x:c>
      <x:c r="L90" s="53" t="n">
        <x:f>IF($A90&gt;=1923,siberia_front*(1-pac_quota),0)</x:f>
        <x:v>28</x:v>
      </x:c>
      <x:c r="M90" s="52" t="n">
        <x:v>0</x:v>
      </x:c>
      <x:c r="N90" s="53" t="n">
        <x:f>M90*C90</x:f>
        <x:v>0</x:v>
      </x:c>
      <x:c r="O90" s="53" t="n">
        <x:f>IF($A90&gt;=1927,10*(1-pac_quota),0)</x:f>
        <x:v>3.5</x:v>
      </x:c>
      <x:c r="P90" s="53" t="n">
        <x:f>jp_coupon*(Z89-'Japan rescue'!B92)+'Japan rescue'!J92</x:f>
        <x:v>46.792044429339725</x:v>
      </x:c>
      <x:c r="Q90" s="53" t="n">
        <x:f>H90+J90+K90+L90+N90+O90+P90</x:f>
        <x:v>2096.668263728059</x:v>
      </x:c>
      <x:c r="R90" s="53" t="n">
        <x:f>Q90-G90</x:f>
        <x:v>-313.56138275861576</x:v>
      </x:c>
      <x:c r="S90" s="52" t="n">
        <x:v>0</x:v>
      </x:c>
      <x:c r="T90" s="53" t="n">
        <x:f>S90*IF($A90&gt;=1923,C90,1)</x:f>
        <x:v>0</x:v>
      </x:c>
      <x:c r="U90" s="52" t="n">
        <x:v>0</x:v>
      </x:c>
      <x:c r="V90" s="52" t="n">
        <x:v>0</x:v>
      </x:c>
      <x:c r="W90" s="53" t="n">
        <x:f>(X89-'Japan rescue'!B92)*jp_foreign_repay+'Japan rescue'!F92</x:f>
        <x:v>114.32886476138638</x:v>
      </x:c>
      <x:c r="X90" s="53" t="n">
        <x:f>X89+T90-W90</x:f>
        <x:v>781.7638035010843</x:v>
      </x:c>
      <x:c r="Y90" s="53" t="n">
        <x:f>AG90+AF90-AH90</x:f>
        <x:v>0</x:v>
      </x:c>
      <x:c r="Z90" s="53" t="n">
        <x:f>X90+Y90</x:f>
        <x:v>781.7638035010843</x:v>
      </x:c>
      <x:c r="AA90" s="63" t="n">
        <x:f>IF(D90&gt;0,Z90/D90,0)</x:f>
        <x:v>0.041471611036008875</x:v>
      </x:c>
      <x:c r="AB90" s="63" t="n">
        <x:f>IF(G90&gt;0,P90/G90,0)</x:f>
        <x:v>0.019413936135731794</x:v>
      </x:c>
      <x:c r="AC90" s="63" t="n">
        <x:f>IF(T90+AF90&gt;0,T90/(T90+AF90),0)</x:f>
        <x:v>0</x:v>
      </x:c>
      <x:c r="AD90" s="110" t="n">
        <x:f>AJ89</x:f>
        <x:v>3278.7873458830036</x:v>
      </x:c>
      <x:c r="AE90" s="110" t="n">
        <x:f>AD90+G90+T90+U90+AP90-Q90-W90-AO90</x:f>
        <x:v>3577.3904146910427</x:v>
      </x:c>
      <x:c r="AF90" s="110" t="n">
        <x:f>MAX(0,-AE90)</x:f>
        <x:v>0</x:v>
      </x:c>
      <x:c r="AG90" s="110" t="n">
        <x:f>Y89+V90</x:f>
        <x:v>0</x:v>
      </x:c>
      <x:c r="AH90" s="110" t="n">
        <x:f>MIN(MAX(0,AE90),AG90)</x:f>
        <x:v>0</x:v>
      </x:c>
      <x:c r="AI90" s="110" t="n">
        <x:f>AE90+AF90-AH90</x:f>
        <x:v>3577.3904146910427</x:v>
      </x:c>
      <x:c r="AJ90" s="110" t="n">
        <x:f>AI90</x:f>
        <x:v>3577.3904146910427</x:v>
      </x:c>
      <x:c r="AK90" s="110" t="n">
        <x:f>AK89</x:f>
        <x:v>400</x:v>
      </x:c>
      <x:c r="AL90" s="110" t="n">
        <x:f>AJ90+AK90+AN90-Z90</x:f>
        <x:v>3493.7382636223865</x:v>
      </x:c>
      <x:c r="AM90" s="110" t="n">
        <x:f>AJ90-(AD90+G90+T90+U90+AF90+AP90-Q90-W90-AH90-AO90)</x:f>
        <x:v>0</x:v>
      </x:c>
      <x:c r="AN90" s="110" t="n">
        <x:f>'Japan rescue'!H92</x:f>
        <x:v>298.1116524324282</x:v>
      </x:c>
      <x:c r="AO90" s="110" t="n">
        <x:f>'Japan rescue'!C92</x:f>
        <x:v>0</x:v>
      </x:c>
      <x:c r="AP90" s="110" t="n">
        <x:f>'Japan rescue'!F92</x:f>
        <x:v>99.37055081080939</x:v>
      </x:c>
    </x:row>
    <x:row r="91">
      <x:c r="A91" s="58" t="n">
        <x:v>1931</x:v>
      </x:c>
      <x:c r="B91" s="45" t="n">
        <x:v>6630</x:v>
      </x:c>
      <x:c r="C91" s="70" t="n">
        <x:f>Partners!H91</x:f>
        <x:v>2.6179386823860202</x:v>
      </x:c>
      <x:c r="D91" s="47" t="n">
        <x:f>Partners!I91</x:f>
        <x:v>17356.933464219313</x:v>
      </x:c>
      <x:c r="E91" s="59" t="n">
        <x:v>0.1233</x:v>
      </x:c>
      <x:c r="F91" s="59" t="n">
        <x:v>0.1033</x:v>
      </x:c>
      <x:c r="G91" s="53" t="n">
        <x:f>D91*E91+'Japan rescue'!J93</x:f>
        <x:v>2156.506037022025</x:v>
      </x:c>
      <x:c r="H91" s="53" t="n">
        <x:f>D91*F91</x:f>
        <x:v>1792.9712268538551</x:v>
      </x:c>
      <x:c r="I91" s="52" t="n">
        <x:v>120</x:v>
      </x:c>
      <x:c r="J91" s="53" t="n">
        <x:f>IF($A91&gt;=1927,(1-pac_quota)*Navy!X91,I91)</x:f>
        <x:v>100.79568915499998</x:v>
      </x:c>
      <x:c r="K91" s="52" t="n">
        <x:v>0</x:v>
      </x:c>
      <x:c r="L91" s="53" t="n">
        <x:f>IF($A91&gt;=1923,siberia_front*(1-pac_quota),0)</x:f>
        <x:v>28</x:v>
      </x:c>
      <x:c r="M91" s="52" t="n">
        <x:v>0</x:v>
      </x:c>
      <x:c r="N91" s="53" t="n">
        <x:f>M91*C91</x:f>
        <x:v>0</x:v>
      </x:c>
      <x:c r="O91" s="53" t="n">
        <x:f>IF($A91&gt;=1927,10*(1-pac_quota),0)</x:f>
        <x:v>3.5</x:v>
      </x:c>
      <x:c r="P91" s="53" t="n">
        <x:f>jp_coupon*(Z90-'Japan rescue'!B93)+'Japan rescue'!J93</x:f>
        <x:v>40.57874843721636</x:v>
      </x:c>
      <x:c r="Q91" s="53" t="n">
        <x:f>H91+J91+K91+L91+N91+O91+P91</x:f>
        <x:v>1965.8456644460714</x:v>
      </x:c>
      <x:c r="R91" s="53" t="n">
        <x:f>Q91-G91</x:f>
        <x:v>-190.6603725759535</x:v>
      </x:c>
      <x:c r="S91" s="52" t="n">
        <x:v>0</x:v>
      </x:c>
      <x:c r="T91" s="53" t="n">
        <x:f>S91*IF($A91&gt;=1923,C91,1)</x:f>
        <x:v>0</x:v>
      </x:c>
      <x:c r="U91" s="52" t="n">
        <x:v>0</x:v>
      </x:c>
      <x:c r="V91" s="52" t="n">
        <x:v>0</x:v>
      </x:c>
      <x:c r="W91" s="53" t="n">
        <x:f>(X90-'Japan rescue'!B93)*jp_foreign_repay+'Japan rescue'!F93</x:f>
        <x:v>113.88011534286908</x:v>
      </x:c>
      <x:c r="X91" s="53" t="n">
        <x:f>X90+T91-W91</x:f>
        <x:v>667.8836881582153</x:v>
      </x:c>
      <x:c r="Y91" s="53" t="n">
        <x:f>AG91+AF91-AH91</x:f>
        <x:v>0</x:v>
      </x:c>
      <x:c r="Z91" s="53" t="n">
        <x:f>X91+Y91</x:f>
        <x:v>667.8836881582153</x:v>
      </x:c>
      <x:c r="AA91" s="63" t="n">
        <x:f>IF(D91&gt;0,Z91/D91,0)</x:f>
        <x:v>0.03847935982096337</x:v>
      </x:c>
      <x:c r="AB91" s="63" t="n">
        <x:f>IF(G91&gt;0,P91/G91,0)</x:f>
        <x:v>0.01881689535785052</x:v>
      </x:c>
      <x:c r="AC91" s="63" t="n">
        <x:f>IF(T91+AF91&gt;0,T91/(T91+AF91),0)</x:f>
        <x:v>0</x:v>
      </x:c>
      <x:c r="AD91" s="110" t="n">
        <x:f>AJ90</x:f>
        <x:v>3577.3904146910427</x:v>
      </x:c>
      <x:c r="AE91" s="110" t="n">
        <x:f>AD91+G91+T91+U91+AP91-Q91-W91-AO91</x:f>
        <x:v>3753.5412227349375</x:v>
      </x:c>
      <x:c r="AF91" s="110" t="n">
        <x:f>MAX(0,-AE91)</x:f>
        <x:v>0</x:v>
      </x:c>
      <x:c r="AG91" s="110" t="n">
        <x:f>Y90+V91</x:f>
        <x:v>0</x:v>
      </x:c>
      <x:c r="AH91" s="110" t="n">
        <x:f>MIN(MAX(0,AE91),AG91)</x:f>
        <x:v>0</x:v>
      </x:c>
      <x:c r="AI91" s="110" t="n">
        <x:f>AE91+AF91-AH91</x:f>
        <x:v>3753.5412227349375</x:v>
      </x:c>
      <x:c r="AJ91" s="110" t="n">
        <x:f>AI91</x:f>
        <x:v>3753.5412227349375</x:v>
      </x:c>
      <x:c r="AK91" s="110" t="n">
        <x:f>AK90</x:f>
        <x:v>400</x:v>
      </x:c>
      <x:c r="AL91" s="110" t="n">
        <x:f>AJ91+AK91+AN91-Z91</x:f>
        <x:v>3684.398636198341</x:v>
      </x:c>
      <x:c r="AM91" s="110" t="n">
        <x:f>AJ91-(AD91+G91+T91+U91+AF91+AP91-Q91-W91-AH91-AO91)</x:f>
        <x:v>0</x:v>
      </x:c>
      <x:c r="AN91" s="110" t="n">
        <x:f>'Japan rescue'!H93</x:f>
        <x:v>198.74110162161878</x:v>
      </x:c>
      <x:c r="AO91" s="110" t="n">
        <x:f>'Japan rescue'!C93</x:f>
        <x:v>0</x:v>
      </x:c>
      <x:c r="AP91" s="110" t="n">
        <x:f>'Japan rescue'!F93</x:f>
        <x:v>99.37055081080939</x:v>
      </x:c>
    </x:row>
    <x:row r="92">
      <x:c r="A92" s="58" t="n">
        <x:v>1932</x:v>
      </x:c>
      <x:c r="B92" s="45" t="n">
        <x:v>6480</x:v>
      </x:c>
      <x:c r="C92" s="70" t="n">
        <x:f>Partners!H92</x:f>
        <x:v>2.6644121036535022</x:v>
      </x:c>
      <x:c r="D92" s="47" t="n">
        <x:f>Partners!I92</x:f>
        <x:v>17265.390431674696</x:v>
      </x:c>
      <x:c r="E92" s="59" t="n">
        <x:v>0.12</x:v>
      </x:c>
      <x:c r="F92" s="59" t="n">
        <x:v>0.105</x:v>
      </x:c>
      <x:c r="G92" s="53" t="n">
        <x:f>D92*E92+'Japan rescue'!J94</x:f>
        <x:v>2082.7776123901526</x:v>
      </x:c>
      <x:c r="H92" s="53" t="n">
        <x:f>D92*F92</x:f>
        <x:v>1812.865995325843</x:v>
      </x:c>
      <x:c r="I92" s="52" t="n">
        <x:v>120</x:v>
      </x:c>
      <x:c r="J92" s="53" t="n">
        <x:f>IF($A92&gt;=1927,(1-pac_quota)*Navy!X92,I92)</x:f>
        <x:v>87.89079956999998</x:v>
      </x:c>
      <x:c r="K92" s="52" t="n">
        <x:v>0</x:v>
      </x:c>
      <x:c r="L92" s="53" t="n">
        <x:f>IF($A92&gt;=1923,siberia_front*(1-pac_quota),0)</x:f>
        <x:v>28</x:v>
      </x:c>
      <x:c r="M92" s="52" t="n">
        <x:v>0</x:v>
      </x:c>
      <x:c r="N92" s="53" t="n">
        <x:f>M92*C92</x:f>
        <x:v>0</x:v>
      </x:c>
      <x:c r="O92" s="53" t="n">
        <x:f>IF($A92&gt;=1927,10*(1-pac_quota),0)</x:f>
        <x:v>3.5</x:v>
      </x:c>
      <x:c r="P92" s="53" t="n">
        <x:f>jp_coupon*(Z91-'Japan rescue'!B94)+'Japan rescue'!J94</x:f>
        <x:v>34.38788991601886</x:v>
      </x:c>
      <x:c r="Q92" s="53" t="n">
        <x:f>H92+J92+K92+L92+N92+O92+P92</x:f>
        <x:v>1966.6446848118617</x:v>
      </x:c>
      <x:c r="R92" s="53" t="n">
        <x:f>Q92-G92</x:f>
        <x:v>-116.13292757829095</x:v>
      </x:c>
      <x:c r="S92" s="52" t="n">
        <x:v>0</x:v>
      </x:c>
      <x:c r="T92" s="53" t="n">
        <x:f>S92*IF($A92&gt;=1923,C92,1)</x:f>
        <x:v>0</x:v>
      </x:c>
      <x:c r="U92" s="52" t="n">
        <x:v>0</x:v>
      </x:c>
      <x:c r="V92" s="52" t="n">
        <x:v>0</x:v>
      </x:c>
      <x:c r="W92" s="53" t="n">
        <x:f>(X91-'Japan rescue'!B94)*jp_foreign_repay+'Japan rescue'!F94</x:f>
        <x:v>113.44482840690728</x:v>
      </x:c>
      <x:c r="X92" s="53" t="n">
        <x:f>X91+T92-W92</x:f>
        <x:v>554.438859751308</x:v>
      </x:c>
      <x:c r="Y92" s="53" t="n">
        <x:f>AG92+AF92-AH92</x:f>
        <x:v>0</x:v>
      </x:c>
      <x:c r="Z92" s="53" t="n">
        <x:f>X92+Y92</x:f>
        <x:v>554.438859751308</x:v>
      </x:c>
      <x:c r="AA92" s="63" t="n">
        <x:f>IF(D92&gt;0,Z92/D92,0)</x:f>
        <x:v>0.032112732228409206</x:v>
      </x:c>
      <x:c r="AB92" s="63" t="n">
        <x:f>IF(G92&gt;0,P92/G92,0)</x:f>
        <x:v>0.01651059129474511</x:v>
      </x:c>
      <x:c r="AC92" s="63" t="n">
        <x:f>IF(T92+AF92&gt;0,T92/(T92+AF92),0)</x:f>
        <x:v>0</x:v>
      </x:c>
      <x:c r="AD92" s="110" t="n">
        <x:f>AJ91</x:f>
        <x:v>3753.5412227349375</x:v>
      </x:c>
      <x:c r="AE92" s="110" t="n">
        <x:f>AD92+G92+T92+U92+AP92-Q92-W92-AO92</x:f>
        <x:v>3855.599872717131</x:v>
      </x:c>
      <x:c r="AF92" s="110" t="n">
        <x:f>MAX(0,-AE92)</x:f>
        <x:v>0</x:v>
      </x:c>
      <x:c r="AG92" s="110" t="n">
        <x:f>Y91+V92</x:f>
        <x:v>0</x:v>
      </x:c>
      <x:c r="AH92" s="110" t="n">
        <x:f>MIN(MAX(0,AE92),AG92)</x:f>
        <x:v>0</x:v>
      </x:c>
      <x:c r="AI92" s="110" t="n">
        <x:f>AE92+AF92-AH92</x:f>
        <x:v>3855.599872717131</x:v>
      </x:c>
      <x:c r="AJ92" s="110" t="n">
        <x:f>AI92</x:f>
        <x:v>3855.599872717131</x:v>
      </x:c>
      <x:c r="AK92" s="110" t="n">
        <x:f>AK91</x:f>
        <x:v>400</x:v>
      </x:c>
      <x:c r="AL92" s="110" t="n">
        <x:f>AJ92+AK92+AN92-Z92</x:f>
        <x:v>3800.5315637766325</x:v>
      </x:c>
      <x:c r="AM92" s="110" t="n">
        <x:f>AJ92-(AD92+G92+T92+U92+AF92+AP92-Q92-W92-AH92-AO92)</x:f>
        <x:v>0</x:v>
      </x:c>
      <x:c r="AN92" s="110" t="n">
        <x:f>'Japan rescue'!H94</x:f>
        <x:v>99.37055081080939</x:v>
      </x:c>
      <x:c r="AO92" s="110" t="n">
        <x:f>'Japan rescue'!C94</x:f>
        <x:v>0</x:v>
      </x:c>
      <x:c r="AP92" s="110" t="n">
        <x:f>'Japan rescue'!F94</x:f>
        <x:v>99.37055081080939</x:v>
      </x:c>
    </x:row>
  </x:sheetData>
  <x:mergeCells>
    <x:mergeCell ref="S4:W4"/>
    <x:mergeCell ref="E4:R4"/>
    <x:mergeCell ref="B4:D4"/>
    <x:mergeCell ref="X4:AC4"/>
  </x:mergeCells>
  <x:pageMargins left="0.7" right="0.7" top="0.75" bottom="0.75" header="0.3" footer="0.3"/>
  <x:legacyDrawing xmlns:r="http://schemas.openxmlformats.org/officeDocument/2006/relationships" r:id="Rc77e39abef724d7c"/>
</x:worksheet>
</file>

<file path=xl/worksheets/sheet19.xml><?xml version="1.0" encoding="utf-8"?>
<x:worksheet xmlns:x="http://schemas.openxmlformats.org/spreadsheetml/2006/main">
  <x:sheetPr>
    <x:tabColor rgb="FF7030A0"/>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2.5" customWidth="1"/>
    <x:col min="20" max="20" width="12.5" customWidth="1"/>
    <x:col min="21" max="21" width="12.5" customWidth="1"/>
    <x:col min="22" max="22" width="12.5" customWidth="1"/>
    <x:col min="23" max="23" width="12.5" customWidth="1"/>
    <x:col min="24" max="24" width="12.5" customWidth="1"/>
    <x:col min="25" max="25" width="12.5" customWidth="1"/>
    <x:col min="26" max="26" width="12.5" customWidth="1"/>
    <x:col min="27" max="27" width="12.5" customWidth="1"/>
    <x:col min="28" max="28" width="12.5" customWidth="1"/>
    <x:col min="29" max="29" width="12.5" customWidth="1"/>
    <x:col min="30" max="30" width="12.5" customWidth="1"/>
    <x:col min="31" max="31" width="12.5" customWidth="1"/>
    <x:col min="32" max="32" width="12.5" customWidth="1"/>
    <x:col min="33" max="33" width="12.5" customWidth="1"/>
    <x:col min="34" max="34" width="12.5" customWidth="1"/>
    <x:col min="35" max="35" width="12.5" customWidth="1"/>
    <x:col min="36" max="36" width="12.5" customWidth="1"/>
    <x:col min="37" max="37" width="12.5" customWidth="1"/>
    <x:col min="38" max="38" width="12.5" customWidth="1"/>
    <x:col min="39" max="39" width="12.5" customWidth="1"/>
    <x:col min="40" max="40" width="12.5" customWidth="1"/>
    <x:col min="41" max="41" width="12.5" customWidth="1"/>
    <x:col min="42" max="42" width="12.5" customWidth="1"/>
    <x:col min="43" max="43" width="12.5" customWidth="1"/>
    <x:col min="44" max="44" width="12.5" customWidth="1"/>
    <x:col min="45" max="45" width="12.5" customWidth="1"/>
    <x:col min="46" max="46" width="12.5" customWidth="1"/>
    <x:col min="47" max="47" width="12.5" customWidth="1"/>
    <x:col min="48" max="48" width="12.5" customWidth="1"/>
    <x:col min="49" max="49" width="12.5" customWidth="1"/>
    <x:col min="50" max="50" width="12.5" customWidth="1"/>
    <x:col min="51" max="51" width="12.5" customWidth="1"/>
    <x:col min="52" max="52" width="12.5" customWidth="1"/>
    <x:col min="53" max="53" width="12.5" customWidth="1"/>
    <x:col min="54" max="54" width="12.5" customWidth="1"/>
    <x:col min="55" max="55" width="12.5" customWidth="1"/>
    <x:col min="56" max="56" width="12.5" customWidth="1"/>
    <x:col min="57" max="57" width="12.5" customWidth="1"/>
    <x:col min="58" max="58" width="12.5" customWidth="1"/>
    <x:col min="59" max="59" width="12.5" customWidth="1"/>
    <x:col min="60" max="60" width="12.5" customWidth="1"/>
    <x:col min="61" max="61" width="12.5" customWidth="1"/>
    <x:col min="62" max="62" width="12.5" customWidth="1"/>
    <x:col min="63" max="63" width="12.5" customWidth="1"/>
    <x:col min="64" max="64" width="12.5" customWidth="1"/>
    <x:col min="65" max="65" width="12.5" customWidth="1"/>
    <x:col min="66" max="66" width="12.5" customWidth="1"/>
    <x:col min="67" max="67" width="12.5" customWidth="1"/>
    <x:col min="68" max="68" width="12.5" customWidth="1"/>
    <x:col min="69" max="69" width="12.5" customWidth="1"/>
    <x:col min="70" max="70" width="12.5" customWidth="1"/>
    <x:col min="71" max="71" width="12.5" customWidth="1"/>
    <x:col min="72" max="72" width="12.5" customWidth="1"/>
    <x:col min="73" max="73" width="12.5" customWidth="1"/>
    <x:col min="74" max="74" width="12.5" customWidth="1"/>
    <x:col min="75" max="75" width="12.5" customWidth="1"/>
    <x:col min="76" max="76" width="12.5" customWidth="1"/>
    <x:col min="77" max="77" width="12.5" customWidth="1"/>
    <x:col min="78" max="78" width="12.5" customWidth="1"/>
    <x:col min="79" max="79" width="12.5" customWidth="1"/>
  </x:cols>
  <x:sheetData>
    <x:row r="1">
      <x:c r="A1" s="18" t="inlineStr">
        <x:is>
          <x:t xml:space="preserve">Partners and trading regions</x:t>
        </x:is>
      </x:c>
    </x:row>
    <x:row r="2">
      <x:c r="A2" s="2" t="inlineStr">
        <x:is>
          <x:t xml:space="preserve">Japan, the Gulf Republic, the Philippine crown and the Siberian Republic (B14), and the trading regions outside the order (B15), each catching up with Pacifica according to how far it is integrated with it; and what their growth does to the champions' markets.</x:t>
        </x:is>
      </x:c>
    </x:row>
    <x:row r="3">
      <x:c r="A3" s="19" t="inlineStr">
        <x:is>
          <x:t xml:space="preserve">Years run down the page. Blue = input you can change · black = formula · green = link to another sheet. Hover a column heading for its definition.</x:t>
        </x:is>
      </x:c>
    </x:row>
    <x:row r="4">
      <x:c r="B4" s="56" t="inlineStr">
        <x:is>
          <x:t xml:space="preserve">The pull of the core</x:t>
        </x:is>
      </x:c>
      <x:c r="C4" s="56" t="inlineStr">
        <x:is>
          <x:t xml:space="preserve">Japan</x:t>
        </x:is>
      </x:c>
      <x:c r="K4" s="56" t="inlineStr">
        <x:is>
          <x:t xml:space="preserve">Gulf Republic</x:t>
        </x:is>
      </x:c>
      <x:c r="S4" s="56" t="inlineStr">
        <x:is>
          <x:t xml:space="preserve">Philippine crown</x:t>
        </x:is>
      </x:c>
      <x:c r="AA4" s="56" t="inlineStr">
        <x:is>
          <x:t xml:space="preserve">Siberian Republic</x:t>
        </x:is>
      </x:c>
      <x:c r="AI4" s="56" t="inlineStr">
        <x:is>
          <x:t xml:space="preserve">China</x:t>
        </x:is>
      </x:c>
      <x:c r="AQ4" s="56" t="inlineStr">
        <x:is>
          <x:t xml:space="preserve">Korea</x:t>
        </x:is>
      </x:c>
      <x:c r="AY4" s="56" t="inlineStr">
        <x:is>
          <x:t xml:space="preserve">Southeast Asia</x:t>
        </x:is>
      </x:c>
      <x:c r="BG4" s="56" t="inlineStr">
        <x:is>
          <x:t xml:space="preserve">Mexico and Pacific South America</x:t>
        </x:is>
      </x:c>
      <x:c r="BO4" s="56" t="inlineStr">
        <x:is>
          <x:t xml:space="preserve">Persian Gulf and Middle East</x:t>
        </x:is>
      </x:c>
      <x:c r="BW4" s="56" t="inlineStr">
        <x:is>
          <x:t xml:space="preserve">The champions' markets</x:t>
        </x:is>
      </x:c>
      <x:c r="BY4" s="56" t="inlineStr">
        <x:is>
          <x:t xml:space="preserve">All partners</x:t>
        </x:is>
      </x:c>
    </x:row>
    <x:row r="5" ht="54" customHeight="1">
      <x:c r="A5" s="57" t="inlineStr">
        <x:is>
          <x:t xml:space="preserve">Year</x:t>
        </x:is>
      </x:c>
      <x:c r="B5" s="6" t="inlineStr">
        <x:is>
          <x:t xml:space="preserve">Pacifica's output per person last year ($)</x:t>
        </x:is>
      </x:c>
      <x:c r="C5" s="6" t="inlineStr">
        <x:is>
          <x:t xml:space="preserve">Japan: population</x:t>
        </x:is>
      </x:c>
      <x:c r="D5" s="6" t="inlineStr">
        <x:is>
          <x:t xml:space="preserve">Japan: GDP as in history ($m)</x:t>
        </x:is>
      </x:c>
      <x:c r="E5" s="6" t="inlineStr">
        <x:is>
          <x:t xml:space="preserve">Japan: integration with the order (0-1)</x:t>
        </x:is>
      </x:c>
      <x:c r="F5" s="6" t="inlineStr">
        <x:is>
          <x:t xml:space="preserve">Japan: output per person as in history ($)</x:t>
        </x:is>
      </x:c>
      <x:c r="G5" s="6" t="inlineStr">
        <x:is>
          <x:t xml:space="preserve">Japan: extra growth from catching up</x:t>
        </x:is>
      </x:c>
      <x:c r="H5" s="6" t="inlineStr">
        <x:is>
          <x:t xml:space="preserve">Japan: output vs history (×)</x:t>
        </x:is>
      </x:c>
      <x:c r="I5" s="6" t="inlineStr">
        <x:is>
          <x:t xml:space="preserve">Japan: GDP ($m)</x:t>
        </x:is>
      </x:c>
      <x:c r="J5" s="6" t="inlineStr">
        <x:is>
          <x:t xml:space="preserve">Japan: output per person vs the US</x:t>
        </x:is>
      </x:c>
      <x:c r="K5" s="6" t="inlineStr">
        <x:is>
          <x:t xml:space="preserve">Gulf Republic: population</x:t>
        </x:is>
      </x:c>
      <x:c r="L5" s="6" t="inlineStr">
        <x:is>
          <x:t xml:space="preserve">Gulf Republic: GDP as in history ($m)</x:t>
        </x:is>
      </x:c>
      <x:c r="M5" s="6" t="inlineStr">
        <x:is>
          <x:t xml:space="preserve">Gulf Republic: integration with the order (0-1)</x:t>
        </x:is>
      </x:c>
      <x:c r="N5" s="6" t="inlineStr">
        <x:is>
          <x:t xml:space="preserve">Gulf Republic: output per person as in history ($)</x:t>
        </x:is>
      </x:c>
      <x:c r="O5" s="6" t="inlineStr">
        <x:is>
          <x:t xml:space="preserve">Gulf Republic: extra growth from catching up</x:t>
        </x:is>
      </x:c>
      <x:c r="P5" s="6" t="inlineStr">
        <x:is>
          <x:t xml:space="preserve">Gulf Republic: output vs history (×)</x:t>
        </x:is>
      </x:c>
      <x:c r="Q5" s="6" t="inlineStr">
        <x:is>
          <x:t xml:space="preserve">Gulf Republic: GDP ($m)</x:t>
        </x:is>
      </x:c>
      <x:c r="R5" s="6" t="inlineStr">
        <x:is>
          <x:t xml:space="preserve">Gulf Republic: output per person vs the US</x:t>
        </x:is>
      </x:c>
      <x:c r="S5" s="6" t="inlineStr">
        <x:is>
          <x:t xml:space="preserve">Philippine crown: population</x:t>
        </x:is>
      </x:c>
      <x:c r="T5" s="6" t="inlineStr">
        <x:is>
          <x:t xml:space="preserve">Philippine crown: GDP as in history ($m)</x:t>
        </x:is>
      </x:c>
      <x:c r="U5" s="6" t="inlineStr">
        <x:is>
          <x:t xml:space="preserve">Philippine crown: integration with the order (0-1)</x:t>
        </x:is>
      </x:c>
      <x:c r="V5" s="6" t="inlineStr">
        <x:is>
          <x:t xml:space="preserve">Philippine crown: output per person as in history ($)</x:t>
        </x:is>
      </x:c>
      <x:c r="W5" s="6" t="inlineStr">
        <x:is>
          <x:t xml:space="preserve">Philippine crown: extra growth from catching up</x:t>
        </x:is>
      </x:c>
      <x:c r="X5" s="6" t="inlineStr">
        <x:is>
          <x:t xml:space="preserve">Philippine crown: output vs history (×)</x:t>
        </x:is>
      </x:c>
      <x:c r="Y5" s="6" t="inlineStr">
        <x:is>
          <x:t xml:space="preserve">Philippine crown: GDP ($m)</x:t>
        </x:is>
      </x:c>
      <x:c r="Z5" s="6" t="inlineStr">
        <x:is>
          <x:t xml:space="preserve">Philippine crown: output per person vs the US</x:t>
        </x:is>
      </x:c>
      <x:c r="AA5" s="6" t="inlineStr">
        <x:is>
          <x:t xml:space="preserve">Siberian Republic: population</x:t>
        </x:is>
      </x:c>
      <x:c r="AB5" s="6" t="inlineStr">
        <x:is>
          <x:t xml:space="preserve">Siberian Republic: GDP as in history ($m)</x:t>
        </x:is>
      </x:c>
      <x:c r="AC5" s="6" t="inlineStr">
        <x:is>
          <x:t xml:space="preserve">Siberian Republic: integration with the order (0-1)</x:t>
        </x:is>
      </x:c>
      <x:c r="AD5" s="6" t="inlineStr">
        <x:is>
          <x:t xml:space="preserve">Siberian Republic: output per person as in history ($)</x:t>
        </x:is>
      </x:c>
      <x:c r="AE5" s="6" t="inlineStr">
        <x:is>
          <x:t xml:space="preserve">Siberian Republic: extra growth from catching up</x:t>
        </x:is>
      </x:c>
      <x:c r="AF5" s="6" t="inlineStr">
        <x:is>
          <x:t xml:space="preserve">Siberian Republic: output vs history (×)</x:t>
        </x:is>
      </x:c>
      <x:c r="AG5" s="6" t="inlineStr">
        <x:is>
          <x:t xml:space="preserve">Siberian Republic: GDP ($m)</x:t>
        </x:is>
      </x:c>
      <x:c r="AH5" s="6" t="inlineStr">
        <x:is>
          <x:t xml:space="preserve">Siberian Republic: output per person vs the US</x:t>
        </x:is>
      </x:c>
      <x:c r="AI5" s="6" t="inlineStr">
        <x:is>
          <x:t xml:space="preserve">China: population</x:t>
        </x:is>
      </x:c>
      <x:c r="AJ5" s="6" t="inlineStr">
        <x:is>
          <x:t xml:space="preserve">China: GDP as in history ($m)</x:t>
        </x:is>
      </x:c>
      <x:c r="AK5" s="6" t="inlineStr">
        <x:is>
          <x:t xml:space="preserve">China: integration with the order (0-1)</x:t>
        </x:is>
      </x:c>
      <x:c r="AL5" s="6" t="inlineStr">
        <x:is>
          <x:t xml:space="preserve">China: output per person as in history ($)</x:t>
        </x:is>
      </x:c>
      <x:c r="AM5" s="6" t="inlineStr">
        <x:is>
          <x:t xml:space="preserve">China: extra growth from catching up</x:t>
        </x:is>
      </x:c>
      <x:c r="AN5" s="6" t="inlineStr">
        <x:is>
          <x:t xml:space="preserve">China: output vs history (×)</x:t>
        </x:is>
      </x:c>
      <x:c r="AO5" s="6" t="inlineStr">
        <x:is>
          <x:t xml:space="preserve">China: GDP ($m)</x:t>
        </x:is>
      </x:c>
      <x:c r="AP5" s="6" t="inlineStr">
        <x:is>
          <x:t xml:space="preserve">China: output per person vs the US</x:t>
        </x:is>
      </x:c>
      <x:c r="AQ5" s="6" t="inlineStr">
        <x:is>
          <x:t xml:space="preserve">Korea: population</x:t>
        </x:is>
      </x:c>
      <x:c r="AR5" s="6" t="inlineStr">
        <x:is>
          <x:t xml:space="preserve">Korea: GDP as in history ($m)</x:t>
        </x:is>
      </x:c>
      <x:c r="AS5" s="6" t="inlineStr">
        <x:is>
          <x:t xml:space="preserve">Korea: integration with the order (0-1)</x:t>
        </x:is>
      </x:c>
      <x:c r="AT5" s="6" t="inlineStr">
        <x:is>
          <x:t xml:space="preserve">Korea: output per person as in history ($)</x:t>
        </x:is>
      </x:c>
      <x:c r="AU5" s="6" t="inlineStr">
        <x:is>
          <x:t xml:space="preserve">Korea: extra growth from catching up</x:t>
        </x:is>
      </x:c>
      <x:c r="AV5" s="6" t="inlineStr">
        <x:is>
          <x:t xml:space="preserve">Korea: output vs history (×)</x:t>
        </x:is>
      </x:c>
      <x:c r="AW5" s="6" t="inlineStr">
        <x:is>
          <x:t xml:space="preserve">Korea: GDP ($m)</x:t>
        </x:is>
      </x:c>
      <x:c r="AX5" s="6" t="inlineStr">
        <x:is>
          <x:t xml:space="preserve">Korea: output per person vs the US</x:t>
        </x:is>
      </x:c>
      <x:c r="AY5" s="6" t="inlineStr">
        <x:is>
          <x:t xml:space="preserve">Southeast Asia: population</x:t>
        </x:is>
      </x:c>
      <x:c r="AZ5" s="6" t="inlineStr">
        <x:is>
          <x:t xml:space="preserve">Southeast Asia: GDP as in history ($m)</x:t>
        </x:is>
      </x:c>
      <x:c r="BA5" s="6" t="inlineStr">
        <x:is>
          <x:t xml:space="preserve">Southeast Asia: integration with the order (0-1)</x:t>
        </x:is>
      </x:c>
      <x:c r="BB5" s="6" t="inlineStr">
        <x:is>
          <x:t xml:space="preserve">Southeast Asia: output per person as in history ($)</x:t>
        </x:is>
      </x:c>
      <x:c r="BC5" s="6" t="inlineStr">
        <x:is>
          <x:t xml:space="preserve">Southeast Asia: extra growth from catching up</x:t>
        </x:is>
      </x:c>
      <x:c r="BD5" s="6" t="inlineStr">
        <x:is>
          <x:t xml:space="preserve">Southeast Asia: output vs history (×)</x:t>
        </x:is>
      </x:c>
      <x:c r="BE5" s="6" t="inlineStr">
        <x:is>
          <x:t xml:space="preserve">Southeast Asia: GDP ($m)</x:t>
        </x:is>
      </x:c>
      <x:c r="BF5" s="6" t="inlineStr">
        <x:is>
          <x:t xml:space="preserve">Southeast Asia: output per person vs the US</x:t>
        </x:is>
      </x:c>
      <x:c r="BG5" s="6" t="inlineStr">
        <x:is>
          <x:t xml:space="preserve">Mexico and Pacific South America: population</x:t>
        </x:is>
      </x:c>
      <x:c r="BH5" s="6" t="inlineStr">
        <x:is>
          <x:t xml:space="preserve">Mexico and Pacific South America: GDP as in history ($m)</x:t>
        </x:is>
      </x:c>
      <x:c r="BI5" s="6" t="inlineStr">
        <x:is>
          <x:t xml:space="preserve">Mexico and Pacific South America: integration with the order (0-1)</x:t>
        </x:is>
      </x:c>
      <x:c r="BJ5" s="6" t="inlineStr">
        <x:is>
          <x:t xml:space="preserve">Mexico and Pacific South America: output per person as in history ($)</x:t>
        </x:is>
      </x:c>
      <x:c r="BK5" s="6" t="inlineStr">
        <x:is>
          <x:t xml:space="preserve">Mexico and Pacific South America: extra growth from catching up</x:t>
        </x:is>
      </x:c>
      <x:c r="BL5" s="6" t="inlineStr">
        <x:is>
          <x:t xml:space="preserve">Mexico and Pacific South America: output vs history (×)</x:t>
        </x:is>
      </x:c>
      <x:c r="BM5" s="6" t="inlineStr">
        <x:is>
          <x:t xml:space="preserve">Mexico and Pacific South America: GDP ($m)</x:t>
        </x:is>
      </x:c>
      <x:c r="BN5" s="6" t="inlineStr">
        <x:is>
          <x:t xml:space="preserve">Mexico and Pacific South America: output per person vs the US</x:t>
        </x:is>
      </x:c>
      <x:c r="BO5" s="6" t="inlineStr">
        <x:is>
          <x:t xml:space="preserve">Persian Gulf and Middle East: population</x:t>
        </x:is>
      </x:c>
      <x:c r="BP5" s="6" t="inlineStr">
        <x:is>
          <x:t xml:space="preserve">Persian Gulf and Middle East: GDP as in history ($m)</x:t>
        </x:is>
      </x:c>
      <x:c r="BQ5" s="6" t="inlineStr">
        <x:is>
          <x:t xml:space="preserve">Persian Gulf and Middle East: integration with the order (0-1)</x:t>
        </x:is>
      </x:c>
      <x:c r="BR5" s="6" t="inlineStr">
        <x:is>
          <x:t xml:space="preserve">Persian Gulf and Middle East: output per person as in history ($)</x:t>
        </x:is>
      </x:c>
      <x:c r="BS5" s="6" t="inlineStr">
        <x:is>
          <x:t xml:space="preserve">Persian Gulf and Middle East: extra growth from catching up</x:t>
        </x:is>
      </x:c>
      <x:c r="BT5" s="6" t="inlineStr">
        <x:is>
          <x:t xml:space="preserve">Persian Gulf and Middle East: output vs history (×)</x:t>
        </x:is>
      </x:c>
      <x:c r="BU5" s="6" t="inlineStr">
        <x:is>
          <x:t xml:space="preserve">Persian Gulf and Middle East: GDP ($m)</x:t>
        </x:is>
      </x:c>
      <x:c r="BV5" s="6" t="inlineStr">
        <x:is>
          <x:t xml:space="preserve">Persian Gulf and Middle East: output per person vs the US</x:t>
        </x:is>
      </x:c>
      <x:c r="BW5" s="6" t="inlineStr">
        <x:is>
          <x:t xml:space="preserve">Champions' markets abroad vs history</x:t>
        </x:is>
      </x:c>
      <x:c r="BX5" s="6" t="inlineStr">
        <x:is>
          <x:t xml:space="preserve">Champions raised by richer markets</x:t>
        </x:is>
      </x:c>
      <x:c r="BY5" s="6" t="inlineStr">
        <x:is>
          <x:t xml:space="preserve">Partners' GDP ($m)</x:t>
        </x:is>
      </x:c>
      <x:c r="BZ5" s="6" t="inlineStr">
        <x:is>
          <x:t xml:space="preserve">Partners' GDP as in history ($m)</x:t>
        </x:is>
      </x:c>
      <x:c r="CA5" s="6" t="inlineStr">
        <x:is>
          <x:t xml:space="preserve">Partners' output vs history</x:t>
        </x:is>
      </x:c>
    </x:row>
    <x:row r="6">
      <x:c r="A6" s="58" t="n">
        <x:v>1846</x:v>
      </x:c>
      <x:c r="B6" s="47" t="n">
        <x:f>0</x:f>
        <x:v>0</x:v>
      </x:c>
      <x:c r="C6" s="45" t="n">
        <x:v>0</x:v>
      </x:c>
      <x:c r="D6" s="62" t="n">
        <x:f>Japan!B6</x:f>
        <x:v>0</x:v>
      </x:c>
      <x:c r="E6" s="68" t="n">
        <x:v>0</x:v>
      </x:c>
      <x:c r="F6" s="47" t="n">
        <x:f>IF(C6&gt;0,D6*1000000/C6,0)</x:f>
        <x:v>0</x:v>
      </x:c>
      <x:c r="G6" s="64" t="n">
        <x:f>0</x:f>
        <x:v>0</x:v>
      </x:c>
      <x:c r="H6" s="65" t="n">
        <x:f>1</x:f>
        <x:v>1</x:v>
      </x:c>
      <x:c r="I6" s="47" t="n">
        <x:f>D6*H6</x:f>
        <x:v>0</x:v>
      </x:c>
      <x:c r="J6" s="67" t="n">
        <x:f>IF(C6&gt;0,I6*1000000/C6/Economy!Q6,0)</x:f>
        <x:v>0</x:v>
      </x:c>
      <x:c r="K6" s="62" t="n">
        <x:f>Gulf!B6</x:f>
        <x:v>0</x:v>
      </x:c>
      <x:c r="L6" s="47" t="n">
        <x:f>Gulf!B6*Gulf!C6*Economy!Q6/1000000</x:f>
        <x:v>0</x:v>
      </x:c>
      <x:c r="M6" s="68" t="n">
        <x:v>0</x:v>
      </x:c>
      <x:c r="N6" s="47" t="n">
        <x:f>IF(K6&gt;0,L6*1000000/K6,0)</x:f>
        <x:v>0</x:v>
      </x:c>
      <x:c r="O6" s="64" t="n">
        <x:f>0</x:f>
        <x:v>0</x:v>
      </x:c>
      <x:c r="P6" s="65" t="n">
        <x:f>1</x:f>
        <x:v>1</x:v>
      </x:c>
      <x:c r="Q6" s="47" t="n">
        <x:f>L6*P6</x:f>
        <x:v>0</x:v>
      </x:c>
      <x:c r="R6" s="67" t="n">
        <x:f>IF(K6&gt;0,Q6*1000000/K6/Economy!Q6,0)</x:f>
        <x:v>0</x:v>
      </x:c>
      <x:c r="S6" s="62" t="n">
        <x:f>People!U6</x:f>
        <x:v>0</x:v>
      </x:c>
      <x:c r="T6" s="45" t="n">
        <x:v>0</x:v>
      </x:c>
      <x:c r="U6" s="68" t="n">
        <x:v>0</x:v>
      </x:c>
      <x:c r="V6" s="47" t="n">
        <x:f>IF(S6&gt;0,T6*1000000/S6,0)</x:f>
        <x:v>0</x:v>
      </x:c>
      <x:c r="W6" s="64" t="n">
        <x:f>0</x:f>
        <x:v>0</x:v>
      </x:c>
      <x:c r="X6" s="65" t="n">
        <x:f>1</x:f>
        <x:v>1</x:v>
      </x:c>
      <x:c r="Y6" s="47" t="n">
        <x:f>T6*X6</x:f>
        <x:v>0</x:v>
      </x:c>
      <x:c r="Z6" s="67" t="n">
        <x:f>IF(S6&gt;0,Y6*1000000/S6/Economy!Q6,0)</x:f>
        <x:v>0</x:v>
      </x:c>
      <x:c r="AA6" s="45" t="n">
        <x:v>0</x:v>
      </x:c>
      <x:c r="AB6" s="45" t="n">
        <x:v>0</x:v>
      </x:c>
      <x:c r="AC6" s="68" t="n">
        <x:v>0</x:v>
      </x:c>
      <x:c r="AD6" s="47" t="n">
        <x:f>IF(AA6&gt;0,AB6*1000000/AA6,0)</x:f>
        <x:v>0</x:v>
      </x:c>
      <x:c r="AE6" s="64" t="n">
        <x:f>0</x:f>
        <x:v>0</x:v>
      </x:c>
      <x:c r="AF6" s="65" t="n">
        <x:f>1</x:f>
        <x:v>1</x:v>
      </x:c>
      <x:c r="AG6" s="47" t="n">
        <x:f>AB6*AF6</x:f>
        <x:v>0</x:v>
      </x:c>
      <x:c r="AH6" s="67" t="n">
        <x:f>IF(AA6&gt;0,AG6*1000000/AA6/Economy!Q6,0)</x:f>
        <x:v>0</x:v>
      </x:c>
      <x:c r="AI6" s="45" t="n">
        <x:v>0</x:v>
      </x:c>
      <x:c r="AJ6" s="45" t="n">
        <x:v>0</x:v>
      </x:c>
      <x:c r="AK6" s="68" t="n">
        <x:v>0</x:v>
      </x:c>
      <x:c r="AL6" s="47" t="n">
        <x:f>IF(AI6&gt;0,AJ6*1000000/AI6,0)</x:f>
        <x:v>0</x:v>
      </x:c>
      <x:c r="AM6" s="64" t="n">
        <x:f>0</x:f>
        <x:v>0</x:v>
      </x:c>
      <x:c r="AN6" s="65" t="n">
        <x:f>1</x:f>
        <x:v>1</x:v>
      </x:c>
      <x:c r="AO6" s="47" t="n">
        <x:f>AJ6*AN6</x:f>
        <x:v>0</x:v>
      </x:c>
      <x:c r="AP6" s="67" t="n">
        <x:f>IF(AI6&gt;0,AO6*1000000/AI6/Economy!Q6,0)</x:f>
        <x:v>0</x:v>
      </x:c>
      <x:c r="AQ6" s="45" t="n">
        <x:v>0</x:v>
      </x:c>
      <x:c r="AR6" s="45" t="n">
        <x:v>0</x:v>
      </x:c>
      <x:c r="AS6" s="68" t="n">
        <x:v>0</x:v>
      </x:c>
      <x:c r="AT6" s="47" t="n">
        <x:f>IF(AQ6&gt;0,AR6*1000000/AQ6,0)</x:f>
        <x:v>0</x:v>
      </x:c>
      <x:c r="AU6" s="64" t="n">
        <x:f>0</x:f>
        <x:v>0</x:v>
      </x:c>
      <x:c r="AV6" s="65" t="n">
        <x:f>1</x:f>
        <x:v>1</x:v>
      </x:c>
      <x:c r="AW6" s="47" t="n">
        <x:f>AR6*AV6</x:f>
        <x:v>0</x:v>
      </x:c>
      <x:c r="AX6" s="67" t="n">
        <x:f>IF(AQ6&gt;0,AW6*1000000/AQ6/Economy!Q6,0)</x:f>
        <x:v>0</x:v>
      </x:c>
      <x:c r="AY6" s="45" t="n">
        <x:v>0</x:v>
      </x:c>
      <x:c r="AZ6" s="45" t="n">
        <x:v>0</x:v>
      </x:c>
      <x:c r="BA6" s="68" t="n">
        <x:v>0</x:v>
      </x:c>
      <x:c r="BB6" s="47" t="n">
        <x:f>IF(AY6&gt;0,AZ6*1000000/AY6,0)</x:f>
        <x:v>0</x:v>
      </x:c>
      <x:c r="BC6" s="64" t="n">
        <x:f>0</x:f>
        <x:v>0</x:v>
      </x:c>
      <x:c r="BD6" s="65" t="n">
        <x:f>1</x:f>
        <x:v>1</x:v>
      </x:c>
      <x:c r="BE6" s="47" t="n">
        <x:f>AZ6*BD6</x:f>
        <x:v>0</x:v>
      </x:c>
      <x:c r="BF6" s="67" t="n">
        <x:f>IF(AY6&gt;0,BE6*1000000/AY6/Economy!Q6,0)</x:f>
        <x:v>0</x:v>
      </x:c>
      <x:c r="BG6" s="45" t="n">
        <x:v>0</x:v>
      </x:c>
      <x:c r="BH6" s="45" t="n">
        <x:v>0</x:v>
      </x:c>
      <x:c r="BI6" s="68" t="n">
        <x:v>0</x:v>
      </x:c>
      <x:c r="BJ6" s="47" t="n">
        <x:f>IF(BG6&gt;0,BH6*1000000/BG6,0)</x:f>
        <x:v>0</x:v>
      </x:c>
      <x:c r="BK6" s="64" t="n">
        <x:f>0</x:f>
        <x:v>0</x:v>
      </x:c>
      <x:c r="BL6" s="65" t="n">
        <x:f>1</x:f>
        <x:v>1</x:v>
      </x:c>
      <x:c r="BM6" s="47" t="n">
        <x:f>BH6*BL6</x:f>
        <x:v>0</x:v>
      </x:c>
      <x:c r="BN6" s="67" t="n">
        <x:f>IF(BG6&gt;0,BM6*1000000/BG6/Economy!Q6,0)</x:f>
        <x:v>0</x:v>
      </x:c>
      <x:c r="BO6" s="45" t="n">
        <x:v>0</x:v>
      </x:c>
      <x:c r="BP6" s="45" t="n">
        <x:v>0</x:v>
      </x:c>
      <x:c r="BQ6" s="68" t="n">
        <x:v>0</x:v>
      </x:c>
      <x:c r="BR6" s="47" t="n">
        <x:f>IF(BO6&gt;0,BP6*1000000/BO6,0)</x:f>
        <x:v>0</x:v>
      </x:c>
      <x:c r="BS6" s="64" t="n">
        <x:f>0</x:f>
        <x:v>0</x:v>
      </x:c>
      <x:c r="BT6" s="65" t="n">
        <x:f>1</x:f>
        <x:v>1</x:v>
      </x:c>
      <x:c r="BU6" s="47" t="n">
        <x:f>BP6*BT6</x:f>
        <x:v>0</x:v>
      </x:c>
      <x:c r="BV6" s="67" t="n">
        <x:f>IF(BO6&gt;0,BU6*1000000/BO6/Economy!Q6,0)</x:f>
        <x:v>0</x:v>
      </x:c>
      <x:c r="BW6" s="65" t="n">
        <x:f>0.25*IF(D6&gt;0,H6,1)+0.15*IF(AJ6&gt;0,AN6,1)+0.03*IF(AR6&gt;0,AV6,1)+0.08*IF(AZ6&gt;0,BD6,1)+0.12*IF(BH6&gt;0,BL6,1)+0.1*IF(L6&gt;0,P6,1)+0.07*IF(T6&gt;0,X6,1)+0.05*IF(AB6&gt;0,AF6,1)+0.05*IF(BP6&gt;0,BT6,1)+0.1</x:f>
        <x:v>1.0000000000000002</x:v>
      </x:c>
      <x:c r="BX6" s="63" t="n">
        <x:f>MIN(mkt_cap,mkt_elast*MAX(0,BW6-1))</x:f>
        <x:v>1.1102230246251565e-16</x:v>
      </x:c>
      <x:c r="BY6" s="47" t="n">
        <x:f>I6+Q6+Y6+AG6</x:f>
        <x:v>0</x:v>
      </x:c>
      <x:c r="BZ6" s="47" t="n">
        <x:f>D6+L6+T6+AB6</x:f>
        <x:v>0</x:v>
      </x:c>
      <x:c r="CA6" s="65" t="n">
        <x:f>IF(BZ6&gt;0,BY6/BZ6,0)</x:f>
        <x:v>0</x:v>
      </x:c>
    </x:row>
    <x:row r="7">
      <x:c r="A7" s="58" t="n">
        <x:v>1847</x:v>
      </x:c>
      <x:c r="B7" s="47" t="n">
        <x:f>Economy!P6</x:f>
        <x:v>111</x:v>
      </x:c>
      <x:c r="C7" s="45" t="n">
        <x:v>0</x:v>
      </x:c>
      <x:c r="D7" s="62" t="n">
        <x:f>Japan!B7</x:f>
        <x:v>0</x:v>
      </x:c>
      <x:c r="E7" s="68" t="n">
        <x:v>0</x:v>
      </x:c>
      <x:c r="F7" s="47" t="n">
        <x:f>IF(C7&gt;0,D7*1000000/C7,0)</x:f>
        <x:v>0</x:v>
      </x:c>
      <x:c r="G7" s="64" t="n">
        <x:f>IF(AND(E7&gt;0,F6&gt;0,B7&gt;0),MIN(conv_cap,conv_beta*jp_uplift*E7*MAX(0,LN(B7/(F6*H6)))),0)</x:f>
        <x:v>0</x:v>
      </x:c>
      <x:c r="H7" s="65" t="n">
        <x:f>H6*(1+G7)</x:f>
        <x:v>1</x:v>
      </x:c>
      <x:c r="I7" s="47" t="n">
        <x:f>D7*H7</x:f>
        <x:v>0</x:v>
      </x:c>
      <x:c r="J7" s="67" t="n">
        <x:f>IF(C7&gt;0,I7*1000000/C7/Economy!Q7,0)</x:f>
        <x:v>0</x:v>
      </x:c>
      <x:c r="K7" s="62" t="n">
        <x:f>Gulf!B7</x:f>
        <x:v>0</x:v>
      </x:c>
      <x:c r="L7" s="47" t="n">
        <x:f>Gulf!B7*Gulf!C7*Economy!Q7/1000000</x:f>
        <x:v>0</x:v>
      </x:c>
      <x:c r="M7" s="68" t="n">
        <x:v>0</x:v>
      </x:c>
      <x:c r="N7" s="47" t="n">
        <x:f>IF(K7&gt;0,L7*1000000/K7,0)</x:f>
        <x:v>0</x:v>
      </x:c>
      <x:c r="O7" s="64" t="n">
        <x:f>IF(AND(M7&gt;0,N6&gt;0,B7&gt;0),MIN(conv_cap,conv_beta*1*M7*MAX(0,LN(B7/(N6*P6)))),0)</x:f>
        <x:v>0</x:v>
      </x:c>
      <x:c r="P7" s="65" t="n">
        <x:f>P6*(1+O7)</x:f>
        <x:v>1</x:v>
      </x:c>
      <x:c r="Q7" s="47" t="n">
        <x:f>L7*P7</x:f>
        <x:v>0</x:v>
      </x:c>
      <x:c r="R7" s="67" t="n">
        <x:f>IF(K7&gt;0,Q7*1000000/K7/Economy!Q7,0)</x:f>
        <x:v>0</x:v>
      </x:c>
      <x:c r="S7" s="62" t="n">
        <x:f>People!U7</x:f>
        <x:v>0</x:v>
      </x:c>
      <x:c r="T7" s="45" t="n">
        <x:v>0</x:v>
      </x:c>
      <x:c r="U7" s="68" t="n">
        <x:v>0</x:v>
      </x:c>
      <x:c r="V7" s="47" t="n">
        <x:f>IF(S7&gt;0,T7*1000000/S7,0)</x:f>
        <x:v>0</x:v>
      </x:c>
      <x:c r="W7" s="64" t="n">
        <x:f>IF(AND(U7&gt;0,V6&gt;0,B7&gt;0),MIN(conv_cap,conv_beta*1*U7*MAX(0,LN(B7/(V6*X6)))),0)</x:f>
        <x:v>0</x:v>
      </x:c>
      <x:c r="X7" s="65" t="n">
        <x:f>X6*(1+W7)</x:f>
        <x:v>1</x:v>
      </x:c>
      <x:c r="Y7" s="47" t="n">
        <x:f>T7*X7</x:f>
        <x:v>0</x:v>
      </x:c>
      <x:c r="Z7" s="67" t="n">
        <x:f>IF(S7&gt;0,Y7*1000000/S7/Economy!Q7,0)</x:f>
        <x:v>0</x:v>
      </x:c>
      <x:c r="AA7" s="45" t="n">
        <x:v>0</x:v>
      </x:c>
      <x:c r="AB7" s="45" t="n">
        <x:v>0</x:v>
      </x:c>
      <x:c r="AC7" s="68" t="n">
        <x:v>0</x:v>
      </x:c>
      <x:c r="AD7" s="47" t="n">
        <x:f>IF(AA7&gt;0,AB7*1000000/AA7,0)</x:f>
        <x:v>0</x:v>
      </x:c>
      <x:c r="AE7" s="64" t="n">
        <x:f>IF(AND(AC7&gt;0,AD6&gt;0,B7&gt;0),MIN(conv_cap,conv_beta*1*AC7*MAX(0,LN(B7/(AD6*AF6)))),0)</x:f>
        <x:v>0</x:v>
      </x:c>
      <x:c r="AF7" s="65" t="n">
        <x:f>AF6*(1+AE7)</x:f>
        <x:v>1</x:v>
      </x:c>
      <x:c r="AG7" s="47" t="n">
        <x:f>AB7*AF7</x:f>
        <x:v>0</x:v>
      </x:c>
      <x:c r="AH7" s="67" t="n">
        <x:f>IF(AA7&gt;0,AG7*1000000/AA7/Economy!Q7,0)</x:f>
        <x:v>0</x:v>
      </x:c>
      <x:c r="AI7" s="45" t="n">
        <x:v>0</x:v>
      </x:c>
      <x:c r="AJ7" s="45" t="n">
        <x:v>0</x:v>
      </x:c>
      <x:c r="AK7" s="68" t="n">
        <x:v>0</x:v>
      </x:c>
      <x:c r="AL7" s="47" t="n">
        <x:f>IF(AI7&gt;0,AJ7*1000000/AI7,0)</x:f>
        <x:v>0</x:v>
      </x:c>
      <x:c r="AM7" s="64" t="n">
        <x:f>IF(AND(AK7&gt;0,AL6&gt;0,B7&gt;0),MIN(conv_cap,conv_beta*1*AK7*MAX(0,LN(B7/(AL6*AN6)))),0)</x:f>
        <x:v>0</x:v>
      </x:c>
      <x:c r="AN7" s="65" t="n">
        <x:f>AN6*(1+AM7)</x:f>
        <x:v>1</x:v>
      </x:c>
      <x:c r="AO7" s="47" t="n">
        <x:f>AJ7*AN7</x:f>
        <x:v>0</x:v>
      </x:c>
      <x:c r="AP7" s="67" t="n">
        <x:f>IF(AI7&gt;0,AO7*1000000/AI7/Economy!Q7,0)</x:f>
        <x:v>0</x:v>
      </x:c>
      <x:c r="AQ7" s="45" t="n">
        <x:v>0</x:v>
      </x:c>
      <x:c r="AR7" s="45" t="n">
        <x:v>0</x:v>
      </x:c>
      <x:c r="AS7" s="68" t="n">
        <x:v>0</x:v>
      </x:c>
      <x:c r="AT7" s="47" t="n">
        <x:f>IF(AQ7&gt;0,AR7*1000000/AQ7,0)</x:f>
        <x:v>0</x:v>
      </x:c>
      <x:c r="AU7" s="64" t="n">
        <x:f>IF(AND(AS7&gt;0,AT6&gt;0,B7&gt;0),MIN(conv_cap,conv_beta*1*AS7*MAX(0,LN(B7/(AT6*AV6)))),0)</x:f>
        <x:v>0</x:v>
      </x:c>
      <x:c r="AV7" s="65" t="n">
        <x:f>AV6*(1+AU7)</x:f>
        <x:v>1</x:v>
      </x:c>
      <x:c r="AW7" s="47" t="n">
        <x:f>AR7*AV7</x:f>
        <x:v>0</x:v>
      </x:c>
      <x:c r="AX7" s="67" t="n">
        <x:f>IF(AQ7&gt;0,AW7*1000000/AQ7/Economy!Q7,0)</x:f>
        <x:v>0</x:v>
      </x:c>
      <x:c r="AY7" s="45" t="n">
        <x:v>0</x:v>
      </x:c>
      <x:c r="AZ7" s="45" t="n">
        <x:v>0</x:v>
      </x:c>
      <x:c r="BA7" s="68" t="n">
        <x:v>0</x:v>
      </x:c>
      <x:c r="BB7" s="47" t="n">
        <x:f>IF(AY7&gt;0,AZ7*1000000/AY7,0)</x:f>
        <x:v>0</x:v>
      </x:c>
      <x:c r="BC7" s="64" t="n">
        <x:f>IF(AND(BA7&gt;0,BB6&gt;0,B7&gt;0),MIN(conv_cap,conv_beta*1*BA7*MAX(0,LN(B7/(BB6*BD6)))),0)</x:f>
        <x:v>0</x:v>
      </x:c>
      <x:c r="BD7" s="65" t="n">
        <x:f>BD6*(1+BC7)</x:f>
        <x:v>1</x:v>
      </x:c>
      <x:c r="BE7" s="47" t="n">
        <x:f>AZ7*BD7</x:f>
        <x:v>0</x:v>
      </x:c>
      <x:c r="BF7" s="67" t="n">
        <x:f>IF(AY7&gt;0,BE7*1000000/AY7/Economy!Q7,0)</x:f>
        <x:v>0</x:v>
      </x:c>
      <x:c r="BG7" s="45" t="n">
        <x:v>0</x:v>
      </x:c>
      <x:c r="BH7" s="45" t="n">
        <x:v>0</x:v>
      </x:c>
      <x:c r="BI7" s="68" t="n">
        <x:v>0</x:v>
      </x:c>
      <x:c r="BJ7" s="47" t="n">
        <x:f>IF(BG7&gt;0,BH7*1000000/BG7,0)</x:f>
        <x:v>0</x:v>
      </x:c>
      <x:c r="BK7" s="64" t="n">
        <x:f>IF(AND(BI7&gt;0,BJ6&gt;0,B7&gt;0),MIN(conv_cap,conv_beta*1*BI7*MAX(0,LN(B7/(BJ6*BL6)))),0)</x:f>
        <x:v>0</x:v>
      </x:c>
      <x:c r="BL7" s="65" t="n">
        <x:f>BL6*(1+BK7)</x:f>
        <x:v>1</x:v>
      </x:c>
      <x:c r="BM7" s="47" t="n">
        <x:f>BH7*BL7</x:f>
        <x:v>0</x:v>
      </x:c>
      <x:c r="BN7" s="67" t="n">
        <x:f>IF(BG7&gt;0,BM7*1000000/BG7/Economy!Q7,0)</x:f>
        <x:v>0</x:v>
      </x:c>
      <x:c r="BO7" s="45" t="n">
        <x:v>0</x:v>
      </x:c>
      <x:c r="BP7" s="45" t="n">
        <x:v>0</x:v>
      </x:c>
      <x:c r="BQ7" s="68" t="n">
        <x:v>0</x:v>
      </x:c>
      <x:c r="BR7" s="47" t="n">
        <x:f>IF(BO7&gt;0,BP7*1000000/BO7,0)</x:f>
        <x:v>0</x:v>
      </x:c>
      <x:c r="BS7" s="64" t="n">
        <x:f>IF(AND(BQ7&gt;0,BR6&gt;0,B7&gt;0),MIN(conv_cap,conv_beta*1*BQ7*MAX(0,LN(B7/(BR6*BT6)))),0)</x:f>
        <x:v>0</x:v>
      </x:c>
      <x:c r="BT7" s="65" t="n">
        <x:f>BT6*(1+BS7)</x:f>
        <x:v>1</x:v>
      </x:c>
      <x:c r="BU7" s="47" t="n">
        <x:f>BP7*BT7</x:f>
        <x:v>0</x:v>
      </x:c>
      <x:c r="BV7" s="67" t="n">
        <x:f>IF(BO7&gt;0,BU7*1000000/BO7/Economy!Q7,0)</x:f>
        <x:v>0</x:v>
      </x:c>
      <x:c r="BW7" s="65" t="n">
        <x:f>0.25*IF(D7&gt;0,H7,1)+0.15*IF(AJ7&gt;0,AN7,1)+0.03*IF(AR7&gt;0,AV7,1)+0.08*IF(AZ7&gt;0,BD7,1)+0.12*IF(BH7&gt;0,BL7,1)+0.1*IF(L7&gt;0,P7,1)+0.07*IF(T7&gt;0,X7,1)+0.05*IF(AB7&gt;0,AF7,1)+0.05*IF(BP7&gt;0,BT7,1)+0.1</x:f>
        <x:v>1.0000000000000002</x:v>
      </x:c>
      <x:c r="BX7" s="63" t="n">
        <x:f>MIN(mkt_cap,mkt_elast*MAX(0,BW7-1))</x:f>
        <x:v>1.1102230246251565e-16</x:v>
      </x:c>
      <x:c r="BY7" s="47" t="n">
        <x:f>I7+Q7+Y7+AG7</x:f>
        <x:v>0</x:v>
      </x:c>
      <x:c r="BZ7" s="47" t="n">
        <x:f>D7+L7+T7+AB7</x:f>
        <x:v>0</x:v>
      </x:c>
      <x:c r="CA7" s="65" t="n">
        <x:f>IF(BZ7&gt;0,BY7/BZ7,0)</x:f>
        <x:v>0</x:v>
      </x:c>
    </x:row>
    <x:row r="8">
      <x:c r="A8" s="58" t="n">
        <x:v>1848</x:v>
      </x:c>
      <x:c r="B8" s="47" t="n">
        <x:f>Economy!P7</x:f>
        <x:v>115.44</x:v>
      </x:c>
      <x:c r="C8" s="45" t="n">
        <x:v>0</x:v>
      </x:c>
      <x:c r="D8" s="62" t="n">
        <x:f>Japan!B8</x:f>
        <x:v>0</x:v>
      </x:c>
      <x:c r="E8" s="68" t="n">
        <x:v>0</x:v>
      </x:c>
      <x:c r="F8" s="47" t="n">
        <x:f>IF(C8&gt;0,D8*1000000/C8,0)</x:f>
        <x:v>0</x:v>
      </x:c>
      <x:c r="G8" s="64" t="n">
        <x:f>IF(AND(E8&gt;0,F7&gt;0,B8&gt;0),MIN(conv_cap,conv_beta*jp_uplift*E8*MAX(0,LN(B8/(F7*H7)))),0)</x:f>
        <x:v>0</x:v>
      </x:c>
      <x:c r="H8" s="65" t="n">
        <x:f>H7*(1+G8)</x:f>
        <x:v>1</x:v>
      </x:c>
      <x:c r="I8" s="47" t="n">
        <x:f>D8*H8</x:f>
        <x:v>0</x:v>
      </x:c>
      <x:c r="J8" s="67" t="n">
        <x:f>IF(C8&gt;0,I8*1000000/C8/Economy!Q8,0)</x:f>
        <x:v>0</x:v>
      </x:c>
      <x:c r="K8" s="62" t="n">
        <x:f>Gulf!B8</x:f>
        <x:v>0</x:v>
      </x:c>
      <x:c r="L8" s="47" t="n">
        <x:f>Gulf!B8*Gulf!C8*Economy!Q8/1000000</x:f>
        <x:v>0</x:v>
      </x:c>
      <x:c r="M8" s="68" t="n">
        <x:v>0</x:v>
      </x:c>
      <x:c r="N8" s="47" t="n">
        <x:f>IF(K8&gt;0,L8*1000000/K8,0)</x:f>
        <x:v>0</x:v>
      </x:c>
      <x:c r="O8" s="64" t="n">
        <x:f>IF(AND(M8&gt;0,N7&gt;0,B8&gt;0),MIN(conv_cap,conv_beta*1*M8*MAX(0,LN(B8/(N7*P7)))),0)</x:f>
        <x:v>0</x:v>
      </x:c>
      <x:c r="P8" s="65" t="n">
        <x:f>P7*(1+O8)</x:f>
        <x:v>1</x:v>
      </x:c>
      <x:c r="Q8" s="47" t="n">
        <x:f>L8*P8</x:f>
        <x:v>0</x:v>
      </x:c>
      <x:c r="R8" s="67" t="n">
        <x:f>IF(K8&gt;0,Q8*1000000/K8/Economy!Q8,0)</x:f>
        <x:v>0</x:v>
      </x:c>
      <x:c r="S8" s="62" t="n">
        <x:f>People!U8</x:f>
        <x:v>0</x:v>
      </x:c>
      <x:c r="T8" s="45" t="n">
        <x:v>0</x:v>
      </x:c>
      <x:c r="U8" s="68" t="n">
        <x:v>0</x:v>
      </x:c>
      <x:c r="V8" s="47" t="n">
        <x:f>IF(S8&gt;0,T8*1000000/S8,0)</x:f>
        <x:v>0</x:v>
      </x:c>
      <x:c r="W8" s="64" t="n">
        <x:f>IF(AND(U8&gt;0,V7&gt;0,B8&gt;0),MIN(conv_cap,conv_beta*1*U8*MAX(0,LN(B8/(V7*X7)))),0)</x:f>
        <x:v>0</x:v>
      </x:c>
      <x:c r="X8" s="65" t="n">
        <x:f>X7*(1+W8)</x:f>
        <x:v>1</x:v>
      </x:c>
      <x:c r="Y8" s="47" t="n">
        <x:f>T8*X8</x:f>
        <x:v>0</x:v>
      </x:c>
      <x:c r="Z8" s="67" t="n">
        <x:f>IF(S8&gt;0,Y8*1000000/S8/Economy!Q8,0)</x:f>
        <x:v>0</x:v>
      </x:c>
      <x:c r="AA8" s="45" t="n">
        <x:v>0</x:v>
      </x:c>
      <x:c r="AB8" s="45" t="n">
        <x:v>0</x:v>
      </x:c>
      <x:c r="AC8" s="68" t="n">
        <x:v>0</x:v>
      </x:c>
      <x:c r="AD8" s="47" t="n">
        <x:f>IF(AA8&gt;0,AB8*1000000/AA8,0)</x:f>
        <x:v>0</x:v>
      </x:c>
      <x:c r="AE8" s="64" t="n">
        <x:f>IF(AND(AC8&gt;0,AD7&gt;0,B8&gt;0),MIN(conv_cap,conv_beta*1*AC8*MAX(0,LN(B8/(AD7*AF7)))),0)</x:f>
        <x:v>0</x:v>
      </x:c>
      <x:c r="AF8" s="65" t="n">
        <x:f>AF7*(1+AE8)</x:f>
        <x:v>1</x:v>
      </x:c>
      <x:c r="AG8" s="47" t="n">
        <x:f>AB8*AF8</x:f>
        <x:v>0</x:v>
      </x:c>
      <x:c r="AH8" s="67" t="n">
        <x:f>IF(AA8&gt;0,AG8*1000000/AA8/Economy!Q8,0)</x:f>
        <x:v>0</x:v>
      </x:c>
      <x:c r="AI8" s="45" t="n">
        <x:v>0</x:v>
      </x:c>
      <x:c r="AJ8" s="45" t="n">
        <x:v>0</x:v>
      </x:c>
      <x:c r="AK8" s="68" t="n">
        <x:v>0</x:v>
      </x:c>
      <x:c r="AL8" s="47" t="n">
        <x:f>IF(AI8&gt;0,AJ8*1000000/AI8,0)</x:f>
        <x:v>0</x:v>
      </x:c>
      <x:c r="AM8" s="64" t="n">
        <x:f>IF(AND(AK8&gt;0,AL7&gt;0,B8&gt;0),MIN(conv_cap,conv_beta*1*AK8*MAX(0,LN(B8/(AL7*AN7)))),0)</x:f>
        <x:v>0</x:v>
      </x:c>
      <x:c r="AN8" s="65" t="n">
        <x:f>AN7*(1+AM8)</x:f>
        <x:v>1</x:v>
      </x:c>
      <x:c r="AO8" s="47" t="n">
        <x:f>AJ8*AN8</x:f>
        <x:v>0</x:v>
      </x:c>
      <x:c r="AP8" s="67" t="n">
        <x:f>IF(AI8&gt;0,AO8*1000000/AI8/Economy!Q8,0)</x:f>
        <x:v>0</x:v>
      </x:c>
      <x:c r="AQ8" s="45" t="n">
        <x:v>0</x:v>
      </x:c>
      <x:c r="AR8" s="45" t="n">
        <x:v>0</x:v>
      </x:c>
      <x:c r="AS8" s="68" t="n">
        <x:v>0</x:v>
      </x:c>
      <x:c r="AT8" s="47" t="n">
        <x:f>IF(AQ8&gt;0,AR8*1000000/AQ8,0)</x:f>
        <x:v>0</x:v>
      </x:c>
      <x:c r="AU8" s="64" t="n">
        <x:f>IF(AND(AS8&gt;0,AT7&gt;0,B8&gt;0),MIN(conv_cap,conv_beta*1*AS8*MAX(0,LN(B8/(AT7*AV7)))),0)</x:f>
        <x:v>0</x:v>
      </x:c>
      <x:c r="AV8" s="65" t="n">
        <x:f>AV7*(1+AU8)</x:f>
        <x:v>1</x:v>
      </x:c>
      <x:c r="AW8" s="47" t="n">
        <x:f>AR8*AV8</x:f>
        <x:v>0</x:v>
      </x:c>
      <x:c r="AX8" s="67" t="n">
        <x:f>IF(AQ8&gt;0,AW8*1000000/AQ8/Economy!Q8,0)</x:f>
        <x:v>0</x:v>
      </x:c>
      <x:c r="AY8" s="45" t="n">
        <x:v>0</x:v>
      </x:c>
      <x:c r="AZ8" s="45" t="n">
        <x:v>0</x:v>
      </x:c>
      <x:c r="BA8" s="68" t="n">
        <x:v>0</x:v>
      </x:c>
      <x:c r="BB8" s="47" t="n">
        <x:f>IF(AY8&gt;0,AZ8*1000000/AY8,0)</x:f>
        <x:v>0</x:v>
      </x:c>
      <x:c r="BC8" s="64" t="n">
        <x:f>IF(AND(BA8&gt;0,BB7&gt;0,B8&gt;0),MIN(conv_cap,conv_beta*1*BA8*MAX(0,LN(B8/(BB7*BD7)))),0)</x:f>
        <x:v>0</x:v>
      </x:c>
      <x:c r="BD8" s="65" t="n">
        <x:f>BD7*(1+BC8)</x:f>
        <x:v>1</x:v>
      </x:c>
      <x:c r="BE8" s="47" t="n">
        <x:f>AZ8*BD8</x:f>
        <x:v>0</x:v>
      </x:c>
      <x:c r="BF8" s="67" t="n">
        <x:f>IF(AY8&gt;0,BE8*1000000/AY8/Economy!Q8,0)</x:f>
        <x:v>0</x:v>
      </x:c>
      <x:c r="BG8" s="45" t="n">
        <x:v>0</x:v>
      </x:c>
      <x:c r="BH8" s="45" t="n">
        <x:v>0</x:v>
      </x:c>
      <x:c r="BI8" s="68" t="n">
        <x:v>0</x:v>
      </x:c>
      <x:c r="BJ8" s="47" t="n">
        <x:f>IF(BG8&gt;0,BH8*1000000/BG8,0)</x:f>
        <x:v>0</x:v>
      </x:c>
      <x:c r="BK8" s="64" t="n">
        <x:f>IF(AND(BI8&gt;0,BJ7&gt;0,B8&gt;0),MIN(conv_cap,conv_beta*1*BI8*MAX(0,LN(B8/(BJ7*BL7)))),0)</x:f>
        <x:v>0</x:v>
      </x:c>
      <x:c r="BL8" s="65" t="n">
        <x:f>BL7*(1+BK8)</x:f>
        <x:v>1</x:v>
      </x:c>
      <x:c r="BM8" s="47" t="n">
        <x:f>BH8*BL8</x:f>
        <x:v>0</x:v>
      </x:c>
      <x:c r="BN8" s="67" t="n">
        <x:f>IF(BG8&gt;0,BM8*1000000/BG8/Economy!Q8,0)</x:f>
        <x:v>0</x:v>
      </x:c>
      <x:c r="BO8" s="45" t="n">
        <x:v>0</x:v>
      </x:c>
      <x:c r="BP8" s="45" t="n">
        <x:v>0</x:v>
      </x:c>
      <x:c r="BQ8" s="68" t="n">
        <x:v>0</x:v>
      </x:c>
      <x:c r="BR8" s="47" t="n">
        <x:f>IF(BO8&gt;0,BP8*1000000/BO8,0)</x:f>
        <x:v>0</x:v>
      </x:c>
      <x:c r="BS8" s="64" t="n">
        <x:f>IF(AND(BQ8&gt;0,BR7&gt;0,B8&gt;0),MIN(conv_cap,conv_beta*1*BQ8*MAX(0,LN(B8/(BR7*BT7)))),0)</x:f>
        <x:v>0</x:v>
      </x:c>
      <x:c r="BT8" s="65" t="n">
        <x:f>BT7*(1+BS8)</x:f>
        <x:v>1</x:v>
      </x:c>
      <x:c r="BU8" s="47" t="n">
        <x:f>BP8*BT8</x:f>
        <x:v>0</x:v>
      </x:c>
      <x:c r="BV8" s="67" t="n">
        <x:f>IF(BO8&gt;0,BU8*1000000/BO8/Economy!Q8,0)</x:f>
        <x:v>0</x:v>
      </x:c>
      <x:c r="BW8" s="65" t="n">
        <x:f>0.25*IF(D8&gt;0,H8,1)+0.15*IF(AJ8&gt;0,AN8,1)+0.03*IF(AR8&gt;0,AV8,1)+0.08*IF(AZ8&gt;0,BD8,1)+0.12*IF(BH8&gt;0,BL8,1)+0.1*IF(L8&gt;0,P8,1)+0.07*IF(T8&gt;0,X8,1)+0.05*IF(AB8&gt;0,AF8,1)+0.05*IF(BP8&gt;0,BT8,1)+0.1</x:f>
        <x:v>1.0000000000000002</x:v>
      </x:c>
      <x:c r="BX8" s="63" t="n">
        <x:f>MIN(mkt_cap,mkt_elast*MAX(0,BW8-1))</x:f>
        <x:v>1.1102230246251565e-16</x:v>
      </x:c>
      <x:c r="BY8" s="47" t="n">
        <x:f>I8+Q8+Y8+AG8</x:f>
        <x:v>0</x:v>
      </x:c>
      <x:c r="BZ8" s="47" t="n">
        <x:f>D8+L8+T8+AB8</x:f>
        <x:v>0</x:v>
      </x:c>
      <x:c r="CA8" s="65" t="n">
        <x:f>IF(BZ8&gt;0,BY8/BZ8,0)</x:f>
        <x:v>0</x:v>
      </x:c>
    </x:row>
    <x:row r="9">
      <x:c r="A9" s="58" t="n">
        <x:v>1849</x:v>
      </x:c>
      <x:c r="B9" s="47" t="n">
        <x:f>Economy!P8</x:f>
        <x:v>157.7165276010291</x:v>
      </x:c>
      <x:c r="C9" s="45" t="n">
        <x:v>0</x:v>
      </x:c>
      <x:c r="D9" s="62" t="n">
        <x:f>Japan!B9</x:f>
        <x:v>0</x:v>
      </x:c>
      <x:c r="E9" s="68" t="n">
        <x:v>0</x:v>
      </x:c>
      <x:c r="F9" s="47" t="n">
        <x:f>IF(C9&gt;0,D9*1000000/C9,0)</x:f>
        <x:v>0</x:v>
      </x:c>
      <x:c r="G9" s="64" t="n">
        <x:f>IF(AND(E9&gt;0,F8&gt;0,B9&gt;0),MIN(conv_cap,conv_beta*jp_uplift*E9*MAX(0,LN(B9/(F8*H8)))),0)</x:f>
        <x:v>0</x:v>
      </x:c>
      <x:c r="H9" s="65" t="n">
        <x:f>H8*(1+G9)</x:f>
        <x:v>1</x:v>
      </x:c>
      <x:c r="I9" s="47" t="n">
        <x:f>D9*H9</x:f>
        <x:v>0</x:v>
      </x:c>
      <x:c r="J9" s="67" t="n">
        <x:f>IF(C9&gt;0,I9*1000000/C9/Economy!Q9,0)</x:f>
        <x:v>0</x:v>
      </x:c>
      <x:c r="K9" s="62" t="n">
        <x:f>Gulf!B9</x:f>
        <x:v>0</x:v>
      </x:c>
      <x:c r="L9" s="47" t="n">
        <x:f>Gulf!B9*Gulf!C9*Economy!Q9/1000000</x:f>
        <x:v>0</x:v>
      </x:c>
      <x:c r="M9" s="68" t="n">
        <x:v>0</x:v>
      </x:c>
      <x:c r="N9" s="47" t="n">
        <x:f>IF(K9&gt;0,L9*1000000/K9,0)</x:f>
        <x:v>0</x:v>
      </x:c>
      <x:c r="O9" s="64" t="n">
        <x:f>IF(AND(M9&gt;0,N8&gt;0,B9&gt;0),MIN(conv_cap,conv_beta*1*M9*MAX(0,LN(B9/(N8*P8)))),0)</x:f>
        <x:v>0</x:v>
      </x:c>
      <x:c r="P9" s="65" t="n">
        <x:f>P8*(1+O9)</x:f>
        <x:v>1</x:v>
      </x:c>
      <x:c r="Q9" s="47" t="n">
        <x:f>L9*P9</x:f>
        <x:v>0</x:v>
      </x:c>
      <x:c r="R9" s="67" t="n">
        <x:f>IF(K9&gt;0,Q9*1000000/K9/Economy!Q9,0)</x:f>
        <x:v>0</x:v>
      </x:c>
      <x:c r="S9" s="62" t="n">
        <x:f>People!U9</x:f>
        <x:v>0</x:v>
      </x:c>
      <x:c r="T9" s="45" t="n">
        <x:v>0</x:v>
      </x:c>
      <x:c r="U9" s="68" t="n">
        <x:v>0</x:v>
      </x:c>
      <x:c r="V9" s="47" t="n">
        <x:f>IF(S9&gt;0,T9*1000000/S9,0)</x:f>
        <x:v>0</x:v>
      </x:c>
      <x:c r="W9" s="64" t="n">
        <x:f>IF(AND(U9&gt;0,V8&gt;0,B9&gt;0),MIN(conv_cap,conv_beta*1*U9*MAX(0,LN(B9/(V8*X8)))),0)</x:f>
        <x:v>0</x:v>
      </x:c>
      <x:c r="X9" s="65" t="n">
        <x:f>X8*(1+W9)</x:f>
        <x:v>1</x:v>
      </x:c>
      <x:c r="Y9" s="47" t="n">
        <x:f>T9*X9</x:f>
        <x:v>0</x:v>
      </x:c>
      <x:c r="Z9" s="67" t="n">
        <x:f>IF(S9&gt;0,Y9*1000000/S9/Economy!Q9,0)</x:f>
        <x:v>0</x:v>
      </x:c>
      <x:c r="AA9" s="45" t="n">
        <x:v>0</x:v>
      </x:c>
      <x:c r="AB9" s="45" t="n">
        <x:v>0</x:v>
      </x:c>
      <x:c r="AC9" s="68" t="n">
        <x:v>0</x:v>
      </x:c>
      <x:c r="AD9" s="47" t="n">
        <x:f>IF(AA9&gt;0,AB9*1000000/AA9,0)</x:f>
        <x:v>0</x:v>
      </x:c>
      <x:c r="AE9" s="64" t="n">
        <x:f>IF(AND(AC9&gt;0,AD8&gt;0,B9&gt;0),MIN(conv_cap,conv_beta*1*AC9*MAX(0,LN(B9/(AD8*AF8)))),0)</x:f>
        <x:v>0</x:v>
      </x:c>
      <x:c r="AF9" s="65" t="n">
        <x:f>AF8*(1+AE9)</x:f>
        <x:v>1</x:v>
      </x:c>
      <x:c r="AG9" s="47" t="n">
        <x:f>AB9*AF9</x:f>
        <x:v>0</x:v>
      </x:c>
      <x:c r="AH9" s="67" t="n">
        <x:f>IF(AA9&gt;0,AG9*1000000/AA9/Economy!Q9,0)</x:f>
        <x:v>0</x:v>
      </x:c>
      <x:c r="AI9" s="45" t="n">
        <x:v>0</x:v>
      </x:c>
      <x:c r="AJ9" s="45" t="n">
        <x:v>0</x:v>
      </x:c>
      <x:c r="AK9" s="68" t="n">
        <x:v>0</x:v>
      </x:c>
      <x:c r="AL9" s="47" t="n">
        <x:f>IF(AI9&gt;0,AJ9*1000000/AI9,0)</x:f>
        <x:v>0</x:v>
      </x:c>
      <x:c r="AM9" s="64" t="n">
        <x:f>IF(AND(AK9&gt;0,AL8&gt;0,B9&gt;0),MIN(conv_cap,conv_beta*1*AK9*MAX(0,LN(B9/(AL8*AN8)))),0)</x:f>
        <x:v>0</x:v>
      </x:c>
      <x:c r="AN9" s="65" t="n">
        <x:f>AN8*(1+AM9)</x:f>
        <x:v>1</x:v>
      </x:c>
      <x:c r="AO9" s="47" t="n">
        <x:f>AJ9*AN9</x:f>
        <x:v>0</x:v>
      </x:c>
      <x:c r="AP9" s="67" t="n">
        <x:f>IF(AI9&gt;0,AO9*1000000/AI9/Economy!Q9,0)</x:f>
        <x:v>0</x:v>
      </x:c>
      <x:c r="AQ9" s="45" t="n">
        <x:v>0</x:v>
      </x:c>
      <x:c r="AR9" s="45" t="n">
        <x:v>0</x:v>
      </x:c>
      <x:c r="AS9" s="68" t="n">
        <x:v>0</x:v>
      </x:c>
      <x:c r="AT9" s="47" t="n">
        <x:f>IF(AQ9&gt;0,AR9*1000000/AQ9,0)</x:f>
        <x:v>0</x:v>
      </x:c>
      <x:c r="AU9" s="64" t="n">
        <x:f>IF(AND(AS9&gt;0,AT8&gt;0,B9&gt;0),MIN(conv_cap,conv_beta*1*AS9*MAX(0,LN(B9/(AT8*AV8)))),0)</x:f>
        <x:v>0</x:v>
      </x:c>
      <x:c r="AV9" s="65" t="n">
        <x:f>AV8*(1+AU9)</x:f>
        <x:v>1</x:v>
      </x:c>
      <x:c r="AW9" s="47" t="n">
        <x:f>AR9*AV9</x:f>
        <x:v>0</x:v>
      </x:c>
      <x:c r="AX9" s="67" t="n">
        <x:f>IF(AQ9&gt;0,AW9*1000000/AQ9/Economy!Q9,0)</x:f>
        <x:v>0</x:v>
      </x:c>
      <x:c r="AY9" s="45" t="n">
        <x:v>0</x:v>
      </x:c>
      <x:c r="AZ9" s="45" t="n">
        <x:v>0</x:v>
      </x:c>
      <x:c r="BA9" s="68" t="n">
        <x:v>0</x:v>
      </x:c>
      <x:c r="BB9" s="47" t="n">
        <x:f>IF(AY9&gt;0,AZ9*1000000/AY9,0)</x:f>
        <x:v>0</x:v>
      </x:c>
      <x:c r="BC9" s="64" t="n">
        <x:f>IF(AND(BA9&gt;0,BB8&gt;0,B9&gt;0),MIN(conv_cap,conv_beta*1*BA9*MAX(0,LN(B9/(BB8*BD8)))),0)</x:f>
        <x:v>0</x:v>
      </x:c>
      <x:c r="BD9" s="65" t="n">
        <x:f>BD8*(1+BC9)</x:f>
        <x:v>1</x:v>
      </x:c>
      <x:c r="BE9" s="47" t="n">
        <x:f>AZ9*BD9</x:f>
        <x:v>0</x:v>
      </x:c>
      <x:c r="BF9" s="67" t="n">
        <x:f>IF(AY9&gt;0,BE9*1000000/AY9/Economy!Q9,0)</x:f>
        <x:v>0</x:v>
      </x:c>
      <x:c r="BG9" s="45" t="n">
        <x:v>0</x:v>
      </x:c>
      <x:c r="BH9" s="45" t="n">
        <x:v>0</x:v>
      </x:c>
      <x:c r="BI9" s="68" t="n">
        <x:v>0</x:v>
      </x:c>
      <x:c r="BJ9" s="47" t="n">
        <x:f>IF(BG9&gt;0,BH9*1000000/BG9,0)</x:f>
        <x:v>0</x:v>
      </x:c>
      <x:c r="BK9" s="64" t="n">
        <x:f>IF(AND(BI9&gt;0,BJ8&gt;0,B9&gt;0),MIN(conv_cap,conv_beta*1*BI9*MAX(0,LN(B9/(BJ8*BL8)))),0)</x:f>
        <x:v>0</x:v>
      </x:c>
      <x:c r="BL9" s="65" t="n">
        <x:f>BL8*(1+BK9)</x:f>
        <x:v>1</x:v>
      </x:c>
      <x:c r="BM9" s="47" t="n">
        <x:f>BH9*BL9</x:f>
        <x:v>0</x:v>
      </x:c>
      <x:c r="BN9" s="67" t="n">
        <x:f>IF(BG9&gt;0,BM9*1000000/BG9/Economy!Q9,0)</x:f>
        <x:v>0</x:v>
      </x:c>
      <x:c r="BO9" s="45" t="n">
        <x:v>0</x:v>
      </x:c>
      <x:c r="BP9" s="45" t="n">
        <x:v>0</x:v>
      </x:c>
      <x:c r="BQ9" s="68" t="n">
        <x:v>0</x:v>
      </x:c>
      <x:c r="BR9" s="47" t="n">
        <x:f>IF(BO9&gt;0,BP9*1000000/BO9,0)</x:f>
        <x:v>0</x:v>
      </x:c>
      <x:c r="BS9" s="64" t="n">
        <x:f>IF(AND(BQ9&gt;0,BR8&gt;0,B9&gt;0),MIN(conv_cap,conv_beta*1*BQ9*MAX(0,LN(B9/(BR8*BT8)))),0)</x:f>
        <x:v>0</x:v>
      </x:c>
      <x:c r="BT9" s="65" t="n">
        <x:f>BT8*(1+BS9)</x:f>
        <x:v>1</x:v>
      </x:c>
      <x:c r="BU9" s="47" t="n">
        <x:f>BP9*BT9</x:f>
        <x:v>0</x:v>
      </x:c>
      <x:c r="BV9" s="67" t="n">
        <x:f>IF(BO9&gt;0,BU9*1000000/BO9/Economy!Q9,0)</x:f>
        <x:v>0</x:v>
      </x:c>
      <x:c r="BW9" s="65" t="n">
        <x:f>0.25*IF(D9&gt;0,H9,1)+0.15*IF(AJ9&gt;0,AN9,1)+0.03*IF(AR9&gt;0,AV9,1)+0.08*IF(AZ9&gt;0,BD9,1)+0.12*IF(BH9&gt;0,BL9,1)+0.1*IF(L9&gt;0,P9,1)+0.07*IF(T9&gt;0,X9,1)+0.05*IF(AB9&gt;0,AF9,1)+0.05*IF(BP9&gt;0,BT9,1)+0.1</x:f>
        <x:v>1.0000000000000002</x:v>
      </x:c>
      <x:c r="BX9" s="63" t="n">
        <x:f>MIN(mkt_cap,mkt_elast*MAX(0,BW9-1))</x:f>
        <x:v>1.1102230246251565e-16</x:v>
      </x:c>
      <x:c r="BY9" s="47" t="n">
        <x:f>I9+Q9+Y9+AG9</x:f>
        <x:v>0</x:v>
      </x:c>
      <x:c r="BZ9" s="47" t="n">
        <x:f>D9+L9+T9+AB9</x:f>
        <x:v>0</x:v>
      </x:c>
      <x:c r="CA9" s="65" t="n">
        <x:f>IF(BZ9&gt;0,BY9/BZ9,0)</x:f>
        <x:v>0</x:v>
      </x:c>
    </x:row>
    <x:row r="10">
      <x:c r="A10" s="58" t="n">
        <x:v>1850</x:v>
      </x:c>
      <x:c r="B10" s="47" t="n">
        <x:f>Economy!P9</x:f>
        <x:v>330.57241831225315</x:v>
      </x:c>
      <x:c r="C10" s="45" t="n">
        <x:v>0</x:v>
      </x:c>
      <x:c r="D10" s="62" t="n">
        <x:f>Japan!B10</x:f>
        <x:v>0</x:v>
      </x:c>
      <x:c r="E10" s="68" t="n">
        <x:v>0</x:v>
      </x:c>
      <x:c r="F10" s="47" t="n">
        <x:f>IF(C10&gt;0,D10*1000000/C10,0)</x:f>
        <x:v>0</x:v>
      </x:c>
      <x:c r="G10" s="64" t="n">
        <x:f>IF(AND(E10&gt;0,F9&gt;0,B10&gt;0),MIN(conv_cap,conv_beta*jp_uplift*E10*MAX(0,LN(B10/(F9*H9)))),0)</x:f>
        <x:v>0</x:v>
      </x:c>
      <x:c r="H10" s="65" t="n">
        <x:f>H9*(1+G10)</x:f>
        <x:v>1</x:v>
      </x:c>
      <x:c r="I10" s="47" t="n">
        <x:f>D10*H10</x:f>
        <x:v>0</x:v>
      </x:c>
      <x:c r="J10" s="67" t="n">
        <x:f>IF(C10&gt;0,I10*1000000/C10/Economy!Q10,0)</x:f>
        <x:v>0</x:v>
      </x:c>
      <x:c r="K10" s="62" t="n">
        <x:f>Gulf!B10</x:f>
        <x:v>0</x:v>
      </x:c>
      <x:c r="L10" s="47" t="n">
        <x:f>Gulf!B10*Gulf!C10*Economy!Q10/1000000</x:f>
        <x:v>0</x:v>
      </x:c>
      <x:c r="M10" s="68" t="n">
        <x:v>0</x:v>
      </x:c>
      <x:c r="N10" s="47" t="n">
        <x:f>IF(K10&gt;0,L10*1000000/K10,0)</x:f>
        <x:v>0</x:v>
      </x:c>
      <x:c r="O10" s="64" t="n">
        <x:f>IF(AND(M10&gt;0,N9&gt;0,B10&gt;0),MIN(conv_cap,conv_beta*1*M10*MAX(0,LN(B10/(N9*P9)))),0)</x:f>
        <x:v>0</x:v>
      </x:c>
      <x:c r="P10" s="65" t="n">
        <x:f>P9*(1+O10)</x:f>
        <x:v>1</x:v>
      </x:c>
      <x:c r="Q10" s="47" t="n">
        <x:f>L10*P10</x:f>
        <x:v>0</x:v>
      </x:c>
      <x:c r="R10" s="67" t="n">
        <x:f>IF(K10&gt;0,Q10*1000000/K10/Economy!Q10,0)</x:f>
        <x:v>0</x:v>
      </x:c>
      <x:c r="S10" s="62" t="n">
        <x:f>People!U10</x:f>
        <x:v>0</x:v>
      </x:c>
      <x:c r="T10" s="45" t="n">
        <x:v>0</x:v>
      </x:c>
      <x:c r="U10" s="68" t="n">
        <x:v>0</x:v>
      </x:c>
      <x:c r="V10" s="47" t="n">
        <x:f>IF(S10&gt;0,T10*1000000/S10,0)</x:f>
        <x:v>0</x:v>
      </x:c>
      <x:c r="W10" s="64" t="n">
        <x:f>IF(AND(U10&gt;0,V9&gt;0,B10&gt;0),MIN(conv_cap,conv_beta*1*U10*MAX(0,LN(B10/(V9*X9)))),0)</x:f>
        <x:v>0</x:v>
      </x:c>
      <x:c r="X10" s="65" t="n">
        <x:f>X9*(1+W10)</x:f>
        <x:v>1</x:v>
      </x:c>
      <x:c r="Y10" s="47" t="n">
        <x:f>T10*X10</x:f>
        <x:v>0</x:v>
      </x:c>
      <x:c r="Z10" s="67" t="n">
        <x:f>IF(S10&gt;0,Y10*1000000/S10/Economy!Q10,0)</x:f>
        <x:v>0</x:v>
      </x:c>
      <x:c r="AA10" s="45" t="n">
        <x:v>0</x:v>
      </x:c>
      <x:c r="AB10" s="45" t="n">
        <x:v>0</x:v>
      </x:c>
      <x:c r="AC10" s="68" t="n">
        <x:v>0</x:v>
      </x:c>
      <x:c r="AD10" s="47" t="n">
        <x:f>IF(AA10&gt;0,AB10*1000000/AA10,0)</x:f>
        <x:v>0</x:v>
      </x:c>
      <x:c r="AE10" s="64" t="n">
        <x:f>IF(AND(AC10&gt;0,AD9&gt;0,B10&gt;0),MIN(conv_cap,conv_beta*1*AC10*MAX(0,LN(B10/(AD9*AF9)))),0)</x:f>
        <x:v>0</x:v>
      </x:c>
      <x:c r="AF10" s="65" t="n">
        <x:f>AF9*(1+AE10)</x:f>
        <x:v>1</x:v>
      </x:c>
      <x:c r="AG10" s="47" t="n">
        <x:f>AB10*AF10</x:f>
        <x:v>0</x:v>
      </x:c>
      <x:c r="AH10" s="67" t="n">
        <x:f>IF(AA10&gt;0,AG10*1000000/AA10/Economy!Q10,0)</x:f>
        <x:v>0</x:v>
      </x:c>
      <x:c r="AI10" s="45" t="n">
        <x:v>0</x:v>
      </x:c>
      <x:c r="AJ10" s="45" t="n">
        <x:v>0</x:v>
      </x:c>
      <x:c r="AK10" s="68" t="n">
        <x:v>0</x:v>
      </x:c>
      <x:c r="AL10" s="47" t="n">
        <x:f>IF(AI10&gt;0,AJ10*1000000/AI10,0)</x:f>
        <x:v>0</x:v>
      </x:c>
      <x:c r="AM10" s="64" t="n">
        <x:f>IF(AND(AK10&gt;0,AL9&gt;0,B10&gt;0),MIN(conv_cap,conv_beta*1*AK10*MAX(0,LN(B10/(AL9*AN9)))),0)</x:f>
        <x:v>0</x:v>
      </x:c>
      <x:c r="AN10" s="65" t="n">
        <x:f>AN9*(1+AM10)</x:f>
        <x:v>1</x:v>
      </x:c>
      <x:c r="AO10" s="47" t="n">
        <x:f>AJ10*AN10</x:f>
        <x:v>0</x:v>
      </x:c>
      <x:c r="AP10" s="67" t="n">
        <x:f>IF(AI10&gt;0,AO10*1000000/AI10/Economy!Q10,0)</x:f>
        <x:v>0</x:v>
      </x:c>
      <x:c r="AQ10" s="45" t="n">
        <x:v>0</x:v>
      </x:c>
      <x:c r="AR10" s="45" t="n">
        <x:v>0</x:v>
      </x:c>
      <x:c r="AS10" s="68" t="n">
        <x:v>0</x:v>
      </x:c>
      <x:c r="AT10" s="47" t="n">
        <x:f>IF(AQ10&gt;0,AR10*1000000/AQ10,0)</x:f>
        <x:v>0</x:v>
      </x:c>
      <x:c r="AU10" s="64" t="n">
        <x:f>IF(AND(AS10&gt;0,AT9&gt;0,B10&gt;0),MIN(conv_cap,conv_beta*1*AS10*MAX(0,LN(B10/(AT9*AV9)))),0)</x:f>
        <x:v>0</x:v>
      </x:c>
      <x:c r="AV10" s="65" t="n">
        <x:f>AV9*(1+AU10)</x:f>
        <x:v>1</x:v>
      </x:c>
      <x:c r="AW10" s="47" t="n">
        <x:f>AR10*AV10</x:f>
        <x:v>0</x:v>
      </x:c>
      <x:c r="AX10" s="67" t="n">
        <x:f>IF(AQ10&gt;0,AW10*1000000/AQ10/Economy!Q10,0)</x:f>
        <x:v>0</x:v>
      </x:c>
      <x:c r="AY10" s="45" t="n">
        <x:v>0</x:v>
      </x:c>
      <x:c r="AZ10" s="45" t="n">
        <x:v>0</x:v>
      </x:c>
      <x:c r="BA10" s="68" t="n">
        <x:v>0</x:v>
      </x:c>
      <x:c r="BB10" s="47" t="n">
        <x:f>IF(AY10&gt;0,AZ10*1000000/AY10,0)</x:f>
        <x:v>0</x:v>
      </x:c>
      <x:c r="BC10" s="64" t="n">
        <x:f>IF(AND(BA10&gt;0,BB9&gt;0,B10&gt;0),MIN(conv_cap,conv_beta*1*BA10*MAX(0,LN(B10/(BB9*BD9)))),0)</x:f>
        <x:v>0</x:v>
      </x:c>
      <x:c r="BD10" s="65" t="n">
        <x:f>BD9*(1+BC10)</x:f>
        <x:v>1</x:v>
      </x:c>
      <x:c r="BE10" s="47" t="n">
        <x:f>AZ10*BD10</x:f>
        <x:v>0</x:v>
      </x:c>
      <x:c r="BF10" s="67" t="n">
        <x:f>IF(AY10&gt;0,BE10*1000000/AY10/Economy!Q10,0)</x:f>
        <x:v>0</x:v>
      </x:c>
      <x:c r="BG10" s="45" t="n">
        <x:v>0</x:v>
      </x:c>
      <x:c r="BH10" s="45" t="n">
        <x:v>0</x:v>
      </x:c>
      <x:c r="BI10" s="68" t="n">
        <x:v>0</x:v>
      </x:c>
      <x:c r="BJ10" s="47" t="n">
        <x:f>IF(BG10&gt;0,BH10*1000000/BG10,0)</x:f>
        <x:v>0</x:v>
      </x:c>
      <x:c r="BK10" s="64" t="n">
        <x:f>IF(AND(BI10&gt;0,BJ9&gt;0,B10&gt;0),MIN(conv_cap,conv_beta*1*BI10*MAX(0,LN(B10/(BJ9*BL9)))),0)</x:f>
        <x:v>0</x:v>
      </x:c>
      <x:c r="BL10" s="65" t="n">
        <x:f>BL9*(1+BK10)</x:f>
        <x:v>1</x:v>
      </x:c>
      <x:c r="BM10" s="47" t="n">
        <x:f>BH10*BL10</x:f>
        <x:v>0</x:v>
      </x:c>
      <x:c r="BN10" s="67" t="n">
        <x:f>IF(BG10&gt;0,BM10*1000000/BG10/Economy!Q10,0)</x:f>
        <x:v>0</x:v>
      </x:c>
      <x:c r="BO10" s="45" t="n">
        <x:v>0</x:v>
      </x:c>
      <x:c r="BP10" s="45" t="n">
        <x:v>0</x:v>
      </x:c>
      <x:c r="BQ10" s="68" t="n">
        <x:v>0</x:v>
      </x:c>
      <x:c r="BR10" s="47" t="n">
        <x:f>IF(BO10&gt;0,BP10*1000000/BO10,0)</x:f>
        <x:v>0</x:v>
      </x:c>
      <x:c r="BS10" s="64" t="n">
        <x:f>IF(AND(BQ10&gt;0,BR9&gt;0,B10&gt;0),MIN(conv_cap,conv_beta*1*BQ10*MAX(0,LN(B10/(BR9*BT9)))),0)</x:f>
        <x:v>0</x:v>
      </x:c>
      <x:c r="BT10" s="65" t="n">
        <x:f>BT9*(1+BS10)</x:f>
        <x:v>1</x:v>
      </x:c>
      <x:c r="BU10" s="47" t="n">
        <x:f>BP10*BT10</x:f>
        <x:v>0</x:v>
      </x:c>
      <x:c r="BV10" s="67" t="n">
        <x:f>IF(BO10&gt;0,BU10*1000000/BO10/Economy!Q10,0)</x:f>
        <x:v>0</x:v>
      </x:c>
      <x:c r="BW10" s="65" t="n">
        <x:f>0.25*IF(D10&gt;0,H10,1)+0.15*IF(AJ10&gt;0,AN10,1)+0.03*IF(AR10&gt;0,AV10,1)+0.08*IF(AZ10&gt;0,BD10,1)+0.12*IF(BH10&gt;0,BL10,1)+0.1*IF(L10&gt;0,P10,1)+0.07*IF(T10&gt;0,X10,1)+0.05*IF(AB10&gt;0,AF10,1)+0.05*IF(BP10&gt;0,BT10,1)+0.1</x:f>
        <x:v>1.0000000000000002</x:v>
      </x:c>
      <x:c r="BX10" s="63" t="n">
        <x:f>MIN(mkt_cap,mkt_elast*MAX(0,BW10-1))</x:f>
        <x:v>1.1102230246251565e-16</x:v>
      </x:c>
      <x:c r="BY10" s="47" t="n">
        <x:f>I10+Q10+Y10+AG10</x:f>
        <x:v>0</x:v>
      </x:c>
      <x:c r="BZ10" s="47" t="n">
        <x:f>D10+L10+T10+AB10</x:f>
        <x:v>0</x:v>
      </x:c>
      <x:c r="CA10" s="65" t="n">
        <x:f>IF(BZ10&gt;0,BY10/BZ10,0)</x:f>
        <x:v>0</x:v>
      </x:c>
    </x:row>
    <x:row r="11">
      <x:c r="A11" s="58" t="n">
        <x:v>1851</x:v>
      </x:c>
      <x:c r="B11" s="47" t="n">
        <x:f>Economy!P10</x:f>
        <x:v>306.9265247118945</x:v>
      </x:c>
      <x:c r="C11" s="45" t="n">
        <x:v>0</x:v>
      </x:c>
      <x:c r="D11" s="62" t="n">
        <x:f>Japan!B11</x:f>
        <x:v>0</x:v>
      </x:c>
      <x:c r="E11" s="68" t="n">
        <x:v>0</x:v>
      </x:c>
      <x:c r="F11" s="47" t="n">
        <x:f>IF(C11&gt;0,D11*1000000/C11,0)</x:f>
        <x:v>0</x:v>
      </x:c>
      <x:c r="G11" s="64" t="n">
        <x:f>IF(AND(E11&gt;0,F10&gt;0,B11&gt;0),MIN(conv_cap,conv_beta*jp_uplift*E11*MAX(0,LN(B11/(F10*H10)))),0)</x:f>
        <x:v>0</x:v>
      </x:c>
      <x:c r="H11" s="65" t="n">
        <x:f>H10*(1+G11)</x:f>
        <x:v>1</x:v>
      </x:c>
      <x:c r="I11" s="47" t="n">
        <x:f>D11*H11</x:f>
        <x:v>0</x:v>
      </x:c>
      <x:c r="J11" s="67" t="n">
        <x:f>IF(C11&gt;0,I11*1000000/C11/Economy!Q11,0)</x:f>
        <x:v>0</x:v>
      </x:c>
      <x:c r="K11" s="62" t="n">
        <x:f>Gulf!B11</x:f>
        <x:v>0</x:v>
      </x:c>
      <x:c r="L11" s="47" t="n">
        <x:f>Gulf!B11*Gulf!C11*Economy!Q11/1000000</x:f>
        <x:v>0</x:v>
      </x:c>
      <x:c r="M11" s="68" t="n">
        <x:v>0</x:v>
      </x:c>
      <x:c r="N11" s="47" t="n">
        <x:f>IF(K11&gt;0,L11*1000000/K11,0)</x:f>
        <x:v>0</x:v>
      </x:c>
      <x:c r="O11" s="64" t="n">
        <x:f>IF(AND(M11&gt;0,N10&gt;0,B11&gt;0),MIN(conv_cap,conv_beta*1*M11*MAX(0,LN(B11/(N10*P10)))),0)</x:f>
        <x:v>0</x:v>
      </x:c>
      <x:c r="P11" s="65" t="n">
        <x:f>P10*(1+O11)</x:f>
        <x:v>1</x:v>
      </x:c>
      <x:c r="Q11" s="47" t="n">
        <x:f>L11*P11</x:f>
        <x:v>0</x:v>
      </x:c>
      <x:c r="R11" s="67" t="n">
        <x:f>IF(K11&gt;0,Q11*1000000/K11/Economy!Q11,0)</x:f>
        <x:v>0</x:v>
      </x:c>
      <x:c r="S11" s="62" t="n">
        <x:f>People!U11</x:f>
        <x:v>0</x:v>
      </x:c>
      <x:c r="T11" s="45" t="n">
        <x:v>0</x:v>
      </x:c>
      <x:c r="U11" s="68" t="n">
        <x:v>0</x:v>
      </x:c>
      <x:c r="V11" s="47" t="n">
        <x:f>IF(S11&gt;0,T11*1000000/S11,0)</x:f>
        <x:v>0</x:v>
      </x:c>
      <x:c r="W11" s="64" t="n">
        <x:f>IF(AND(U11&gt;0,V10&gt;0,B11&gt;0),MIN(conv_cap,conv_beta*1*U11*MAX(0,LN(B11/(V10*X10)))),0)</x:f>
        <x:v>0</x:v>
      </x:c>
      <x:c r="X11" s="65" t="n">
        <x:f>X10*(1+W11)</x:f>
        <x:v>1</x:v>
      </x:c>
      <x:c r="Y11" s="47" t="n">
        <x:f>T11*X11</x:f>
        <x:v>0</x:v>
      </x:c>
      <x:c r="Z11" s="67" t="n">
        <x:f>IF(S11&gt;0,Y11*1000000/S11/Economy!Q11,0)</x:f>
        <x:v>0</x:v>
      </x:c>
      <x:c r="AA11" s="45" t="n">
        <x:v>0</x:v>
      </x:c>
      <x:c r="AB11" s="45" t="n">
        <x:v>0</x:v>
      </x:c>
      <x:c r="AC11" s="68" t="n">
        <x:v>0</x:v>
      </x:c>
      <x:c r="AD11" s="47" t="n">
        <x:f>IF(AA11&gt;0,AB11*1000000/AA11,0)</x:f>
        <x:v>0</x:v>
      </x:c>
      <x:c r="AE11" s="64" t="n">
        <x:f>IF(AND(AC11&gt;0,AD10&gt;0,B11&gt;0),MIN(conv_cap,conv_beta*1*AC11*MAX(0,LN(B11/(AD10*AF10)))),0)</x:f>
        <x:v>0</x:v>
      </x:c>
      <x:c r="AF11" s="65" t="n">
        <x:f>AF10*(1+AE11)</x:f>
        <x:v>1</x:v>
      </x:c>
      <x:c r="AG11" s="47" t="n">
        <x:f>AB11*AF11</x:f>
        <x:v>0</x:v>
      </x:c>
      <x:c r="AH11" s="67" t="n">
        <x:f>IF(AA11&gt;0,AG11*1000000/AA11/Economy!Q11,0)</x:f>
        <x:v>0</x:v>
      </x:c>
      <x:c r="AI11" s="45" t="n">
        <x:v>0</x:v>
      </x:c>
      <x:c r="AJ11" s="45" t="n">
        <x:v>0</x:v>
      </x:c>
      <x:c r="AK11" s="68" t="n">
        <x:v>0</x:v>
      </x:c>
      <x:c r="AL11" s="47" t="n">
        <x:f>IF(AI11&gt;0,AJ11*1000000/AI11,0)</x:f>
        <x:v>0</x:v>
      </x:c>
      <x:c r="AM11" s="64" t="n">
        <x:f>IF(AND(AK11&gt;0,AL10&gt;0,B11&gt;0),MIN(conv_cap,conv_beta*1*AK11*MAX(0,LN(B11/(AL10*AN10)))),0)</x:f>
        <x:v>0</x:v>
      </x:c>
      <x:c r="AN11" s="65" t="n">
        <x:f>AN10*(1+AM11)</x:f>
        <x:v>1</x:v>
      </x:c>
      <x:c r="AO11" s="47" t="n">
        <x:f>AJ11*AN11</x:f>
        <x:v>0</x:v>
      </x:c>
      <x:c r="AP11" s="67" t="n">
        <x:f>IF(AI11&gt;0,AO11*1000000/AI11/Economy!Q11,0)</x:f>
        <x:v>0</x:v>
      </x:c>
      <x:c r="AQ11" s="45" t="n">
        <x:v>0</x:v>
      </x:c>
      <x:c r="AR11" s="45" t="n">
        <x:v>0</x:v>
      </x:c>
      <x:c r="AS11" s="68" t="n">
        <x:v>0</x:v>
      </x:c>
      <x:c r="AT11" s="47" t="n">
        <x:f>IF(AQ11&gt;0,AR11*1000000/AQ11,0)</x:f>
        <x:v>0</x:v>
      </x:c>
      <x:c r="AU11" s="64" t="n">
        <x:f>IF(AND(AS11&gt;0,AT10&gt;0,B11&gt;0),MIN(conv_cap,conv_beta*1*AS11*MAX(0,LN(B11/(AT10*AV10)))),0)</x:f>
        <x:v>0</x:v>
      </x:c>
      <x:c r="AV11" s="65" t="n">
        <x:f>AV10*(1+AU11)</x:f>
        <x:v>1</x:v>
      </x:c>
      <x:c r="AW11" s="47" t="n">
        <x:f>AR11*AV11</x:f>
        <x:v>0</x:v>
      </x:c>
      <x:c r="AX11" s="67" t="n">
        <x:f>IF(AQ11&gt;0,AW11*1000000/AQ11/Economy!Q11,0)</x:f>
        <x:v>0</x:v>
      </x:c>
      <x:c r="AY11" s="45" t="n">
        <x:v>0</x:v>
      </x:c>
      <x:c r="AZ11" s="45" t="n">
        <x:v>0</x:v>
      </x:c>
      <x:c r="BA11" s="68" t="n">
        <x:v>0</x:v>
      </x:c>
      <x:c r="BB11" s="47" t="n">
        <x:f>IF(AY11&gt;0,AZ11*1000000/AY11,0)</x:f>
        <x:v>0</x:v>
      </x:c>
      <x:c r="BC11" s="64" t="n">
        <x:f>IF(AND(BA11&gt;0,BB10&gt;0,B11&gt;0),MIN(conv_cap,conv_beta*1*BA11*MAX(0,LN(B11/(BB10*BD10)))),0)</x:f>
        <x:v>0</x:v>
      </x:c>
      <x:c r="BD11" s="65" t="n">
        <x:f>BD10*(1+BC11)</x:f>
        <x:v>1</x:v>
      </x:c>
      <x:c r="BE11" s="47" t="n">
        <x:f>AZ11*BD11</x:f>
        <x:v>0</x:v>
      </x:c>
      <x:c r="BF11" s="67" t="n">
        <x:f>IF(AY11&gt;0,BE11*1000000/AY11/Economy!Q11,0)</x:f>
        <x:v>0</x:v>
      </x:c>
      <x:c r="BG11" s="45" t="n">
        <x:v>0</x:v>
      </x:c>
      <x:c r="BH11" s="45" t="n">
        <x:v>0</x:v>
      </x:c>
      <x:c r="BI11" s="68" t="n">
        <x:v>0</x:v>
      </x:c>
      <x:c r="BJ11" s="47" t="n">
        <x:f>IF(BG11&gt;0,BH11*1000000/BG11,0)</x:f>
        <x:v>0</x:v>
      </x:c>
      <x:c r="BK11" s="64" t="n">
        <x:f>IF(AND(BI11&gt;0,BJ10&gt;0,B11&gt;0),MIN(conv_cap,conv_beta*1*BI11*MAX(0,LN(B11/(BJ10*BL10)))),0)</x:f>
        <x:v>0</x:v>
      </x:c>
      <x:c r="BL11" s="65" t="n">
        <x:f>BL10*(1+BK11)</x:f>
        <x:v>1</x:v>
      </x:c>
      <x:c r="BM11" s="47" t="n">
        <x:f>BH11*BL11</x:f>
        <x:v>0</x:v>
      </x:c>
      <x:c r="BN11" s="67" t="n">
        <x:f>IF(BG11&gt;0,BM11*1000000/BG11/Economy!Q11,0)</x:f>
        <x:v>0</x:v>
      </x:c>
      <x:c r="BO11" s="45" t="n">
        <x:v>0</x:v>
      </x:c>
      <x:c r="BP11" s="45" t="n">
        <x:v>0</x:v>
      </x:c>
      <x:c r="BQ11" s="68" t="n">
        <x:v>0</x:v>
      </x:c>
      <x:c r="BR11" s="47" t="n">
        <x:f>IF(BO11&gt;0,BP11*1000000/BO11,0)</x:f>
        <x:v>0</x:v>
      </x:c>
      <x:c r="BS11" s="64" t="n">
        <x:f>IF(AND(BQ11&gt;0,BR10&gt;0,B11&gt;0),MIN(conv_cap,conv_beta*1*BQ11*MAX(0,LN(B11/(BR10*BT10)))),0)</x:f>
        <x:v>0</x:v>
      </x:c>
      <x:c r="BT11" s="65" t="n">
        <x:f>BT10*(1+BS11)</x:f>
        <x:v>1</x:v>
      </x:c>
      <x:c r="BU11" s="47" t="n">
        <x:f>BP11*BT11</x:f>
        <x:v>0</x:v>
      </x:c>
      <x:c r="BV11" s="67" t="n">
        <x:f>IF(BO11&gt;0,BU11*1000000/BO11/Economy!Q11,0)</x:f>
        <x:v>0</x:v>
      </x:c>
      <x:c r="BW11" s="65" t="n">
        <x:f>0.25*IF(D11&gt;0,H11,1)+0.15*IF(AJ11&gt;0,AN11,1)+0.03*IF(AR11&gt;0,AV11,1)+0.08*IF(AZ11&gt;0,BD11,1)+0.12*IF(BH11&gt;0,BL11,1)+0.1*IF(L11&gt;0,P11,1)+0.07*IF(T11&gt;0,X11,1)+0.05*IF(AB11&gt;0,AF11,1)+0.05*IF(BP11&gt;0,BT11,1)+0.1</x:f>
        <x:v>1.0000000000000002</x:v>
      </x:c>
      <x:c r="BX11" s="63" t="n">
        <x:f>MIN(mkt_cap,mkt_elast*MAX(0,BW11-1))</x:f>
        <x:v>1.1102230246251565e-16</x:v>
      </x:c>
      <x:c r="BY11" s="47" t="n">
        <x:f>I11+Q11+Y11+AG11</x:f>
        <x:v>0</x:v>
      </x:c>
      <x:c r="BZ11" s="47" t="n">
        <x:f>D11+L11+T11+AB11</x:f>
        <x:v>0</x:v>
      </x:c>
      <x:c r="CA11" s="65" t="n">
        <x:f>IF(BZ11&gt;0,BY11/BZ11,0)</x:f>
        <x:v>0</x:v>
      </x:c>
    </x:row>
    <x:row r="12">
      <x:c r="A12" s="58" t="n">
        <x:v>1852</x:v>
      </x:c>
      <x:c r="B12" s="47" t="n">
        <x:f>Economy!P11</x:f>
        <x:v>369.8675167765888</x:v>
      </x:c>
      <x:c r="C12" s="45" t="n">
        <x:v>0</x:v>
      </x:c>
      <x:c r="D12" s="62" t="n">
        <x:f>Japan!B12</x:f>
        <x:v>0</x:v>
      </x:c>
      <x:c r="E12" s="68" t="n">
        <x:v>0</x:v>
      </x:c>
      <x:c r="F12" s="47" t="n">
        <x:f>IF(C12&gt;0,D12*1000000/C12,0)</x:f>
        <x:v>0</x:v>
      </x:c>
      <x:c r="G12" s="64" t="n">
        <x:f>IF(AND(E12&gt;0,F11&gt;0,B12&gt;0),MIN(conv_cap,conv_beta*jp_uplift*E12*MAX(0,LN(B12/(F11*H11)))),0)</x:f>
        <x:v>0</x:v>
      </x:c>
      <x:c r="H12" s="65" t="n">
        <x:f>H11*(1+G12)</x:f>
        <x:v>1</x:v>
      </x:c>
      <x:c r="I12" s="47" t="n">
        <x:f>D12*H12</x:f>
        <x:v>0</x:v>
      </x:c>
      <x:c r="J12" s="67" t="n">
        <x:f>IF(C12&gt;0,I12*1000000/C12/Economy!Q12,0)</x:f>
        <x:v>0</x:v>
      </x:c>
      <x:c r="K12" s="62" t="n">
        <x:f>Gulf!B12</x:f>
        <x:v>0</x:v>
      </x:c>
      <x:c r="L12" s="47" t="n">
        <x:f>Gulf!B12*Gulf!C12*Economy!Q12/1000000</x:f>
        <x:v>0</x:v>
      </x:c>
      <x:c r="M12" s="68" t="n">
        <x:v>0</x:v>
      </x:c>
      <x:c r="N12" s="47" t="n">
        <x:f>IF(K12&gt;0,L12*1000000/K12,0)</x:f>
        <x:v>0</x:v>
      </x:c>
      <x:c r="O12" s="64" t="n">
        <x:f>IF(AND(M12&gt;0,N11&gt;0,B12&gt;0),MIN(conv_cap,conv_beta*1*M12*MAX(0,LN(B12/(N11*P11)))),0)</x:f>
        <x:v>0</x:v>
      </x:c>
      <x:c r="P12" s="65" t="n">
        <x:f>P11*(1+O12)</x:f>
        <x:v>1</x:v>
      </x:c>
      <x:c r="Q12" s="47" t="n">
        <x:f>L12*P12</x:f>
        <x:v>0</x:v>
      </x:c>
      <x:c r="R12" s="67" t="n">
        <x:f>IF(K12&gt;0,Q12*1000000/K12/Economy!Q12,0)</x:f>
        <x:v>0</x:v>
      </x:c>
      <x:c r="S12" s="62" t="n">
        <x:f>People!U12</x:f>
        <x:v>0</x:v>
      </x:c>
      <x:c r="T12" s="45" t="n">
        <x:v>0</x:v>
      </x:c>
      <x:c r="U12" s="68" t="n">
        <x:v>0</x:v>
      </x:c>
      <x:c r="V12" s="47" t="n">
        <x:f>IF(S12&gt;0,T12*1000000/S12,0)</x:f>
        <x:v>0</x:v>
      </x:c>
      <x:c r="W12" s="64" t="n">
        <x:f>IF(AND(U12&gt;0,V11&gt;0,B12&gt;0),MIN(conv_cap,conv_beta*1*U12*MAX(0,LN(B12/(V11*X11)))),0)</x:f>
        <x:v>0</x:v>
      </x:c>
      <x:c r="X12" s="65" t="n">
        <x:f>X11*(1+W12)</x:f>
        <x:v>1</x:v>
      </x:c>
      <x:c r="Y12" s="47" t="n">
        <x:f>T12*X12</x:f>
        <x:v>0</x:v>
      </x:c>
      <x:c r="Z12" s="67" t="n">
        <x:f>IF(S12&gt;0,Y12*1000000/S12/Economy!Q12,0)</x:f>
        <x:v>0</x:v>
      </x:c>
      <x:c r="AA12" s="45" t="n">
        <x:v>0</x:v>
      </x:c>
      <x:c r="AB12" s="45" t="n">
        <x:v>0</x:v>
      </x:c>
      <x:c r="AC12" s="68" t="n">
        <x:v>0</x:v>
      </x:c>
      <x:c r="AD12" s="47" t="n">
        <x:f>IF(AA12&gt;0,AB12*1000000/AA12,0)</x:f>
        <x:v>0</x:v>
      </x:c>
      <x:c r="AE12" s="64" t="n">
        <x:f>IF(AND(AC12&gt;0,AD11&gt;0,B12&gt;0),MIN(conv_cap,conv_beta*1*AC12*MAX(0,LN(B12/(AD11*AF11)))),0)</x:f>
        <x:v>0</x:v>
      </x:c>
      <x:c r="AF12" s="65" t="n">
        <x:f>AF11*(1+AE12)</x:f>
        <x:v>1</x:v>
      </x:c>
      <x:c r="AG12" s="47" t="n">
        <x:f>AB12*AF12</x:f>
        <x:v>0</x:v>
      </x:c>
      <x:c r="AH12" s="67" t="n">
        <x:f>IF(AA12&gt;0,AG12*1000000/AA12/Economy!Q12,0)</x:f>
        <x:v>0</x:v>
      </x:c>
      <x:c r="AI12" s="45" t="n">
        <x:v>0</x:v>
      </x:c>
      <x:c r="AJ12" s="45" t="n">
        <x:v>0</x:v>
      </x:c>
      <x:c r="AK12" s="68" t="n">
        <x:v>0</x:v>
      </x:c>
      <x:c r="AL12" s="47" t="n">
        <x:f>IF(AI12&gt;0,AJ12*1000000/AI12,0)</x:f>
        <x:v>0</x:v>
      </x:c>
      <x:c r="AM12" s="64" t="n">
        <x:f>IF(AND(AK12&gt;0,AL11&gt;0,B12&gt;0),MIN(conv_cap,conv_beta*1*AK12*MAX(0,LN(B12/(AL11*AN11)))),0)</x:f>
        <x:v>0</x:v>
      </x:c>
      <x:c r="AN12" s="65" t="n">
        <x:f>AN11*(1+AM12)</x:f>
        <x:v>1</x:v>
      </x:c>
      <x:c r="AO12" s="47" t="n">
        <x:f>AJ12*AN12</x:f>
        <x:v>0</x:v>
      </x:c>
      <x:c r="AP12" s="67" t="n">
        <x:f>IF(AI12&gt;0,AO12*1000000/AI12/Economy!Q12,0)</x:f>
        <x:v>0</x:v>
      </x:c>
      <x:c r="AQ12" s="45" t="n">
        <x:v>0</x:v>
      </x:c>
      <x:c r="AR12" s="45" t="n">
        <x:v>0</x:v>
      </x:c>
      <x:c r="AS12" s="68" t="n">
        <x:v>0</x:v>
      </x:c>
      <x:c r="AT12" s="47" t="n">
        <x:f>IF(AQ12&gt;0,AR12*1000000/AQ12,0)</x:f>
        <x:v>0</x:v>
      </x:c>
      <x:c r="AU12" s="64" t="n">
        <x:f>IF(AND(AS12&gt;0,AT11&gt;0,B12&gt;0),MIN(conv_cap,conv_beta*1*AS12*MAX(0,LN(B12/(AT11*AV11)))),0)</x:f>
        <x:v>0</x:v>
      </x:c>
      <x:c r="AV12" s="65" t="n">
        <x:f>AV11*(1+AU12)</x:f>
        <x:v>1</x:v>
      </x:c>
      <x:c r="AW12" s="47" t="n">
        <x:f>AR12*AV12</x:f>
        <x:v>0</x:v>
      </x:c>
      <x:c r="AX12" s="67" t="n">
        <x:f>IF(AQ12&gt;0,AW12*1000000/AQ12/Economy!Q12,0)</x:f>
        <x:v>0</x:v>
      </x:c>
      <x:c r="AY12" s="45" t="n">
        <x:v>0</x:v>
      </x:c>
      <x:c r="AZ12" s="45" t="n">
        <x:v>0</x:v>
      </x:c>
      <x:c r="BA12" s="68" t="n">
        <x:v>0</x:v>
      </x:c>
      <x:c r="BB12" s="47" t="n">
        <x:f>IF(AY12&gt;0,AZ12*1000000/AY12,0)</x:f>
        <x:v>0</x:v>
      </x:c>
      <x:c r="BC12" s="64" t="n">
        <x:f>IF(AND(BA12&gt;0,BB11&gt;0,B12&gt;0),MIN(conv_cap,conv_beta*1*BA12*MAX(0,LN(B12/(BB11*BD11)))),0)</x:f>
        <x:v>0</x:v>
      </x:c>
      <x:c r="BD12" s="65" t="n">
        <x:f>BD11*(1+BC12)</x:f>
        <x:v>1</x:v>
      </x:c>
      <x:c r="BE12" s="47" t="n">
        <x:f>AZ12*BD12</x:f>
        <x:v>0</x:v>
      </x:c>
      <x:c r="BF12" s="67" t="n">
        <x:f>IF(AY12&gt;0,BE12*1000000/AY12/Economy!Q12,0)</x:f>
        <x:v>0</x:v>
      </x:c>
      <x:c r="BG12" s="45" t="n">
        <x:v>0</x:v>
      </x:c>
      <x:c r="BH12" s="45" t="n">
        <x:v>0</x:v>
      </x:c>
      <x:c r="BI12" s="68" t="n">
        <x:v>0</x:v>
      </x:c>
      <x:c r="BJ12" s="47" t="n">
        <x:f>IF(BG12&gt;0,BH12*1000000/BG12,0)</x:f>
        <x:v>0</x:v>
      </x:c>
      <x:c r="BK12" s="64" t="n">
        <x:f>IF(AND(BI12&gt;0,BJ11&gt;0,B12&gt;0),MIN(conv_cap,conv_beta*1*BI12*MAX(0,LN(B12/(BJ11*BL11)))),0)</x:f>
        <x:v>0</x:v>
      </x:c>
      <x:c r="BL12" s="65" t="n">
        <x:f>BL11*(1+BK12)</x:f>
        <x:v>1</x:v>
      </x:c>
      <x:c r="BM12" s="47" t="n">
        <x:f>BH12*BL12</x:f>
        <x:v>0</x:v>
      </x:c>
      <x:c r="BN12" s="67" t="n">
        <x:f>IF(BG12&gt;0,BM12*1000000/BG12/Economy!Q12,0)</x:f>
        <x:v>0</x:v>
      </x:c>
      <x:c r="BO12" s="45" t="n">
        <x:v>0</x:v>
      </x:c>
      <x:c r="BP12" s="45" t="n">
        <x:v>0</x:v>
      </x:c>
      <x:c r="BQ12" s="68" t="n">
        <x:v>0</x:v>
      </x:c>
      <x:c r="BR12" s="47" t="n">
        <x:f>IF(BO12&gt;0,BP12*1000000/BO12,0)</x:f>
        <x:v>0</x:v>
      </x:c>
      <x:c r="BS12" s="64" t="n">
        <x:f>IF(AND(BQ12&gt;0,BR11&gt;0,B12&gt;0),MIN(conv_cap,conv_beta*1*BQ12*MAX(0,LN(B12/(BR11*BT11)))),0)</x:f>
        <x:v>0</x:v>
      </x:c>
      <x:c r="BT12" s="65" t="n">
        <x:f>BT11*(1+BS12)</x:f>
        <x:v>1</x:v>
      </x:c>
      <x:c r="BU12" s="47" t="n">
        <x:f>BP12*BT12</x:f>
        <x:v>0</x:v>
      </x:c>
      <x:c r="BV12" s="67" t="n">
        <x:f>IF(BO12&gt;0,BU12*1000000/BO12/Economy!Q12,0)</x:f>
        <x:v>0</x:v>
      </x:c>
      <x:c r="BW12" s="65" t="n">
        <x:f>0.25*IF(D12&gt;0,H12,1)+0.15*IF(AJ12&gt;0,AN12,1)+0.03*IF(AR12&gt;0,AV12,1)+0.08*IF(AZ12&gt;0,BD12,1)+0.12*IF(BH12&gt;0,BL12,1)+0.1*IF(L12&gt;0,P12,1)+0.07*IF(T12&gt;0,X12,1)+0.05*IF(AB12&gt;0,AF12,1)+0.05*IF(BP12&gt;0,BT12,1)+0.1</x:f>
        <x:v>1.0000000000000002</x:v>
      </x:c>
      <x:c r="BX12" s="63" t="n">
        <x:f>MIN(mkt_cap,mkt_elast*MAX(0,BW12-1))</x:f>
        <x:v>1.1102230246251565e-16</x:v>
      </x:c>
      <x:c r="BY12" s="47" t="n">
        <x:f>I12+Q12+Y12+AG12</x:f>
        <x:v>0</x:v>
      </x:c>
      <x:c r="BZ12" s="47" t="n">
        <x:f>D12+L12+T12+AB12</x:f>
        <x:v>0</x:v>
      </x:c>
      <x:c r="CA12" s="65" t="n">
        <x:f>IF(BZ12&gt;0,BY12/BZ12,0)</x:f>
        <x:v>0</x:v>
      </x:c>
    </x:row>
    <x:row r="13">
      <x:c r="A13" s="58" t="n">
        <x:v>1853</x:v>
      </x:c>
      <x:c r="B13" s="47" t="n">
        <x:f>Economy!P12</x:f>
        <x:v>363.08497396198135</x:v>
      </x:c>
      <x:c r="C13" s="45" t="n">
        <x:v>0</x:v>
      </x:c>
      <x:c r="D13" s="62" t="n">
        <x:f>Japan!B13</x:f>
        <x:v>0</x:v>
      </x:c>
      <x:c r="E13" s="68" t="n">
        <x:v>0</x:v>
      </x:c>
      <x:c r="F13" s="47" t="n">
        <x:f>IF(C13&gt;0,D13*1000000/C13,0)</x:f>
        <x:v>0</x:v>
      </x:c>
      <x:c r="G13" s="64" t="n">
        <x:f>IF(AND(E13&gt;0,F12&gt;0,B13&gt;0),MIN(conv_cap,conv_beta*jp_uplift*E13*MAX(0,LN(B13/(F12*H12)))),0)</x:f>
        <x:v>0</x:v>
      </x:c>
      <x:c r="H13" s="65" t="n">
        <x:f>H12*(1+G13)</x:f>
        <x:v>1</x:v>
      </x:c>
      <x:c r="I13" s="47" t="n">
        <x:f>D13*H13</x:f>
        <x:v>0</x:v>
      </x:c>
      <x:c r="J13" s="67" t="n">
        <x:f>IF(C13&gt;0,I13*1000000/C13/Economy!Q13,0)</x:f>
        <x:v>0</x:v>
      </x:c>
      <x:c r="K13" s="62" t="n">
        <x:f>Gulf!B13</x:f>
        <x:v>0</x:v>
      </x:c>
      <x:c r="L13" s="47" t="n">
        <x:f>Gulf!B13*Gulf!C13*Economy!Q13/1000000</x:f>
        <x:v>0</x:v>
      </x:c>
      <x:c r="M13" s="68" t="n">
        <x:v>0</x:v>
      </x:c>
      <x:c r="N13" s="47" t="n">
        <x:f>IF(K13&gt;0,L13*1000000/K13,0)</x:f>
        <x:v>0</x:v>
      </x:c>
      <x:c r="O13" s="64" t="n">
        <x:f>IF(AND(M13&gt;0,N12&gt;0,B13&gt;0),MIN(conv_cap,conv_beta*1*M13*MAX(0,LN(B13/(N12*P12)))),0)</x:f>
        <x:v>0</x:v>
      </x:c>
      <x:c r="P13" s="65" t="n">
        <x:f>P12*(1+O13)</x:f>
        <x:v>1</x:v>
      </x:c>
      <x:c r="Q13" s="47" t="n">
        <x:f>L13*P13</x:f>
        <x:v>0</x:v>
      </x:c>
      <x:c r="R13" s="67" t="n">
        <x:f>IF(K13&gt;0,Q13*1000000/K13/Economy!Q13,0)</x:f>
        <x:v>0</x:v>
      </x:c>
      <x:c r="S13" s="62" t="n">
        <x:f>People!U13</x:f>
        <x:v>0</x:v>
      </x:c>
      <x:c r="T13" s="45" t="n">
        <x:v>0</x:v>
      </x:c>
      <x:c r="U13" s="68" t="n">
        <x:v>0</x:v>
      </x:c>
      <x:c r="V13" s="47" t="n">
        <x:f>IF(S13&gt;0,T13*1000000/S13,0)</x:f>
        <x:v>0</x:v>
      </x:c>
      <x:c r="W13" s="64" t="n">
        <x:f>IF(AND(U13&gt;0,V12&gt;0,B13&gt;0),MIN(conv_cap,conv_beta*1*U13*MAX(0,LN(B13/(V12*X12)))),0)</x:f>
        <x:v>0</x:v>
      </x:c>
      <x:c r="X13" s="65" t="n">
        <x:f>X12*(1+W13)</x:f>
        <x:v>1</x:v>
      </x:c>
      <x:c r="Y13" s="47" t="n">
        <x:f>T13*X13</x:f>
        <x:v>0</x:v>
      </x:c>
      <x:c r="Z13" s="67" t="n">
        <x:f>IF(S13&gt;0,Y13*1000000/S13/Economy!Q13,0)</x:f>
        <x:v>0</x:v>
      </x:c>
      <x:c r="AA13" s="45" t="n">
        <x:v>0</x:v>
      </x:c>
      <x:c r="AB13" s="45" t="n">
        <x:v>0</x:v>
      </x:c>
      <x:c r="AC13" s="68" t="n">
        <x:v>0</x:v>
      </x:c>
      <x:c r="AD13" s="47" t="n">
        <x:f>IF(AA13&gt;0,AB13*1000000/AA13,0)</x:f>
        <x:v>0</x:v>
      </x:c>
      <x:c r="AE13" s="64" t="n">
        <x:f>IF(AND(AC13&gt;0,AD12&gt;0,B13&gt;0),MIN(conv_cap,conv_beta*1*AC13*MAX(0,LN(B13/(AD12*AF12)))),0)</x:f>
        <x:v>0</x:v>
      </x:c>
      <x:c r="AF13" s="65" t="n">
        <x:f>AF12*(1+AE13)</x:f>
        <x:v>1</x:v>
      </x:c>
      <x:c r="AG13" s="47" t="n">
        <x:f>AB13*AF13</x:f>
        <x:v>0</x:v>
      </x:c>
      <x:c r="AH13" s="67" t="n">
        <x:f>IF(AA13&gt;0,AG13*1000000/AA13/Economy!Q13,0)</x:f>
        <x:v>0</x:v>
      </x:c>
      <x:c r="AI13" s="45" t="n">
        <x:v>0</x:v>
      </x:c>
      <x:c r="AJ13" s="45" t="n">
        <x:v>0</x:v>
      </x:c>
      <x:c r="AK13" s="68" t="n">
        <x:v>0</x:v>
      </x:c>
      <x:c r="AL13" s="47" t="n">
        <x:f>IF(AI13&gt;0,AJ13*1000000/AI13,0)</x:f>
        <x:v>0</x:v>
      </x:c>
      <x:c r="AM13" s="64" t="n">
        <x:f>IF(AND(AK13&gt;0,AL12&gt;0,B13&gt;0),MIN(conv_cap,conv_beta*1*AK13*MAX(0,LN(B13/(AL12*AN12)))),0)</x:f>
        <x:v>0</x:v>
      </x:c>
      <x:c r="AN13" s="65" t="n">
        <x:f>AN12*(1+AM13)</x:f>
        <x:v>1</x:v>
      </x:c>
      <x:c r="AO13" s="47" t="n">
        <x:f>AJ13*AN13</x:f>
        <x:v>0</x:v>
      </x:c>
      <x:c r="AP13" s="67" t="n">
        <x:f>IF(AI13&gt;0,AO13*1000000/AI13/Economy!Q13,0)</x:f>
        <x:v>0</x:v>
      </x:c>
      <x:c r="AQ13" s="45" t="n">
        <x:v>0</x:v>
      </x:c>
      <x:c r="AR13" s="45" t="n">
        <x:v>0</x:v>
      </x:c>
      <x:c r="AS13" s="68" t="n">
        <x:v>0</x:v>
      </x:c>
      <x:c r="AT13" s="47" t="n">
        <x:f>IF(AQ13&gt;0,AR13*1000000/AQ13,0)</x:f>
        <x:v>0</x:v>
      </x:c>
      <x:c r="AU13" s="64" t="n">
        <x:f>IF(AND(AS13&gt;0,AT12&gt;0,B13&gt;0),MIN(conv_cap,conv_beta*1*AS13*MAX(0,LN(B13/(AT12*AV12)))),0)</x:f>
        <x:v>0</x:v>
      </x:c>
      <x:c r="AV13" s="65" t="n">
        <x:f>AV12*(1+AU13)</x:f>
        <x:v>1</x:v>
      </x:c>
      <x:c r="AW13" s="47" t="n">
        <x:f>AR13*AV13</x:f>
        <x:v>0</x:v>
      </x:c>
      <x:c r="AX13" s="67" t="n">
        <x:f>IF(AQ13&gt;0,AW13*1000000/AQ13/Economy!Q13,0)</x:f>
        <x:v>0</x:v>
      </x:c>
      <x:c r="AY13" s="45" t="n">
        <x:v>0</x:v>
      </x:c>
      <x:c r="AZ13" s="45" t="n">
        <x:v>0</x:v>
      </x:c>
      <x:c r="BA13" s="68" t="n">
        <x:v>0</x:v>
      </x:c>
      <x:c r="BB13" s="47" t="n">
        <x:f>IF(AY13&gt;0,AZ13*1000000/AY13,0)</x:f>
        <x:v>0</x:v>
      </x:c>
      <x:c r="BC13" s="64" t="n">
        <x:f>IF(AND(BA13&gt;0,BB12&gt;0,B13&gt;0),MIN(conv_cap,conv_beta*1*BA13*MAX(0,LN(B13/(BB12*BD12)))),0)</x:f>
        <x:v>0</x:v>
      </x:c>
      <x:c r="BD13" s="65" t="n">
        <x:f>BD12*(1+BC13)</x:f>
        <x:v>1</x:v>
      </x:c>
      <x:c r="BE13" s="47" t="n">
        <x:f>AZ13*BD13</x:f>
        <x:v>0</x:v>
      </x:c>
      <x:c r="BF13" s="67" t="n">
        <x:f>IF(AY13&gt;0,BE13*1000000/AY13/Economy!Q13,0)</x:f>
        <x:v>0</x:v>
      </x:c>
      <x:c r="BG13" s="45" t="n">
        <x:v>0</x:v>
      </x:c>
      <x:c r="BH13" s="45" t="n">
        <x:v>0</x:v>
      </x:c>
      <x:c r="BI13" s="68" t="n">
        <x:v>0</x:v>
      </x:c>
      <x:c r="BJ13" s="47" t="n">
        <x:f>IF(BG13&gt;0,BH13*1000000/BG13,0)</x:f>
        <x:v>0</x:v>
      </x:c>
      <x:c r="BK13" s="64" t="n">
        <x:f>IF(AND(BI13&gt;0,BJ12&gt;0,B13&gt;0),MIN(conv_cap,conv_beta*1*BI13*MAX(0,LN(B13/(BJ12*BL12)))),0)</x:f>
        <x:v>0</x:v>
      </x:c>
      <x:c r="BL13" s="65" t="n">
        <x:f>BL12*(1+BK13)</x:f>
        <x:v>1</x:v>
      </x:c>
      <x:c r="BM13" s="47" t="n">
        <x:f>BH13*BL13</x:f>
        <x:v>0</x:v>
      </x:c>
      <x:c r="BN13" s="67" t="n">
        <x:f>IF(BG13&gt;0,BM13*1000000/BG13/Economy!Q13,0)</x:f>
        <x:v>0</x:v>
      </x:c>
      <x:c r="BO13" s="45" t="n">
        <x:v>0</x:v>
      </x:c>
      <x:c r="BP13" s="45" t="n">
        <x:v>0</x:v>
      </x:c>
      <x:c r="BQ13" s="68" t="n">
        <x:v>0</x:v>
      </x:c>
      <x:c r="BR13" s="47" t="n">
        <x:f>IF(BO13&gt;0,BP13*1000000/BO13,0)</x:f>
        <x:v>0</x:v>
      </x:c>
      <x:c r="BS13" s="64" t="n">
        <x:f>IF(AND(BQ13&gt;0,BR12&gt;0,B13&gt;0),MIN(conv_cap,conv_beta*1*BQ13*MAX(0,LN(B13/(BR12*BT12)))),0)</x:f>
        <x:v>0</x:v>
      </x:c>
      <x:c r="BT13" s="65" t="n">
        <x:f>BT12*(1+BS13)</x:f>
        <x:v>1</x:v>
      </x:c>
      <x:c r="BU13" s="47" t="n">
        <x:f>BP13*BT13</x:f>
        <x:v>0</x:v>
      </x:c>
      <x:c r="BV13" s="67" t="n">
        <x:f>IF(BO13&gt;0,BU13*1000000/BO13/Economy!Q13,0)</x:f>
        <x:v>0</x:v>
      </x:c>
      <x:c r="BW13" s="65" t="n">
        <x:f>0.25*IF(D13&gt;0,H13,1)+0.15*IF(AJ13&gt;0,AN13,1)+0.03*IF(AR13&gt;0,AV13,1)+0.08*IF(AZ13&gt;0,BD13,1)+0.12*IF(BH13&gt;0,BL13,1)+0.1*IF(L13&gt;0,P13,1)+0.07*IF(T13&gt;0,X13,1)+0.05*IF(AB13&gt;0,AF13,1)+0.05*IF(BP13&gt;0,BT13,1)+0.1</x:f>
        <x:v>1.0000000000000002</x:v>
      </x:c>
      <x:c r="BX13" s="63" t="n">
        <x:f>MIN(mkt_cap,mkt_elast*MAX(0,BW13-1))</x:f>
        <x:v>1.1102230246251565e-16</x:v>
      </x:c>
      <x:c r="BY13" s="47" t="n">
        <x:f>I13+Q13+Y13+AG13</x:f>
        <x:v>0</x:v>
      </x:c>
      <x:c r="BZ13" s="47" t="n">
        <x:f>D13+L13+T13+AB13</x:f>
        <x:v>0</x:v>
      </x:c>
      <x:c r="CA13" s="65" t="n">
        <x:f>IF(BZ13&gt;0,BY13/BZ13,0)</x:f>
        <x:v>0</x:v>
      </x:c>
    </x:row>
    <x:row r="14">
      <x:c r="A14" s="58" t="n">
        <x:v>1854</x:v>
      </x:c>
      <x:c r="B14" s="47" t="n">
        <x:f>Economy!P13</x:f>
        <x:v>322.15370415740585</x:v>
      </x:c>
      <x:c r="C14" s="45" t="n">
        <x:v>0</x:v>
      </x:c>
      <x:c r="D14" s="62" t="n">
        <x:f>Japan!B14</x:f>
        <x:v>0</x:v>
      </x:c>
      <x:c r="E14" s="68" t="n">
        <x:v>0</x:v>
      </x:c>
      <x:c r="F14" s="47" t="n">
        <x:f>IF(C14&gt;0,D14*1000000/C14,0)</x:f>
        <x:v>0</x:v>
      </x:c>
      <x:c r="G14" s="64" t="n">
        <x:f>IF(AND(E14&gt;0,F13&gt;0,B14&gt;0),MIN(conv_cap,conv_beta*jp_uplift*E14*MAX(0,LN(B14/(F13*H13)))),0)</x:f>
        <x:v>0</x:v>
      </x:c>
      <x:c r="H14" s="65" t="n">
        <x:f>H13*(1+G14)</x:f>
        <x:v>1</x:v>
      </x:c>
      <x:c r="I14" s="47" t="n">
        <x:f>D14*H14</x:f>
        <x:v>0</x:v>
      </x:c>
      <x:c r="J14" s="67" t="n">
        <x:f>IF(C14&gt;0,I14*1000000/C14/Economy!Q14,0)</x:f>
        <x:v>0</x:v>
      </x:c>
      <x:c r="K14" s="62" t="n">
        <x:f>Gulf!B14</x:f>
        <x:v>0</x:v>
      </x:c>
      <x:c r="L14" s="47" t="n">
        <x:f>Gulf!B14*Gulf!C14*Economy!Q14/1000000</x:f>
        <x:v>0</x:v>
      </x:c>
      <x:c r="M14" s="68" t="n">
        <x:v>0</x:v>
      </x:c>
      <x:c r="N14" s="47" t="n">
        <x:f>IF(K14&gt;0,L14*1000000/K14,0)</x:f>
        <x:v>0</x:v>
      </x:c>
      <x:c r="O14" s="64" t="n">
        <x:f>IF(AND(M14&gt;0,N13&gt;0,B14&gt;0),MIN(conv_cap,conv_beta*1*M14*MAX(0,LN(B14/(N13*P13)))),0)</x:f>
        <x:v>0</x:v>
      </x:c>
      <x:c r="P14" s="65" t="n">
        <x:f>P13*(1+O14)</x:f>
        <x:v>1</x:v>
      </x:c>
      <x:c r="Q14" s="47" t="n">
        <x:f>L14*P14</x:f>
        <x:v>0</x:v>
      </x:c>
      <x:c r="R14" s="67" t="n">
        <x:f>IF(K14&gt;0,Q14*1000000/K14/Economy!Q14,0)</x:f>
        <x:v>0</x:v>
      </x:c>
      <x:c r="S14" s="62" t="n">
        <x:f>People!U14</x:f>
        <x:v>0</x:v>
      </x:c>
      <x:c r="T14" s="45" t="n">
        <x:v>0</x:v>
      </x:c>
      <x:c r="U14" s="68" t="n">
        <x:v>0</x:v>
      </x:c>
      <x:c r="V14" s="47" t="n">
        <x:f>IF(S14&gt;0,T14*1000000/S14,0)</x:f>
        <x:v>0</x:v>
      </x:c>
      <x:c r="W14" s="64" t="n">
        <x:f>IF(AND(U14&gt;0,V13&gt;0,B14&gt;0),MIN(conv_cap,conv_beta*1*U14*MAX(0,LN(B14/(V13*X13)))),0)</x:f>
        <x:v>0</x:v>
      </x:c>
      <x:c r="X14" s="65" t="n">
        <x:f>X13*(1+W14)</x:f>
        <x:v>1</x:v>
      </x:c>
      <x:c r="Y14" s="47" t="n">
        <x:f>T14*X14</x:f>
        <x:v>0</x:v>
      </x:c>
      <x:c r="Z14" s="67" t="n">
        <x:f>IF(S14&gt;0,Y14*1000000/S14/Economy!Q14,0)</x:f>
        <x:v>0</x:v>
      </x:c>
      <x:c r="AA14" s="45" t="n">
        <x:v>0</x:v>
      </x:c>
      <x:c r="AB14" s="45" t="n">
        <x:v>0</x:v>
      </x:c>
      <x:c r="AC14" s="68" t="n">
        <x:v>0</x:v>
      </x:c>
      <x:c r="AD14" s="47" t="n">
        <x:f>IF(AA14&gt;0,AB14*1000000/AA14,0)</x:f>
        <x:v>0</x:v>
      </x:c>
      <x:c r="AE14" s="64" t="n">
        <x:f>IF(AND(AC14&gt;0,AD13&gt;0,B14&gt;0),MIN(conv_cap,conv_beta*1*AC14*MAX(0,LN(B14/(AD13*AF13)))),0)</x:f>
        <x:v>0</x:v>
      </x:c>
      <x:c r="AF14" s="65" t="n">
        <x:f>AF13*(1+AE14)</x:f>
        <x:v>1</x:v>
      </x:c>
      <x:c r="AG14" s="47" t="n">
        <x:f>AB14*AF14</x:f>
        <x:v>0</x:v>
      </x:c>
      <x:c r="AH14" s="67" t="n">
        <x:f>IF(AA14&gt;0,AG14*1000000/AA14/Economy!Q14,0)</x:f>
        <x:v>0</x:v>
      </x:c>
      <x:c r="AI14" s="45" t="n">
        <x:v>0</x:v>
      </x:c>
      <x:c r="AJ14" s="45" t="n">
        <x:v>0</x:v>
      </x:c>
      <x:c r="AK14" s="68" t="n">
        <x:v>0</x:v>
      </x:c>
      <x:c r="AL14" s="47" t="n">
        <x:f>IF(AI14&gt;0,AJ14*1000000/AI14,0)</x:f>
        <x:v>0</x:v>
      </x:c>
      <x:c r="AM14" s="64" t="n">
        <x:f>IF(AND(AK14&gt;0,AL13&gt;0,B14&gt;0),MIN(conv_cap,conv_beta*1*AK14*MAX(0,LN(B14/(AL13*AN13)))),0)</x:f>
        <x:v>0</x:v>
      </x:c>
      <x:c r="AN14" s="65" t="n">
        <x:f>AN13*(1+AM14)</x:f>
        <x:v>1</x:v>
      </x:c>
      <x:c r="AO14" s="47" t="n">
        <x:f>AJ14*AN14</x:f>
        <x:v>0</x:v>
      </x:c>
      <x:c r="AP14" s="67" t="n">
        <x:f>IF(AI14&gt;0,AO14*1000000/AI14/Economy!Q14,0)</x:f>
        <x:v>0</x:v>
      </x:c>
      <x:c r="AQ14" s="45" t="n">
        <x:v>0</x:v>
      </x:c>
      <x:c r="AR14" s="45" t="n">
        <x:v>0</x:v>
      </x:c>
      <x:c r="AS14" s="68" t="n">
        <x:v>0</x:v>
      </x:c>
      <x:c r="AT14" s="47" t="n">
        <x:f>IF(AQ14&gt;0,AR14*1000000/AQ14,0)</x:f>
        <x:v>0</x:v>
      </x:c>
      <x:c r="AU14" s="64" t="n">
        <x:f>IF(AND(AS14&gt;0,AT13&gt;0,B14&gt;0),MIN(conv_cap,conv_beta*1*AS14*MAX(0,LN(B14/(AT13*AV13)))),0)</x:f>
        <x:v>0</x:v>
      </x:c>
      <x:c r="AV14" s="65" t="n">
        <x:f>AV13*(1+AU14)</x:f>
        <x:v>1</x:v>
      </x:c>
      <x:c r="AW14" s="47" t="n">
        <x:f>AR14*AV14</x:f>
        <x:v>0</x:v>
      </x:c>
      <x:c r="AX14" s="67" t="n">
        <x:f>IF(AQ14&gt;0,AW14*1000000/AQ14/Economy!Q14,0)</x:f>
        <x:v>0</x:v>
      </x:c>
      <x:c r="AY14" s="45" t="n">
        <x:v>0</x:v>
      </x:c>
      <x:c r="AZ14" s="45" t="n">
        <x:v>0</x:v>
      </x:c>
      <x:c r="BA14" s="68" t="n">
        <x:v>0</x:v>
      </x:c>
      <x:c r="BB14" s="47" t="n">
        <x:f>IF(AY14&gt;0,AZ14*1000000/AY14,0)</x:f>
        <x:v>0</x:v>
      </x:c>
      <x:c r="BC14" s="64" t="n">
        <x:f>IF(AND(BA14&gt;0,BB13&gt;0,B14&gt;0),MIN(conv_cap,conv_beta*1*BA14*MAX(0,LN(B14/(BB13*BD13)))),0)</x:f>
        <x:v>0</x:v>
      </x:c>
      <x:c r="BD14" s="65" t="n">
        <x:f>BD13*(1+BC14)</x:f>
        <x:v>1</x:v>
      </x:c>
      <x:c r="BE14" s="47" t="n">
        <x:f>AZ14*BD14</x:f>
        <x:v>0</x:v>
      </x:c>
      <x:c r="BF14" s="67" t="n">
        <x:f>IF(AY14&gt;0,BE14*1000000/AY14/Economy!Q14,0)</x:f>
        <x:v>0</x:v>
      </x:c>
      <x:c r="BG14" s="45" t="n">
        <x:v>0</x:v>
      </x:c>
      <x:c r="BH14" s="45" t="n">
        <x:v>0</x:v>
      </x:c>
      <x:c r="BI14" s="68" t="n">
        <x:v>0</x:v>
      </x:c>
      <x:c r="BJ14" s="47" t="n">
        <x:f>IF(BG14&gt;0,BH14*1000000/BG14,0)</x:f>
        <x:v>0</x:v>
      </x:c>
      <x:c r="BK14" s="64" t="n">
        <x:f>IF(AND(BI14&gt;0,BJ13&gt;0,B14&gt;0),MIN(conv_cap,conv_beta*1*BI14*MAX(0,LN(B14/(BJ13*BL13)))),0)</x:f>
        <x:v>0</x:v>
      </x:c>
      <x:c r="BL14" s="65" t="n">
        <x:f>BL13*(1+BK14)</x:f>
        <x:v>1</x:v>
      </x:c>
      <x:c r="BM14" s="47" t="n">
        <x:f>BH14*BL14</x:f>
        <x:v>0</x:v>
      </x:c>
      <x:c r="BN14" s="67" t="n">
        <x:f>IF(BG14&gt;0,BM14*1000000/BG14/Economy!Q14,0)</x:f>
        <x:v>0</x:v>
      </x:c>
      <x:c r="BO14" s="45" t="n">
        <x:v>0</x:v>
      </x:c>
      <x:c r="BP14" s="45" t="n">
        <x:v>0</x:v>
      </x:c>
      <x:c r="BQ14" s="68" t="n">
        <x:v>0</x:v>
      </x:c>
      <x:c r="BR14" s="47" t="n">
        <x:f>IF(BO14&gt;0,BP14*1000000/BO14,0)</x:f>
        <x:v>0</x:v>
      </x:c>
      <x:c r="BS14" s="64" t="n">
        <x:f>IF(AND(BQ14&gt;0,BR13&gt;0,B14&gt;0),MIN(conv_cap,conv_beta*1*BQ14*MAX(0,LN(B14/(BR13*BT13)))),0)</x:f>
        <x:v>0</x:v>
      </x:c>
      <x:c r="BT14" s="65" t="n">
        <x:f>BT13*(1+BS14)</x:f>
        <x:v>1</x:v>
      </x:c>
      <x:c r="BU14" s="47" t="n">
        <x:f>BP14*BT14</x:f>
        <x:v>0</x:v>
      </x:c>
      <x:c r="BV14" s="67" t="n">
        <x:f>IF(BO14&gt;0,BU14*1000000/BO14/Economy!Q14,0)</x:f>
        <x:v>0</x:v>
      </x:c>
      <x:c r="BW14" s="65" t="n">
        <x:f>0.25*IF(D14&gt;0,H14,1)+0.15*IF(AJ14&gt;0,AN14,1)+0.03*IF(AR14&gt;0,AV14,1)+0.08*IF(AZ14&gt;0,BD14,1)+0.12*IF(BH14&gt;0,BL14,1)+0.1*IF(L14&gt;0,P14,1)+0.07*IF(T14&gt;0,X14,1)+0.05*IF(AB14&gt;0,AF14,1)+0.05*IF(BP14&gt;0,BT14,1)+0.1</x:f>
        <x:v>1.0000000000000002</x:v>
      </x:c>
      <x:c r="BX14" s="63" t="n">
        <x:f>MIN(mkt_cap,mkt_elast*MAX(0,BW14-1))</x:f>
        <x:v>1.1102230246251565e-16</x:v>
      </x:c>
      <x:c r="BY14" s="47" t="n">
        <x:f>I14+Q14+Y14+AG14</x:f>
        <x:v>0</x:v>
      </x:c>
      <x:c r="BZ14" s="47" t="n">
        <x:f>D14+L14+T14+AB14</x:f>
        <x:v>0</x:v>
      </x:c>
      <x:c r="CA14" s="65" t="n">
        <x:f>IF(BZ14&gt;0,BY14/BZ14,0)</x:f>
        <x:v>0</x:v>
      </x:c>
    </x:row>
    <x:row r="15">
      <x:c r="A15" s="58" t="n">
        <x:v>1855</x:v>
      </x:c>
      <x:c r="B15" s="47" t="n">
        <x:f>Economy!P14</x:f>
        <x:v>319.36258369058146</x:v>
      </x:c>
      <x:c r="C15" s="45" t="n">
        <x:v>0</x:v>
      </x:c>
      <x:c r="D15" s="62" t="n">
        <x:f>Japan!B15</x:f>
        <x:v>0</x:v>
      </x:c>
      <x:c r="E15" s="68" t="n">
        <x:v>0</x:v>
      </x:c>
      <x:c r="F15" s="47" t="n">
        <x:f>IF(C15&gt;0,D15*1000000/C15,0)</x:f>
        <x:v>0</x:v>
      </x:c>
      <x:c r="G15" s="64" t="n">
        <x:f>IF(AND(E15&gt;0,F14&gt;0,B15&gt;0),MIN(conv_cap,conv_beta*jp_uplift*E15*MAX(0,LN(B15/(F14*H14)))),0)</x:f>
        <x:v>0</x:v>
      </x:c>
      <x:c r="H15" s="65" t="n">
        <x:f>H14*(1+G15)</x:f>
        <x:v>1</x:v>
      </x:c>
      <x:c r="I15" s="47" t="n">
        <x:f>D15*H15</x:f>
        <x:v>0</x:v>
      </x:c>
      <x:c r="J15" s="67" t="n">
        <x:f>IF(C15&gt;0,I15*1000000/C15/Economy!Q15,0)</x:f>
        <x:v>0</x:v>
      </x:c>
      <x:c r="K15" s="62" t="n">
        <x:f>Gulf!B15</x:f>
        <x:v>0</x:v>
      </x:c>
      <x:c r="L15" s="47" t="n">
        <x:f>Gulf!B15*Gulf!C15*Economy!Q15/1000000</x:f>
        <x:v>0</x:v>
      </x:c>
      <x:c r="M15" s="68" t="n">
        <x:v>0</x:v>
      </x:c>
      <x:c r="N15" s="47" t="n">
        <x:f>IF(K15&gt;0,L15*1000000/K15,0)</x:f>
        <x:v>0</x:v>
      </x:c>
      <x:c r="O15" s="64" t="n">
        <x:f>IF(AND(M15&gt;0,N14&gt;0,B15&gt;0),MIN(conv_cap,conv_beta*1*M15*MAX(0,LN(B15/(N14*P14)))),0)</x:f>
        <x:v>0</x:v>
      </x:c>
      <x:c r="P15" s="65" t="n">
        <x:f>P14*(1+O15)</x:f>
        <x:v>1</x:v>
      </x:c>
      <x:c r="Q15" s="47" t="n">
        <x:f>L15*P15</x:f>
        <x:v>0</x:v>
      </x:c>
      <x:c r="R15" s="67" t="n">
        <x:f>IF(K15&gt;0,Q15*1000000/K15/Economy!Q15,0)</x:f>
        <x:v>0</x:v>
      </x:c>
      <x:c r="S15" s="62" t="n">
        <x:f>People!U15</x:f>
        <x:v>0</x:v>
      </x:c>
      <x:c r="T15" s="45" t="n">
        <x:v>0</x:v>
      </x:c>
      <x:c r="U15" s="68" t="n">
        <x:v>0</x:v>
      </x:c>
      <x:c r="V15" s="47" t="n">
        <x:f>IF(S15&gt;0,T15*1000000/S15,0)</x:f>
        <x:v>0</x:v>
      </x:c>
      <x:c r="W15" s="64" t="n">
        <x:f>IF(AND(U15&gt;0,V14&gt;0,B15&gt;0),MIN(conv_cap,conv_beta*1*U15*MAX(0,LN(B15/(V14*X14)))),0)</x:f>
        <x:v>0</x:v>
      </x:c>
      <x:c r="X15" s="65" t="n">
        <x:f>X14*(1+W15)</x:f>
        <x:v>1</x:v>
      </x:c>
      <x:c r="Y15" s="47" t="n">
        <x:f>T15*X15</x:f>
        <x:v>0</x:v>
      </x:c>
      <x:c r="Z15" s="67" t="n">
        <x:f>IF(S15&gt;0,Y15*1000000/S15/Economy!Q15,0)</x:f>
        <x:v>0</x:v>
      </x:c>
      <x:c r="AA15" s="45" t="n">
        <x:v>0</x:v>
      </x:c>
      <x:c r="AB15" s="45" t="n">
        <x:v>0</x:v>
      </x:c>
      <x:c r="AC15" s="68" t="n">
        <x:v>0</x:v>
      </x:c>
      <x:c r="AD15" s="47" t="n">
        <x:f>IF(AA15&gt;0,AB15*1000000/AA15,0)</x:f>
        <x:v>0</x:v>
      </x:c>
      <x:c r="AE15" s="64" t="n">
        <x:f>IF(AND(AC15&gt;0,AD14&gt;0,B15&gt;0),MIN(conv_cap,conv_beta*1*AC15*MAX(0,LN(B15/(AD14*AF14)))),0)</x:f>
        <x:v>0</x:v>
      </x:c>
      <x:c r="AF15" s="65" t="n">
        <x:f>AF14*(1+AE15)</x:f>
        <x:v>1</x:v>
      </x:c>
      <x:c r="AG15" s="47" t="n">
        <x:f>AB15*AF15</x:f>
        <x:v>0</x:v>
      </x:c>
      <x:c r="AH15" s="67" t="n">
        <x:f>IF(AA15&gt;0,AG15*1000000/AA15/Economy!Q15,0)</x:f>
        <x:v>0</x:v>
      </x:c>
      <x:c r="AI15" s="45" t="n">
        <x:v>0</x:v>
      </x:c>
      <x:c r="AJ15" s="45" t="n">
        <x:v>0</x:v>
      </x:c>
      <x:c r="AK15" s="68" t="n">
        <x:v>0</x:v>
      </x:c>
      <x:c r="AL15" s="47" t="n">
        <x:f>IF(AI15&gt;0,AJ15*1000000/AI15,0)</x:f>
        <x:v>0</x:v>
      </x:c>
      <x:c r="AM15" s="64" t="n">
        <x:f>IF(AND(AK15&gt;0,AL14&gt;0,B15&gt;0),MIN(conv_cap,conv_beta*1*AK15*MAX(0,LN(B15/(AL14*AN14)))),0)</x:f>
        <x:v>0</x:v>
      </x:c>
      <x:c r="AN15" s="65" t="n">
        <x:f>AN14*(1+AM15)</x:f>
        <x:v>1</x:v>
      </x:c>
      <x:c r="AO15" s="47" t="n">
        <x:f>AJ15*AN15</x:f>
        <x:v>0</x:v>
      </x:c>
      <x:c r="AP15" s="67" t="n">
        <x:f>IF(AI15&gt;0,AO15*1000000/AI15/Economy!Q15,0)</x:f>
        <x:v>0</x:v>
      </x:c>
      <x:c r="AQ15" s="45" t="n">
        <x:v>0</x:v>
      </x:c>
      <x:c r="AR15" s="45" t="n">
        <x:v>0</x:v>
      </x:c>
      <x:c r="AS15" s="68" t="n">
        <x:v>0</x:v>
      </x:c>
      <x:c r="AT15" s="47" t="n">
        <x:f>IF(AQ15&gt;0,AR15*1000000/AQ15,0)</x:f>
        <x:v>0</x:v>
      </x:c>
      <x:c r="AU15" s="64" t="n">
        <x:f>IF(AND(AS15&gt;0,AT14&gt;0,B15&gt;0),MIN(conv_cap,conv_beta*1*AS15*MAX(0,LN(B15/(AT14*AV14)))),0)</x:f>
        <x:v>0</x:v>
      </x:c>
      <x:c r="AV15" s="65" t="n">
        <x:f>AV14*(1+AU15)</x:f>
        <x:v>1</x:v>
      </x:c>
      <x:c r="AW15" s="47" t="n">
        <x:f>AR15*AV15</x:f>
        <x:v>0</x:v>
      </x:c>
      <x:c r="AX15" s="67" t="n">
        <x:f>IF(AQ15&gt;0,AW15*1000000/AQ15/Economy!Q15,0)</x:f>
        <x:v>0</x:v>
      </x:c>
      <x:c r="AY15" s="45" t="n">
        <x:v>0</x:v>
      </x:c>
      <x:c r="AZ15" s="45" t="n">
        <x:v>0</x:v>
      </x:c>
      <x:c r="BA15" s="68" t="n">
        <x:v>0</x:v>
      </x:c>
      <x:c r="BB15" s="47" t="n">
        <x:f>IF(AY15&gt;0,AZ15*1000000/AY15,0)</x:f>
        <x:v>0</x:v>
      </x:c>
      <x:c r="BC15" s="64" t="n">
        <x:f>IF(AND(BA15&gt;0,BB14&gt;0,B15&gt;0),MIN(conv_cap,conv_beta*1*BA15*MAX(0,LN(B15/(BB14*BD14)))),0)</x:f>
        <x:v>0</x:v>
      </x:c>
      <x:c r="BD15" s="65" t="n">
        <x:f>BD14*(1+BC15)</x:f>
        <x:v>1</x:v>
      </x:c>
      <x:c r="BE15" s="47" t="n">
        <x:f>AZ15*BD15</x:f>
        <x:v>0</x:v>
      </x:c>
      <x:c r="BF15" s="67" t="n">
        <x:f>IF(AY15&gt;0,BE15*1000000/AY15/Economy!Q15,0)</x:f>
        <x:v>0</x:v>
      </x:c>
      <x:c r="BG15" s="45" t="n">
        <x:v>0</x:v>
      </x:c>
      <x:c r="BH15" s="45" t="n">
        <x:v>0</x:v>
      </x:c>
      <x:c r="BI15" s="68" t="n">
        <x:v>0</x:v>
      </x:c>
      <x:c r="BJ15" s="47" t="n">
        <x:f>IF(BG15&gt;0,BH15*1000000/BG15,0)</x:f>
        <x:v>0</x:v>
      </x:c>
      <x:c r="BK15" s="64" t="n">
        <x:f>IF(AND(BI15&gt;0,BJ14&gt;0,B15&gt;0),MIN(conv_cap,conv_beta*1*BI15*MAX(0,LN(B15/(BJ14*BL14)))),0)</x:f>
        <x:v>0</x:v>
      </x:c>
      <x:c r="BL15" s="65" t="n">
        <x:f>BL14*(1+BK15)</x:f>
        <x:v>1</x:v>
      </x:c>
      <x:c r="BM15" s="47" t="n">
        <x:f>BH15*BL15</x:f>
        <x:v>0</x:v>
      </x:c>
      <x:c r="BN15" s="67" t="n">
        <x:f>IF(BG15&gt;0,BM15*1000000/BG15/Economy!Q15,0)</x:f>
        <x:v>0</x:v>
      </x:c>
      <x:c r="BO15" s="45" t="n">
        <x:v>0</x:v>
      </x:c>
      <x:c r="BP15" s="45" t="n">
        <x:v>0</x:v>
      </x:c>
      <x:c r="BQ15" s="68" t="n">
        <x:v>0</x:v>
      </x:c>
      <x:c r="BR15" s="47" t="n">
        <x:f>IF(BO15&gt;0,BP15*1000000/BO15,0)</x:f>
        <x:v>0</x:v>
      </x:c>
      <x:c r="BS15" s="64" t="n">
        <x:f>IF(AND(BQ15&gt;0,BR14&gt;0,B15&gt;0),MIN(conv_cap,conv_beta*1*BQ15*MAX(0,LN(B15/(BR14*BT14)))),0)</x:f>
        <x:v>0</x:v>
      </x:c>
      <x:c r="BT15" s="65" t="n">
        <x:f>BT14*(1+BS15)</x:f>
        <x:v>1</x:v>
      </x:c>
      <x:c r="BU15" s="47" t="n">
        <x:f>BP15*BT15</x:f>
        <x:v>0</x:v>
      </x:c>
      <x:c r="BV15" s="67" t="n">
        <x:f>IF(BO15&gt;0,BU15*1000000/BO15/Economy!Q15,0)</x:f>
        <x:v>0</x:v>
      </x:c>
      <x:c r="BW15" s="65" t="n">
        <x:f>0.25*IF(D15&gt;0,H15,1)+0.15*IF(AJ15&gt;0,AN15,1)+0.03*IF(AR15&gt;0,AV15,1)+0.08*IF(AZ15&gt;0,BD15,1)+0.12*IF(BH15&gt;0,BL15,1)+0.1*IF(L15&gt;0,P15,1)+0.07*IF(T15&gt;0,X15,1)+0.05*IF(AB15&gt;0,AF15,1)+0.05*IF(BP15&gt;0,BT15,1)+0.1</x:f>
        <x:v>1.0000000000000002</x:v>
      </x:c>
      <x:c r="BX15" s="63" t="n">
        <x:f>MIN(mkt_cap,mkt_elast*MAX(0,BW15-1))</x:f>
        <x:v>1.1102230246251565e-16</x:v>
      </x:c>
      <x:c r="BY15" s="47" t="n">
        <x:f>I15+Q15+Y15+AG15</x:f>
        <x:v>0</x:v>
      </x:c>
      <x:c r="BZ15" s="47" t="n">
        <x:f>D15+L15+T15+AB15</x:f>
        <x:v>0</x:v>
      </x:c>
      <x:c r="CA15" s="65" t="n">
        <x:f>IF(BZ15&gt;0,BY15/BZ15,0)</x:f>
        <x:v>0</x:v>
      </x:c>
    </x:row>
    <x:row r="16">
      <x:c r="A16" s="58" t="n">
        <x:v>1856</x:v>
      </x:c>
      <x:c r="B16" s="47" t="n">
        <x:f>Economy!P15</x:f>
        <x:v>292.27997295772724</x:v>
      </x:c>
      <x:c r="C16" s="45" t="n">
        <x:v>0</x:v>
      </x:c>
      <x:c r="D16" s="62" t="n">
        <x:f>Japan!B16</x:f>
        <x:v>0</x:v>
      </x:c>
      <x:c r="E16" s="68" t="n">
        <x:v>0</x:v>
      </x:c>
      <x:c r="F16" s="47" t="n">
        <x:f>IF(C16&gt;0,D16*1000000/C16,0)</x:f>
        <x:v>0</x:v>
      </x:c>
      <x:c r="G16" s="64" t="n">
        <x:f>IF(AND(E16&gt;0,F15&gt;0,B16&gt;0),MIN(conv_cap,conv_beta*jp_uplift*E16*MAX(0,LN(B16/(F15*H15)))),0)</x:f>
        <x:v>0</x:v>
      </x:c>
      <x:c r="H16" s="65" t="n">
        <x:f>H15*(1+G16)</x:f>
        <x:v>1</x:v>
      </x:c>
      <x:c r="I16" s="47" t="n">
        <x:f>D16*H16</x:f>
        <x:v>0</x:v>
      </x:c>
      <x:c r="J16" s="67" t="n">
        <x:f>IF(C16&gt;0,I16*1000000/C16/Economy!Q16,0)</x:f>
        <x:v>0</x:v>
      </x:c>
      <x:c r="K16" s="62" t="n">
        <x:f>Gulf!B16</x:f>
        <x:v>0</x:v>
      </x:c>
      <x:c r="L16" s="47" t="n">
        <x:f>Gulf!B16*Gulf!C16*Economy!Q16/1000000</x:f>
        <x:v>0</x:v>
      </x:c>
      <x:c r="M16" s="68" t="n">
        <x:v>0</x:v>
      </x:c>
      <x:c r="N16" s="47" t="n">
        <x:f>IF(K16&gt;0,L16*1000000/K16,0)</x:f>
        <x:v>0</x:v>
      </x:c>
      <x:c r="O16" s="64" t="n">
        <x:f>IF(AND(M16&gt;0,N15&gt;0,B16&gt;0),MIN(conv_cap,conv_beta*1*M16*MAX(0,LN(B16/(N15*P15)))),0)</x:f>
        <x:v>0</x:v>
      </x:c>
      <x:c r="P16" s="65" t="n">
        <x:f>P15*(1+O16)</x:f>
        <x:v>1</x:v>
      </x:c>
      <x:c r="Q16" s="47" t="n">
        <x:f>L16*P16</x:f>
        <x:v>0</x:v>
      </x:c>
      <x:c r="R16" s="67" t="n">
        <x:f>IF(K16&gt;0,Q16*1000000/K16/Economy!Q16,0)</x:f>
        <x:v>0</x:v>
      </x:c>
      <x:c r="S16" s="62" t="n">
        <x:f>People!U16</x:f>
        <x:v>0</x:v>
      </x:c>
      <x:c r="T16" s="45" t="n">
        <x:v>0</x:v>
      </x:c>
      <x:c r="U16" s="68" t="n">
        <x:v>0</x:v>
      </x:c>
      <x:c r="V16" s="47" t="n">
        <x:f>IF(S16&gt;0,T16*1000000/S16,0)</x:f>
        <x:v>0</x:v>
      </x:c>
      <x:c r="W16" s="64" t="n">
        <x:f>IF(AND(U16&gt;0,V15&gt;0,B16&gt;0),MIN(conv_cap,conv_beta*1*U16*MAX(0,LN(B16/(V15*X15)))),0)</x:f>
        <x:v>0</x:v>
      </x:c>
      <x:c r="X16" s="65" t="n">
        <x:f>X15*(1+W16)</x:f>
        <x:v>1</x:v>
      </x:c>
      <x:c r="Y16" s="47" t="n">
        <x:f>T16*X16</x:f>
        <x:v>0</x:v>
      </x:c>
      <x:c r="Z16" s="67" t="n">
        <x:f>IF(S16&gt;0,Y16*1000000/S16/Economy!Q16,0)</x:f>
        <x:v>0</x:v>
      </x:c>
      <x:c r="AA16" s="45" t="n">
        <x:v>0</x:v>
      </x:c>
      <x:c r="AB16" s="45" t="n">
        <x:v>0</x:v>
      </x:c>
      <x:c r="AC16" s="68" t="n">
        <x:v>0</x:v>
      </x:c>
      <x:c r="AD16" s="47" t="n">
        <x:f>IF(AA16&gt;0,AB16*1000000/AA16,0)</x:f>
        <x:v>0</x:v>
      </x:c>
      <x:c r="AE16" s="64" t="n">
        <x:f>IF(AND(AC16&gt;0,AD15&gt;0,B16&gt;0),MIN(conv_cap,conv_beta*1*AC16*MAX(0,LN(B16/(AD15*AF15)))),0)</x:f>
        <x:v>0</x:v>
      </x:c>
      <x:c r="AF16" s="65" t="n">
        <x:f>AF15*(1+AE16)</x:f>
        <x:v>1</x:v>
      </x:c>
      <x:c r="AG16" s="47" t="n">
        <x:f>AB16*AF16</x:f>
        <x:v>0</x:v>
      </x:c>
      <x:c r="AH16" s="67" t="n">
        <x:f>IF(AA16&gt;0,AG16*1000000/AA16/Economy!Q16,0)</x:f>
        <x:v>0</x:v>
      </x:c>
      <x:c r="AI16" s="45" t="n">
        <x:v>0</x:v>
      </x:c>
      <x:c r="AJ16" s="45" t="n">
        <x:v>0</x:v>
      </x:c>
      <x:c r="AK16" s="68" t="n">
        <x:v>0</x:v>
      </x:c>
      <x:c r="AL16" s="47" t="n">
        <x:f>IF(AI16&gt;0,AJ16*1000000/AI16,0)</x:f>
        <x:v>0</x:v>
      </x:c>
      <x:c r="AM16" s="64" t="n">
        <x:f>IF(AND(AK16&gt;0,AL15&gt;0,B16&gt;0),MIN(conv_cap,conv_beta*1*AK16*MAX(0,LN(B16/(AL15*AN15)))),0)</x:f>
        <x:v>0</x:v>
      </x:c>
      <x:c r="AN16" s="65" t="n">
        <x:f>AN15*(1+AM16)</x:f>
        <x:v>1</x:v>
      </x:c>
      <x:c r="AO16" s="47" t="n">
        <x:f>AJ16*AN16</x:f>
        <x:v>0</x:v>
      </x:c>
      <x:c r="AP16" s="67" t="n">
        <x:f>IF(AI16&gt;0,AO16*1000000/AI16/Economy!Q16,0)</x:f>
        <x:v>0</x:v>
      </x:c>
      <x:c r="AQ16" s="45" t="n">
        <x:v>0</x:v>
      </x:c>
      <x:c r="AR16" s="45" t="n">
        <x:v>0</x:v>
      </x:c>
      <x:c r="AS16" s="68" t="n">
        <x:v>0</x:v>
      </x:c>
      <x:c r="AT16" s="47" t="n">
        <x:f>IF(AQ16&gt;0,AR16*1000000/AQ16,0)</x:f>
        <x:v>0</x:v>
      </x:c>
      <x:c r="AU16" s="64" t="n">
        <x:f>IF(AND(AS16&gt;0,AT15&gt;0,B16&gt;0),MIN(conv_cap,conv_beta*1*AS16*MAX(0,LN(B16/(AT15*AV15)))),0)</x:f>
        <x:v>0</x:v>
      </x:c>
      <x:c r="AV16" s="65" t="n">
        <x:f>AV15*(1+AU16)</x:f>
        <x:v>1</x:v>
      </x:c>
      <x:c r="AW16" s="47" t="n">
        <x:f>AR16*AV16</x:f>
        <x:v>0</x:v>
      </x:c>
      <x:c r="AX16" s="67" t="n">
        <x:f>IF(AQ16&gt;0,AW16*1000000/AQ16/Economy!Q16,0)</x:f>
        <x:v>0</x:v>
      </x:c>
      <x:c r="AY16" s="45" t="n">
        <x:v>0</x:v>
      </x:c>
      <x:c r="AZ16" s="45" t="n">
        <x:v>0</x:v>
      </x:c>
      <x:c r="BA16" s="68" t="n">
        <x:v>0</x:v>
      </x:c>
      <x:c r="BB16" s="47" t="n">
        <x:f>IF(AY16&gt;0,AZ16*1000000/AY16,0)</x:f>
        <x:v>0</x:v>
      </x:c>
      <x:c r="BC16" s="64" t="n">
        <x:f>IF(AND(BA16&gt;0,BB15&gt;0,B16&gt;0),MIN(conv_cap,conv_beta*1*BA16*MAX(0,LN(B16/(BB15*BD15)))),0)</x:f>
        <x:v>0</x:v>
      </x:c>
      <x:c r="BD16" s="65" t="n">
        <x:f>BD15*(1+BC16)</x:f>
        <x:v>1</x:v>
      </x:c>
      <x:c r="BE16" s="47" t="n">
        <x:f>AZ16*BD16</x:f>
        <x:v>0</x:v>
      </x:c>
      <x:c r="BF16" s="67" t="n">
        <x:f>IF(AY16&gt;0,BE16*1000000/AY16/Economy!Q16,0)</x:f>
        <x:v>0</x:v>
      </x:c>
      <x:c r="BG16" s="45" t="n">
        <x:v>0</x:v>
      </x:c>
      <x:c r="BH16" s="45" t="n">
        <x:v>0</x:v>
      </x:c>
      <x:c r="BI16" s="68" t="n">
        <x:v>0</x:v>
      </x:c>
      <x:c r="BJ16" s="47" t="n">
        <x:f>IF(BG16&gt;0,BH16*1000000/BG16,0)</x:f>
        <x:v>0</x:v>
      </x:c>
      <x:c r="BK16" s="64" t="n">
        <x:f>IF(AND(BI16&gt;0,BJ15&gt;0,B16&gt;0),MIN(conv_cap,conv_beta*1*BI16*MAX(0,LN(B16/(BJ15*BL15)))),0)</x:f>
        <x:v>0</x:v>
      </x:c>
      <x:c r="BL16" s="65" t="n">
        <x:f>BL15*(1+BK16)</x:f>
        <x:v>1</x:v>
      </x:c>
      <x:c r="BM16" s="47" t="n">
        <x:f>BH16*BL16</x:f>
        <x:v>0</x:v>
      </x:c>
      <x:c r="BN16" s="67" t="n">
        <x:f>IF(BG16&gt;0,BM16*1000000/BG16/Economy!Q16,0)</x:f>
        <x:v>0</x:v>
      </x:c>
      <x:c r="BO16" s="45" t="n">
        <x:v>0</x:v>
      </x:c>
      <x:c r="BP16" s="45" t="n">
        <x:v>0</x:v>
      </x:c>
      <x:c r="BQ16" s="68" t="n">
        <x:v>0</x:v>
      </x:c>
      <x:c r="BR16" s="47" t="n">
        <x:f>IF(BO16&gt;0,BP16*1000000/BO16,0)</x:f>
        <x:v>0</x:v>
      </x:c>
      <x:c r="BS16" s="64" t="n">
        <x:f>IF(AND(BQ16&gt;0,BR15&gt;0,B16&gt;0),MIN(conv_cap,conv_beta*1*BQ16*MAX(0,LN(B16/(BR15*BT15)))),0)</x:f>
        <x:v>0</x:v>
      </x:c>
      <x:c r="BT16" s="65" t="n">
        <x:f>BT15*(1+BS16)</x:f>
        <x:v>1</x:v>
      </x:c>
      <x:c r="BU16" s="47" t="n">
        <x:f>BP16*BT16</x:f>
        <x:v>0</x:v>
      </x:c>
      <x:c r="BV16" s="67" t="n">
        <x:f>IF(BO16&gt;0,BU16*1000000/BO16/Economy!Q16,0)</x:f>
        <x:v>0</x:v>
      </x:c>
      <x:c r="BW16" s="65" t="n">
        <x:f>0.25*IF(D16&gt;0,H16,1)+0.15*IF(AJ16&gt;0,AN16,1)+0.03*IF(AR16&gt;0,AV16,1)+0.08*IF(AZ16&gt;0,BD16,1)+0.12*IF(BH16&gt;0,BL16,1)+0.1*IF(L16&gt;0,P16,1)+0.07*IF(T16&gt;0,X16,1)+0.05*IF(AB16&gt;0,AF16,1)+0.05*IF(BP16&gt;0,BT16,1)+0.1</x:f>
        <x:v>1.0000000000000002</x:v>
      </x:c>
      <x:c r="BX16" s="63" t="n">
        <x:f>MIN(mkt_cap,mkt_elast*MAX(0,BW16-1))</x:f>
        <x:v>1.1102230246251565e-16</x:v>
      </x:c>
      <x:c r="BY16" s="47" t="n">
        <x:f>I16+Q16+Y16+AG16</x:f>
        <x:v>0</x:v>
      </x:c>
      <x:c r="BZ16" s="47" t="n">
        <x:f>D16+L16+T16+AB16</x:f>
        <x:v>0</x:v>
      </x:c>
      <x:c r="CA16" s="65" t="n">
        <x:f>IF(BZ16&gt;0,BY16/BZ16,0)</x:f>
        <x:v>0</x:v>
      </x:c>
    </x:row>
    <x:row r="17">
      <x:c r="A17" s="58" t="n">
        <x:v>1857</x:v>
      </x:c>
      <x:c r="B17" s="47" t="n">
        <x:f>Economy!P16</x:f>
        <x:v>284.96469878384374</x:v>
      </x:c>
      <x:c r="C17" s="45" t="n">
        <x:v>0</x:v>
      </x:c>
      <x:c r="D17" s="62" t="n">
        <x:f>Japan!B17</x:f>
        <x:v>0</x:v>
      </x:c>
      <x:c r="E17" s="68" t="n">
        <x:v>0</x:v>
      </x:c>
      <x:c r="F17" s="47" t="n">
        <x:f>IF(C17&gt;0,D17*1000000/C17,0)</x:f>
        <x:v>0</x:v>
      </x:c>
      <x:c r="G17" s="64" t="n">
        <x:f>IF(AND(E17&gt;0,F16&gt;0,B17&gt;0),MIN(conv_cap,conv_beta*jp_uplift*E17*MAX(0,LN(B17/(F16*H16)))),0)</x:f>
        <x:v>0</x:v>
      </x:c>
      <x:c r="H17" s="65" t="n">
        <x:f>H16*(1+G17)</x:f>
        <x:v>1</x:v>
      </x:c>
      <x:c r="I17" s="47" t="n">
        <x:f>D17*H17</x:f>
        <x:v>0</x:v>
      </x:c>
      <x:c r="J17" s="67" t="n">
        <x:f>IF(C17&gt;0,I17*1000000/C17/Economy!Q17,0)</x:f>
        <x:v>0</x:v>
      </x:c>
      <x:c r="K17" s="62" t="n">
        <x:f>Gulf!B17</x:f>
        <x:v>0</x:v>
      </x:c>
      <x:c r="L17" s="47" t="n">
        <x:f>Gulf!B17*Gulf!C17*Economy!Q17/1000000</x:f>
        <x:v>0</x:v>
      </x:c>
      <x:c r="M17" s="68" t="n">
        <x:v>0</x:v>
      </x:c>
      <x:c r="N17" s="47" t="n">
        <x:f>IF(K17&gt;0,L17*1000000/K17,0)</x:f>
        <x:v>0</x:v>
      </x:c>
      <x:c r="O17" s="64" t="n">
        <x:f>IF(AND(M17&gt;0,N16&gt;0,B17&gt;0),MIN(conv_cap,conv_beta*1*M17*MAX(0,LN(B17/(N16*P16)))),0)</x:f>
        <x:v>0</x:v>
      </x:c>
      <x:c r="P17" s="65" t="n">
        <x:f>P16*(1+O17)</x:f>
        <x:v>1</x:v>
      </x:c>
      <x:c r="Q17" s="47" t="n">
        <x:f>L17*P17</x:f>
        <x:v>0</x:v>
      </x:c>
      <x:c r="R17" s="67" t="n">
        <x:f>IF(K17&gt;0,Q17*1000000/K17/Economy!Q17,0)</x:f>
        <x:v>0</x:v>
      </x:c>
      <x:c r="S17" s="62" t="n">
        <x:f>People!U17</x:f>
        <x:v>0</x:v>
      </x:c>
      <x:c r="T17" s="45" t="n">
        <x:v>0</x:v>
      </x:c>
      <x:c r="U17" s="68" t="n">
        <x:v>0</x:v>
      </x:c>
      <x:c r="V17" s="47" t="n">
        <x:f>IF(S17&gt;0,T17*1000000/S17,0)</x:f>
        <x:v>0</x:v>
      </x:c>
      <x:c r="W17" s="64" t="n">
        <x:f>IF(AND(U17&gt;0,V16&gt;0,B17&gt;0),MIN(conv_cap,conv_beta*1*U17*MAX(0,LN(B17/(V16*X16)))),0)</x:f>
        <x:v>0</x:v>
      </x:c>
      <x:c r="X17" s="65" t="n">
        <x:f>X16*(1+W17)</x:f>
        <x:v>1</x:v>
      </x:c>
      <x:c r="Y17" s="47" t="n">
        <x:f>T17*X17</x:f>
        <x:v>0</x:v>
      </x:c>
      <x:c r="Z17" s="67" t="n">
        <x:f>IF(S17&gt;0,Y17*1000000/S17/Economy!Q17,0)</x:f>
        <x:v>0</x:v>
      </x:c>
      <x:c r="AA17" s="45" t="n">
        <x:v>0</x:v>
      </x:c>
      <x:c r="AB17" s="45" t="n">
        <x:v>0</x:v>
      </x:c>
      <x:c r="AC17" s="68" t="n">
        <x:v>0</x:v>
      </x:c>
      <x:c r="AD17" s="47" t="n">
        <x:f>IF(AA17&gt;0,AB17*1000000/AA17,0)</x:f>
        <x:v>0</x:v>
      </x:c>
      <x:c r="AE17" s="64" t="n">
        <x:f>IF(AND(AC17&gt;0,AD16&gt;0,B17&gt;0),MIN(conv_cap,conv_beta*1*AC17*MAX(0,LN(B17/(AD16*AF16)))),0)</x:f>
        <x:v>0</x:v>
      </x:c>
      <x:c r="AF17" s="65" t="n">
        <x:f>AF16*(1+AE17)</x:f>
        <x:v>1</x:v>
      </x:c>
      <x:c r="AG17" s="47" t="n">
        <x:f>AB17*AF17</x:f>
        <x:v>0</x:v>
      </x:c>
      <x:c r="AH17" s="67" t="n">
        <x:f>IF(AA17&gt;0,AG17*1000000/AA17/Economy!Q17,0)</x:f>
        <x:v>0</x:v>
      </x:c>
      <x:c r="AI17" s="45" t="n">
        <x:v>0</x:v>
      </x:c>
      <x:c r="AJ17" s="45" t="n">
        <x:v>0</x:v>
      </x:c>
      <x:c r="AK17" s="68" t="n">
        <x:v>0</x:v>
      </x:c>
      <x:c r="AL17" s="47" t="n">
        <x:f>IF(AI17&gt;0,AJ17*1000000/AI17,0)</x:f>
        <x:v>0</x:v>
      </x:c>
      <x:c r="AM17" s="64" t="n">
        <x:f>IF(AND(AK17&gt;0,AL16&gt;0,B17&gt;0),MIN(conv_cap,conv_beta*1*AK17*MAX(0,LN(B17/(AL16*AN16)))),0)</x:f>
        <x:v>0</x:v>
      </x:c>
      <x:c r="AN17" s="65" t="n">
        <x:f>AN16*(1+AM17)</x:f>
        <x:v>1</x:v>
      </x:c>
      <x:c r="AO17" s="47" t="n">
        <x:f>AJ17*AN17</x:f>
        <x:v>0</x:v>
      </x:c>
      <x:c r="AP17" s="67" t="n">
        <x:f>IF(AI17&gt;0,AO17*1000000/AI17/Economy!Q17,0)</x:f>
        <x:v>0</x:v>
      </x:c>
      <x:c r="AQ17" s="45" t="n">
        <x:v>0</x:v>
      </x:c>
      <x:c r="AR17" s="45" t="n">
        <x:v>0</x:v>
      </x:c>
      <x:c r="AS17" s="68" t="n">
        <x:v>0</x:v>
      </x:c>
      <x:c r="AT17" s="47" t="n">
        <x:f>IF(AQ17&gt;0,AR17*1000000/AQ17,0)</x:f>
        <x:v>0</x:v>
      </x:c>
      <x:c r="AU17" s="64" t="n">
        <x:f>IF(AND(AS17&gt;0,AT16&gt;0,B17&gt;0),MIN(conv_cap,conv_beta*1*AS17*MAX(0,LN(B17/(AT16*AV16)))),0)</x:f>
        <x:v>0</x:v>
      </x:c>
      <x:c r="AV17" s="65" t="n">
        <x:f>AV16*(1+AU17)</x:f>
        <x:v>1</x:v>
      </x:c>
      <x:c r="AW17" s="47" t="n">
        <x:f>AR17*AV17</x:f>
        <x:v>0</x:v>
      </x:c>
      <x:c r="AX17" s="67" t="n">
        <x:f>IF(AQ17&gt;0,AW17*1000000/AQ17/Economy!Q17,0)</x:f>
        <x:v>0</x:v>
      </x:c>
      <x:c r="AY17" s="45" t="n">
        <x:v>0</x:v>
      </x:c>
      <x:c r="AZ17" s="45" t="n">
        <x:v>0</x:v>
      </x:c>
      <x:c r="BA17" s="68" t="n">
        <x:v>0</x:v>
      </x:c>
      <x:c r="BB17" s="47" t="n">
        <x:f>IF(AY17&gt;0,AZ17*1000000/AY17,0)</x:f>
        <x:v>0</x:v>
      </x:c>
      <x:c r="BC17" s="64" t="n">
        <x:f>IF(AND(BA17&gt;0,BB16&gt;0,B17&gt;0),MIN(conv_cap,conv_beta*1*BA17*MAX(0,LN(B17/(BB16*BD16)))),0)</x:f>
        <x:v>0</x:v>
      </x:c>
      <x:c r="BD17" s="65" t="n">
        <x:f>BD16*(1+BC17)</x:f>
        <x:v>1</x:v>
      </x:c>
      <x:c r="BE17" s="47" t="n">
        <x:f>AZ17*BD17</x:f>
        <x:v>0</x:v>
      </x:c>
      <x:c r="BF17" s="67" t="n">
        <x:f>IF(AY17&gt;0,BE17*1000000/AY17/Economy!Q17,0)</x:f>
        <x:v>0</x:v>
      </x:c>
      <x:c r="BG17" s="45" t="n">
        <x:v>0</x:v>
      </x:c>
      <x:c r="BH17" s="45" t="n">
        <x:v>0</x:v>
      </x:c>
      <x:c r="BI17" s="68" t="n">
        <x:v>0</x:v>
      </x:c>
      <x:c r="BJ17" s="47" t="n">
        <x:f>IF(BG17&gt;0,BH17*1000000/BG17,0)</x:f>
        <x:v>0</x:v>
      </x:c>
      <x:c r="BK17" s="64" t="n">
        <x:f>IF(AND(BI17&gt;0,BJ16&gt;0,B17&gt;0),MIN(conv_cap,conv_beta*1*BI17*MAX(0,LN(B17/(BJ16*BL16)))),0)</x:f>
        <x:v>0</x:v>
      </x:c>
      <x:c r="BL17" s="65" t="n">
        <x:f>BL16*(1+BK17)</x:f>
        <x:v>1</x:v>
      </x:c>
      <x:c r="BM17" s="47" t="n">
        <x:f>BH17*BL17</x:f>
        <x:v>0</x:v>
      </x:c>
      <x:c r="BN17" s="67" t="n">
        <x:f>IF(BG17&gt;0,BM17*1000000/BG17/Economy!Q17,0)</x:f>
        <x:v>0</x:v>
      </x:c>
      <x:c r="BO17" s="45" t="n">
        <x:v>0</x:v>
      </x:c>
      <x:c r="BP17" s="45" t="n">
        <x:v>0</x:v>
      </x:c>
      <x:c r="BQ17" s="68" t="n">
        <x:v>0</x:v>
      </x:c>
      <x:c r="BR17" s="47" t="n">
        <x:f>IF(BO17&gt;0,BP17*1000000/BO17,0)</x:f>
        <x:v>0</x:v>
      </x:c>
      <x:c r="BS17" s="64" t="n">
        <x:f>IF(AND(BQ17&gt;0,BR16&gt;0,B17&gt;0),MIN(conv_cap,conv_beta*1*BQ17*MAX(0,LN(B17/(BR16*BT16)))),0)</x:f>
        <x:v>0</x:v>
      </x:c>
      <x:c r="BT17" s="65" t="n">
        <x:f>BT16*(1+BS17)</x:f>
        <x:v>1</x:v>
      </x:c>
      <x:c r="BU17" s="47" t="n">
        <x:f>BP17*BT17</x:f>
        <x:v>0</x:v>
      </x:c>
      <x:c r="BV17" s="67" t="n">
        <x:f>IF(BO17&gt;0,BU17*1000000/BO17/Economy!Q17,0)</x:f>
        <x:v>0</x:v>
      </x:c>
      <x:c r="BW17" s="65" t="n">
        <x:f>0.25*IF(D17&gt;0,H17,1)+0.15*IF(AJ17&gt;0,AN17,1)+0.03*IF(AR17&gt;0,AV17,1)+0.08*IF(AZ17&gt;0,BD17,1)+0.12*IF(BH17&gt;0,BL17,1)+0.1*IF(L17&gt;0,P17,1)+0.07*IF(T17&gt;0,X17,1)+0.05*IF(AB17&gt;0,AF17,1)+0.05*IF(BP17&gt;0,BT17,1)+0.1</x:f>
        <x:v>1.0000000000000002</x:v>
      </x:c>
      <x:c r="BX17" s="63" t="n">
        <x:f>MIN(mkt_cap,mkt_elast*MAX(0,BW17-1))</x:f>
        <x:v>1.1102230246251565e-16</x:v>
      </x:c>
      <x:c r="BY17" s="47" t="n">
        <x:f>I17+Q17+Y17+AG17</x:f>
        <x:v>0</x:v>
      </x:c>
      <x:c r="BZ17" s="47" t="n">
        <x:f>D17+L17+T17+AB17</x:f>
        <x:v>0</x:v>
      </x:c>
      <x:c r="CA17" s="65" t="n">
        <x:f>IF(BZ17&gt;0,BY17/BZ17,0)</x:f>
        <x:v>0</x:v>
      </x:c>
    </x:row>
    <x:row r="18">
      <x:c r="A18" s="58" t="n">
        <x:v>1858</x:v>
      </x:c>
      <x:c r="B18" s="47" t="n">
        <x:f>Economy!P17</x:f>
        <x:v>253.31902128959533</x:v>
      </x:c>
      <x:c r="C18" s="45" t="n">
        <x:v>0</x:v>
      </x:c>
      <x:c r="D18" s="62" t="n">
        <x:f>Japan!B18</x:f>
        <x:v>0</x:v>
      </x:c>
      <x:c r="E18" s="68" t="n">
        <x:v>0.1</x:v>
      </x:c>
      <x:c r="F18" s="47" t="n">
        <x:f>IF(C18&gt;0,D18*1000000/C18,0)</x:f>
        <x:v>0</x:v>
      </x:c>
      <x:c r="G18" s="64" t="n">
        <x:f>IF(AND(E18&gt;0,F17&gt;0,B18&gt;0),MIN(conv_cap,conv_beta*jp_uplift*E18*MAX(0,LN(B18/(F17*H17)))),0)</x:f>
        <x:v>0</x:v>
      </x:c>
      <x:c r="H18" s="65" t="n">
        <x:f>H17*(1+G18)</x:f>
        <x:v>1</x:v>
      </x:c>
      <x:c r="I18" s="47" t="n">
        <x:f>D18*H18</x:f>
        <x:v>0</x:v>
      </x:c>
      <x:c r="J18" s="67" t="n">
        <x:f>IF(C18&gt;0,I18*1000000/C18/Economy!Q18,0)</x:f>
        <x:v>0</x:v>
      </x:c>
      <x:c r="K18" s="62" t="n">
        <x:f>Gulf!B18</x:f>
        <x:v>0</x:v>
      </x:c>
      <x:c r="L18" s="47" t="n">
        <x:f>Gulf!B18*Gulf!C18*Economy!Q18/1000000</x:f>
        <x:v>0</x:v>
      </x:c>
      <x:c r="M18" s="68" t="n">
        <x:v>0</x:v>
      </x:c>
      <x:c r="N18" s="47" t="n">
        <x:f>IF(K18&gt;0,L18*1000000/K18,0)</x:f>
        <x:v>0</x:v>
      </x:c>
      <x:c r="O18" s="64" t="n">
        <x:f>IF(AND(M18&gt;0,N17&gt;0,B18&gt;0),MIN(conv_cap,conv_beta*1*M18*MAX(0,LN(B18/(N17*P17)))),0)</x:f>
        <x:v>0</x:v>
      </x:c>
      <x:c r="P18" s="65" t="n">
        <x:f>P17*(1+O18)</x:f>
        <x:v>1</x:v>
      </x:c>
      <x:c r="Q18" s="47" t="n">
        <x:f>L18*P18</x:f>
        <x:v>0</x:v>
      </x:c>
      <x:c r="R18" s="67" t="n">
        <x:f>IF(K18&gt;0,Q18*1000000/K18/Economy!Q18,0)</x:f>
        <x:v>0</x:v>
      </x:c>
      <x:c r="S18" s="62" t="n">
        <x:f>People!U18</x:f>
        <x:v>0</x:v>
      </x:c>
      <x:c r="T18" s="45" t="n">
        <x:v>0</x:v>
      </x:c>
      <x:c r="U18" s="68" t="n">
        <x:v>0</x:v>
      </x:c>
      <x:c r="V18" s="47" t="n">
        <x:f>IF(S18&gt;0,T18*1000000/S18,0)</x:f>
        <x:v>0</x:v>
      </x:c>
      <x:c r="W18" s="64" t="n">
        <x:f>IF(AND(U18&gt;0,V17&gt;0,B18&gt;0),MIN(conv_cap,conv_beta*1*U18*MAX(0,LN(B18/(V17*X17)))),0)</x:f>
        <x:v>0</x:v>
      </x:c>
      <x:c r="X18" s="65" t="n">
        <x:f>X17*(1+W18)</x:f>
        <x:v>1</x:v>
      </x:c>
      <x:c r="Y18" s="47" t="n">
        <x:f>T18*X18</x:f>
        <x:v>0</x:v>
      </x:c>
      <x:c r="Z18" s="67" t="n">
        <x:f>IF(S18&gt;0,Y18*1000000/S18/Economy!Q18,0)</x:f>
        <x:v>0</x:v>
      </x:c>
      <x:c r="AA18" s="45" t="n">
        <x:v>0</x:v>
      </x:c>
      <x:c r="AB18" s="45" t="n">
        <x:v>0</x:v>
      </x:c>
      <x:c r="AC18" s="68" t="n">
        <x:v>0</x:v>
      </x:c>
      <x:c r="AD18" s="47" t="n">
        <x:f>IF(AA18&gt;0,AB18*1000000/AA18,0)</x:f>
        <x:v>0</x:v>
      </x:c>
      <x:c r="AE18" s="64" t="n">
        <x:f>IF(AND(AC18&gt;0,AD17&gt;0,B18&gt;0),MIN(conv_cap,conv_beta*1*AC18*MAX(0,LN(B18/(AD17*AF17)))),0)</x:f>
        <x:v>0</x:v>
      </x:c>
      <x:c r="AF18" s="65" t="n">
        <x:f>AF17*(1+AE18)</x:f>
        <x:v>1</x:v>
      </x:c>
      <x:c r="AG18" s="47" t="n">
        <x:f>AB18*AF18</x:f>
        <x:v>0</x:v>
      </x:c>
      <x:c r="AH18" s="67" t="n">
        <x:f>IF(AA18&gt;0,AG18*1000000/AA18/Economy!Q18,0)</x:f>
        <x:v>0</x:v>
      </x:c>
      <x:c r="AI18" s="45" t="n">
        <x:v>0</x:v>
      </x:c>
      <x:c r="AJ18" s="45" t="n">
        <x:v>0</x:v>
      </x:c>
      <x:c r="AK18" s="68" t="n">
        <x:v>0</x:v>
      </x:c>
      <x:c r="AL18" s="47" t="n">
        <x:f>IF(AI18&gt;0,AJ18*1000000/AI18,0)</x:f>
        <x:v>0</x:v>
      </x:c>
      <x:c r="AM18" s="64" t="n">
        <x:f>IF(AND(AK18&gt;0,AL17&gt;0,B18&gt;0),MIN(conv_cap,conv_beta*1*AK18*MAX(0,LN(B18/(AL17*AN17)))),0)</x:f>
        <x:v>0</x:v>
      </x:c>
      <x:c r="AN18" s="65" t="n">
        <x:f>AN17*(1+AM18)</x:f>
        <x:v>1</x:v>
      </x:c>
      <x:c r="AO18" s="47" t="n">
        <x:f>AJ18*AN18</x:f>
        <x:v>0</x:v>
      </x:c>
      <x:c r="AP18" s="67" t="n">
        <x:f>IF(AI18&gt;0,AO18*1000000/AI18/Economy!Q18,0)</x:f>
        <x:v>0</x:v>
      </x:c>
      <x:c r="AQ18" s="45" t="n">
        <x:v>0</x:v>
      </x:c>
      <x:c r="AR18" s="45" t="n">
        <x:v>0</x:v>
      </x:c>
      <x:c r="AS18" s="68" t="n">
        <x:v>0</x:v>
      </x:c>
      <x:c r="AT18" s="47" t="n">
        <x:f>IF(AQ18&gt;0,AR18*1000000/AQ18,0)</x:f>
        <x:v>0</x:v>
      </x:c>
      <x:c r="AU18" s="64" t="n">
        <x:f>IF(AND(AS18&gt;0,AT17&gt;0,B18&gt;0),MIN(conv_cap,conv_beta*1*AS18*MAX(0,LN(B18/(AT17*AV17)))),0)</x:f>
        <x:v>0</x:v>
      </x:c>
      <x:c r="AV18" s="65" t="n">
        <x:f>AV17*(1+AU18)</x:f>
        <x:v>1</x:v>
      </x:c>
      <x:c r="AW18" s="47" t="n">
        <x:f>AR18*AV18</x:f>
        <x:v>0</x:v>
      </x:c>
      <x:c r="AX18" s="67" t="n">
        <x:f>IF(AQ18&gt;0,AW18*1000000/AQ18/Economy!Q18,0)</x:f>
        <x:v>0</x:v>
      </x:c>
      <x:c r="AY18" s="45" t="n">
        <x:v>0</x:v>
      </x:c>
      <x:c r="AZ18" s="45" t="n">
        <x:v>0</x:v>
      </x:c>
      <x:c r="BA18" s="68" t="n">
        <x:v>0</x:v>
      </x:c>
      <x:c r="BB18" s="47" t="n">
        <x:f>IF(AY18&gt;0,AZ18*1000000/AY18,0)</x:f>
        <x:v>0</x:v>
      </x:c>
      <x:c r="BC18" s="64" t="n">
        <x:f>IF(AND(BA18&gt;0,BB17&gt;0,B18&gt;0),MIN(conv_cap,conv_beta*1*BA18*MAX(0,LN(B18/(BB17*BD17)))),0)</x:f>
        <x:v>0</x:v>
      </x:c>
      <x:c r="BD18" s="65" t="n">
        <x:f>BD17*(1+BC18)</x:f>
        <x:v>1</x:v>
      </x:c>
      <x:c r="BE18" s="47" t="n">
        <x:f>AZ18*BD18</x:f>
        <x:v>0</x:v>
      </x:c>
      <x:c r="BF18" s="67" t="n">
        <x:f>IF(AY18&gt;0,BE18*1000000/AY18/Economy!Q18,0)</x:f>
        <x:v>0</x:v>
      </x:c>
      <x:c r="BG18" s="45" t="n">
        <x:v>0</x:v>
      </x:c>
      <x:c r="BH18" s="45" t="n">
        <x:v>0</x:v>
      </x:c>
      <x:c r="BI18" s="68" t="n">
        <x:v>0</x:v>
      </x:c>
      <x:c r="BJ18" s="47" t="n">
        <x:f>IF(BG18&gt;0,BH18*1000000/BG18,0)</x:f>
        <x:v>0</x:v>
      </x:c>
      <x:c r="BK18" s="64" t="n">
        <x:f>IF(AND(BI18&gt;0,BJ17&gt;0,B18&gt;0),MIN(conv_cap,conv_beta*1*BI18*MAX(0,LN(B18/(BJ17*BL17)))),0)</x:f>
        <x:v>0</x:v>
      </x:c>
      <x:c r="BL18" s="65" t="n">
        <x:f>BL17*(1+BK18)</x:f>
        <x:v>1</x:v>
      </x:c>
      <x:c r="BM18" s="47" t="n">
        <x:f>BH18*BL18</x:f>
        <x:v>0</x:v>
      </x:c>
      <x:c r="BN18" s="67" t="n">
        <x:f>IF(BG18&gt;0,BM18*1000000/BG18/Economy!Q18,0)</x:f>
        <x:v>0</x:v>
      </x:c>
      <x:c r="BO18" s="45" t="n">
        <x:v>0</x:v>
      </x:c>
      <x:c r="BP18" s="45" t="n">
        <x:v>0</x:v>
      </x:c>
      <x:c r="BQ18" s="68" t="n">
        <x:v>0</x:v>
      </x:c>
      <x:c r="BR18" s="47" t="n">
        <x:f>IF(BO18&gt;0,BP18*1000000/BO18,0)</x:f>
        <x:v>0</x:v>
      </x:c>
      <x:c r="BS18" s="64" t="n">
        <x:f>IF(AND(BQ18&gt;0,BR17&gt;0,B18&gt;0),MIN(conv_cap,conv_beta*1*BQ18*MAX(0,LN(B18/(BR17*BT17)))),0)</x:f>
        <x:v>0</x:v>
      </x:c>
      <x:c r="BT18" s="65" t="n">
        <x:f>BT17*(1+BS18)</x:f>
        <x:v>1</x:v>
      </x:c>
      <x:c r="BU18" s="47" t="n">
        <x:f>BP18*BT18</x:f>
        <x:v>0</x:v>
      </x:c>
      <x:c r="BV18" s="67" t="n">
        <x:f>IF(BO18&gt;0,BU18*1000000/BO18/Economy!Q18,0)</x:f>
        <x:v>0</x:v>
      </x:c>
      <x:c r="BW18" s="65" t="n">
        <x:f>0.25*IF(D18&gt;0,H18,1)+0.15*IF(AJ18&gt;0,AN18,1)+0.03*IF(AR18&gt;0,AV18,1)+0.08*IF(AZ18&gt;0,BD18,1)+0.12*IF(BH18&gt;0,BL18,1)+0.1*IF(L18&gt;0,P18,1)+0.07*IF(T18&gt;0,X18,1)+0.05*IF(AB18&gt;0,AF18,1)+0.05*IF(BP18&gt;0,BT18,1)+0.1</x:f>
        <x:v>1.0000000000000002</x:v>
      </x:c>
      <x:c r="BX18" s="63" t="n">
        <x:f>MIN(mkt_cap,mkt_elast*MAX(0,BW18-1))</x:f>
        <x:v>1.1102230246251565e-16</x:v>
      </x:c>
      <x:c r="BY18" s="47" t="n">
        <x:f>I18+Q18+Y18+AG18</x:f>
        <x:v>0</x:v>
      </x:c>
      <x:c r="BZ18" s="47" t="n">
        <x:f>D18+L18+T18+AB18</x:f>
        <x:v>0</x:v>
      </x:c>
      <x:c r="CA18" s="65" t="n">
        <x:f>IF(BZ18&gt;0,BY18/BZ18,0)</x:f>
        <x:v>0</x:v>
      </x:c>
    </x:row>
    <x:row r="19">
      <x:c r="A19" s="58" t="n">
        <x:v>1859</x:v>
      </x:c>
      <x:c r="B19" s="47" t="n">
        <x:f>Economy!P18</x:f>
        <x:v>259.04562080640295</x:v>
      </x:c>
      <x:c r="C19" s="45" t="n">
        <x:v>0</x:v>
      </x:c>
      <x:c r="D19" s="62" t="n">
        <x:f>Japan!B19</x:f>
        <x:v>0</x:v>
      </x:c>
      <x:c r="E19" s="68" t="n">
        <x:v>0.12</x:v>
      </x:c>
      <x:c r="F19" s="47" t="n">
        <x:f>IF(C19&gt;0,D19*1000000/C19,0)</x:f>
        <x:v>0</x:v>
      </x:c>
      <x:c r="G19" s="64" t="n">
        <x:f>IF(AND(E19&gt;0,F18&gt;0,B19&gt;0),MIN(conv_cap,conv_beta*jp_uplift*E19*MAX(0,LN(B19/(F18*H18)))),0)</x:f>
        <x:v>0</x:v>
      </x:c>
      <x:c r="H19" s="65" t="n">
        <x:f>H18*(1+G19)</x:f>
        <x:v>1</x:v>
      </x:c>
      <x:c r="I19" s="47" t="n">
        <x:f>D19*H19</x:f>
        <x:v>0</x:v>
      </x:c>
      <x:c r="J19" s="67" t="n">
        <x:f>IF(C19&gt;0,I19*1000000/C19/Economy!Q19,0)</x:f>
        <x:v>0</x:v>
      </x:c>
      <x:c r="K19" s="62" t="n">
        <x:f>Gulf!B19</x:f>
        <x:v>0</x:v>
      </x:c>
      <x:c r="L19" s="47" t="n">
        <x:f>Gulf!B19*Gulf!C19*Economy!Q19/1000000</x:f>
        <x:v>0</x:v>
      </x:c>
      <x:c r="M19" s="68" t="n">
        <x:v>0</x:v>
      </x:c>
      <x:c r="N19" s="47" t="n">
        <x:f>IF(K19&gt;0,L19*1000000/K19,0)</x:f>
        <x:v>0</x:v>
      </x:c>
      <x:c r="O19" s="64" t="n">
        <x:f>IF(AND(M19&gt;0,N18&gt;0,B19&gt;0),MIN(conv_cap,conv_beta*1*M19*MAX(0,LN(B19/(N18*P18)))),0)</x:f>
        <x:v>0</x:v>
      </x:c>
      <x:c r="P19" s="65" t="n">
        <x:f>P18*(1+O19)</x:f>
        <x:v>1</x:v>
      </x:c>
      <x:c r="Q19" s="47" t="n">
        <x:f>L19*P19</x:f>
        <x:v>0</x:v>
      </x:c>
      <x:c r="R19" s="67" t="n">
        <x:f>IF(K19&gt;0,Q19*1000000/K19/Economy!Q19,0)</x:f>
        <x:v>0</x:v>
      </x:c>
      <x:c r="S19" s="62" t="n">
        <x:f>People!U19</x:f>
        <x:v>0</x:v>
      </x:c>
      <x:c r="T19" s="45" t="n">
        <x:v>0</x:v>
      </x:c>
      <x:c r="U19" s="68" t="n">
        <x:v>0</x:v>
      </x:c>
      <x:c r="V19" s="47" t="n">
        <x:f>IF(S19&gt;0,T19*1000000/S19,0)</x:f>
        <x:v>0</x:v>
      </x:c>
      <x:c r="W19" s="64" t="n">
        <x:f>IF(AND(U19&gt;0,V18&gt;0,B19&gt;0),MIN(conv_cap,conv_beta*1*U19*MAX(0,LN(B19/(V18*X18)))),0)</x:f>
        <x:v>0</x:v>
      </x:c>
      <x:c r="X19" s="65" t="n">
        <x:f>X18*(1+W19)</x:f>
        <x:v>1</x:v>
      </x:c>
      <x:c r="Y19" s="47" t="n">
        <x:f>T19*X19</x:f>
        <x:v>0</x:v>
      </x:c>
      <x:c r="Z19" s="67" t="n">
        <x:f>IF(S19&gt;0,Y19*1000000/S19/Economy!Q19,0)</x:f>
        <x:v>0</x:v>
      </x:c>
      <x:c r="AA19" s="45" t="n">
        <x:v>0</x:v>
      </x:c>
      <x:c r="AB19" s="45" t="n">
        <x:v>0</x:v>
      </x:c>
      <x:c r="AC19" s="68" t="n">
        <x:v>0</x:v>
      </x:c>
      <x:c r="AD19" s="47" t="n">
        <x:f>IF(AA19&gt;0,AB19*1000000/AA19,0)</x:f>
        <x:v>0</x:v>
      </x:c>
      <x:c r="AE19" s="64" t="n">
        <x:f>IF(AND(AC19&gt;0,AD18&gt;0,B19&gt;0),MIN(conv_cap,conv_beta*1*AC19*MAX(0,LN(B19/(AD18*AF18)))),0)</x:f>
        <x:v>0</x:v>
      </x:c>
      <x:c r="AF19" s="65" t="n">
        <x:f>AF18*(1+AE19)</x:f>
        <x:v>1</x:v>
      </x:c>
      <x:c r="AG19" s="47" t="n">
        <x:f>AB19*AF19</x:f>
        <x:v>0</x:v>
      </x:c>
      <x:c r="AH19" s="67" t="n">
        <x:f>IF(AA19&gt;0,AG19*1000000/AA19/Economy!Q19,0)</x:f>
        <x:v>0</x:v>
      </x:c>
      <x:c r="AI19" s="45" t="n">
        <x:v>0</x:v>
      </x:c>
      <x:c r="AJ19" s="45" t="n">
        <x:v>0</x:v>
      </x:c>
      <x:c r="AK19" s="68" t="n">
        <x:v>0</x:v>
      </x:c>
      <x:c r="AL19" s="47" t="n">
        <x:f>IF(AI19&gt;0,AJ19*1000000/AI19,0)</x:f>
        <x:v>0</x:v>
      </x:c>
      <x:c r="AM19" s="64" t="n">
        <x:f>IF(AND(AK19&gt;0,AL18&gt;0,B19&gt;0),MIN(conv_cap,conv_beta*1*AK19*MAX(0,LN(B19/(AL18*AN18)))),0)</x:f>
        <x:v>0</x:v>
      </x:c>
      <x:c r="AN19" s="65" t="n">
        <x:f>AN18*(1+AM19)</x:f>
        <x:v>1</x:v>
      </x:c>
      <x:c r="AO19" s="47" t="n">
        <x:f>AJ19*AN19</x:f>
        <x:v>0</x:v>
      </x:c>
      <x:c r="AP19" s="67" t="n">
        <x:f>IF(AI19&gt;0,AO19*1000000/AI19/Economy!Q19,0)</x:f>
        <x:v>0</x:v>
      </x:c>
      <x:c r="AQ19" s="45" t="n">
        <x:v>0</x:v>
      </x:c>
      <x:c r="AR19" s="45" t="n">
        <x:v>0</x:v>
      </x:c>
      <x:c r="AS19" s="68" t="n">
        <x:v>0</x:v>
      </x:c>
      <x:c r="AT19" s="47" t="n">
        <x:f>IF(AQ19&gt;0,AR19*1000000/AQ19,0)</x:f>
        <x:v>0</x:v>
      </x:c>
      <x:c r="AU19" s="64" t="n">
        <x:f>IF(AND(AS19&gt;0,AT18&gt;0,B19&gt;0),MIN(conv_cap,conv_beta*1*AS19*MAX(0,LN(B19/(AT18*AV18)))),0)</x:f>
        <x:v>0</x:v>
      </x:c>
      <x:c r="AV19" s="65" t="n">
        <x:f>AV18*(1+AU19)</x:f>
        <x:v>1</x:v>
      </x:c>
      <x:c r="AW19" s="47" t="n">
        <x:f>AR19*AV19</x:f>
        <x:v>0</x:v>
      </x:c>
      <x:c r="AX19" s="67" t="n">
        <x:f>IF(AQ19&gt;0,AW19*1000000/AQ19/Economy!Q19,0)</x:f>
        <x:v>0</x:v>
      </x:c>
      <x:c r="AY19" s="45" t="n">
        <x:v>0</x:v>
      </x:c>
      <x:c r="AZ19" s="45" t="n">
        <x:v>0</x:v>
      </x:c>
      <x:c r="BA19" s="68" t="n">
        <x:v>0</x:v>
      </x:c>
      <x:c r="BB19" s="47" t="n">
        <x:f>IF(AY19&gt;0,AZ19*1000000/AY19,0)</x:f>
        <x:v>0</x:v>
      </x:c>
      <x:c r="BC19" s="64" t="n">
        <x:f>IF(AND(BA19&gt;0,BB18&gt;0,B19&gt;0),MIN(conv_cap,conv_beta*1*BA19*MAX(0,LN(B19/(BB18*BD18)))),0)</x:f>
        <x:v>0</x:v>
      </x:c>
      <x:c r="BD19" s="65" t="n">
        <x:f>BD18*(1+BC19)</x:f>
        <x:v>1</x:v>
      </x:c>
      <x:c r="BE19" s="47" t="n">
        <x:f>AZ19*BD19</x:f>
        <x:v>0</x:v>
      </x:c>
      <x:c r="BF19" s="67" t="n">
        <x:f>IF(AY19&gt;0,BE19*1000000/AY19/Economy!Q19,0)</x:f>
        <x:v>0</x:v>
      </x:c>
      <x:c r="BG19" s="45" t="n">
        <x:v>0</x:v>
      </x:c>
      <x:c r="BH19" s="45" t="n">
        <x:v>0</x:v>
      </x:c>
      <x:c r="BI19" s="68" t="n">
        <x:v>0</x:v>
      </x:c>
      <x:c r="BJ19" s="47" t="n">
        <x:f>IF(BG19&gt;0,BH19*1000000/BG19,0)</x:f>
        <x:v>0</x:v>
      </x:c>
      <x:c r="BK19" s="64" t="n">
        <x:f>IF(AND(BI19&gt;0,BJ18&gt;0,B19&gt;0),MIN(conv_cap,conv_beta*1*BI19*MAX(0,LN(B19/(BJ18*BL18)))),0)</x:f>
        <x:v>0</x:v>
      </x:c>
      <x:c r="BL19" s="65" t="n">
        <x:f>BL18*(1+BK19)</x:f>
        <x:v>1</x:v>
      </x:c>
      <x:c r="BM19" s="47" t="n">
        <x:f>BH19*BL19</x:f>
        <x:v>0</x:v>
      </x:c>
      <x:c r="BN19" s="67" t="n">
        <x:f>IF(BG19&gt;0,BM19*1000000/BG19/Economy!Q19,0)</x:f>
        <x:v>0</x:v>
      </x:c>
      <x:c r="BO19" s="45" t="n">
        <x:v>0</x:v>
      </x:c>
      <x:c r="BP19" s="45" t="n">
        <x:v>0</x:v>
      </x:c>
      <x:c r="BQ19" s="68" t="n">
        <x:v>0</x:v>
      </x:c>
      <x:c r="BR19" s="47" t="n">
        <x:f>IF(BO19&gt;0,BP19*1000000/BO19,0)</x:f>
        <x:v>0</x:v>
      </x:c>
      <x:c r="BS19" s="64" t="n">
        <x:f>IF(AND(BQ19&gt;0,BR18&gt;0,B19&gt;0),MIN(conv_cap,conv_beta*1*BQ19*MAX(0,LN(B19/(BR18*BT18)))),0)</x:f>
        <x:v>0</x:v>
      </x:c>
      <x:c r="BT19" s="65" t="n">
        <x:f>BT18*(1+BS19)</x:f>
        <x:v>1</x:v>
      </x:c>
      <x:c r="BU19" s="47" t="n">
        <x:f>BP19*BT19</x:f>
        <x:v>0</x:v>
      </x:c>
      <x:c r="BV19" s="67" t="n">
        <x:f>IF(BO19&gt;0,BU19*1000000/BO19/Economy!Q19,0)</x:f>
        <x:v>0</x:v>
      </x:c>
      <x:c r="BW19" s="65" t="n">
        <x:f>0.25*IF(D19&gt;0,H19,1)+0.15*IF(AJ19&gt;0,AN19,1)+0.03*IF(AR19&gt;0,AV19,1)+0.08*IF(AZ19&gt;0,BD19,1)+0.12*IF(BH19&gt;0,BL19,1)+0.1*IF(L19&gt;0,P19,1)+0.07*IF(T19&gt;0,X19,1)+0.05*IF(AB19&gt;0,AF19,1)+0.05*IF(BP19&gt;0,BT19,1)+0.1</x:f>
        <x:v>1.0000000000000002</x:v>
      </x:c>
      <x:c r="BX19" s="63" t="n">
        <x:f>MIN(mkt_cap,mkt_elast*MAX(0,BW19-1))</x:f>
        <x:v>1.1102230246251565e-16</x:v>
      </x:c>
      <x:c r="BY19" s="47" t="n">
        <x:f>I19+Q19+Y19+AG19</x:f>
        <x:v>0</x:v>
      </x:c>
      <x:c r="BZ19" s="47" t="n">
        <x:f>D19+L19+T19+AB19</x:f>
        <x:v>0</x:v>
      </x:c>
      <x:c r="CA19" s="65" t="n">
        <x:f>IF(BZ19&gt;0,BY19/BZ19,0)</x:f>
        <x:v>0</x:v>
      </x:c>
    </x:row>
    <x:row r="20">
      <x:c r="A20" s="58" t="n">
        <x:v>1860</x:v>
      </x:c>
      <x:c r="B20" s="47" t="n">
        <x:f>Economy!P19</x:f>
        <x:v>261.1596080843888</x:v>
      </x:c>
      <x:c r="C20" s="45" t="n">
        <x:v>0</x:v>
      </x:c>
      <x:c r="D20" s="62" t="n">
        <x:f>Japan!B20</x:f>
        <x:v>0</x:v>
      </x:c>
      <x:c r="E20" s="68" t="n">
        <x:v>0.14</x:v>
      </x:c>
      <x:c r="F20" s="47" t="n">
        <x:f>IF(C20&gt;0,D20*1000000/C20,0)</x:f>
        <x:v>0</x:v>
      </x:c>
      <x:c r="G20" s="64" t="n">
        <x:f>IF(AND(E20&gt;0,F19&gt;0,B20&gt;0),MIN(conv_cap,conv_beta*jp_uplift*E20*MAX(0,LN(B20/(F19*H19)))),0)</x:f>
        <x:v>0</x:v>
      </x:c>
      <x:c r="H20" s="65" t="n">
        <x:f>H19*(1+G20)</x:f>
        <x:v>1</x:v>
      </x:c>
      <x:c r="I20" s="47" t="n">
        <x:f>D20*H20</x:f>
        <x:v>0</x:v>
      </x:c>
      <x:c r="J20" s="67" t="n">
        <x:f>IF(C20&gt;0,I20*1000000/C20/Economy!Q20,0)</x:f>
        <x:v>0</x:v>
      </x:c>
      <x:c r="K20" s="62" t="n">
        <x:f>Gulf!B20</x:f>
        <x:v>0</x:v>
      </x:c>
      <x:c r="L20" s="47" t="n">
        <x:f>Gulf!B20*Gulf!C20*Economy!Q20/1000000</x:f>
        <x:v>0</x:v>
      </x:c>
      <x:c r="M20" s="68" t="n">
        <x:v>0</x:v>
      </x:c>
      <x:c r="N20" s="47" t="n">
        <x:f>IF(K20&gt;0,L20*1000000/K20,0)</x:f>
        <x:v>0</x:v>
      </x:c>
      <x:c r="O20" s="64" t="n">
        <x:f>IF(AND(M20&gt;0,N19&gt;0,B20&gt;0),MIN(conv_cap,conv_beta*1*M20*MAX(0,LN(B20/(N19*P19)))),0)</x:f>
        <x:v>0</x:v>
      </x:c>
      <x:c r="P20" s="65" t="n">
        <x:f>P19*(1+O20)</x:f>
        <x:v>1</x:v>
      </x:c>
      <x:c r="Q20" s="47" t="n">
        <x:f>L20*P20</x:f>
        <x:v>0</x:v>
      </x:c>
      <x:c r="R20" s="67" t="n">
        <x:f>IF(K20&gt;0,Q20*1000000/K20/Economy!Q20,0)</x:f>
        <x:v>0</x:v>
      </x:c>
      <x:c r="S20" s="62" t="n">
        <x:f>People!U20</x:f>
        <x:v>0</x:v>
      </x:c>
      <x:c r="T20" s="45" t="n">
        <x:v>0</x:v>
      </x:c>
      <x:c r="U20" s="68" t="n">
        <x:v>0</x:v>
      </x:c>
      <x:c r="V20" s="47" t="n">
        <x:f>IF(S20&gt;0,T20*1000000/S20,0)</x:f>
        <x:v>0</x:v>
      </x:c>
      <x:c r="W20" s="64" t="n">
        <x:f>IF(AND(U20&gt;0,V19&gt;0,B20&gt;0),MIN(conv_cap,conv_beta*1*U20*MAX(0,LN(B20/(V19*X19)))),0)</x:f>
        <x:v>0</x:v>
      </x:c>
      <x:c r="X20" s="65" t="n">
        <x:f>X19*(1+W20)</x:f>
        <x:v>1</x:v>
      </x:c>
      <x:c r="Y20" s="47" t="n">
        <x:f>T20*X20</x:f>
        <x:v>0</x:v>
      </x:c>
      <x:c r="Z20" s="67" t="n">
        <x:f>IF(S20&gt;0,Y20*1000000/S20/Economy!Q20,0)</x:f>
        <x:v>0</x:v>
      </x:c>
      <x:c r="AA20" s="45" t="n">
        <x:v>0</x:v>
      </x:c>
      <x:c r="AB20" s="45" t="n">
        <x:v>0</x:v>
      </x:c>
      <x:c r="AC20" s="68" t="n">
        <x:v>0</x:v>
      </x:c>
      <x:c r="AD20" s="47" t="n">
        <x:f>IF(AA20&gt;0,AB20*1000000/AA20,0)</x:f>
        <x:v>0</x:v>
      </x:c>
      <x:c r="AE20" s="64" t="n">
        <x:f>IF(AND(AC20&gt;0,AD19&gt;0,B20&gt;0),MIN(conv_cap,conv_beta*1*AC20*MAX(0,LN(B20/(AD19*AF19)))),0)</x:f>
        <x:v>0</x:v>
      </x:c>
      <x:c r="AF20" s="65" t="n">
        <x:f>AF19*(1+AE20)</x:f>
        <x:v>1</x:v>
      </x:c>
      <x:c r="AG20" s="47" t="n">
        <x:f>AB20*AF20</x:f>
        <x:v>0</x:v>
      </x:c>
      <x:c r="AH20" s="67" t="n">
        <x:f>IF(AA20&gt;0,AG20*1000000/AA20/Economy!Q20,0)</x:f>
        <x:v>0</x:v>
      </x:c>
      <x:c r="AI20" s="45" t="n">
        <x:v>0</x:v>
      </x:c>
      <x:c r="AJ20" s="45" t="n">
        <x:v>0</x:v>
      </x:c>
      <x:c r="AK20" s="68" t="n">
        <x:v>0</x:v>
      </x:c>
      <x:c r="AL20" s="47" t="n">
        <x:f>IF(AI20&gt;0,AJ20*1000000/AI20,0)</x:f>
        <x:v>0</x:v>
      </x:c>
      <x:c r="AM20" s="64" t="n">
        <x:f>IF(AND(AK20&gt;0,AL19&gt;0,B20&gt;0),MIN(conv_cap,conv_beta*1*AK20*MAX(0,LN(B20/(AL19*AN19)))),0)</x:f>
        <x:v>0</x:v>
      </x:c>
      <x:c r="AN20" s="65" t="n">
        <x:f>AN19*(1+AM20)</x:f>
        <x:v>1</x:v>
      </x:c>
      <x:c r="AO20" s="47" t="n">
        <x:f>AJ20*AN20</x:f>
        <x:v>0</x:v>
      </x:c>
      <x:c r="AP20" s="67" t="n">
        <x:f>IF(AI20&gt;0,AO20*1000000/AI20/Economy!Q20,0)</x:f>
        <x:v>0</x:v>
      </x:c>
      <x:c r="AQ20" s="45" t="n">
        <x:v>0</x:v>
      </x:c>
      <x:c r="AR20" s="45" t="n">
        <x:v>0</x:v>
      </x:c>
      <x:c r="AS20" s="68" t="n">
        <x:v>0</x:v>
      </x:c>
      <x:c r="AT20" s="47" t="n">
        <x:f>IF(AQ20&gt;0,AR20*1000000/AQ20,0)</x:f>
        <x:v>0</x:v>
      </x:c>
      <x:c r="AU20" s="64" t="n">
        <x:f>IF(AND(AS20&gt;0,AT19&gt;0,B20&gt;0),MIN(conv_cap,conv_beta*1*AS20*MAX(0,LN(B20/(AT19*AV19)))),0)</x:f>
        <x:v>0</x:v>
      </x:c>
      <x:c r="AV20" s="65" t="n">
        <x:f>AV19*(1+AU20)</x:f>
        <x:v>1</x:v>
      </x:c>
      <x:c r="AW20" s="47" t="n">
        <x:f>AR20*AV20</x:f>
        <x:v>0</x:v>
      </x:c>
      <x:c r="AX20" s="67" t="n">
        <x:f>IF(AQ20&gt;0,AW20*1000000/AQ20/Economy!Q20,0)</x:f>
        <x:v>0</x:v>
      </x:c>
      <x:c r="AY20" s="45" t="n">
        <x:v>0</x:v>
      </x:c>
      <x:c r="AZ20" s="45" t="n">
        <x:v>0</x:v>
      </x:c>
      <x:c r="BA20" s="68" t="n">
        <x:v>0</x:v>
      </x:c>
      <x:c r="BB20" s="47" t="n">
        <x:f>IF(AY20&gt;0,AZ20*1000000/AY20,0)</x:f>
        <x:v>0</x:v>
      </x:c>
      <x:c r="BC20" s="64" t="n">
        <x:f>IF(AND(BA20&gt;0,BB19&gt;0,B20&gt;0),MIN(conv_cap,conv_beta*1*BA20*MAX(0,LN(B20/(BB19*BD19)))),0)</x:f>
        <x:v>0</x:v>
      </x:c>
      <x:c r="BD20" s="65" t="n">
        <x:f>BD19*(1+BC20)</x:f>
        <x:v>1</x:v>
      </x:c>
      <x:c r="BE20" s="47" t="n">
        <x:f>AZ20*BD20</x:f>
        <x:v>0</x:v>
      </x:c>
      <x:c r="BF20" s="67" t="n">
        <x:f>IF(AY20&gt;0,BE20*1000000/AY20/Economy!Q20,0)</x:f>
        <x:v>0</x:v>
      </x:c>
      <x:c r="BG20" s="45" t="n">
        <x:v>0</x:v>
      </x:c>
      <x:c r="BH20" s="45" t="n">
        <x:v>0</x:v>
      </x:c>
      <x:c r="BI20" s="68" t="n">
        <x:v>0</x:v>
      </x:c>
      <x:c r="BJ20" s="47" t="n">
        <x:f>IF(BG20&gt;0,BH20*1000000/BG20,0)</x:f>
        <x:v>0</x:v>
      </x:c>
      <x:c r="BK20" s="64" t="n">
        <x:f>IF(AND(BI20&gt;0,BJ19&gt;0,B20&gt;0),MIN(conv_cap,conv_beta*1*BI20*MAX(0,LN(B20/(BJ19*BL19)))),0)</x:f>
        <x:v>0</x:v>
      </x:c>
      <x:c r="BL20" s="65" t="n">
        <x:f>BL19*(1+BK20)</x:f>
        <x:v>1</x:v>
      </x:c>
      <x:c r="BM20" s="47" t="n">
        <x:f>BH20*BL20</x:f>
        <x:v>0</x:v>
      </x:c>
      <x:c r="BN20" s="67" t="n">
        <x:f>IF(BG20&gt;0,BM20*1000000/BG20/Economy!Q20,0)</x:f>
        <x:v>0</x:v>
      </x:c>
      <x:c r="BO20" s="45" t="n">
        <x:v>0</x:v>
      </x:c>
      <x:c r="BP20" s="45" t="n">
        <x:v>0</x:v>
      </x:c>
      <x:c r="BQ20" s="68" t="n">
        <x:v>0</x:v>
      </x:c>
      <x:c r="BR20" s="47" t="n">
        <x:f>IF(BO20&gt;0,BP20*1000000/BO20,0)</x:f>
        <x:v>0</x:v>
      </x:c>
      <x:c r="BS20" s="64" t="n">
        <x:f>IF(AND(BQ20&gt;0,BR19&gt;0,B20&gt;0),MIN(conv_cap,conv_beta*1*BQ20*MAX(0,LN(B20/(BR19*BT19)))),0)</x:f>
        <x:v>0</x:v>
      </x:c>
      <x:c r="BT20" s="65" t="n">
        <x:f>BT19*(1+BS20)</x:f>
        <x:v>1</x:v>
      </x:c>
      <x:c r="BU20" s="47" t="n">
        <x:f>BP20*BT20</x:f>
        <x:v>0</x:v>
      </x:c>
      <x:c r="BV20" s="67" t="n">
        <x:f>IF(BO20&gt;0,BU20*1000000/BO20/Economy!Q20,0)</x:f>
        <x:v>0</x:v>
      </x:c>
      <x:c r="BW20" s="65" t="n">
        <x:f>0.25*IF(D20&gt;0,H20,1)+0.15*IF(AJ20&gt;0,AN20,1)+0.03*IF(AR20&gt;0,AV20,1)+0.08*IF(AZ20&gt;0,BD20,1)+0.12*IF(BH20&gt;0,BL20,1)+0.1*IF(L20&gt;0,P20,1)+0.07*IF(T20&gt;0,X20,1)+0.05*IF(AB20&gt;0,AF20,1)+0.05*IF(BP20&gt;0,BT20,1)+0.1</x:f>
        <x:v>1.0000000000000002</x:v>
      </x:c>
      <x:c r="BX20" s="63" t="n">
        <x:f>MIN(mkt_cap,mkt_elast*MAX(0,BW20-1))</x:f>
        <x:v>1.1102230246251565e-16</x:v>
      </x:c>
      <x:c r="BY20" s="47" t="n">
        <x:f>I20+Q20+Y20+AG20</x:f>
        <x:v>0</x:v>
      </x:c>
      <x:c r="BZ20" s="47" t="n">
        <x:f>D20+L20+T20+AB20</x:f>
        <x:v>0</x:v>
      </x:c>
      <x:c r="CA20" s="65" t="n">
        <x:f>IF(BZ20&gt;0,BY20/BZ20,0)</x:f>
        <x:v>0</x:v>
      </x:c>
    </x:row>
    <x:row r="21">
      <x:c r="A21" s="61" t="n">
        <x:v>1861</x:v>
      </x:c>
      <x:c r="B21" s="47" t="n">
        <x:f>Economy!P20</x:f>
        <x:v>260.4853209430131</x:v>
      </x:c>
      <x:c r="C21" s="45" t="n">
        <x:v>0</x:v>
      </x:c>
      <x:c r="D21" s="62" t="n">
        <x:f>Japan!B21</x:f>
        <x:v>0</x:v>
      </x:c>
      <x:c r="E21" s="68" t="n">
        <x:v>0.16</x:v>
      </x:c>
      <x:c r="F21" s="47" t="n">
        <x:f>IF(C21&gt;0,D21*1000000/C21,0)</x:f>
        <x:v>0</x:v>
      </x:c>
      <x:c r="G21" s="64" t="n">
        <x:f>IF(AND(E21&gt;0,F20&gt;0,B21&gt;0),MIN(conv_cap,conv_beta*jp_uplift*E21*MAX(0,LN(B21/(F20*H20)))),0)</x:f>
        <x:v>0</x:v>
      </x:c>
      <x:c r="H21" s="65" t="n">
        <x:f>H20*(1+G21)</x:f>
        <x:v>1</x:v>
      </x:c>
      <x:c r="I21" s="47" t="n">
        <x:f>D21*H21</x:f>
        <x:v>0</x:v>
      </x:c>
      <x:c r="J21" s="67" t="n">
        <x:f>IF(C21&gt;0,I21*1000000/C21/Economy!Q21,0)</x:f>
        <x:v>0</x:v>
      </x:c>
      <x:c r="K21" s="62" t="n">
        <x:f>Gulf!B21</x:f>
        <x:v>0</x:v>
      </x:c>
      <x:c r="L21" s="47" t="n">
        <x:f>Gulf!B21*Gulf!C21*Economy!Q21/1000000</x:f>
        <x:v>0</x:v>
      </x:c>
      <x:c r="M21" s="68" t="n">
        <x:v>0</x:v>
      </x:c>
      <x:c r="N21" s="47" t="n">
        <x:f>IF(K21&gt;0,L21*1000000/K21,0)</x:f>
        <x:v>0</x:v>
      </x:c>
      <x:c r="O21" s="64" t="n">
        <x:f>IF(AND(M21&gt;0,N20&gt;0,B21&gt;0),MIN(conv_cap,conv_beta*1*M21*MAX(0,LN(B21/(N20*P20)))),0)</x:f>
        <x:v>0</x:v>
      </x:c>
      <x:c r="P21" s="65" t="n">
        <x:f>P20*(1+O21)</x:f>
        <x:v>1</x:v>
      </x:c>
      <x:c r="Q21" s="47" t="n">
        <x:f>L21*P21</x:f>
        <x:v>0</x:v>
      </x:c>
      <x:c r="R21" s="67" t="n">
        <x:f>IF(K21&gt;0,Q21*1000000/K21/Economy!Q21,0)</x:f>
        <x:v>0</x:v>
      </x:c>
      <x:c r="S21" s="62" t="n">
        <x:f>People!U21</x:f>
        <x:v>0</x:v>
      </x:c>
      <x:c r="T21" s="45" t="n">
        <x:v>0</x:v>
      </x:c>
      <x:c r="U21" s="68" t="n">
        <x:v>0</x:v>
      </x:c>
      <x:c r="V21" s="47" t="n">
        <x:f>IF(S21&gt;0,T21*1000000/S21,0)</x:f>
        <x:v>0</x:v>
      </x:c>
      <x:c r="W21" s="64" t="n">
        <x:f>IF(AND(U21&gt;0,V20&gt;0,B21&gt;0),MIN(conv_cap,conv_beta*1*U21*MAX(0,LN(B21/(V20*X20)))),0)</x:f>
        <x:v>0</x:v>
      </x:c>
      <x:c r="X21" s="65" t="n">
        <x:f>X20*(1+W21)</x:f>
        <x:v>1</x:v>
      </x:c>
      <x:c r="Y21" s="47" t="n">
        <x:f>T21*X21</x:f>
        <x:v>0</x:v>
      </x:c>
      <x:c r="Z21" s="67" t="n">
        <x:f>IF(S21&gt;0,Y21*1000000/S21/Economy!Q21,0)</x:f>
        <x:v>0</x:v>
      </x:c>
      <x:c r="AA21" s="45" t="n">
        <x:v>0</x:v>
      </x:c>
      <x:c r="AB21" s="45" t="n">
        <x:v>0</x:v>
      </x:c>
      <x:c r="AC21" s="68" t="n">
        <x:v>0</x:v>
      </x:c>
      <x:c r="AD21" s="47" t="n">
        <x:f>IF(AA21&gt;0,AB21*1000000/AA21,0)</x:f>
        <x:v>0</x:v>
      </x:c>
      <x:c r="AE21" s="64" t="n">
        <x:f>IF(AND(AC21&gt;0,AD20&gt;0,B21&gt;0),MIN(conv_cap,conv_beta*1*AC21*MAX(0,LN(B21/(AD20*AF20)))),0)</x:f>
        <x:v>0</x:v>
      </x:c>
      <x:c r="AF21" s="65" t="n">
        <x:f>AF20*(1+AE21)</x:f>
        <x:v>1</x:v>
      </x:c>
      <x:c r="AG21" s="47" t="n">
        <x:f>AB21*AF21</x:f>
        <x:v>0</x:v>
      </x:c>
      <x:c r="AH21" s="67" t="n">
        <x:f>IF(AA21&gt;0,AG21*1000000/AA21/Economy!Q21,0)</x:f>
        <x:v>0</x:v>
      </x:c>
      <x:c r="AI21" s="45" t="n">
        <x:v>0</x:v>
      </x:c>
      <x:c r="AJ21" s="45" t="n">
        <x:v>0</x:v>
      </x:c>
      <x:c r="AK21" s="68" t="n">
        <x:v>0</x:v>
      </x:c>
      <x:c r="AL21" s="47" t="n">
        <x:f>IF(AI21&gt;0,AJ21*1000000/AI21,0)</x:f>
        <x:v>0</x:v>
      </x:c>
      <x:c r="AM21" s="64" t="n">
        <x:f>IF(AND(AK21&gt;0,AL20&gt;0,B21&gt;0),MIN(conv_cap,conv_beta*1*AK21*MAX(0,LN(B21/(AL20*AN20)))),0)</x:f>
        <x:v>0</x:v>
      </x:c>
      <x:c r="AN21" s="65" t="n">
        <x:f>AN20*(1+AM21)</x:f>
        <x:v>1</x:v>
      </x:c>
      <x:c r="AO21" s="47" t="n">
        <x:f>AJ21*AN21</x:f>
        <x:v>0</x:v>
      </x:c>
      <x:c r="AP21" s="67" t="n">
        <x:f>IF(AI21&gt;0,AO21*1000000/AI21/Economy!Q21,0)</x:f>
        <x:v>0</x:v>
      </x:c>
      <x:c r="AQ21" s="45" t="n">
        <x:v>0</x:v>
      </x:c>
      <x:c r="AR21" s="45" t="n">
        <x:v>0</x:v>
      </x:c>
      <x:c r="AS21" s="68" t="n">
        <x:v>0</x:v>
      </x:c>
      <x:c r="AT21" s="47" t="n">
        <x:f>IF(AQ21&gt;0,AR21*1000000/AQ21,0)</x:f>
        <x:v>0</x:v>
      </x:c>
      <x:c r="AU21" s="64" t="n">
        <x:f>IF(AND(AS21&gt;0,AT20&gt;0,B21&gt;0),MIN(conv_cap,conv_beta*1*AS21*MAX(0,LN(B21/(AT20*AV20)))),0)</x:f>
        <x:v>0</x:v>
      </x:c>
      <x:c r="AV21" s="65" t="n">
        <x:f>AV20*(1+AU21)</x:f>
        <x:v>1</x:v>
      </x:c>
      <x:c r="AW21" s="47" t="n">
        <x:f>AR21*AV21</x:f>
        <x:v>0</x:v>
      </x:c>
      <x:c r="AX21" s="67" t="n">
        <x:f>IF(AQ21&gt;0,AW21*1000000/AQ21/Economy!Q21,0)</x:f>
        <x:v>0</x:v>
      </x:c>
      <x:c r="AY21" s="45" t="n">
        <x:v>0</x:v>
      </x:c>
      <x:c r="AZ21" s="45" t="n">
        <x:v>0</x:v>
      </x:c>
      <x:c r="BA21" s="68" t="n">
        <x:v>0</x:v>
      </x:c>
      <x:c r="BB21" s="47" t="n">
        <x:f>IF(AY21&gt;0,AZ21*1000000/AY21,0)</x:f>
        <x:v>0</x:v>
      </x:c>
      <x:c r="BC21" s="64" t="n">
        <x:f>IF(AND(BA21&gt;0,BB20&gt;0,B21&gt;0),MIN(conv_cap,conv_beta*1*BA21*MAX(0,LN(B21/(BB20*BD20)))),0)</x:f>
        <x:v>0</x:v>
      </x:c>
      <x:c r="BD21" s="65" t="n">
        <x:f>BD20*(1+BC21)</x:f>
        <x:v>1</x:v>
      </x:c>
      <x:c r="BE21" s="47" t="n">
        <x:f>AZ21*BD21</x:f>
        <x:v>0</x:v>
      </x:c>
      <x:c r="BF21" s="67" t="n">
        <x:f>IF(AY21&gt;0,BE21*1000000/AY21/Economy!Q21,0)</x:f>
        <x:v>0</x:v>
      </x:c>
      <x:c r="BG21" s="45" t="n">
        <x:v>0</x:v>
      </x:c>
      <x:c r="BH21" s="45" t="n">
        <x:v>0</x:v>
      </x:c>
      <x:c r="BI21" s="68" t="n">
        <x:v>0</x:v>
      </x:c>
      <x:c r="BJ21" s="47" t="n">
        <x:f>IF(BG21&gt;0,BH21*1000000/BG21,0)</x:f>
        <x:v>0</x:v>
      </x:c>
      <x:c r="BK21" s="64" t="n">
        <x:f>IF(AND(BI21&gt;0,BJ20&gt;0,B21&gt;0),MIN(conv_cap,conv_beta*1*BI21*MAX(0,LN(B21/(BJ20*BL20)))),0)</x:f>
        <x:v>0</x:v>
      </x:c>
      <x:c r="BL21" s="65" t="n">
        <x:f>BL20*(1+BK21)</x:f>
        <x:v>1</x:v>
      </x:c>
      <x:c r="BM21" s="47" t="n">
        <x:f>BH21*BL21</x:f>
        <x:v>0</x:v>
      </x:c>
      <x:c r="BN21" s="67" t="n">
        <x:f>IF(BG21&gt;0,BM21*1000000/BG21/Economy!Q21,0)</x:f>
        <x:v>0</x:v>
      </x:c>
      <x:c r="BO21" s="45" t="n">
        <x:v>0</x:v>
      </x:c>
      <x:c r="BP21" s="45" t="n">
        <x:v>0</x:v>
      </x:c>
      <x:c r="BQ21" s="68" t="n">
        <x:v>0</x:v>
      </x:c>
      <x:c r="BR21" s="47" t="n">
        <x:f>IF(BO21&gt;0,BP21*1000000/BO21,0)</x:f>
        <x:v>0</x:v>
      </x:c>
      <x:c r="BS21" s="64" t="n">
        <x:f>IF(AND(BQ21&gt;0,BR20&gt;0,B21&gt;0),MIN(conv_cap,conv_beta*1*BQ21*MAX(0,LN(B21/(BR20*BT20)))),0)</x:f>
        <x:v>0</x:v>
      </x:c>
      <x:c r="BT21" s="65" t="n">
        <x:f>BT20*(1+BS21)</x:f>
        <x:v>1</x:v>
      </x:c>
      <x:c r="BU21" s="47" t="n">
        <x:f>BP21*BT21</x:f>
        <x:v>0</x:v>
      </x:c>
      <x:c r="BV21" s="67" t="n">
        <x:f>IF(BO21&gt;0,BU21*1000000/BO21/Economy!Q21,0)</x:f>
        <x:v>0</x:v>
      </x:c>
      <x:c r="BW21" s="65" t="n">
        <x:f>0.25*IF(D21&gt;0,H21,1)+0.15*IF(AJ21&gt;0,AN21,1)+0.03*IF(AR21&gt;0,AV21,1)+0.08*IF(AZ21&gt;0,BD21,1)+0.12*IF(BH21&gt;0,BL21,1)+0.1*IF(L21&gt;0,P21,1)+0.07*IF(T21&gt;0,X21,1)+0.05*IF(AB21&gt;0,AF21,1)+0.05*IF(BP21&gt;0,BT21,1)+0.1</x:f>
        <x:v>1.0000000000000002</x:v>
      </x:c>
      <x:c r="BX21" s="63" t="n">
        <x:f>MIN(mkt_cap,mkt_elast*MAX(0,BW21-1))</x:f>
        <x:v>1.1102230246251565e-16</x:v>
      </x:c>
      <x:c r="BY21" s="47" t="n">
        <x:f>I21+Q21+Y21+AG21</x:f>
        <x:v>0</x:v>
      </x:c>
      <x:c r="BZ21" s="47" t="n">
        <x:f>D21+L21+T21+AB21</x:f>
        <x:v>0</x:v>
      </x:c>
      <x:c r="CA21" s="65" t="n">
        <x:f>IF(BZ21&gt;0,BY21/BZ21,0)</x:f>
        <x:v>0</x:v>
      </x:c>
    </x:row>
    <x:row r="22">
      <x:c r="A22" s="61" t="n">
        <x:v>1862</x:v>
      </x:c>
      <x:c r="B22" s="47" t="n">
        <x:f>Economy!P21</x:f>
        <x:v>253.82349422781297</x:v>
      </x:c>
      <x:c r="C22" s="45" t="n">
        <x:v>0</x:v>
      </x:c>
      <x:c r="D22" s="62" t="n">
        <x:f>Japan!B22</x:f>
        <x:v>0</x:v>
      </x:c>
      <x:c r="E22" s="68" t="n">
        <x:v>0.18</x:v>
      </x:c>
      <x:c r="F22" s="47" t="n">
        <x:f>IF(C22&gt;0,D22*1000000/C22,0)</x:f>
        <x:v>0</x:v>
      </x:c>
      <x:c r="G22" s="64" t="n">
        <x:f>IF(AND(E22&gt;0,F21&gt;0,B22&gt;0),MIN(conv_cap,conv_beta*jp_uplift*E22*MAX(0,LN(B22/(F21*H21)))),0)</x:f>
        <x:v>0</x:v>
      </x:c>
      <x:c r="H22" s="65" t="n">
        <x:f>H21*(1+G22)</x:f>
        <x:v>1</x:v>
      </x:c>
      <x:c r="I22" s="47" t="n">
        <x:f>D22*H22</x:f>
        <x:v>0</x:v>
      </x:c>
      <x:c r="J22" s="67" t="n">
        <x:f>IF(C22&gt;0,I22*1000000/C22/Economy!Q22,0)</x:f>
        <x:v>0</x:v>
      </x:c>
      <x:c r="K22" s="62" t="n">
        <x:f>Gulf!B22</x:f>
        <x:v>0</x:v>
      </x:c>
      <x:c r="L22" s="47" t="n">
        <x:f>Gulf!B22*Gulf!C22*Economy!Q22/1000000</x:f>
        <x:v>0</x:v>
      </x:c>
      <x:c r="M22" s="68" t="n">
        <x:v>0</x:v>
      </x:c>
      <x:c r="N22" s="47" t="n">
        <x:f>IF(K22&gt;0,L22*1000000/K22,0)</x:f>
        <x:v>0</x:v>
      </x:c>
      <x:c r="O22" s="64" t="n">
        <x:f>IF(AND(M22&gt;0,N21&gt;0,B22&gt;0),MIN(conv_cap,conv_beta*1*M22*MAX(0,LN(B22/(N21*P21)))),0)</x:f>
        <x:v>0</x:v>
      </x:c>
      <x:c r="P22" s="65" t="n">
        <x:f>P21*(1+O22)</x:f>
        <x:v>1</x:v>
      </x:c>
      <x:c r="Q22" s="47" t="n">
        <x:f>L22*P22</x:f>
        <x:v>0</x:v>
      </x:c>
      <x:c r="R22" s="67" t="n">
        <x:f>IF(K22&gt;0,Q22*1000000/K22/Economy!Q22,0)</x:f>
        <x:v>0</x:v>
      </x:c>
      <x:c r="S22" s="62" t="n">
        <x:f>People!U22</x:f>
        <x:v>0</x:v>
      </x:c>
      <x:c r="T22" s="45" t="n">
        <x:v>0</x:v>
      </x:c>
      <x:c r="U22" s="68" t="n">
        <x:v>0</x:v>
      </x:c>
      <x:c r="V22" s="47" t="n">
        <x:f>IF(S22&gt;0,T22*1000000/S22,0)</x:f>
        <x:v>0</x:v>
      </x:c>
      <x:c r="W22" s="64" t="n">
        <x:f>IF(AND(U22&gt;0,V21&gt;0,B22&gt;0),MIN(conv_cap,conv_beta*1*U22*MAX(0,LN(B22/(V21*X21)))),0)</x:f>
        <x:v>0</x:v>
      </x:c>
      <x:c r="X22" s="65" t="n">
        <x:f>X21*(1+W22)</x:f>
        <x:v>1</x:v>
      </x:c>
      <x:c r="Y22" s="47" t="n">
        <x:f>T22*X22</x:f>
        <x:v>0</x:v>
      </x:c>
      <x:c r="Z22" s="67" t="n">
        <x:f>IF(S22&gt;0,Y22*1000000/S22/Economy!Q22,0)</x:f>
        <x:v>0</x:v>
      </x:c>
      <x:c r="AA22" s="45" t="n">
        <x:v>0</x:v>
      </x:c>
      <x:c r="AB22" s="45" t="n">
        <x:v>0</x:v>
      </x:c>
      <x:c r="AC22" s="68" t="n">
        <x:v>0</x:v>
      </x:c>
      <x:c r="AD22" s="47" t="n">
        <x:f>IF(AA22&gt;0,AB22*1000000/AA22,0)</x:f>
        <x:v>0</x:v>
      </x:c>
      <x:c r="AE22" s="64" t="n">
        <x:f>IF(AND(AC22&gt;0,AD21&gt;0,B22&gt;0),MIN(conv_cap,conv_beta*1*AC22*MAX(0,LN(B22/(AD21*AF21)))),0)</x:f>
        <x:v>0</x:v>
      </x:c>
      <x:c r="AF22" s="65" t="n">
        <x:f>AF21*(1+AE22)</x:f>
        <x:v>1</x:v>
      </x:c>
      <x:c r="AG22" s="47" t="n">
        <x:f>AB22*AF22</x:f>
        <x:v>0</x:v>
      </x:c>
      <x:c r="AH22" s="67" t="n">
        <x:f>IF(AA22&gt;0,AG22*1000000/AA22/Economy!Q22,0)</x:f>
        <x:v>0</x:v>
      </x:c>
      <x:c r="AI22" s="45" t="n">
        <x:v>350000000</x:v>
      </x:c>
      <x:c r="AJ22" s="45" t="n">
        <x:v>3300</x:v>
      </x:c>
      <x:c r="AK22" s="68" t="n">
        <x:v>0.05</x:v>
      </x:c>
      <x:c r="AL22" s="47" t="n">
        <x:f>IF(AI22&gt;0,AJ22*1000000/AI22,0)</x:f>
        <x:v>9.428571428571429</x:v>
      </x:c>
      <x:c r="AM22" s="64" t="n">
        <x:f>IF(AND(AK22&gt;0,AL21&gt;0,B22&gt;0),MIN(conv_cap,conv_beta*1*AK22*MAX(0,LN(B22/(AL21*AN21)))),0)</x:f>
        <x:v>0</x:v>
      </x:c>
      <x:c r="AN22" s="65" t="n">
        <x:f>AN21*(1+AM22)</x:f>
        <x:v>1</x:v>
      </x:c>
      <x:c r="AO22" s="47" t="n">
        <x:f>AJ22*AN22</x:f>
        <x:v>3300</x:v>
      </x:c>
      <x:c r="AP22" s="67" t="n">
        <x:f>IF(AI22&gt;0,AO22*1000000/AI22/Economy!Q22,0)</x:f>
        <x:v>0.06547619047619048</x:v>
      </x:c>
      <x:c r="AQ22" s="45" t="n">
        <x:v>0</x:v>
      </x:c>
      <x:c r="AR22" s="45" t="n">
        <x:v>0</x:v>
      </x:c>
      <x:c r="AS22" s="68" t="n">
        <x:v>0</x:v>
      </x:c>
      <x:c r="AT22" s="47" t="n">
        <x:f>IF(AQ22&gt;0,AR22*1000000/AQ22,0)</x:f>
        <x:v>0</x:v>
      </x:c>
      <x:c r="AU22" s="64" t="n">
        <x:f>IF(AND(AS22&gt;0,AT21&gt;0,B22&gt;0),MIN(conv_cap,conv_beta*1*AS22*MAX(0,LN(B22/(AT21*AV21)))),0)</x:f>
        <x:v>0</x:v>
      </x:c>
      <x:c r="AV22" s="65" t="n">
        <x:f>AV21*(1+AU22)</x:f>
        <x:v>1</x:v>
      </x:c>
      <x:c r="AW22" s="47" t="n">
        <x:f>AR22*AV22</x:f>
        <x:v>0</x:v>
      </x:c>
      <x:c r="AX22" s="67" t="n">
        <x:f>IF(AQ22&gt;0,AW22*1000000/AQ22/Economy!Q22,0)</x:f>
        <x:v>0</x:v>
      </x:c>
      <x:c r="AY22" s="45" t="n">
        <x:v>0</x:v>
      </x:c>
      <x:c r="AZ22" s="45" t="n">
        <x:v>0</x:v>
      </x:c>
      <x:c r="BA22" s="68" t="n">
        <x:v>0</x:v>
      </x:c>
      <x:c r="BB22" s="47" t="n">
        <x:f>IF(AY22&gt;0,AZ22*1000000/AY22,0)</x:f>
        <x:v>0</x:v>
      </x:c>
      <x:c r="BC22" s="64" t="n">
        <x:f>IF(AND(BA22&gt;0,BB21&gt;0,B22&gt;0),MIN(conv_cap,conv_beta*1*BA22*MAX(0,LN(B22/(BB21*BD21)))),0)</x:f>
        <x:v>0</x:v>
      </x:c>
      <x:c r="BD22" s="65" t="n">
        <x:f>BD21*(1+BC22)</x:f>
        <x:v>1</x:v>
      </x:c>
      <x:c r="BE22" s="47" t="n">
        <x:f>AZ22*BD22</x:f>
        <x:v>0</x:v>
      </x:c>
      <x:c r="BF22" s="67" t="n">
        <x:f>IF(AY22&gt;0,BE22*1000000/AY22/Economy!Q22,0)</x:f>
        <x:v>0</x:v>
      </x:c>
      <x:c r="BG22" s="45" t="n">
        <x:v>0</x:v>
      </x:c>
      <x:c r="BH22" s="45" t="n">
        <x:v>0</x:v>
      </x:c>
      <x:c r="BI22" s="68" t="n">
        <x:v>0</x:v>
      </x:c>
      <x:c r="BJ22" s="47" t="n">
        <x:f>IF(BG22&gt;0,BH22*1000000/BG22,0)</x:f>
        <x:v>0</x:v>
      </x:c>
      <x:c r="BK22" s="64" t="n">
        <x:f>IF(AND(BI22&gt;0,BJ21&gt;0,B22&gt;0),MIN(conv_cap,conv_beta*1*BI22*MAX(0,LN(B22/(BJ21*BL21)))),0)</x:f>
        <x:v>0</x:v>
      </x:c>
      <x:c r="BL22" s="65" t="n">
        <x:f>BL21*(1+BK22)</x:f>
        <x:v>1</x:v>
      </x:c>
      <x:c r="BM22" s="47" t="n">
        <x:f>BH22*BL22</x:f>
        <x:v>0</x:v>
      </x:c>
      <x:c r="BN22" s="67" t="n">
        <x:f>IF(BG22&gt;0,BM22*1000000/BG22/Economy!Q22,0)</x:f>
        <x:v>0</x:v>
      </x:c>
      <x:c r="BO22" s="45" t="n">
        <x:v>0</x:v>
      </x:c>
      <x:c r="BP22" s="45" t="n">
        <x:v>0</x:v>
      </x:c>
      <x:c r="BQ22" s="68" t="n">
        <x:v>0</x:v>
      </x:c>
      <x:c r="BR22" s="47" t="n">
        <x:f>IF(BO22&gt;0,BP22*1000000/BO22,0)</x:f>
        <x:v>0</x:v>
      </x:c>
      <x:c r="BS22" s="64" t="n">
        <x:f>IF(AND(BQ22&gt;0,BR21&gt;0,B22&gt;0),MIN(conv_cap,conv_beta*1*BQ22*MAX(0,LN(B22/(BR21*BT21)))),0)</x:f>
        <x:v>0</x:v>
      </x:c>
      <x:c r="BT22" s="65" t="n">
        <x:f>BT21*(1+BS22)</x:f>
        <x:v>1</x:v>
      </x:c>
      <x:c r="BU22" s="47" t="n">
        <x:f>BP22*BT22</x:f>
        <x:v>0</x:v>
      </x:c>
      <x:c r="BV22" s="67" t="n">
        <x:f>IF(BO22&gt;0,BU22*1000000/BO22/Economy!Q22,0)</x:f>
        <x:v>0</x:v>
      </x:c>
      <x:c r="BW22" s="65" t="n">
        <x:f>0.25*IF(D22&gt;0,H22,1)+0.15*IF(AJ22&gt;0,AN22,1)+0.03*IF(AR22&gt;0,AV22,1)+0.08*IF(AZ22&gt;0,BD22,1)+0.12*IF(BH22&gt;0,BL22,1)+0.1*IF(L22&gt;0,P22,1)+0.07*IF(T22&gt;0,X22,1)+0.05*IF(AB22&gt;0,AF22,1)+0.05*IF(BP22&gt;0,BT22,1)+0.1</x:f>
        <x:v>1.0000000000000002</x:v>
      </x:c>
      <x:c r="BX22" s="63" t="n">
        <x:f>MIN(mkt_cap,mkt_elast*MAX(0,BW22-1))</x:f>
        <x:v>1.1102230246251565e-16</x:v>
      </x:c>
      <x:c r="BY22" s="47" t="n">
        <x:f>I22+Q22+Y22+AG22</x:f>
        <x:v>0</x:v>
      </x:c>
      <x:c r="BZ22" s="47" t="n">
        <x:f>D22+L22+T22+AB22</x:f>
        <x:v>0</x:v>
      </x:c>
      <x:c r="CA22" s="65" t="n">
        <x:f>IF(BZ22&gt;0,BY22/BZ22,0)</x:f>
        <x:v>0</x:v>
      </x:c>
    </x:row>
    <x:row r="23">
      <x:c r="A23" s="61" t="n">
        <x:v>1863</x:v>
      </x:c>
      <x:c r="B23" s="47" t="n">
        <x:f>Economy!P22</x:f>
        <x:v>246.92839156417395</x:v>
      </x:c>
      <x:c r="C23" s="45" t="n">
        <x:v>0</x:v>
      </x:c>
      <x:c r="D23" s="62" t="n">
        <x:f>Japan!B23</x:f>
        <x:v>0</x:v>
      </x:c>
      <x:c r="E23" s="68" t="n">
        <x:v>0.2</x:v>
      </x:c>
      <x:c r="F23" s="47" t="n">
        <x:f>IF(C23&gt;0,D23*1000000/C23,0)</x:f>
        <x:v>0</x:v>
      </x:c>
      <x:c r="G23" s="64" t="n">
        <x:f>IF(AND(E23&gt;0,F22&gt;0,B23&gt;0),MIN(conv_cap,conv_beta*jp_uplift*E23*MAX(0,LN(B23/(F22*H22)))),0)</x:f>
        <x:v>0</x:v>
      </x:c>
      <x:c r="H23" s="65" t="n">
        <x:f>H22*(1+G23)</x:f>
        <x:v>1</x:v>
      </x:c>
      <x:c r="I23" s="47" t="n">
        <x:f>D23*H23</x:f>
        <x:v>0</x:v>
      </x:c>
      <x:c r="J23" s="67" t="n">
        <x:f>IF(C23&gt;0,I23*1000000/C23/Economy!Q23,0)</x:f>
        <x:v>0</x:v>
      </x:c>
      <x:c r="K23" s="62" t="n">
        <x:f>Gulf!B23</x:f>
        <x:v>0</x:v>
      </x:c>
      <x:c r="L23" s="47" t="n">
        <x:f>Gulf!B23*Gulf!C23*Economy!Q23/1000000</x:f>
        <x:v>0</x:v>
      </x:c>
      <x:c r="M23" s="68" t="n">
        <x:v>0</x:v>
      </x:c>
      <x:c r="N23" s="47" t="n">
        <x:f>IF(K23&gt;0,L23*1000000/K23,0)</x:f>
        <x:v>0</x:v>
      </x:c>
      <x:c r="O23" s="64" t="n">
        <x:f>IF(AND(M23&gt;0,N22&gt;0,B23&gt;0),MIN(conv_cap,conv_beta*1*M23*MAX(0,LN(B23/(N22*P22)))),0)</x:f>
        <x:v>0</x:v>
      </x:c>
      <x:c r="P23" s="65" t="n">
        <x:f>P22*(1+O23)</x:f>
        <x:v>1</x:v>
      </x:c>
      <x:c r="Q23" s="47" t="n">
        <x:f>L23*P23</x:f>
        <x:v>0</x:v>
      </x:c>
      <x:c r="R23" s="67" t="n">
        <x:f>IF(K23&gt;0,Q23*1000000/K23/Economy!Q23,0)</x:f>
        <x:v>0</x:v>
      </x:c>
      <x:c r="S23" s="62" t="n">
        <x:f>People!U23</x:f>
        <x:v>0</x:v>
      </x:c>
      <x:c r="T23" s="45" t="n">
        <x:v>0</x:v>
      </x:c>
      <x:c r="U23" s="68" t="n">
        <x:v>0</x:v>
      </x:c>
      <x:c r="V23" s="47" t="n">
        <x:f>IF(S23&gt;0,T23*1000000/S23,0)</x:f>
        <x:v>0</x:v>
      </x:c>
      <x:c r="W23" s="64" t="n">
        <x:f>IF(AND(U23&gt;0,V22&gt;0,B23&gt;0),MIN(conv_cap,conv_beta*1*U23*MAX(0,LN(B23/(V22*X22)))),0)</x:f>
        <x:v>0</x:v>
      </x:c>
      <x:c r="X23" s="65" t="n">
        <x:f>X22*(1+W23)</x:f>
        <x:v>1</x:v>
      </x:c>
      <x:c r="Y23" s="47" t="n">
        <x:f>T23*X23</x:f>
        <x:v>0</x:v>
      </x:c>
      <x:c r="Z23" s="67" t="n">
        <x:f>IF(S23&gt;0,Y23*1000000/S23/Economy!Q23,0)</x:f>
        <x:v>0</x:v>
      </x:c>
      <x:c r="AA23" s="45" t="n">
        <x:v>0</x:v>
      </x:c>
      <x:c r="AB23" s="45" t="n">
        <x:v>0</x:v>
      </x:c>
      <x:c r="AC23" s="68" t="n">
        <x:v>0</x:v>
      </x:c>
      <x:c r="AD23" s="47" t="n">
        <x:f>IF(AA23&gt;0,AB23*1000000/AA23,0)</x:f>
        <x:v>0</x:v>
      </x:c>
      <x:c r="AE23" s="64" t="n">
        <x:f>IF(AND(AC23&gt;0,AD22&gt;0,B23&gt;0),MIN(conv_cap,conv_beta*1*AC23*MAX(0,LN(B23/(AD22*AF22)))),0)</x:f>
        <x:v>0</x:v>
      </x:c>
      <x:c r="AF23" s="65" t="n">
        <x:f>AF22*(1+AE23)</x:f>
        <x:v>1</x:v>
      </x:c>
      <x:c r="AG23" s="47" t="n">
        <x:f>AB23*AF23</x:f>
        <x:v>0</x:v>
      </x:c>
      <x:c r="AH23" s="67" t="n">
        <x:f>IF(AA23&gt;0,AG23*1000000/AA23/Economy!Q23,0)</x:f>
        <x:v>0</x:v>
      </x:c>
      <x:c r="AI23" s="45" t="n">
        <x:v>351000000</x:v>
      </x:c>
      <x:c r="AJ23" s="45" t="n">
        <x:v>3325</x:v>
      </x:c>
      <x:c r="AK23" s="68" t="n">
        <x:v>0.054</x:v>
      </x:c>
      <x:c r="AL23" s="47" t="n">
        <x:f>IF(AI23&gt;0,AJ23*1000000/AI23,0)</x:f>
        <x:v>9.472934472934472</x:v>
      </x:c>
      <x:c r="AM23" s="64" t="n">
        <x:f>IF(AND(AK23&gt;0,AL22&gt;0,B23&gt;0),MIN(conv_cap,conv_beta*1*AK23*MAX(0,LN(B23/(AL22*AN22)))),0)</x:f>
        <x:v>0.0017632910460213377</x:v>
      </x:c>
      <x:c r="AN23" s="65" t="n">
        <x:f>AN22*(1+AM23)</x:f>
        <x:v>1.0017632910460212</x:v>
      </x:c>
      <x:c r="AO23" s="47" t="n">
        <x:f>AJ23*AN23</x:f>
        <x:v>3330.8629427280207</x:v>
      </x:c>
      <x:c r="AP23" s="67" t="n">
        <x:f>IF(AI23&gt;0,AO23*1000000/AI23/Economy!Q23,0)</x:f>
        <x:v>0.06499752064020647</x:v>
      </x:c>
      <x:c r="AQ23" s="45" t="n">
        <x:v>0</x:v>
      </x:c>
      <x:c r="AR23" s="45" t="n">
        <x:v>0</x:v>
      </x:c>
      <x:c r="AS23" s="68" t="n">
        <x:v>0</x:v>
      </x:c>
      <x:c r="AT23" s="47" t="n">
        <x:f>IF(AQ23&gt;0,AR23*1000000/AQ23,0)</x:f>
        <x:v>0</x:v>
      </x:c>
      <x:c r="AU23" s="64" t="n">
        <x:f>IF(AND(AS23&gt;0,AT22&gt;0,B23&gt;0),MIN(conv_cap,conv_beta*1*AS23*MAX(0,LN(B23/(AT22*AV22)))),0)</x:f>
        <x:v>0</x:v>
      </x:c>
      <x:c r="AV23" s="65" t="n">
        <x:f>AV22*(1+AU23)</x:f>
        <x:v>1</x:v>
      </x:c>
      <x:c r="AW23" s="47" t="n">
        <x:f>AR23*AV23</x:f>
        <x:v>0</x:v>
      </x:c>
      <x:c r="AX23" s="67" t="n">
        <x:f>IF(AQ23&gt;0,AW23*1000000/AQ23/Economy!Q23,0)</x:f>
        <x:v>0</x:v>
      </x:c>
      <x:c r="AY23" s="45" t="n">
        <x:v>0</x:v>
      </x:c>
      <x:c r="AZ23" s="45" t="n">
        <x:v>0</x:v>
      </x:c>
      <x:c r="BA23" s="68" t="n">
        <x:v>0</x:v>
      </x:c>
      <x:c r="BB23" s="47" t="n">
        <x:f>IF(AY23&gt;0,AZ23*1000000/AY23,0)</x:f>
        <x:v>0</x:v>
      </x:c>
      <x:c r="BC23" s="64" t="n">
        <x:f>IF(AND(BA23&gt;0,BB22&gt;0,B23&gt;0),MIN(conv_cap,conv_beta*1*BA23*MAX(0,LN(B23/(BB22*BD22)))),0)</x:f>
        <x:v>0</x:v>
      </x:c>
      <x:c r="BD23" s="65" t="n">
        <x:f>BD22*(1+BC23)</x:f>
        <x:v>1</x:v>
      </x:c>
      <x:c r="BE23" s="47" t="n">
        <x:f>AZ23*BD23</x:f>
        <x:v>0</x:v>
      </x:c>
      <x:c r="BF23" s="67" t="n">
        <x:f>IF(AY23&gt;0,BE23*1000000/AY23/Economy!Q23,0)</x:f>
        <x:v>0</x:v>
      </x:c>
      <x:c r="BG23" s="45" t="n">
        <x:v>0</x:v>
      </x:c>
      <x:c r="BH23" s="45" t="n">
        <x:v>0</x:v>
      </x:c>
      <x:c r="BI23" s="68" t="n">
        <x:v>0</x:v>
      </x:c>
      <x:c r="BJ23" s="47" t="n">
        <x:f>IF(BG23&gt;0,BH23*1000000/BG23,0)</x:f>
        <x:v>0</x:v>
      </x:c>
      <x:c r="BK23" s="64" t="n">
        <x:f>IF(AND(BI23&gt;0,BJ22&gt;0,B23&gt;0),MIN(conv_cap,conv_beta*1*BI23*MAX(0,LN(B23/(BJ22*BL22)))),0)</x:f>
        <x:v>0</x:v>
      </x:c>
      <x:c r="BL23" s="65" t="n">
        <x:f>BL22*(1+BK23)</x:f>
        <x:v>1</x:v>
      </x:c>
      <x:c r="BM23" s="47" t="n">
        <x:f>BH23*BL23</x:f>
        <x:v>0</x:v>
      </x:c>
      <x:c r="BN23" s="67" t="n">
        <x:f>IF(BG23&gt;0,BM23*1000000/BG23/Economy!Q23,0)</x:f>
        <x:v>0</x:v>
      </x:c>
      <x:c r="BO23" s="45" t="n">
        <x:v>0</x:v>
      </x:c>
      <x:c r="BP23" s="45" t="n">
        <x:v>0</x:v>
      </x:c>
      <x:c r="BQ23" s="68" t="n">
        <x:v>0</x:v>
      </x:c>
      <x:c r="BR23" s="47" t="n">
        <x:f>IF(BO23&gt;0,BP23*1000000/BO23,0)</x:f>
        <x:v>0</x:v>
      </x:c>
      <x:c r="BS23" s="64" t="n">
        <x:f>IF(AND(BQ23&gt;0,BR22&gt;0,B23&gt;0),MIN(conv_cap,conv_beta*1*BQ23*MAX(0,LN(B23/(BR22*BT22)))),0)</x:f>
        <x:v>0</x:v>
      </x:c>
      <x:c r="BT23" s="65" t="n">
        <x:f>BT22*(1+BS23)</x:f>
        <x:v>1</x:v>
      </x:c>
      <x:c r="BU23" s="47" t="n">
        <x:f>BP23*BT23</x:f>
        <x:v>0</x:v>
      </x:c>
      <x:c r="BV23" s="67" t="n">
        <x:f>IF(BO23&gt;0,BU23*1000000/BO23/Economy!Q23,0)</x:f>
        <x:v>0</x:v>
      </x:c>
      <x:c r="BW23" s="65" t="n">
        <x:f>0.25*IF(D23&gt;0,H23,1)+0.15*IF(AJ23&gt;0,AN23,1)+0.03*IF(AR23&gt;0,AV23,1)+0.08*IF(AZ23&gt;0,BD23,1)+0.12*IF(BH23&gt;0,BL23,1)+0.1*IF(L23&gt;0,P23,1)+0.07*IF(T23&gt;0,X23,1)+0.05*IF(AB23&gt;0,AF23,1)+0.05*IF(BP23&gt;0,BT23,1)+0.1</x:f>
        <x:v>1.0002644936569034</x:v>
      </x:c>
      <x:c r="BX23" s="63" t="n">
        <x:f>MIN(mkt_cap,mkt_elast*MAX(0,BW23-1))</x:f>
        <x:v>0.00013224682845169866</x:v>
      </x:c>
      <x:c r="BY23" s="47" t="n">
        <x:f>I23+Q23+Y23+AG23</x:f>
        <x:v>0</x:v>
      </x:c>
      <x:c r="BZ23" s="47" t="n">
        <x:f>D23+L23+T23+AB23</x:f>
        <x:v>0</x:v>
      </x:c>
      <x:c r="CA23" s="65" t="n">
        <x:f>IF(BZ23&gt;0,BY23/BZ23,0)</x:f>
        <x:v>0</x:v>
      </x:c>
    </x:row>
    <x:row r="24">
      <x:c r="A24" s="61" t="n">
        <x:v>1864</x:v>
      </x:c>
      <x:c r="B24" s="47" t="n">
        <x:f>Economy!P23</x:f>
        <x:v>254.39282823832158</x:v>
      </x:c>
      <x:c r="C24" s="45" t="n">
        <x:v>0</x:v>
      </x:c>
      <x:c r="D24" s="62" t="n">
        <x:f>Japan!B24</x:f>
        <x:v>0</x:v>
      </x:c>
      <x:c r="E24" s="68" t="n">
        <x:v>0.22</x:v>
      </x:c>
      <x:c r="F24" s="47" t="n">
        <x:f>IF(C24&gt;0,D24*1000000/C24,0)</x:f>
        <x:v>0</x:v>
      </x:c>
      <x:c r="G24" s="64" t="n">
        <x:f>IF(AND(E24&gt;0,F23&gt;0,B24&gt;0),MIN(conv_cap,conv_beta*jp_uplift*E24*MAX(0,LN(B24/(F23*H23)))),0)</x:f>
        <x:v>0</x:v>
      </x:c>
      <x:c r="H24" s="65" t="n">
        <x:f>H23*(1+G24)</x:f>
        <x:v>1</x:v>
      </x:c>
      <x:c r="I24" s="47" t="n">
        <x:f>D24*H24</x:f>
        <x:v>0</x:v>
      </x:c>
      <x:c r="J24" s="67" t="n">
        <x:f>IF(C24&gt;0,I24*1000000/C24/Economy!Q24,0)</x:f>
        <x:v>0</x:v>
      </x:c>
      <x:c r="K24" s="62" t="n">
        <x:f>Gulf!B24</x:f>
        <x:v>0</x:v>
      </x:c>
      <x:c r="L24" s="47" t="n">
        <x:f>Gulf!B24*Gulf!C24*Economy!Q24/1000000</x:f>
        <x:v>0</x:v>
      </x:c>
      <x:c r="M24" s="68" t="n">
        <x:v>0</x:v>
      </x:c>
      <x:c r="N24" s="47" t="n">
        <x:f>IF(K24&gt;0,L24*1000000/K24,0)</x:f>
        <x:v>0</x:v>
      </x:c>
      <x:c r="O24" s="64" t="n">
        <x:f>IF(AND(M24&gt;0,N23&gt;0,B24&gt;0),MIN(conv_cap,conv_beta*1*M24*MAX(0,LN(B24/(N23*P23)))),0)</x:f>
        <x:v>0</x:v>
      </x:c>
      <x:c r="P24" s="65" t="n">
        <x:f>P23*(1+O24)</x:f>
        <x:v>1</x:v>
      </x:c>
      <x:c r="Q24" s="47" t="n">
        <x:f>L24*P24</x:f>
        <x:v>0</x:v>
      </x:c>
      <x:c r="R24" s="67" t="n">
        <x:f>IF(K24&gt;0,Q24*1000000/K24/Economy!Q24,0)</x:f>
        <x:v>0</x:v>
      </x:c>
      <x:c r="S24" s="62" t="n">
        <x:f>People!U24</x:f>
        <x:v>0</x:v>
      </x:c>
      <x:c r="T24" s="45" t="n">
        <x:v>0</x:v>
      </x:c>
      <x:c r="U24" s="68" t="n">
        <x:v>0</x:v>
      </x:c>
      <x:c r="V24" s="47" t="n">
        <x:f>IF(S24&gt;0,T24*1000000/S24,0)</x:f>
        <x:v>0</x:v>
      </x:c>
      <x:c r="W24" s="64" t="n">
        <x:f>IF(AND(U24&gt;0,V23&gt;0,B24&gt;0),MIN(conv_cap,conv_beta*1*U24*MAX(0,LN(B24/(V23*X23)))),0)</x:f>
        <x:v>0</x:v>
      </x:c>
      <x:c r="X24" s="65" t="n">
        <x:f>X23*(1+W24)</x:f>
        <x:v>1</x:v>
      </x:c>
      <x:c r="Y24" s="47" t="n">
        <x:f>T24*X24</x:f>
        <x:v>0</x:v>
      </x:c>
      <x:c r="Z24" s="67" t="n">
        <x:f>IF(S24&gt;0,Y24*1000000/S24/Economy!Q24,0)</x:f>
        <x:v>0</x:v>
      </x:c>
      <x:c r="AA24" s="45" t="n">
        <x:v>0</x:v>
      </x:c>
      <x:c r="AB24" s="45" t="n">
        <x:v>0</x:v>
      </x:c>
      <x:c r="AC24" s="68" t="n">
        <x:v>0</x:v>
      </x:c>
      <x:c r="AD24" s="47" t="n">
        <x:f>IF(AA24&gt;0,AB24*1000000/AA24,0)</x:f>
        <x:v>0</x:v>
      </x:c>
      <x:c r="AE24" s="64" t="n">
        <x:f>IF(AND(AC24&gt;0,AD23&gt;0,B24&gt;0),MIN(conv_cap,conv_beta*1*AC24*MAX(0,LN(B24/(AD23*AF23)))),0)</x:f>
        <x:v>0</x:v>
      </x:c>
      <x:c r="AF24" s="65" t="n">
        <x:f>AF23*(1+AE24)</x:f>
        <x:v>1</x:v>
      </x:c>
      <x:c r="AG24" s="47" t="n">
        <x:f>AB24*AF24</x:f>
        <x:v>0</x:v>
      </x:c>
      <x:c r="AH24" s="67" t="n">
        <x:f>IF(AA24&gt;0,AG24*1000000/AA24/Economy!Q24,0)</x:f>
        <x:v>0</x:v>
      </x:c>
      <x:c r="AI24" s="45" t="n">
        <x:v>352000000</x:v>
      </x:c>
      <x:c r="AJ24" s="45" t="n">
        <x:v>3350</x:v>
      </x:c>
      <x:c r="AK24" s="68" t="n">
        <x:v>0.058</x:v>
      </x:c>
      <x:c r="AL24" s="47" t="n">
        <x:f>IF(AI24&gt;0,AJ24*1000000/AI24,0)</x:f>
        <x:v>9.517045454545455</x:v>
      </x:c>
      <x:c r="AM24" s="64" t="n">
        <x:f>IF(AND(AK24&gt;0,AL23&gt;0,B24&gt;0),MIN(conv_cap,conv_beta*1*AK24*MAX(0,LN(B24/(AL23*AN23)))),0)</x:f>
        <x:v>0.0019074339199247105</x:v>
      </x:c>
      <x:c r="AN24" s="65" t="n">
        <x:f>AN23*(1+AM24)</x:f>
        <x:v>1.0036740883270978</x:v>
      </x:c>
      <x:c r="AO24" s="47" t="n">
        <x:f>AJ24*AN24</x:f>
        <x:v>3362.3081958957778</x:v>
      </x:c>
      <x:c r="AP24" s="67" t="n">
        <x:f>IF(AI24&gt;0,AO24*1000000/AI24/Economy!Q24,0)</x:f>
        <x:v>0.06454062108215175</x:v>
      </x:c>
      <x:c r="AQ24" s="45" t="n">
        <x:v>0</x:v>
      </x:c>
      <x:c r="AR24" s="45" t="n">
        <x:v>0</x:v>
      </x:c>
      <x:c r="AS24" s="68" t="n">
        <x:v>0</x:v>
      </x:c>
      <x:c r="AT24" s="47" t="n">
        <x:f>IF(AQ24&gt;0,AR24*1000000/AQ24,0)</x:f>
        <x:v>0</x:v>
      </x:c>
      <x:c r="AU24" s="64" t="n">
        <x:f>IF(AND(AS24&gt;0,AT23&gt;0,B24&gt;0),MIN(conv_cap,conv_beta*1*AS24*MAX(0,LN(B24/(AT23*AV23)))),0)</x:f>
        <x:v>0</x:v>
      </x:c>
      <x:c r="AV24" s="65" t="n">
        <x:f>AV23*(1+AU24)</x:f>
        <x:v>1</x:v>
      </x:c>
      <x:c r="AW24" s="47" t="n">
        <x:f>AR24*AV24</x:f>
        <x:v>0</x:v>
      </x:c>
      <x:c r="AX24" s="67" t="n">
        <x:f>IF(AQ24&gt;0,AW24*1000000/AQ24/Economy!Q24,0)</x:f>
        <x:v>0</x:v>
      </x:c>
      <x:c r="AY24" s="45" t="n">
        <x:v>0</x:v>
      </x:c>
      <x:c r="AZ24" s="45" t="n">
        <x:v>0</x:v>
      </x:c>
      <x:c r="BA24" s="68" t="n">
        <x:v>0</x:v>
      </x:c>
      <x:c r="BB24" s="47" t="n">
        <x:f>IF(AY24&gt;0,AZ24*1000000/AY24,0)</x:f>
        <x:v>0</x:v>
      </x:c>
      <x:c r="BC24" s="64" t="n">
        <x:f>IF(AND(BA24&gt;0,BB23&gt;0,B24&gt;0),MIN(conv_cap,conv_beta*1*BA24*MAX(0,LN(B24/(BB23*BD23)))),0)</x:f>
        <x:v>0</x:v>
      </x:c>
      <x:c r="BD24" s="65" t="n">
        <x:f>BD23*(1+BC24)</x:f>
        <x:v>1</x:v>
      </x:c>
      <x:c r="BE24" s="47" t="n">
        <x:f>AZ24*BD24</x:f>
        <x:v>0</x:v>
      </x:c>
      <x:c r="BF24" s="67" t="n">
        <x:f>IF(AY24&gt;0,BE24*1000000/AY24/Economy!Q24,0)</x:f>
        <x:v>0</x:v>
      </x:c>
      <x:c r="BG24" s="45" t="n">
        <x:v>0</x:v>
      </x:c>
      <x:c r="BH24" s="45" t="n">
        <x:v>0</x:v>
      </x:c>
      <x:c r="BI24" s="68" t="n">
        <x:v>0</x:v>
      </x:c>
      <x:c r="BJ24" s="47" t="n">
        <x:f>IF(BG24&gt;0,BH24*1000000/BG24,0)</x:f>
        <x:v>0</x:v>
      </x:c>
      <x:c r="BK24" s="64" t="n">
        <x:f>IF(AND(BI24&gt;0,BJ23&gt;0,B24&gt;0),MIN(conv_cap,conv_beta*1*BI24*MAX(0,LN(B24/(BJ23*BL23)))),0)</x:f>
        <x:v>0</x:v>
      </x:c>
      <x:c r="BL24" s="65" t="n">
        <x:f>BL23*(1+BK24)</x:f>
        <x:v>1</x:v>
      </x:c>
      <x:c r="BM24" s="47" t="n">
        <x:f>BH24*BL24</x:f>
        <x:v>0</x:v>
      </x:c>
      <x:c r="BN24" s="67" t="n">
        <x:f>IF(BG24&gt;0,BM24*1000000/BG24/Economy!Q24,0)</x:f>
        <x:v>0</x:v>
      </x:c>
      <x:c r="BO24" s="45" t="n">
        <x:v>0</x:v>
      </x:c>
      <x:c r="BP24" s="45" t="n">
        <x:v>0</x:v>
      </x:c>
      <x:c r="BQ24" s="68" t="n">
        <x:v>0</x:v>
      </x:c>
      <x:c r="BR24" s="47" t="n">
        <x:f>IF(BO24&gt;0,BP24*1000000/BO24,0)</x:f>
        <x:v>0</x:v>
      </x:c>
      <x:c r="BS24" s="64" t="n">
        <x:f>IF(AND(BQ24&gt;0,BR23&gt;0,B24&gt;0),MIN(conv_cap,conv_beta*1*BQ24*MAX(0,LN(B24/(BR23*BT23)))),0)</x:f>
        <x:v>0</x:v>
      </x:c>
      <x:c r="BT24" s="65" t="n">
        <x:f>BT23*(1+BS24)</x:f>
        <x:v>1</x:v>
      </x:c>
      <x:c r="BU24" s="47" t="n">
        <x:f>BP24*BT24</x:f>
        <x:v>0</x:v>
      </x:c>
      <x:c r="BV24" s="67" t="n">
        <x:f>IF(BO24&gt;0,BU24*1000000/BO24/Economy!Q24,0)</x:f>
        <x:v>0</x:v>
      </x:c>
      <x:c r="BW24" s="65" t="n">
        <x:f>0.25*IF(D24&gt;0,H24,1)+0.15*IF(AJ24&gt;0,AN24,1)+0.03*IF(AR24&gt;0,AV24,1)+0.08*IF(AZ24&gt;0,BD24,1)+0.12*IF(BH24&gt;0,BL24,1)+0.1*IF(L24&gt;0,P24,1)+0.07*IF(T24&gt;0,X24,1)+0.05*IF(AB24&gt;0,AF24,1)+0.05*IF(BP24&gt;0,BT24,1)+0.1</x:f>
        <x:v>1.0005511132490648</x:v>
      </x:c>
      <x:c r="BX24" s="63" t="n">
        <x:f>MIN(mkt_cap,mkt_elast*MAX(0,BW24-1))</x:f>
        <x:v>0.0002755566245323804</x:v>
      </x:c>
      <x:c r="BY24" s="47" t="n">
        <x:f>I24+Q24+Y24+AG24</x:f>
        <x:v>0</x:v>
      </x:c>
      <x:c r="BZ24" s="47" t="n">
        <x:f>D24+L24+T24+AB24</x:f>
        <x:v>0</x:v>
      </x:c>
      <x:c r="CA24" s="65" t="n">
        <x:f>IF(BZ24&gt;0,BY24/BZ24,0)</x:f>
        <x:v>0</x:v>
      </x:c>
    </x:row>
    <x:row r="25">
      <x:c r="A25" s="61" t="n">
        <x:v>1865</x:v>
      </x:c>
      <x:c r="B25" s="47" t="n">
        <x:f>Economy!P24</x:f>
        <x:v>280.3545057499452</x:v>
      </x:c>
      <x:c r="C25" s="45" t="n">
        <x:v>0</x:v>
      </x:c>
      <x:c r="D25" s="62" t="n">
        <x:f>Japan!B25</x:f>
        <x:v>0</x:v>
      </x:c>
      <x:c r="E25" s="68" t="n">
        <x:v>0.24</x:v>
      </x:c>
      <x:c r="F25" s="47" t="n">
        <x:f>IF(C25&gt;0,D25*1000000/C25,0)</x:f>
        <x:v>0</x:v>
      </x:c>
      <x:c r="G25" s="64" t="n">
        <x:f>IF(AND(E25&gt;0,F24&gt;0,B25&gt;0),MIN(conv_cap,conv_beta*jp_uplift*E25*MAX(0,LN(B25/(F24*H24)))),0)</x:f>
        <x:v>0</x:v>
      </x:c>
      <x:c r="H25" s="65" t="n">
        <x:f>H24*(1+G25)</x:f>
        <x:v>1</x:v>
      </x:c>
      <x:c r="I25" s="47" t="n">
        <x:f>D25*H25</x:f>
        <x:v>0</x:v>
      </x:c>
      <x:c r="J25" s="67" t="n">
        <x:f>IF(C25&gt;0,I25*1000000/C25/Economy!Q25,0)</x:f>
        <x:v>0</x:v>
      </x:c>
      <x:c r="K25" s="62" t="n">
        <x:f>Gulf!B25</x:f>
        <x:v>0</x:v>
      </x:c>
      <x:c r="L25" s="47" t="n">
        <x:f>Gulf!B25*Gulf!C25*Economy!Q25/1000000</x:f>
        <x:v>0</x:v>
      </x:c>
      <x:c r="M25" s="68" t="n">
        <x:v>0</x:v>
      </x:c>
      <x:c r="N25" s="47" t="n">
        <x:f>IF(K25&gt;0,L25*1000000/K25,0)</x:f>
        <x:v>0</x:v>
      </x:c>
      <x:c r="O25" s="64" t="n">
        <x:f>IF(AND(M25&gt;0,N24&gt;0,B25&gt;0),MIN(conv_cap,conv_beta*1*M25*MAX(0,LN(B25/(N24*P24)))),0)</x:f>
        <x:v>0</x:v>
      </x:c>
      <x:c r="P25" s="65" t="n">
        <x:f>P24*(1+O25)</x:f>
        <x:v>1</x:v>
      </x:c>
      <x:c r="Q25" s="47" t="n">
        <x:f>L25*P25</x:f>
        <x:v>0</x:v>
      </x:c>
      <x:c r="R25" s="67" t="n">
        <x:f>IF(K25&gt;0,Q25*1000000/K25/Economy!Q25,0)</x:f>
        <x:v>0</x:v>
      </x:c>
      <x:c r="S25" s="62" t="n">
        <x:f>People!U25</x:f>
        <x:v>0</x:v>
      </x:c>
      <x:c r="T25" s="45" t="n">
        <x:v>0</x:v>
      </x:c>
      <x:c r="U25" s="68" t="n">
        <x:v>0</x:v>
      </x:c>
      <x:c r="V25" s="47" t="n">
        <x:f>IF(S25&gt;0,T25*1000000/S25,0)</x:f>
        <x:v>0</x:v>
      </x:c>
      <x:c r="W25" s="64" t="n">
        <x:f>IF(AND(U25&gt;0,V24&gt;0,B25&gt;0),MIN(conv_cap,conv_beta*1*U25*MAX(0,LN(B25/(V24*X24)))),0)</x:f>
        <x:v>0</x:v>
      </x:c>
      <x:c r="X25" s="65" t="n">
        <x:f>X24*(1+W25)</x:f>
        <x:v>1</x:v>
      </x:c>
      <x:c r="Y25" s="47" t="n">
        <x:f>T25*X25</x:f>
        <x:v>0</x:v>
      </x:c>
      <x:c r="Z25" s="67" t="n">
        <x:f>IF(S25&gt;0,Y25*1000000/S25/Economy!Q25,0)</x:f>
        <x:v>0</x:v>
      </x:c>
      <x:c r="AA25" s="45" t="n">
        <x:v>0</x:v>
      </x:c>
      <x:c r="AB25" s="45" t="n">
        <x:v>0</x:v>
      </x:c>
      <x:c r="AC25" s="68" t="n">
        <x:v>0</x:v>
      </x:c>
      <x:c r="AD25" s="47" t="n">
        <x:f>IF(AA25&gt;0,AB25*1000000/AA25,0)</x:f>
        <x:v>0</x:v>
      </x:c>
      <x:c r="AE25" s="64" t="n">
        <x:f>IF(AND(AC25&gt;0,AD24&gt;0,B25&gt;0),MIN(conv_cap,conv_beta*1*AC25*MAX(0,LN(B25/(AD24*AF24)))),0)</x:f>
        <x:v>0</x:v>
      </x:c>
      <x:c r="AF25" s="65" t="n">
        <x:f>AF24*(1+AE25)</x:f>
        <x:v>1</x:v>
      </x:c>
      <x:c r="AG25" s="47" t="n">
        <x:f>AB25*AF25</x:f>
        <x:v>0</x:v>
      </x:c>
      <x:c r="AH25" s="67" t="n">
        <x:f>IF(AA25&gt;0,AG25*1000000/AA25/Economy!Q25,0)</x:f>
        <x:v>0</x:v>
      </x:c>
      <x:c r="AI25" s="45" t="n">
        <x:v>353000000</x:v>
      </x:c>
      <x:c r="AJ25" s="45" t="n">
        <x:v>3375</x:v>
      </x:c>
      <x:c r="AK25" s="68" t="n">
        <x:v>0.062</x:v>
      </x:c>
      <x:c r="AL25" s="47" t="n">
        <x:f>IF(AI25&gt;0,AJ25*1000000/AI25,0)</x:f>
        <x:v>9.560906515580736</x:v>
      </x:c>
      <x:c r="AM25" s="64" t="n">
        <x:f>IF(AND(AK25&gt;0,AL24&gt;0,B25&gt;0),MIN(conv_cap,conv_beta*1*AK25*MAX(0,LN(B25/(AL24*AN24)))),0)</x:f>
        <x:v>0.002095167915640364</x:v>
      </x:c>
      <x:c r="AN25" s="65" t="n">
        <x:f>AN24*(1+AM25)</x:f>
        <x:v>1.0057769540747203</x:v>
      </x:c>
      <x:c r="AO25" s="47" t="n">
        <x:f>AJ25*AN25</x:f>
        <x:v>3394.497220002181</x:v>
      </x:c>
      <x:c r="AP25" s="67" t="n">
        <x:f>IF(AI25&gt;0,AO25*1000000/AI25/Economy!Q25,0)</x:f>
        <x:v>0.06410759622289293</x:v>
      </x:c>
      <x:c r="AQ25" s="45" t="n">
        <x:v>0</x:v>
      </x:c>
      <x:c r="AR25" s="45" t="n">
        <x:v>0</x:v>
      </x:c>
      <x:c r="AS25" s="68" t="n">
        <x:v>0</x:v>
      </x:c>
      <x:c r="AT25" s="47" t="n">
        <x:f>IF(AQ25&gt;0,AR25*1000000/AQ25,0)</x:f>
        <x:v>0</x:v>
      </x:c>
      <x:c r="AU25" s="64" t="n">
        <x:f>IF(AND(AS25&gt;0,AT24&gt;0,B25&gt;0),MIN(conv_cap,conv_beta*1*AS25*MAX(0,LN(B25/(AT24*AV24)))),0)</x:f>
        <x:v>0</x:v>
      </x:c>
      <x:c r="AV25" s="65" t="n">
        <x:f>AV24*(1+AU25)</x:f>
        <x:v>1</x:v>
      </x:c>
      <x:c r="AW25" s="47" t="n">
        <x:f>AR25*AV25</x:f>
        <x:v>0</x:v>
      </x:c>
      <x:c r="AX25" s="67" t="n">
        <x:f>IF(AQ25&gt;0,AW25*1000000/AQ25/Economy!Q25,0)</x:f>
        <x:v>0</x:v>
      </x:c>
      <x:c r="AY25" s="45" t="n">
        <x:v>0</x:v>
      </x:c>
      <x:c r="AZ25" s="45" t="n">
        <x:v>0</x:v>
      </x:c>
      <x:c r="BA25" s="68" t="n">
        <x:v>0</x:v>
      </x:c>
      <x:c r="BB25" s="47" t="n">
        <x:f>IF(AY25&gt;0,AZ25*1000000/AY25,0)</x:f>
        <x:v>0</x:v>
      </x:c>
      <x:c r="BC25" s="64" t="n">
        <x:f>IF(AND(BA25&gt;0,BB24&gt;0,B25&gt;0),MIN(conv_cap,conv_beta*1*BA25*MAX(0,LN(B25/(BB24*BD24)))),0)</x:f>
        <x:v>0</x:v>
      </x:c>
      <x:c r="BD25" s="65" t="n">
        <x:f>BD24*(1+BC25)</x:f>
        <x:v>1</x:v>
      </x:c>
      <x:c r="BE25" s="47" t="n">
        <x:f>AZ25*BD25</x:f>
        <x:v>0</x:v>
      </x:c>
      <x:c r="BF25" s="67" t="n">
        <x:f>IF(AY25&gt;0,BE25*1000000/AY25/Economy!Q25,0)</x:f>
        <x:v>0</x:v>
      </x:c>
      <x:c r="BG25" s="45" t="n">
        <x:v>0</x:v>
      </x:c>
      <x:c r="BH25" s="45" t="n">
        <x:v>0</x:v>
      </x:c>
      <x:c r="BI25" s="68" t="n">
        <x:v>0</x:v>
      </x:c>
      <x:c r="BJ25" s="47" t="n">
        <x:f>IF(BG25&gt;0,BH25*1000000/BG25,0)</x:f>
        <x:v>0</x:v>
      </x:c>
      <x:c r="BK25" s="64" t="n">
        <x:f>IF(AND(BI25&gt;0,BJ24&gt;0,B25&gt;0),MIN(conv_cap,conv_beta*1*BI25*MAX(0,LN(B25/(BJ24*BL24)))),0)</x:f>
        <x:v>0</x:v>
      </x:c>
      <x:c r="BL25" s="65" t="n">
        <x:f>BL24*(1+BK25)</x:f>
        <x:v>1</x:v>
      </x:c>
      <x:c r="BM25" s="47" t="n">
        <x:f>BH25*BL25</x:f>
        <x:v>0</x:v>
      </x:c>
      <x:c r="BN25" s="67" t="n">
        <x:f>IF(BG25&gt;0,BM25*1000000/BG25/Economy!Q25,0)</x:f>
        <x:v>0</x:v>
      </x:c>
      <x:c r="BO25" s="45" t="n">
        <x:v>0</x:v>
      </x:c>
      <x:c r="BP25" s="45" t="n">
        <x:v>0</x:v>
      </x:c>
      <x:c r="BQ25" s="68" t="n">
        <x:v>0</x:v>
      </x:c>
      <x:c r="BR25" s="47" t="n">
        <x:f>IF(BO25&gt;0,BP25*1000000/BO25,0)</x:f>
        <x:v>0</x:v>
      </x:c>
      <x:c r="BS25" s="64" t="n">
        <x:f>IF(AND(BQ25&gt;0,BR24&gt;0,B25&gt;0),MIN(conv_cap,conv_beta*1*BQ25*MAX(0,LN(B25/(BR24*BT24)))),0)</x:f>
        <x:v>0</x:v>
      </x:c>
      <x:c r="BT25" s="65" t="n">
        <x:f>BT24*(1+BS25)</x:f>
        <x:v>1</x:v>
      </x:c>
      <x:c r="BU25" s="47" t="n">
        <x:f>BP25*BT25</x:f>
        <x:v>0</x:v>
      </x:c>
      <x:c r="BV25" s="67" t="n">
        <x:f>IF(BO25&gt;0,BU25*1000000/BO25/Economy!Q25,0)</x:f>
        <x:v>0</x:v>
      </x:c>
      <x:c r="BW25" s="65" t="n">
        <x:f>0.25*IF(D25&gt;0,H25,1)+0.15*IF(AJ25&gt;0,AN25,1)+0.03*IF(AR25&gt;0,AV25,1)+0.08*IF(AZ25&gt;0,BD25,1)+0.12*IF(BH25&gt;0,BL25,1)+0.1*IF(L25&gt;0,P25,1)+0.07*IF(T25&gt;0,X25,1)+0.05*IF(AB25&gt;0,AF25,1)+0.05*IF(BP25&gt;0,BT25,1)+0.1</x:f>
        <x:v>1.0008665431112083</x:v>
      </x:c>
      <x:c r="BX25" s="63" t="n">
        <x:f>MIN(mkt_cap,mkt_elast*MAX(0,BW25-1))</x:f>
        <x:v>0.0004332715556041311</x:v>
      </x:c>
      <x:c r="BY25" s="47" t="n">
        <x:f>I25+Q25+Y25+AG25</x:f>
        <x:v>0</x:v>
      </x:c>
      <x:c r="BZ25" s="47" t="n">
        <x:f>D25+L25+T25+AB25</x:f>
        <x:v>0</x:v>
      </x:c>
      <x:c r="CA25" s="65" t="n">
        <x:f>IF(BZ25&gt;0,BY25/BZ25,0)</x:f>
        <x:v>0</x:v>
      </x:c>
    </x:row>
    <x:row r="26">
      <x:c r="A26" s="58" t="n">
        <x:v>1866</x:v>
      </x:c>
      <x:c r="B26" s="47" t="n">
        <x:f>Economy!P25</x:f>
        <x:v>288.6818841968673</x:v>
      </x:c>
      <x:c r="C26" s="45" t="n">
        <x:v>0</x:v>
      </x:c>
      <x:c r="D26" s="62" t="n">
        <x:f>Japan!B26</x:f>
        <x:v>0</x:v>
      </x:c>
      <x:c r="E26" s="68" t="n">
        <x:v>0.26</x:v>
      </x:c>
      <x:c r="F26" s="47" t="n">
        <x:f>IF(C26&gt;0,D26*1000000/C26,0)</x:f>
        <x:v>0</x:v>
      </x:c>
      <x:c r="G26" s="64" t="n">
        <x:f>IF(AND(E26&gt;0,F25&gt;0,B26&gt;0),MIN(conv_cap,conv_beta*jp_uplift*E26*MAX(0,LN(B26/(F25*H25)))),0)</x:f>
        <x:v>0</x:v>
      </x:c>
      <x:c r="H26" s="65" t="n">
        <x:f>H25*(1+G26)</x:f>
        <x:v>1</x:v>
      </x:c>
      <x:c r="I26" s="47" t="n">
        <x:f>D26*H26</x:f>
        <x:v>0</x:v>
      </x:c>
      <x:c r="J26" s="67" t="n">
        <x:f>IF(C26&gt;0,I26*1000000/C26/Economy!Q26,0)</x:f>
        <x:v>0</x:v>
      </x:c>
      <x:c r="K26" s="62" t="n">
        <x:f>Gulf!B26</x:f>
        <x:v>0</x:v>
      </x:c>
      <x:c r="L26" s="47" t="n">
        <x:f>Gulf!B26*Gulf!C26*Economy!Q26/1000000</x:f>
        <x:v>0</x:v>
      </x:c>
      <x:c r="M26" s="68" t="n">
        <x:v>0</x:v>
      </x:c>
      <x:c r="N26" s="47" t="n">
        <x:f>IF(K26&gt;0,L26*1000000/K26,0)</x:f>
        <x:v>0</x:v>
      </x:c>
      <x:c r="O26" s="64" t="n">
        <x:f>IF(AND(M26&gt;0,N25&gt;0,B26&gt;0),MIN(conv_cap,conv_beta*1*M26*MAX(0,LN(B26/(N25*P25)))),0)</x:f>
        <x:v>0</x:v>
      </x:c>
      <x:c r="P26" s="65" t="n">
        <x:f>P25*(1+O26)</x:f>
        <x:v>1</x:v>
      </x:c>
      <x:c r="Q26" s="47" t="n">
        <x:f>L26*P26</x:f>
        <x:v>0</x:v>
      </x:c>
      <x:c r="R26" s="67" t="n">
        <x:f>IF(K26&gt;0,Q26*1000000/K26/Economy!Q26,0)</x:f>
        <x:v>0</x:v>
      </x:c>
      <x:c r="S26" s="62" t="n">
        <x:f>People!U26</x:f>
        <x:v>0</x:v>
      </x:c>
      <x:c r="T26" s="45" t="n">
        <x:v>0</x:v>
      </x:c>
      <x:c r="U26" s="68" t="n">
        <x:v>0</x:v>
      </x:c>
      <x:c r="V26" s="47" t="n">
        <x:f>IF(S26&gt;0,T26*1000000/S26,0)</x:f>
        <x:v>0</x:v>
      </x:c>
      <x:c r="W26" s="64" t="n">
        <x:f>IF(AND(U26&gt;0,V25&gt;0,B26&gt;0),MIN(conv_cap,conv_beta*1*U26*MAX(0,LN(B26/(V25*X25)))),0)</x:f>
        <x:v>0</x:v>
      </x:c>
      <x:c r="X26" s="65" t="n">
        <x:f>X25*(1+W26)</x:f>
        <x:v>1</x:v>
      </x:c>
      <x:c r="Y26" s="47" t="n">
        <x:f>T26*X26</x:f>
        <x:v>0</x:v>
      </x:c>
      <x:c r="Z26" s="67" t="n">
        <x:f>IF(S26&gt;0,Y26*1000000/S26/Economy!Q26,0)</x:f>
        <x:v>0</x:v>
      </x:c>
      <x:c r="AA26" s="45" t="n">
        <x:v>0</x:v>
      </x:c>
      <x:c r="AB26" s="45" t="n">
        <x:v>0</x:v>
      </x:c>
      <x:c r="AC26" s="68" t="n">
        <x:v>0</x:v>
      </x:c>
      <x:c r="AD26" s="47" t="n">
        <x:f>IF(AA26&gt;0,AB26*1000000/AA26,0)</x:f>
        <x:v>0</x:v>
      </x:c>
      <x:c r="AE26" s="64" t="n">
        <x:f>IF(AND(AC26&gt;0,AD25&gt;0,B26&gt;0),MIN(conv_cap,conv_beta*1*AC26*MAX(0,LN(B26/(AD25*AF25)))),0)</x:f>
        <x:v>0</x:v>
      </x:c>
      <x:c r="AF26" s="65" t="n">
        <x:f>AF25*(1+AE26)</x:f>
        <x:v>1</x:v>
      </x:c>
      <x:c r="AG26" s="47" t="n">
        <x:f>AB26*AF26</x:f>
        <x:v>0</x:v>
      </x:c>
      <x:c r="AH26" s="67" t="n">
        <x:f>IF(AA26&gt;0,AG26*1000000/AA26/Economy!Q26,0)</x:f>
        <x:v>0</x:v>
      </x:c>
      <x:c r="AI26" s="45" t="n">
        <x:v>354000000</x:v>
      </x:c>
      <x:c r="AJ26" s="45" t="n">
        <x:v>3400</x:v>
      </x:c>
      <x:c r="AK26" s="68" t="n">
        <x:v>0.065</x:v>
      </x:c>
      <x:c r="AL26" s="47" t="n">
        <x:f>IF(AI26&gt;0,AJ26*1000000/AI26,0)</x:f>
        <x:v>9.6045197740113</x:v>
      </x:c>
      <x:c r="AM26" s="64" t="n">
        <x:f>IF(AND(AK26&gt;0,AL25&gt;0,B26&gt;0),MIN(conv_cap,conv_beta*1*AK26*MAX(0,LN(B26/(AL25*AN25)))),0)</x:f>
        <x:v>0.002211223597235465</x:v>
      </x:c>
      <x:c r="AN26" s="65" t="n">
        <x:f>AN25*(1+AM26)</x:f>
        <x:v>1.008000951809126</x:v>
      </x:c>
      <x:c r="AO26" s="47" t="n">
        <x:f>AJ26*AN26</x:f>
        <x:v>3427.2032361510282</x:v>
      </x:c>
      <x:c r="AP26" s="67" t="n">
        <x:f>IF(AI26&gt;0,AO26*1000000/AI26/Economy!Q26,0)</x:f>
        <x:v>0.06286600697320105</x:v>
      </x:c>
      <x:c r="AQ26" s="45" t="n">
        <x:v>0</x:v>
      </x:c>
      <x:c r="AR26" s="45" t="n">
        <x:v>0</x:v>
      </x:c>
      <x:c r="AS26" s="68" t="n">
        <x:v>0</x:v>
      </x:c>
      <x:c r="AT26" s="47" t="n">
        <x:f>IF(AQ26&gt;0,AR26*1000000/AQ26,0)</x:f>
        <x:v>0</x:v>
      </x:c>
      <x:c r="AU26" s="64" t="n">
        <x:f>IF(AND(AS26&gt;0,AT25&gt;0,B26&gt;0),MIN(conv_cap,conv_beta*1*AS26*MAX(0,LN(B26/(AT25*AV25)))),0)</x:f>
        <x:v>0</x:v>
      </x:c>
      <x:c r="AV26" s="65" t="n">
        <x:f>AV25*(1+AU26)</x:f>
        <x:v>1</x:v>
      </x:c>
      <x:c r="AW26" s="47" t="n">
        <x:f>AR26*AV26</x:f>
        <x:v>0</x:v>
      </x:c>
      <x:c r="AX26" s="67" t="n">
        <x:f>IF(AQ26&gt;0,AW26*1000000/AQ26/Economy!Q26,0)</x:f>
        <x:v>0</x:v>
      </x:c>
      <x:c r="AY26" s="45" t="n">
        <x:v>0</x:v>
      </x:c>
      <x:c r="AZ26" s="45" t="n">
        <x:v>0</x:v>
      </x:c>
      <x:c r="BA26" s="68" t="n">
        <x:v>0</x:v>
      </x:c>
      <x:c r="BB26" s="47" t="n">
        <x:f>IF(AY26&gt;0,AZ26*1000000/AY26,0)</x:f>
        <x:v>0</x:v>
      </x:c>
      <x:c r="BC26" s="64" t="n">
        <x:f>IF(AND(BA26&gt;0,BB25&gt;0,B26&gt;0),MIN(conv_cap,conv_beta*1*BA26*MAX(0,LN(B26/(BB25*BD25)))),0)</x:f>
        <x:v>0</x:v>
      </x:c>
      <x:c r="BD26" s="65" t="n">
        <x:f>BD25*(1+BC26)</x:f>
        <x:v>1</x:v>
      </x:c>
      <x:c r="BE26" s="47" t="n">
        <x:f>AZ26*BD26</x:f>
        <x:v>0</x:v>
      </x:c>
      <x:c r="BF26" s="67" t="n">
        <x:f>IF(AY26&gt;0,BE26*1000000/AY26/Economy!Q26,0)</x:f>
        <x:v>0</x:v>
      </x:c>
      <x:c r="BG26" s="45" t="n">
        <x:v>0</x:v>
      </x:c>
      <x:c r="BH26" s="45" t="n">
        <x:v>0</x:v>
      </x:c>
      <x:c r="BI26" s="68" t="n">
        <x:v>0</x:v>
      </x:c>
      <x:c r="BJ26" s="47" t="n">
        <x:f>IF(BG26&gt;0,BH26*1000000/BG26,0)</x:f>
        <x:v>0</x:v>
      </x:c>
      <x:c r="BK26" s="64" t="n">
        <x:f>IF(AND(BI26&gt;0,BJ25&gt;0,B26&gt;0),MIN(conv_cap,conv_beta*1*BI26*MAX(0,LN(B26/(BJ25*BL25)))),0)</x:f>
        <x:v>0</x:v>
      </x:c>
      <x:c r="BL26" s="65" t="n">
        <x:f>BL25*(1+BK26)</x:f>
        <x:v>1</x:v>
      </x:c>
      <x:c r="BM26" s="47" t="n">
        <x:f>BH26*BL26</x:f>
        <x:v>0</x:v>
      </x:c>
      <x:c r="BN26" s="67" t="n">
        <x:f>IF(BG26&gt;0,BM26*1000000/BG26/Economy!Q26,0)</x:f>
        <x:v>0</x:v>
      </x:c>
      <x:c r="BO26" s="45" t="n">
        <x:v>0</x:v>
      </x:c>
      <x:c r="BP26" s="45" t="n">
        <x:v>0</x:v>
      </x:c>
      <x:c r="BQ26" s="68" t="n">
        <x:v>0</x:v>
      </x:c>
      <x:c r="BR26" s="47" t="n">
        <x:f>IF(BO26&gt;0,BP26*1000000/BO26,0)</x:f>
        <x:v>0</x:v>
      </x:c>
      <x:c r="BS26" s="64" t="n">
        <x:f>IF(AND(BQ26&gt;0,BR25&gt;0,B26&gt;0),MIN(conv_cap,conv_beta*1*BQ26*MAX(0,LN(B26/(BR25*BT25)))),0)</x:f>
        <x:v>0</x:v>
      </x:c>
      <x:c r="BT26" s="65" t="n">
        <x:f>BT25*(1+BS26)</x:f>
        <x:v>1</x:v>
      </x:c>
      <x:c r="BU26" s="47" t="n">
        <x:f>BP26*BT26</x:f>
        <x:v>0</x:v>
      </x:c>
      <x:c r="BV26" s="67" t="n">
        <x:f>IF(BO26&gt;0,BU26*1000000/BO26/Economy!Q26,0)</x:f>
        <x:v>0</x:v>
      </x:c>
      <x:c r="BW26" s="65" t="n">
        <x:f>0.25*IF(D26&gt;0,H26,1)+0.15*IF(AJ26&gt;0,AN26,1)+0.03*IF(AR26&gt;0,AV26,1)+0.08*IF(AZ26&gt;0,BD26,1)+0.12*IF(BH26&gt;0,BL26,1)+0.1*IF(L26&gt;0,P26,1)+0.07*IF(T26&gt;0,X26,1)+0.05*IF(AB26&gt;0,AF26,1)+0.05*IF(BP26&gt;0,BT26,1)+0.1</x:f>
        <x:v>1.001200142771369</x:v>
      </x:c>
      <x:c r="BX26" s="63" t="n">
        <x:f>MIN(mkt_cap,mkt_elast*MAX(0,BW26-1))</x:f>
        <x:v>0.0006000713856845197</x:v>
      </x:c>
      <x:c r="BY26" s="47" t="n">
        <x:f>I26+Q26+Y26+AG26</x:f>
        <x:v>0</x:v>
      </x:c>
      <x:c r="BZ26" s="47" t="n">
        <x:f>D26+L26+T26+AB26</x:f>
        <x:v>0</x:v>
      </x:c>
      <x:c r="CA26" s="65" t="n">
        <x:f>IF(BZ26&gt;0,BY26/BZ26,0)</x:f>
        <x:v>0</x:v>
      </x:c>
    </x:row>
    <x:row r="27">
      <x:c r="A27" s="58" t="n">
        <x:v>1867</x:v>
      </x:c>
      <x:c r="B27" s="47" t="n">
        <x:f>Economy!P26</x:f>
        <x:v>290.5856286616211</x:v>
      </x:c>
      <x:c r="C27" s="45" t="n">
        <x:v>0</x:v>
      </x:c>
      <x:c r="D27" s="62" t="n">
        <x:f>Japan!B27</x:f>
        <x:v>0</x:v>
      </x:c>
      <x:c r="E27" s="68" t="n">
        <x:v>0.28</x:v>
      </x:c>
      <x:c r="F27" s="47" t="n">
        <x:f>IF(C27&gt;0,D27*1000000/C27,0)</x:f>
        <x:v>0</x:v>
      </x:c>
      <x:c r="G27" s="64" t="n">
        <x:f>IF(AND(E27&gt;0,F26&gt;0,B27&gt;0),MIN(conv_cap,conv_beta*jp_uplift*E27*MAX(0,LN(B27/(F26*H26)))),0)</x:f>
        <x:v>0</x:v>
      </x:c>
      <x:c r="H27" s="65" t="n">
        <x:f>H26*(1+G27)</x:f>
        <x:v>1</x:v>
      </x:c>
      <x:c r="I27" s="47" t="n">
        <x:f>D27*H27</x:f>
        <x:v>0</x:v>
      </x:c>
      <x:c r="J27" s="67" t="n">
        <x:f>IF(C27&gt;0,I27*1000000/C27/Economy!Q27,0)</x:f>
        <x:v>0</x:v>
      </x:c>
      <x:c r="K27" s="62" t="n">
        <x:f>Gulf!B27</x:f>
        <x:v>0</x:v>
      </x:c>
      <x:c r="L27" s="47" t="n">
        <x:f>Gulf!B27*Gulf!C27*Economy!Q27/1000000</x:f>
        <x:v>0</x:v>
      </x:c>
      <x:c r="M27" s="68" t="n">
        <x:v>0</x:v>
      </x:c>
      <x:c r="N27" s="47" t="n">
        <x:f>IF(K27&gt;0,L27*1000000/K27,0)</x:f>
        <x:v>0</x:v>
      </x:c>
      <x:c r="O27" s="64" t="n">
        <x:f>IF(AND(M27&gt;0,N26&gt;0,B27&gt;0),MIN(conv_cap,conv_beta*1*M27*MAX(0,LN(B27/(N26*P26)))),0)</x:f>
        <x:v>0</x:v>
      </x:c>
      <x:c r="P27" s="65" t="n">
        <x:f>P26*(1+O27)</x:f>
        <x:v>1</x:v>
      </x:c>
      <x:c r="Q27" s="47" t="n">
        <x:f>L27*P27</x:f>
        <x:v>0</x:v>
      </x:c>
      <x:c r="R27" s="67" t="n">
        <x:f>IF(K27&gt;0,Q27*1000000/K27/Economy!Q27,0)</x:f>
        <x:v>0</x:v>
      </x:c>
      <x:c r="S27" s="62" t="n">
        <x:f>People!U27</x:f>
        <x:v>0</x:v>
      </x:c>
      <x:c r="T27" s="45" t="n">
        <x:v>0</x:v>
      </x:c>
      <x:c r="U27" s="68" t="n">
        <x:v>0</x:v>
      </x:c>
      <x:c r="V27" s="47" t="n">
        <x:f>IF(S27&gt;0,T27*1000000/S27,0)</x:f>
        <x:v>0</x:v>
      </x:c>
      <x:c r="W27" s="64" t="n">
        <x:f>IF(AND(U27&gt;0,V26&gt;0,B27&gt;0),MIN(conv_cap,conv_beta*1*U27*MAX(0,LN(B27/(V26*X26)))),0)</x:f>
        <x:v>0</x:v>
      </x:c>
      <x:c r="X27" s="65" t="n">
        <x:f>X26*(1+W27)</x:f>
        <x:v>1</x:v>
      </x:c>
      <x:c r="Y27" s="47" t="n">
        <x:f>T27*X27</x:f>
        <x:v>0</x:v>
      </x:c>
      <x:c r="Z27" s="67" t="n">
        <x:f>IF(S27&gt;0,Y27*1000000/S27/Economy!Q27,0)</x:f>
        <x:v>0</x:v>
      </x:c>
      <x:c r="AA27" s="45" t="n">
        <x:v>0</x:v>
      </x:c>
      <x:c r="AB27" s="45" t="n">
        <x:v>0</x:v>
      </x:c>
      <x:c r="AC27" s="68" t="n">
        <x:v>0</x:v>
      </x:c>
      <x:c r="AD27" s="47" t="n">
        <x:f>IF(AA27&gt;0,AB27*1000000/AA27,0)</x:f>
        <x:v>0</x:v>
      </x:c>
      <x:c r="AE27" s="64" t="n">
        <x:f>IF(AND(AC27&gt;0,AD26&gt;0,B27&gt;0),MIN(conv_cap,conv_beta*1*AC27*MAX(0,LN(B27/(AD26*AF26)))),0)</x:f>
        <x:v>0</x:v>
      </x:c>
      <x:c r="AF27" s="65" t="n">
        <x:f>AF26*(1+AE27)</x:f>
        <x:v>1</x:v>
      </x:c>
      <x:c r="AG27" s="47" t="n">
        <x:f>AB27*AF27</x:f>
        <x:v>0</x:v>
      </x:c>
      <x:c r="AH27" s="67" t="n">
        <x:f>IF(AA27&gt;0,AG27*1000000/AA27/Economy!Q27,0)</x:f>
        <x:v>0</x:v>
      </x:c>
      <x:c r="AI27" s="45" t="n">
        <x:v>355000000</x:v>
      </x:c>
      <x:c r="AJ27" s="45" t="n">
        <x:v>3425</x:v>
      </x:c>
      <x:c r="AK27" s="68" t="n">
        <x:v>0.06900000000000001</x:v>
      </x:c>
      <x:c r="AL27" s="47" t="n">
        <x:f>IF(AI27&gt;0,AJ27*1000000/AI27,0)</x:f>
        <x:v>9.647887323943662</x:v>
      </x:c>
      <x:c r="AM27" s="64" t="n">
        <x:f>IF(AND(AK27&gt;0,AL26&gt;0,B27&gt;0),MIN(conv_cap,conv_beta*1*AK27*MAX(0,LN(B27/(AL26*AN26)))),0)</x:f>
        <x:v>0.0023471698153177123</x:v>
      </x:c>
      <x:c r="AN27" s="65" t="n">
        <x:f>AN26*(1+AM27)</x:f>
        <x:v>1.0103669012170238</x:v>
      </x:c>
      <x:c r="AO27" s="47" t="n">
        <x:f>AJ27*AN27</x:f>
        <x:v>3460.5066366683063</x:v>
      </x:c>
      <x:c r="AP27" s="67" t="n">
        <x:f>IF(AI27&gt;0,AO27*1000000/AI27/Economy!Q27,0)</x:f>
        <x:v>0.0613075850237985</x:v>
      </x:c>
      <x:c r="AQ27" s="45" t="n">
        <x:v>0</x:v>
      </x:c>
      <x:c r="AR27" s="45" t="n">
        <x:v>0</x:v>
      </x:c>
      <x:c r="AS27" s="68" t="n">
        <x:v>0</x:v>
      </x:c>
      <x:c r="AT27" s="47" t="n">
        <x:f>IF(AQ27&gt;0,AR27*1000000/AQ27,0)</x:f>
        <x:v>0</x:v>
      </x:c>
      <x:c r="AU27" s="64" t="n">
        <x:f>IF(AND(AS27&gt;0,AT26&gt;0,B27&gt;0),MIN(conv_cap,conv_beta*1*AS27*MAX(0,LN(B27/(AT26*AV26)))),0)</x:f>
        <x:v>0</x:v>
      </x:c>
      <x:c r="AV27" s="65" t="n">
        <x:f>AV26*(1+AU27)</x:f>
        <x:v>1</x:v>
      </x:c>
      <x:c r="AW27" s="47" t="n">
        <x:f>AR27*AV27</x:f>
        <x:v>0</x:v>
      </x:c>
      <x:c r="AX27" s="67" t="n">
        <x:f>IF(AQ27&gt;0,AW27*1000000/AQ27/Economy!Q27,0)</x:f>
        <x:v>0</x:v>
      </x:c>
      <x:c r="AY27" s="45" t="n">
        <x:v>0</x:v>
      </x:c>
      <x:c r="AZ27" s="45" t="n">
        <x:v>0</x:v>
      </x:c>
      <x:c r="BA27" s="68" t="n">
        <x:v>0</x:v>
      </x:c>
      <x:c r="BB27" s="47" t="n">
        <x:f>IF(AY27&gt;0,AZ27*1000000/AY27,0)</x:f>
        <x:v>0</x:v>
      </x:c>
      <x:c r="BC27" s="64" t="n">
        <x:f>IF(AND(BA27&gt;0,BB26&gt;0,B27&gt;0),MIN(conv_cap,conv_beta*1*BA27*MAX(0,LN(B27/(BB26*BD26)))),0)</x:f>
        <x:v>0</x:v>
      </x:c>
      <x:c r="BD27" s="65" t="n">
        <x:f>BD26*(1+BC27)</x:f>
        <x:v>1</x:v>
      </x:c>
      <x:c r="BE27" s="47" t="n">
        <x:f>AZ27*BD27</x:f>
        <x:v>0</x:v>
      </x:c>
      <x:c r="BF27" s="67" t="n">
        <x:f>IF(AY27&gt;0,BE27*1000000/AY27/Economy!Q27,0)</x:f>
        <x:v>0</x:v>
      </x:c>
      <x:c r="BG27" s="45" t="n">
        <x:v>0</x:v>
      </x:c>
      <x:c r="BH27" s="45" t="n">
        <x:v>0</x:v>
      </x:c>
      <x:c r="BI27" s="68" t="n">
        <x:v>0</x:v>
      </x:c>
      <x:c r="BJ27" s="47" t="n">
        <x:f>IF(BG27&gt;0,BH27*1000000/BG27,0)</x:f>
        <x:v>0</x:v>
      </x:c>
      <x:c r="BK27" s="64" t="n">
        <x:f>IF(AND(BI27&gt;0,BJ26&gt;0,B27&gt;0),MIN(conv_cap,conv_beta*1*BI27*MAX(0,LN(B27/(BJ26*BL26)))),0)</x:f>
        <x:v>0</x:v>
      </x:c>
      <x:c r="BL27" s="65" t="n">
        <x:f>BL26*(1+BK27)</x:f>
        <x:v>1</x:v>
      </x:c>
      <x:c r="BM27" s="47" t="n">
        <x:f>BH27*BL27</x:f>
        <x:v>0</x:v>
      </x:c>
      <x:c r="BN27" s="67" t="n">
        <x:f>IF(BG27&gt;0,BM27*1000000/BG27/Economy!Q27,0)</x:f>
        <x:v>0</x:v>
      </x:c>
      <x:c r="BO27" s="45" t="n">
        <x:v>0</x:v>
      </x:c>
      <x:c r="BP27" s="45" t="n">
        <x:v>0</x:v>
      </x:c>
      <x:c r="BQ27" s="68" t="n">
        <x:v>0</x:v>
      </x:c>
      <x:c r="BR27" s="47" t="n">
        <x:f>IF(BO27&gt;0,BP27*1000000/BO27,0)</x:f>
        <x:v>0</x:v>
      </x:c>
      <x:c r="BS27" s="64" t="n">
        <x:f>IF(AND(BQ27&gt;0,BR26&gt;0,B27&gt;0),MIN(conv_cap,conv_beta*1*BQ27*MAX(0,LN(B27/(BR26*BT26)))),0)</x:f>
        <x:v>0</x:v>
      </x:c>
      <x:c r="BT27" s="65" t="n">
        <x:f>BT26*(1+BS27)</x:f>
        <x:v>1</x:v>
      </x:c>
      <x:c r="BU27" s="47" t="n">
        <x:f>BP27*BT27</x:f>
        <x:v>0</x:v>
      </x:c>
      <x:c r="BV27" s="67" t="n">
        <x:f>IF(BO27&gt;0,BU27*1000000/BO27/Economy!Q27,0)</x:f>
        <x:v>0</x:v>
      </x:c>
      <x:c r="BW27" s="65" t="n">
        <x:f>0.25*IF(D27&gt;0,H27,1)+0.15*IF(AJ27&gt;0,AN27,1)+0.03*IF(AR27&gt;0,AV27,1)+0.08*IF(AZ27&gt;0,BD27,1)+0.12*IF(BH27&gt;0,BL27,1)+0.1*IF(L27&gt;0,P27,1)+0.07*IF(T27&gt;0,X27,1)+0.05*IF(AB27&gt;0,AF27,1)+0.05*IF(BP27&gt;0,BT27,1)+0.1</x:f>
        <x:v>1.0015550351825537</x:v>
      </x:c>
      <x:c r="BX27" s="63" t="n">
        <x:f>MIN(mkt_cap,mkt_elast*MAX(0,BW27-1))</x:f>
        <x:v>0.0007775175912768661</x:v>
      </x:c>
      <x:c r="BY27" s="47" t="n">
        <x:f>I27+Q27+Y27+AG27</x:f>
        <x:v>0</x:v>
      </x:c>
      <x:c r="BZ27" s="47" t="n">
        <x:f>D27+L27+T27+AB27</x:f>
        <x:v>0</x:v>
      </x:c>
      <x:c r="CA27" s="65" t="n">
        <x:f>IF(BZ27&gt;0,BY27/BZ27,0)</x:f>
        <x:v>0</x:v>
      </x:c>
    </x:row>
    <x:row r="28">
      <x:c r="A28" s="58" t="n">
        <x:v>1868</x:v>
      </x:c>
      <x:c r="B28" s="47" t="n">
        <x:f>Economy!P27</x:f>
        <x:v>290.20474714418964</x:v>
      </x:c>
      <x:c r="C28" s="45" t="n">
        <x:v>34000000</x:v>
      </x:c>
      <x:c r="D28" s="62" t="n">
        <x:f>Japan!B28</x:f>
        <x:v>450</x:v>
      </x:c>
      <x:c r="E28" s="68" t="n">
        <x:v>0.3</x:v>
      </x:c>
      <x:c r="F28" s="47" t="n">
        <x:f>IF(C28&gt;0,D28*1000000/C28,0)</x:f>
        <x:v>13.235294117647058</x:v>
      </x:c>
      <x:c r="G28" s="64" t="n">
        <x:f>IF(AND(E28&gt;0,F27&gt;0,B28&gt;0),MIN(conv_cap,conv_beta*jp_uplift*E28*MAX(0,LN(B28/(F27*H27)))),0)</x:f>
        <x:v>0</x:v>
      </x:c>
      <x:c r="H28" s="65" t="n">
        <x:f>H27*(1+G28)</x:f>
        <x:v>1</x:v>
      </x:c>
      <x:c r="I28" s="47" t="n">
        <x:f>D28*H28</x:f>
        <x:v>450</x:v>
      </x:c>
      <x:c r="J28" s="67" t="n">
        <x:f>IF(C28&gt;0,I28*1000000/C28/Economy!Q28,0)</x:f>
        <x:v>0.0811981234211476</x:v>
      </x:c>
      <x:c r="K28" s="62" t="n">
        <x:f>Gulf!B28</x:f>
        <x:v>0</x:v>
      </x:c>
      <x:c r="L28" s="47" t="n">
        <x:f>Gulf!B28*Gulf!C28*Economy!Q28/1000000</x:f>
        <x:v>0</x:v>
      </x:c>
      <x:c r="M28" s="68" t="n">
        <x:v>0</x:v>
      </x:c>
      <x:c r="N28" s="47" t="n">
        <x:f>IF(K28&gt;0,L28*1000000/K28,0)</x:f>
        <x:v>0</x:v>
      </x:c>
      <x:c r="O28" s="64" t="n">
        <x:f>IF(AND(M28&gt;0,N27&gt;0,B28&gt;0),MIN(conv_cap,conv_beta*1*M28*MAX(0,LN(B28/(N27*P27)))),0)</x:f>
        <x:v>0</x:v>
      </x:c>
      <x:c r="P28" s="65" t="n">
        <x:f>P27*(1+O28)</x:f>
        <x:v>1</x:v>
      </x:c>
      <x:c r="Q28" s="47" t="n">
        <x:f>L28*P28</x:f>
        <x:v>0</x:v>
      </x:c>
      <x:c r="R28" s="67" t="n">
        <x:f>IF(K28&gt;0,Q28*1000000/K28/Economy!Q28,0)</x:f>
        <x:v>0</x:v>
      </x:c>
      <x:c r="S28" s="62" t="n">
        <x:f>People!U28</x:f>
        <x:v>0</x:v>
      </x:c>
      <x:c r="T28" s="45" t="n">
        <x:v>0</x:v>
      </x:c>
      <x:c r="U28" s="68" t="n">
        <x:v>0</x:v>
      </x:c>
      <x:c r="V28" s="47" t="n">
        <x:f>IF(S28&gt;0,T28*1000000/S28,0)</x:f>
        <x:v>0</x:v>
      </x:c>
      <x:c r="W28" s="64" t="n">
        <x:f>IF(AND(U28&gt;0,V27&gt;0,B28&gt;0),MIN(conv_cap,conv_beta*1*U28*MAX(0,LN(B28/(V27*X27)))),0)</x:f>
        <x:v>0</x:v>
      </x:c>
      <x:c r="X28" s="65" t="n">
        <x:f>X27*(1+W28)</x:f>
        <x:v>1</x:v>
      </x:c>
      <x:c r="Y28" s="47" t="n">
        <x:f>T28*X28</x:f>
        <x:v>0</x:v>
      </x:c>
      <x:c r="Z28" s="67" t="n">
        <x:f>IF(S28&gt;0,Y28*1000000/S28/Economy!Q28,0)</x:f>
        <x:v>0</x:v>
      </x:c>
      <x:c r="AA28" s="45" t="n">
        <x:v>0</x:v>
      </x:c>
      <x:c r="AB28" s="45" t="n">
        <x:v>0</x:v>
      </x:c>
      <x:c r="AC28" s="68" t="n">
        <x:v>0</x:v>
      </x:c>
      <x:c r="AD28" s="47" t="n">
        <x:f>IF(AA28&gt;0,AB28*1000000/AA28,0)</x:f>
        <x:v>0</x:v>
      </x:c>
      <x:c r="AE28" s="64" t="n">
        <x:f>IF(AND(AC28&gt;0,AD27&gt;0,B28&gt;0),MIN(conv_cap,conv_beta*1*AC28*MAX(0,LN(B28/(AD27*AF27)))),0)</x:f>
        <x:v>0</x:v>
      </x:c>
      <x:c r="AF28" s="65" t="n">
        <x:f>AF27*(1+AE28)</x:f>
        <x:v>1</x:v>
      </x:c>
      <x:c r="AG28" s="47" t="n">
        <x:f>AB28*AF28</x:f>
        <x:v>0</x:v>
      </x:c>
      <x:c r="AH28" s="67" t="n">
        <x:f>IF(AA28&gt;0,AG28*1000000/AA28/Economy!Q28,0)</x:f>
        <x:v>0</x:v>
      </x:c>
      <x:c r="AI28" s="45" t="n">
        <x:v>356000000</x:v>
      </x:c>
      <x:c r="AJ28" s="45" t="n">
        <x:v>3450</x:v>
      </x:c>
      <x:c r="AK28" s="68" t="n">
        <x:v>0.073</x:v>
      </x:c>
      <x:c r="AL28" s="47" t="n">
        <x:f>IF(AI28&gt;0,AJ28*1000000/AI28,0)</x:f>
        <x:v>9.691011235955056</x:v>
      </x:c>
      <x:c r="AM28" s="64" t="n">
        <x:f>IF(AND(AK28&gt;0,AL27&gt;0,B28&gt;0),MIN(conv_cap,conv_beta*1*AK28*MAX(0,LN(B28/(AL27*AN27)))),0)</x:f>
        <x:v>0.002477279968816169</x:v>
      </x:c>
      <x:c r="AN28" s="65" t="n">
        <x:f>AN27*(1+AM28)</x:f>
        <x:v>1.0128698629025636</x:v>
      </x:c>
      <x:c r="AO28" s="47" t="n">
        <x:f>AJ28*AN28</x:f>
        <x:v>3494.4010270138447</x:v>
      </x:c>
      <x:c r="AP28" s="67" t="n">
        <x:f>IF(AI28&gt;0,AO28*1000000/AI28/Economy!Q28,0)</x:f>
        <x:v>0.06021922222054602</x:v>
      </x:c>
      <x:c r="AQ28" s="45" t="n">
        <x:v>0</x:v>
      </x:c>
      <x:c r="AR28" s="45" t="n">
        <x:v>0</x:v>
      </x:c>
      <x:c r="AS28" s="68" t="n">
        <x:v>0</x:v>
      </x:c>
      <x:c r="AT28" s="47" t="n">
        <x:f>IF(AQ28&gt;0,AR28*1000000/AQ28,0)</x:f>
        <x:v>0</x:v>
      </x:c>
      <x:c r="AU28" s="64" t="n">
        <x:f>IF(AND(AS28&gt;0,AT27&gt;0,B28&gt;0),MIN(conv_cap,conv_beta*1*AS28*MAX(0,LN(B28/(AT27*AV27)))),0)</x:f>
        <x:v>0</x:v>
      </x:c>
      <x:c r="AV28" s="65" t="n">
        <x:f>AV27*(1+AU28)</x:f>
        <x:v>1</x:v>
      </x:c>
      <x:c r="AW28" s="47" t="n">
        <x:f>AR28*AV28</x:f>
        <x:v>0</x:v>
      </x:c>
      <x:c r="AX28" s="67" t="n">
        <x:f>IF(AQ28&gt;0,AW28*1000000/AQ28/Economy!Q28,0)</x:f>
        <x:v>0</x:v>
      </x:c>
      <x:c r="AY28" s="45" t="n">
        <x:v>0</x:v>
      </x:c>
      <x:c r="AZ28" s="45" t="n">
        <x:v>0</x:v>
      </x:c>
      <x:c r="BA28" s="68" t="n">
        <x:v>0</x:v>
      </x:c>
      <x:c r="BB28" s="47" t="n">
        <x:f>IF(AY28&gt;0,AZ28*1000000/AY28,0)</x:f>
        <x:v>0</x:v>
      </x:c>
      <x:c r="BC28" s="64" t="n">
        <x:f>IF(AND(BA28&gt;0,BB27&gt;0,B28&gt;0),MIN(conv_cap,conv_beta*1*BA28*MAX(0,LN(B28/(BB27*BD27)))),0)</x:f>
        <x:v>0</x:v>
      </x:c>
      <x:c r="BD28" s="65" t="n">
        <x:f>BD27*(1+BC28)</x:f>
        <x:v>1</x:v>
      </x:c>
      <x:c r="BE28" s="47" t="n">
        <x:f>AZ28*BD28</x:f>
        <x:v>0</x:v>
      </x:c>
      <x:c r="BF28" s="67" t="n">
        <x:f>IF(AY28&gt;0,BE28*1000000/AY28/Economy!Q28,0)</x:f>
        <x:v>0</x:v>
      </x:c>
      <x:c r="BG28" s="45" t="n">
        <x:v>0</x:v>
      </x:c>
      <x:c r="BH28" s="45" t="n">
        <x:v>0</x:v>
      </x:c>
      <x:c r="BI28" s="68" t="n">
        <x:v>0</x:v>
      </x:c>
      <x:c r="BJ28" s="47" t="n">
        <x:f>IF(BG28&gt;0,BH28*1000000/BG28,0)</x:f>
        <x:v>0</x:v>
      </x:c>
      <x:c r="BK28" s="64" t="n">
        <x:f>IF(AND(BI28&gt;0,BJ27&gt;0,B28&gt;0),MIN(conv_cap,conv_beta*1*BI28*MAX(0,LN(B28/(BJ27*BL27)))),0)</x:f>
        <x:v>0</x:v>
      </x:c>
      <x:c r="BL28" s="65" t="n">
        <x:f>BL27*(1+BK28)</x:f>
        <x:v>1</x:v>
      </x:c>
      <x:c r="BM28" s="47" t="n">
        <x:f>BH28*BL28</x:f>
        <x:v>0</x:v>
      </x:c>
      <x:c r="BN28" s="67" t="n">
        <x:f>IF(BG28&gt;0,BM28*1000000/BG28/Economy!Q28,0)</x:f>
        <x:v>0</x:v>
      </x:c>
      <x:c r="BO28" s="45" t="n">
        <x:v>0</x:v>
      </x:c>
      <x:c r="BP28" s="45" t="n">
        <x:v>0</x:v>
      </x:c>
      <x:c r="BQ28" s="68" t="n">
        <x:v>0</x:v>
      </x:c>
      <x:c r="BR28" s="47" t="n">
        <x:f>IF(BO28&gt;0,BP28*1000000/BO28,0)</x:f>
        <x:v>0</x:v>
      </x:c>
      <x:c r="BS28" s="64" t="n">
        <x:f>IF(AND(BQ28&gt;0,BR27&gt;0,B28&gt;0),MIN(conv_cap,conv_beta*1*BQ28*MAX(0,LN(B28/(BR27*BT27)))),0)</x:f>
        <x:v>0</x:v>
      </x:c>
      <x:c r="BT28" s="65" t="n">
        <x:f>BT27*(1+BS28)</x:f>
        <x:v>1</x:v>
      </x:c>
      <x:c r="BU28" s="47" t="n">
        <x:f>BP28*BT28</x:f>
        <x:v>0</x:v>
      </x:c>
      <x:c r="BV28" s="67" t="n">
        <x:f>IF(BO28&gt;0,BU28*1000000/BO28/Economy!Q28,0)</x:f>
        <x:v>0</x:v>
      </x:c>
      <x:c r="BW28" s="65" t="n">
        <x:f>0.25*IF(D28&gt;0,H28,1)+0.15*IF(AJ28&gt;0,AN28,1)+0.03*IF(AR28&gt;0,AV28,1)+0.08*IF(AZ28&gt;0,BD28,1)+0.12*IF(BH28&gt;0,BL28,1)+0.1*IF(L28&gt;0,P28,1)+0.07*IF(T28&gt;0,X28,1)+0.05*IF(AB28&gt;0,AF28,1)+0.05*IF(BP28&gt;0,BT28,1)+0.1</x:f>
        <x:v>1.0019304794353847</x:v>
      </x:c>
      <x:c r="BX28" s="63" t="n">
        <x:f>MIN(mkt_cap,mkt_elast*MAX(0,BW28-1))</x:f>
        <x:v>0.0009652397176923566</x:v>
      </x:c>
      <x:c r="BY28" s="47" t="n">
        <x:f>I28+Q28+Y28+AG28</x:f>
        <x:v>450</x:v>
      </x:c>
      <x:c r="BZ28" s="47" t="n">
        <x:f>D28+L28+T28+AB28</x:f>
        <x:v>450</x:v>
      </x:c>
      <x:c r="CA28" s="65" t="n">
        <x:f>IF(BZ28&gt;0,BY28/BZ28,0)</x:f>
        <x:v>1</x:v>
      </x:c>
    </x:row>
    <x:row r="29">
      <x:c r="A29" s="58" t="n">
        <x:v>1869</x:v>
      </x:c>
      <x:c r="B29" s="47" t="n">
        <x:f>Economy!P28</x:f>
        <x:v>290.5388937860643</x:v>
      </x:c>
      <x:c r="C29" s="45" t="n">
        <x:v>34400000</x:v>
      </x:c>
      <x:c r="D29" s="62" t="n">
        <x:f>Japan!B29</x:f>
        <x:v>457</x:v>
      </x:c>
      <x:c r="E29" s="68" t="n">
        <x:v>0.308</x:v>
      </x:c>
      <x:c r="F29" s="47" t="n">
        <x:f>IF(C29&gt;0,D29*1000000/C29,0)</x:f>
        <x:v>13.284883720930232</x:v>
      </x:c>
      <x:c r="G29" s="64" t="n">
        <x:f>IF(AND(E29&gt;0,F28&gt;0,B29&gt;0),MIN(conv_cap,conv_beta*jp_uplift*E29*MAX(0,LN(B29/(F28*H28)))),0)</x:f>
        <x:v>0.009513659216132427</x:v>
      </x:c>
      <x:c r="H29" s="65" t="n">
        <x:f>H28*(1+G29)</x:f>
        <x:v>1.0095136592161325</x:v>
      </x:c>
      <x:c r="I29" s="47" t="n">
        <x:f>D29*H29</x:f>
        <x:v>461.3477422617725</x:v>
      </x:c>
      <x:c r="J29" s="67" t="n">
        <x:f>IF(C29&gt;0,I29*1000000/C29/Economy!Q29,0)</x:f>
        <x:v>0.07982899748438754</x:v>
      </x:c>
      <x:c r="K29" s="62" t="n">
        <x:f>Gulf!B29</x:f>
        <x:v>0</x:v>
      </x:c>
      <x:c r="L29" s="47" t="n">
        <x:f>Gulf!B29*Gulf!C29*Economy!Q29/1000000</x:f>
        <x:v>0</x:v>
      </x:c>
      <x:c r="M29" s="68" t="n">
        <x:v>0</x:v>
      </x:c>
      <x:c r="N29" s="47" t="n">
        <x:f>IF(K29&gt;0,L29*1000000/K29,0)</x:f>
        <x:v>0</x:v>
      </x:c>
      <x:c r="O29" s="64" t="n">
        <x:f>IF(AND(M29&gt;0,N28&gt;0,B29&gt;0),MIN(conv_cap,conv_beta*1*M29*MAX(0,LN(B29/(N28*P28)))),0)</x:f>
        <x:v>0</x:v>
      </x:c>
      <x:c r="P29" s="65" t="n">
        <x:f>P28*(1+O29)</x:f>
        <x:v>1</x:v>
      </x:c>
      <x:c r="Q29" s="47" t="n">
        <x:f>L29*P29</x:f>
        <x:v>0</x:v>
      </x:c>
      <x:c r="R29" s="67" t="n">
        <x:f>IF(K29&gt;0,Q29*1000000/K29/Economy!Q29,0)</x:f>
        <x:v>0</x:v>
      </x:c>
      <x:c r="S29" s="62" t="n">
        <x:f>People!U29</x:f>
        <x:v>0</x:v>
      </x:c>
      <x:c r="T29" s="45" t="n">
        <x:v>0</x:v>
      </x:c>
      <x:c r="U29" s="68" t="n">
        <x:v>0</x:v>
      </x:c>
      <x:c r="V29" s="47" t="n">
        <x:f>IF(S29&gt;0,T29*1000000/S29,0)</x:f>
        <x:v>0</x:v>
      </x:c>
      <x:c r="W29" s="64" t="n">
        <x:f>IF(AND(U29&gt;0,V28&gt;0,B29&gt;0),MIN(conv_cap,conv_beta*1*U29*MAX(0,LN(B29/(V28*X28)))),0)</x:f>
        <x:v>0</x:v>
      </x:c>
      <x:c r="X29" s="65" t="n">
        <x:f>X28*(1+W29)</x:f>
        <x:v>1</x:v>
      </x:c>
      <x:c r="Y29" s="47" t="n">
        <x:f>T29*X29</x:f>
        <x:v>0</x:v>
      </x:c>
      <x:c r="Z29" s="67" t="n">
        <x:f>IF(S29&gt;0,Y29*1000000/S29/Economy!Q29,0)</x:f>
        <x:v>0</x:v>
      </x:c>
      <x:c r="AA29" s="45" t="n">
        <x:v>0</x:v>
      </x:c>
      <x:c r="AB29" s="45" t="n">
        <x:v>0</x:v>
      </x:c>
      <x:c r="AC29" s="68" t="n">
        <x:v>0</x:v>
      </x:c>
      <x:c r="AD29" s="47" t="n">
        <x:f>IF(AA29&gt;0,AB29*1000000/AA29,0)</x:f>
        <x:v>0</x:v>
      </x:c>
      <x:c r="AE29" s="64" t="n">
        <x:f>IF(AND(AC29&gt;0,AD28&gt;0,B29&gt;0),MIN(conv_cap,conv_beta*1*AC29*MAX(0,LN(B29/(AD28*AF28)))),0)</x:f>
        <x:v>0</x:v>
      </x:c>
      <x:c r="AF29" s="65" t="n">
        <x:f>AF28*(1+AE29)</x:f>
        <x:v>1</x:v>
      </x:c>
      <x:c r="AG29" s="47" t="n">
        <x:f>AB29*AF29</x:f>
        <x:v>0</x:v>
      </x:c>
      <x:c r="AH29" s="67" t="n">
        <x:f>IF(AA29&gt;0,AG29*1000000/AA29/Economy!Q29,0)</x:f>
        <x:v>0</x:v>
      </x:c>
      <x:c r="AI29" s="45" t="n">
        <x:v>357000000</x:v>
      </x:c>
      <x:c r="AJ29" s="45" t="n">
        <x:v>3475</x:v>
      </x:c>
      <x:c r="AK29" s="68" t="n">
        <x:v>0.077</x:v>
      </x:c>
      <x:c r="AL29" s="47" t="n">
        <x:f>IF(AI29&gt;0,AJ29*1000000/AI29,0)</x:f>
        <x:v>9.733893557422968</x:v>
      </x:c>
      <x:c r="AM29" s="64" t="n">
        <x:f>IF(AND(AK29&gt;0,AL28&gt;0,B29&gt;0),MIN(conv_cap,conv_beta*1*AK29*MAX(0,LN(B29/(AL28*AN28)))),0)</x:f>
        <x:v>0.0026085682113530773</x:v>
      </x:c>
      <x:c r="AN29" s="65" t="n">
        <x:f>AN28*(1+AM29)</x:f>
        <x:v>1.0155120030291687</x:v>
      </x:c>
      <x:c r="AO29" s="47" t="n">
        <x:f>AJ29*AN29</x:f>
        <x:v>3528.904210526361</x:v>
      </x:c>
      <x:c r="AP29" s="67" t="n">
        <x:f>IF(AI29&gt;0,AO29*1000000/AI29/Economy!Q29,0)</x:f>
        <x:v>0.058838605617686425</x:v>
      </x:c>
      <x:c r="AQ29" s="45" t="n">
        <x:v>0</x:v>
      </x:c>
      <x:c r="AR29" s="45" t="n">
        <x:v>0</x:v>
      </x:c>
      <x:c r="AS29" s="68" t="n">
        <x:v>0</x:v>
      </x:c>
      <x:c r="AT29" s="47" t="n">
        <x:f>IF(AQ29&gt;0,AR29*1000000/AQ29,0)</x:f>
        <x:v>0</x:v>
      </x:c>
      <x:c r="AU29" s="64" t="n">
        <x:f>IF(AND(AS29&gt;0,AT28&gt;0,B29&gt;0),MIN(conv_cap,conv_beta*1*AS29*MAX(0,LN(B29/(AT28*AV28)))),0)</x:f>
        <x:v>0</x:v>
      </x:c>
      <x:c r="AV29" s="65" t="n">
        <x:f>AV28*(1+AU29)</x:f>
        <x:v>1</x:v>
      </x:c>
      <x:c r="AW29" s="47" t="n">
        <x:f>AR29*AV29</x:f>
        <x:v>0</x:v>
      </x:c>
      <x:c r="AX29" s="67" t="n">
        <x:f>IF(AQ29&gt;0,AW29*1000000/AQ29/Economy!Q29,0)</x:f>
        <x:v>0</x:v>
      </x:c>
      <x:c r="AY29" s="45" t="n">
        <x:v>0</x:v>
      </x:c>
      <x:c r="AZ29" s="45" t="n">
        <x:v>0</x:v>
      </x:c>
      <x:c r="BA29" s="68" t="n">
        <x:v>0</x:v>
      </x:c>
      <x:c r="BB29" s="47" t="n">
        <x:f>IF(AY29&gt;0,AZ29*1000000/AY29,0)</x:f>
        <x:v>0</x:v>
      </x:c>
      <x:c r="BC29" s="64" t="n">
        <x:f>IF(AND(BA29&gt;0,BB28&gt;0,B29&gt;0),MIN(conv_cap,conv_beta*1*BA29*MAX(0,LN(B29/(BB28*BD28)))),0)</x:f>
        <x:v>0</x:v>
      </x:c>
      <x:c r="BD29" s="65" t="n">
        <x:f>BD28*(1+BC29)</x:f>
        <x:v>1</x:v>
      </x:c>
      <x:c r="BE29" s="47" t="n">
        <x:f>AZ29*BD29</x:f>
        <x:v>0</x:v>
      </x:c>
      <x:c r="BF29" s="67" t="n">
        <x:f>IF(AY29&gt;0,BE29*1000000/AY29/Economy!Q29,0)</x:f>
        <x:v>0</x:v>
      </x:c>
      <x:c r="BG29" s="45" t="n">
        <x:v>0</x:v>
      </x:c>
      <x:c r="BH29" s="45" t="n">
        <x:v>0</x:v>
      </x:c>
      <x:c r="BI29" s="68" t="n">
        <x:v>0</x:v>
      </x:c>
      <x:c r="BJ29" s="47" t="n">
        <x:f>IF(BG29&gt;0,BH29*1000000/BG29,0)</x:f>
        <x:v>0</x:v>
      </x:c>
      <x:c r="BK29" s="64" t="n">
        <x:f>IF(AND(BI29&gt;0,BJ28&gt;0,B29&gt;0),MIN(conv_cap,conv_beta*1*BI29*MAX(0,LN(B29/(BJ28*BL28)))),0)</x:f>
        <x:v>0</x:v>
      </x:c>
      <x:c r="BL29" s="65" t="n">
        <x:f>BL28*(1+BK29)</x:f>
        <x:v>1</x:v>
      </x:c>
      <x:c r="BM29" s="47" t="n">
        <x:f>BH29*BL29</x:f>
        <x:v>0</x:v>
      </x:c>
      <x:c r="BN29" s="67" t="n">
        <x:f>IF(BG29&gt;0,BM29*1000000/BG29/Economy!Q29,0)</x:f>
        <x:v>0</x:v>
      </x:c>
      <x:c r="BO29" s="45" t="n">
        <x:v>0</x:v>
      </x:c>
      <x:c r="BP29" s="45" t="n">
        <x:v>0</x:v>
      </x:c>
      <x:c r="BQ29" s="68" t="n">
        <x:v>0</x:v>
      </x:c>
      <x:c r="BR29" s="47" t="n">
        <x:f>IF(BO29&gt;0,BP29*1000000/BO29,0)</x:f>
        <x:v>0</x:v>
      </x:c>
      <x:c r="BS29" s="64" t="n">
        <x:f>IF(AND(BQ29&gt;0,BR28&gt;0,B29&gt;0),MIN(conv_cap,conv_beta*1*BQ29*MAX(0,LN(B29/(BR28*BT28)))),0)</x:f>
        <x:v>0</x:v>
      </x:c>
      <x:c r="BT29" s="65" t="n">
        <x:f>BT28*(1+BS29)</x:f>
        <x:v>1</x:v>
      </x:c>
      <x:c r="BU29" s="47" t="n">
        <x:f>BP29*BT29</x:f>
        <x:v>0</x:v>
      </x:c>
      <x:c r="BV29" s="67" t="n">
        <x:f>IF(BO29&gt;0,BU29*1000000/BO29/Economy!Q29,0)</x:f>
        <x:v>0</x:v>
      </x:c>
      <x:c r="BW29" s="65" t="n">
        <x:f>0.25*IF(D29&gt;0,H29,1)+0.15*IF(AJ29&gt;0,AN29,1)+0.03*IF(AR29&gt;0,AV29,1)+0.08*IF(AZ29&gt;0,BD29,1)+0.12*IF(BH29&gt;0,BL29,1)+0.1*IF(L29&gt;0,P29,1)+0.07*IF(T29&gt;0,X29,1)+0.05*IF(AB29&gt;0,AF29,1)+0.05*IF(BP29&gt;0,BT29,1)+0.1</x:f>
        <x:v>1.0047052152584086</x:v>
      </x:c>
      <x:c r="BX29" s="63" t="n">
        <x:f>MIN(mkt_cap,mkt_elast*MAX(0,BW29-1))</x:f>
        <x:v>0.0023526076292043063</x:v>
      </x:c>
      <x:c r="BY29" s="47" t="n">
        <x:f>I29+Q29+Y29+AG29</x:f>
        <x:v>461.3477422617725</x:v>
      </x:c>
      <x:c r="BZ29" s="47" t="n">
        <x:f>D29+L29+T29+AB29</x:f>
        <x:v>457</x:v>
      </x:c>
      <x:c r="CA29" s="65" t="n">
        <x:f>IF(BZ29&gt;0,BY29/BZ29,0)</x:f>
        <x:v>1.0095136592161325</x:v>
      </x:c>
    </x:row>
    <x:row r="30">
      <x:c r="A30" s="61" t="n">
        <x:v>1870</x:v>
      </x:c>
      <x:c r="B30" s="47" t="n">
        <x:f>Economy!P29</x:f>
        <x:v>294.47339153957756</x:v>
      </x:c>
      <x:c r="C30" s="45" t="n">
        <x:v>34800000</x:v>
      </x:c>
      <x:c r="D30" s="62" t="n">
        <x:f>Japan!B30</x:f>
        <x:v>464</x:v>
      </x:c>
      <x:c r="E30" s="68" t="n">
        <x:v>0.317</x:v>
      </x:c>
      <x:c r="F30" s="47" t="n">
        <x:f>IF(C30&gt;0,D30*1000000/C30,0)</x:f>
        <x:v>13.333333333333334</x:v>
      </x:c>
      <x:c r="G30" s="64" t="n">
        <x:f>IF(AND(E30&gt;0,F29&gt;0,B30&gt;0),MIN(conv_cap,conv_beta*jp_uplift*E30*MAX(0,LN(B30/(F29*H29)))),0)</x:f>
        <x:v>0.009792425227908044</x:v>
      </x:c>
      <x:c r="H30" s="65" t="n">
        <x:f>H29*(1+G30)</x:f>
        <x:v>1.0193992462405583</x:v>
      </x:c>
      <x:c r="I30" s="47" t="n">
        <x:f>D30*H30</x:f>
        <x:v>473.0012502556191</x:v>
      </x:c>
      <x:c r="J30" s="67" t="n">
        <x:f>IF(C30&gt;0,I30*1000000/C30/Economy!Q30,0)</x:f>
        <x:v>0.07902319738298902</x:v>
      </x:c>
      <x:c r="K30" s="62" t="n">
        <x:f>Gulf!B30</x:f>
        <x:v>0</x:v>
      </x:c>
      <x:c r="L30" s="47" t="n">
        <x:f>Gulf!B30*Gulf!C30*Economy!Q30/1000000</x:f>
        <x:v>0</x:v>
      </x:c>
      <x:c r="M30" s="68" t="n">
        <x:v>0</x:v>
      </x:c>
      <x:c r="N30" s="47" t="n">
        <x:f>IF(K30&gt;0,L30*1000000/K30,0)</x:f>
        <x:v>0</x:v>
      </x:c>
      <x:c r="O30" s="64" t="n">
        <x:f>IF(AND(M30&gt;0,N29&gt;0,B30&gt;0),MIN(conv_cap,conv_beta*1*M30*MAX(0,LN(B30/(N29*P29)))),0)</x:f>
        <x:v>0</x:v>
      </x:c>
      <x:c r="P30" s="65" t="n">
        <x:f>P29*(1+O30)</x:f>
        <x:v>1</x:v>
      </x:c>
      <x:c r="Q30" s="47" t="n">
        <x:f>L30*P30</x:f>
        <x:v>0</x:v>
      </x:c>
      <x:c r="R30" s="67" t="n">
        <x:f>IF(K30&gt;0,Q30*1000000/K30/Economy!Q30,0)</x:f>
        <x:v>0</x:v>
      </x:c>
      <x:c r="S30" s="62" t="n">
        <x:f>People!U30</x:f>
        <x:v>0</x:v>
      </x:c>
      <x:c r="T30" s="45" t="n">
        <x:v>0</x:v>
      </x:c>
      <x:c r="U30" s="68" t="n">
        <x:v>0</x:v>
      </x:c>
      <x:c r="V30" s="47" t="n">
        <x:f>IF(S30&gt;0,T30*1000000/S30,0)</x:f>
        <x:v>0</x:v>
      </x:c>
      <x:c r="W30" s="64" t="n">
        <x:f>IF(AND(U30&gt;0,V29&gt;0,B30&gt;0),MIN(conv_cap,conv_beta*1*U30*MAX(0,LN(B30/(V29*X29)))),0)</x:f>
        <x:v>0</x:v>
      </x:c>
      <x:c r="X30" s="65" t="n">
        <x:f>X29*(1+W30)</x:f>
        <x:v>1</x:v>
      </x:c>
      <x:c r="Y30" s="47" t="n">
        <x:f>T30*X30</x:f>
        <x:v>0</x:v>
      </x:c>
      <x:c r="Z30" s="67" t="n">
        <x:f>IF(S30&gt;0,Y30*1000000/S30/Economy!Q30,0)</x:f>
        <x:v>0</x:v>
      </x:c>
      <x:c r="AA30" s="45" t="n">
        <x:v>0</x:v>
      </x:c>
      <x:c r="AB30" s="45" t="n">
        <x:v>0</x:v>
      </x:c>
      <x:c r="AC30" s="68" t="n">
        <x:v>0</x:v>
      </x:c>
      <x:c r="AD30" s="47" t="n">
        <x:f>IF(AA30&gt;0,AB30*1000000/AA30,0)</x:f>
        <x:v>0</x:v>
      </x:c>
      <x:c r="AE30" s="64" t="n">
        <x:f>IF(AND(AC30&gt;0,AD29&gt;0,B30&gt;0),MIN(conv_cap,conv_beta*1*AC30*MAX(0,LN(B30/(AD29*AF29)))),0)</x:f>
        <x:v>0</x:v>
      </x:c>
      <x:c r="AF30" s="65" t="n">
        <x:f>AF29*(1+AE30)</x:f>
        <x:v>1</x:v>
      </x:c>
      <x:c r="AG30" s="47" t="n">
        <x:f>AB30*AF30</x:f>
        <x:v>0</x:v>
      </x:c>
      <x:c r="AH30" s="67" t="n">
        <x:f>IF(AA30&gt;0,AG30*1000000/AA30/Economy!Q30,0)</x:f>
        <x:v>0</x:v>
      </x:c>
      <x:c r="AI30" s="45" t="n">
        <x:v>358000000</x:v>
      </x:c>
      <x:c r="AJ30" s="45" t="n">
        <x:v>3500</x:v>
      </x:c>
      <x:c r="AK30" s="68" t="n">
        <x:v>0.081</x:v>
      </x:c>
      <x:c r="AL30" s="47" t="n">
        <x:f>IF(AI30&gt;0,AJ30*1000000/AI30,0)</x:f>
        <x:v>9.776536312849162</x:v>
      </x:c>
      <x:c r="AM30" s="64" t="n">
        <x:f>IF(AND(AK30&gt;0,AL29&gt;0,B30&gt;0),MIN(conv_cap,conv_beta*1*AK30*MAX(0,LN(B30/(AL29*AN29)))),0)</x:f>
        <x:v>0.0027492872172499936</x:v>
      </x:c>
      <x:c r="AN30" s="65" t="n">
        <x:f>AN29*(1+AM30)</x:f>
        <x:v>1.018303937198061</x:v>
      </x:c>
      <x:c r="AO30" s="47" t="n">
        <x:f>AJ30*AN30</x:f>
        <x:v>3564.063780193213</x:v>
      </x:c>
      <x:c r="AP30" s="67" t="n">
        <x:f>IF(AI30&gt;0,AO30*1000000/AI30/Economy!Q30,0)</x:f>
        <x:v>0.05788072918333788</x:v>
      </x:c>
      <x:c r="AQ30" s="45" t="n">
        <x:v>10000000</x:v>
      </x:c>
      <x:c r="AR30" s="45" t="n">
        <x:v>150</x:v>
      </x:c>
      <x:c r="AS30" s="68" t="n">
        <x:v>0</x:v>
      </x:c>
      <x:c r="AT30" s="47" t="n">
        <x:f>IF(AQ30&gt;0,AR30*1000000/AQ30,0)</x:f>
        <x:v>15</x:v>
      </x:c>
      <x:c r="AU30" s="64" t="n">
        <x:f>IF(AND(AS30&gt;0,AT29&gt;0,B30&gt;0),MIN(conv_cap,conv_beta*1*AS30*MAX(0,LN(B30/(AT29*AV29)))),0)</x:f>
        <x:v>0</x:v>
      </x:c>
      <x:c r="AV30" s="65" t="n">
        <x:f>AV29*(1+AU30)</x:f>
        <x:v>1</x:v>
      </x:c>
      <x:c r="AW30" s="47" t="n">
        <x:f>AR30*AV30</x:f>
        <x:v>150</x:v>
      </x:c>
      <x:c r="AX30" s="67" t="n">
        <x:f>IF(AQ30&gt;0,AW30*1000000/AQ30/Economy!Q30,0)</x:f>
        <x:v>0.0872093023255814</x:v>
      </x:c>
      <x:c r="AY30" s="45" t="n">
        <x:v>50000000</x:v>
      </x:c>
      <x:c r="AZ30" s="45" t="n">
        <x:v>900</x:v>
      </x:c>
      <x:c r="BA30" s="68" t="n">
        <x:v>0</x:v>
      </x:c>
      <x:c r="BB30" s="47" t="n">
        <x:f>IF(AY30&gt;0,AZ30*1000000/AY30,0)</x:f>
        <x:v>18</x:v>
      </x:c>
      <x:c r="BC30" s="64" t="n">
        <x:f>IF(AND(BA30&gt;0,BB29&gt;0,B30&gt;0),MIN(conv_cap,conv_beta*1*BA30*MAX(0,LN(B30/(BB29*BD29)))),0)</x:f>
        <x:v>0</x:v>
      </x:c>
      <x:c r="BD30" s="65" t="n">
        <x:f>BD29*(1+BC30)</x:f>
        <x:v>1</x:v>
      </x:c>
      <x:c r="BE30" s="47" t="n">
        <x:f>AZ30*BD30</x:f>
        <x:v>900</x:v>
      </x:c>
      <x:c r="BF30" s="67" t="n">
        <x:f>IF(AY30&gt;0,BE30*1000000/AY30/Economy!Q30,0)</x:f>
        <x:v>0.10465116279069768</x:v>
      </x:c>
      <x:c r="BG30" s="45" t="n">
        <x:v>22000000</x:v>
      </x:c>
      <x:c r="BH30" s="45" t="n">
        <x:v>1000</x:v>
      </x:c>
      <x:c r="BI30" s="68" t="n">
        <x:v>0.05</x:v>
      </x:c>
      <x:c r="BJ30" s="47" t="n">
        <x:f>IF(BG30&gt;0,BH30*1000000/BG30,0)</x:f>
        <x:v>45.45454545454545</x:v>
      </x:c>
      <x:c r="BK30" s="64" t="n">
        <x:f>IF(AND(BI30&gt;0,BJ29&gt;0,B30&gt;0),MIN(conv_cap,conv_beta*1*BI30*MAX(0,LN(B30/(BJ29*BL29)))),0)</x:f>
        <x:v>0</x:v>
      </x:c>
      <x:c r="BL30" s="65" t="n">
        <x:f>BL29*(1+BK30)</x:f>
        <x:v>1</x:v>
      </x:c>
      <x:c r="BM30" s="47" t="n">
        <x:f>BH30*BL30</x:f>
        <x:v>1000</x:v>
      </x:c>
      <x:c r="BN30" s="67" t="n">
        <x:f>IF(BG30&gt;0,BM30*1000000/BG30/Economy!Q30,0)</x:f>
        <x:v>0.2642706131078224</x:v>
      </x:c>
      <x:c r="BO30" s="45" t="n">
        <x:v>12000000</x:v>
      </x:c>
      <x:c r="BP30" s="45" t="n">
        <x:v>500</x:v>
      </x:c>
      <x:c r="BQ30" s="68" t="n">
        <x:v>0</x:v>
      </x:c>
      <x:c r="BR30" s="47" t="n">
        <x:f>IF(BO30&gt;0,BP30*1000000/BO30,0)</x:f>
        <x:v>41.666666666666664</x:v>
      </x:c>
      <x:c r="BS30" s="64" t="n">
        <x:f>IF(AND(BQ30&gt;0,BR29&gt;0,B30&gt;0),MIN(conv_cap,conv_beta*1*BQ30*MAX(0,LN(B30/(BR29*BT29)))),0)</x:f>
        <x:v>0</x:v>
      </x:c>
      <x:c r="BT30" s="65" t="n">
        <x:f>BT29*(1+BS30)</x:f>
        <x:v>1</x:v>
      </x:c>
      <x:c r="BU30" s="47" t="n">
        <x:f>BP30*BT30</x:f>
        <x:v>500</x:v>
      </x:c>
      <x:c r="BV30" s="67" t="n">
        <x:f>IF(BO30&gt;0,BU30*1000000/BO30/Economy!Q30,0)</x:f>
        <x:v>0.24224806201550386</x:v>
      </x:c>
      <x:c r="BW30" s="65" t="n">
        <x:f>0.25*IF(D30&gt;0,H30,1)+0.15*IF(AJ30&gt;0,AN30,1)+0.03*IF(AR30&gt;0,AV30,1)+0.08*IF(AZ30&gt;0,BD30,1)+0.12*IF(BH30&gt;0,BL30,1)+0.1*IF(L30&gt;0,P30,1)+0.07*IF(T30&gt;0,X30,1)+0.05*IF(AB30&gt;0,AF30,1)+0.05*IF(BP30&gt;0,BT30,1)+0.1</x:f>
        <x:v>1.0075954021398488</x:v>
      </x:c>
      <x:c r="BX30" s="63" t="n">
        <x:f>MIN(mkt_cap,mkt_elast*MAX(0,BW30-1))</x:f>
        <x:v>0.0037977010699243863</x:v>
      </x:c>
      <x:c r="BY30" s="47" t="n">
        <x:f>I30+Q30+Y30+AG30</x:f>
        <x:v>473.0012502556191</x:v>
      </x:c>
      <x:c r="BZ30" s="47" t="n">
        <x:f>D30+L30+T30+AB30</x:f>
        <x:v>464</x:v>
      </x:c>
      <x:c r="CA30" s="65" t="n">
        <x:f>IF(BZ30&gt;0,BY30/BZ30,0)</x:f>
        <x:v>1.0193992462405583</x:v>
      </x:c>
    </x:row>
    <x:row r="31">
      <x:c r="A31" s="61" t="n">
        <x:v>1871</x:v>
      </x:c>
      <x:c r="B31" s="47" t="n">
        <x:f>Economy!P30</x:f>
        <x:v>300.1221421102671</x:v>
      </x:c>
      <x:c r="C31" s="45" t="n">
        <x:v>34980000</x:v>
      </x:c>
      <x:c r="D31" s="62" t="n">
        <x:f>Japan!B31</x:f>
        <x:v>471</x:v>
      </x:c>
      <x:c r="E31" s="68" t="n">
        <x:v>0.325</x:v>
      </x:c>
      <x:c r="F31" s="47" t="n">
        <x:f>IF(C31&gt;0,D31*1000000/C31,0)</x:f>
        <x:v>13.46483704974271</x:v>
      </x:c>
      <x:c r="G31" s="64" t="n">
        <x:f>IF(AND(E31&gt;0,F30&gt;0,B31&gt;0),MIN(conv_cap,conv_beta*jp_uplift*E31*MAX(0,LN(B31/(F30*H30)))),0)</x:f>
        <x:v>0.010057803883432647</x:v>
      </x:c>
      <x:c r="H31" s="65" t="n">
        <x:f>H30*(1+G31)</x:f>
        <x:v>1.029652163938165</x:v>
      </x:c>
      <x:c r="I31" s="47" t="n">
        <x:f>D31*H31</x:f>
        <x:v>484.9661692148757</x:v>
      </x:c>
      <x:c r="J31" s="67" t="n">
        <x:f>IF(C31&gt;0,I31*1000000/C31/Economy!Q31,0)</x:f>
        <x:v>0.08013929829677663</x:v>
      </x:c>
      <x:c r="K31" s="62" t="n">
        <x:f>Gulf!B31</x:f>
        <x:v>0</x:v>
      </x:c>
      <x:c r="L31" s="47" t="n">
        <x:f>Gulf!B31*Gulf!C31*Economy!Q31/1000000</x:f>
        <x:v>0</x:v>
      </x:c>
      <x:c r="M31" s="68" t="n">
        <x:v>0</x:v>
      </x:c>
      <x:c r="N31" s="47" t="n">
        <x:f>IF(K31&gt;0,L31*1000000/K31,0)</x:f>
        <x:v>0</x:v>
      </x:c>
      <x:c r="O31" s="64" t="n">
        <x:f>IF(AND(M31&gt;0,N30&gt;0,B31&gt;0),MIN(conv_cap,conv_beta*1*M31*MAX(0,LN(B31/(N30*P30)))),0)</x:f>
        <x:v>0</x:v>
      </x:c>
      <x:c r="P31" s="65" t="n">
        <x:f>P30*(1+O31)</x:f>
        <x:v>1</x:v>
      </x:c>
      <x:c r="Q31" s="47" t="n">
        <x:f>L31*P31</x:f>
        <x:v>0</x:v>
      </x:c>
      <x:c r="R31" s="67" t="n">
        <x:f>IF(K31&gt;0,Q31*1000000/K31/Economy!Q31,0)</x:f>
        <x:v>0</x:v>
      </x:c>
      <x:c r="S31" s="62" t="n">
        <x:f>People!U31</x:f>
        <x:v>0</x:v>
      </x:c>
      <x:c r="T31" s="45" t="n">
        <x:v>0</x:v>
      </x:c>
      <x:c r="U31" s="68" t="n">
        <x:v>0</x:v>
      </x:c>
      <x:c r="V31" s="47" t="n">
        <x:f>IF(S31&gt;0,T31*1000000/S31,0)</x:f>
        <x:v>0</x:v>
      </x:c>
      <x:c r="W31" s="64" t="n">
        <x:f>IF(AND(U31&gt;0,V30&gt;0,B31&gt;0),MIN(conv_cap,conv_beta*1*U31*MAX(0,LN(B31/(V30*X30)))),0)</x:f>
        <x:v>0</x:v>
      </x:c>
      <x:c r="X31" s="65" t="n">
        <x:f>X30*(1+W31)</x:f>
        <x:v>1</x:v>
      </x:c>
      <x:c r="Y31" s="47" t="n">
        <x:f>T31*X31</x:f>
        <x:v>0</x:v>
      </x:c>
      <x:c r="Z31" s="67" t="n">
        <x:f>IF(S31&gt;0,Y31*1000000/S31/Economy!Q31,0)</x:f>
        <x:v>0</x:v>
      </x:c>
      <x:c r="AA31" s="45" t="n">
        <x:v>0</x:v>
      </x:c>
      <x:c r="AB31" s="45" t="n">
        <x:v>0</x:v>
      </x:c>
      <x:c r="AC31" s="68" t="n">
        <x:v>0</x:v>
      </x:c>
      <x:c r="AD31" s="47" t="n">
        <x:f>IF(AA31&gt;0,AB31*1000000/AA31,0)</x:f>
        <x:v>0</x:v>
      </x:c>
      <x:c r="AE31" s="64" t="n">
        <x:f>IF(AND(AC31&gt;0,AD30&gt;0,B31&gt;0),MIN(conv_cap,conv_beta*1*AC31*MAX(0,LN(B31/(AD30*AF30)))),0)</x:f>
        <x:v>0</x:v>
      </x:c>
      <x:c r="AF31" s="65" t="n">
        <x:f>AF30*(1+AE31)</x:f>
        <x:v>1</x:v>
      </x:c>
      <x:c r="AG31" s="47" t="n">
        <x:f>AB31*AF31</x:f>
        <x:v>0</x:v>
      </x:c>
      <x:c r="AH31" s="67" t="n">
        <x:f>IF(AA31&gt;0,AG31*1000000/AA31/Economy!Q31,0)</x:f>
        <x:v>0</x:v>
      </x:c>
      <x:c r="AI31" s="45" t="n">
        <x:v>359400000</x:v>
      </x:c>
      <x:c r="AJ31" s="45" t="n">
        <x:v>3517</x:v>
      </x:c>
      <x:c r="AK31" s="68" t="n">
        <x:v>0.08500000000000001</x:v>
      </x:c>
      <x:c r="AL31" s="47" t="n">
        <x:f>IF(AI31&gt;0,AJ31*1000000/AI31,0)</x:f>
        <x:v>9.785754034501947</x:v>
      </x:c>
      <x:c r="AM31" s="64" t="n">
        <x:f>IF(AND(AK31&gt;0,AL30&gt;0,B31&gt;0),MIN(conv_cap,conv_beta*1*AK31*MAX(0,LN(B31/(AL30*AN30)))),0)</x:f>
        <x:v>0.0028951559592889824</x:v>
      </x:c>
      <x:c r="AN31" s="65" t="n">
        <x:f>AN30*(1+AM31)</x:f>
        <x:v>1.0212520859102072</x:v>
      </x:c>
      <x:c r="AO31" s="47" t="n">
        <x:f>AJ31*AN31</x:f>
        <x:v>3591.7435861461986</x:v>
      </x:c>
      <x:c r="AP31" s="67" t="n">
        <x:f>IF(AI31&gt;0,AO31*1000000/AI31/Economy!Q31,0)</x:f>
        <x:v>0.057767177571903694</x:v>
      </x:c>
      <x:c r="AQ31" s="45" t="n">
        <x:v>10070000</x:v>
      </x:c>
      <x:c r="AR31" s="45" t="n">
        <x:v>153</x:v>
      </x:c>
      <x:c r="AS31" s="68" t="n">
        <x:v>0</x:v>
      </x:c>
      <x:c r="AT31" s="47" t="n">
        <x:f>IF(AQ31&gt;0,AR31*1000000/AQ31,0)</x:f>
        <x:v>15.19364448857994</x:v>
      </x:c>
      <x:c r="AU31" s="64" t="n">
        <x:f>IF(AND(AS31&gt;0,AT30&gt;0,B31&gt;0),MIN(conv_cap,conv_beta*1*AS31*MAX(0,LN(B31/(AT30*AV30)))),0)</x:f>
        <x:v>0</x:v>
      </x:c>
      <x:c r="AV31" s="65" t="n">
        <x:f>AV30*(1+AU31)</x:f>
        <x:v>1</x:v>
      </x:c>
      <x:c r="AW31" s="47" t="n">
        <x:f>AR31*AV31</x:f>
        <x:v>153</x:v>
      </x:c>
      <x:c r="AX31" s="67" t="n">
        <x:f>IF(AQ31&gt;0,AW31*1000000/AQ31/Economy!Q31,0)</x:f>
        <x:v>0.08782453461606901</x:v>
      </x:c>
      <x:c r="AY31" s="45" t="n">
        <x:v>51000000</x:v>
      </x:c>
      <x:c r="AZ31" s="45" t="n">
        <x:v>937</x:v>
      </x:c>
      <x:c r="BA31" s="68" t="n">
        <x:v>0</x:v>
      </x:c>
      <x:c r="BB31" s="47" t="n">
        <x:f>IF(AY31&gt;0,AZ31*1000000/AY31,0)</x:f>
        <x:v>18.372549019607842</x:v>
      </x:c>
      <x:c r="BC31" s="64" t="n">
        <x:f>IF(AND(BA31&gt;0,BB30&gt;0,B31&gt;0),MIN(conv_cap,conv_beta*1*BA31*MAX(0,LN(B31/(BB30*BD30)))),0)</x:f>
        <x:v>0</x:v>
      </x:c>
      <x:c r="BD31" s="65" t="n">
        <x:f>BD30*(1+BC31)</x:f>
        <x:v>1</x:v>
      </x:c>
      <x:c r="BE31" s="47" t="n">
        <x:f>AZ31*BD31</x:f>
        <x:v>937</x:v>
      </x:c>
      <x:c r="BF31" s="67" t="n">
        <x:f>IF(AY31&gt;0,BE31*1000000/AY31/Economy!Q31,0)</x:f>
        <x:v>0.10619970531565226</x:v>
      </x:c>
      <x:c r="BG31" s="45" t="n">
        <x:v>22300000</x:v>
      </x:c>
      <x:c r="BH31" s="45" t="n">
        <x:v>1040</x:v>
      </x:c>
      <x:c r="BI31" s="68" t="n">
        <x:v>0.053</x:v>
      </x:c>
      <x:c r="BJ31" s="47" t="n">
        <x:f>IF(BG31&gt;0,BH31*1000000/BG31,0)</x:f>
        <x:v>46.63677130044843</x:v>
      </x:c>
      <x:c r="BK31" s="64" t="n">
        <x:f>IF(AND(BI31&gt;0,BJ30&gt;0,B31&gt;0),MIN(conv_cap,conv_beta*1*BI31*MAX(0,LN(B31/(BJ30*BL30)))),0)</x:f>
        <x:v>0.0010003626544666168</x:v>
      </x:c>
      <x:c r="BL31" s="65" t="n">
        <x:f>BL30*(1+BK31)</x:f>
        <x:v>1.0010003626544666</x:v>
      </x:c>
      <x:c r="BM31" s="47" t="n">
        <x:f>BH31*BL31</x:f>
        <x:v>1041.0403771606452</x:v>
      </x:c>
      <x:c r="BN31" s="67" t="n">
        <x:f>IF(BG31&gt;0,BM31*1000000/BG31/Economy!Q31,0)</x:f>
        <x:v>0.26984638719527343</x:v>
      </x:c>
      <x:c r="BO31" s="45" t="n">
        <x:v>12100000</x:v>
      </x:c>
      <x:c r="BP31" s="45" t="n">
        <x:v>510</x:v>
      </x:c>
      <x:c r="BQ31" s="68" t="n">
        <x:v>0</x:v>
      </x:c>
      <x:c r="BR31" s="47" t="n">
        <x:f>IF(BO31&gt;0,BP31*1000000/BO31,0)</x:f>
        <x:v>42.14876033057851</x:v>
      </x:c>
      <x:c r="BS31" s="64" t="n">
        <x:f>IF(AND(BQ31&gt;0,BR30&gt;0,B31&gt;0),MIN(conv_cap,conv_beta*1*BQ31*MAX(0,LN(B31/(BR30*BT30)))),0)</x:f>
        <x:v>0</x:v>
      </x:c>
      <x:c r="BT31" s="65" t="n">
        <x:f>BT30*(1+BS31)</x:f>
        <x:v>1</x:v>
      </x:c>
      <x:c r="BU31" s="47" t="n">
        <x:f>BP31*BT31</x:f>
        <x:v>510</x:v>
      </x:c>
      <x:c r="BV31" s="67" t="n">
        <x:f>IF(BO31&gt;0,BU31*1000000/BO31/Economy!Q31,0)</x:f>
        <x:v>0.24363445277791046</x:v>
      </x:c>
      <x:c r="BW31" s="65" t="n">
        <x:f>0.25*IF(D31&gt;0,H31,1)+0.15*IF(AJ31&gt;0,AN31,1)+0.03*IF(AR31&gt;0,AV31,1)+0.08*IF(AZ31&gt;0,BD31,1)+0.12*IF(BH31&gt;0,BL31,1)+0.1*IF(L31&gt;0,P31,1)+0.07*IF(T31&gt;0,X31,1)+0.05*IF(AB31&gt;0,AF31,1)+0.05*IF(BP31&gt;0,BT31,1)+0.1</x:f>
        <x:v>1.0107208973896085</x:v>
      </x:c>
      <x:c r="BX31" s="63" t="n">
        <x:f>MIN(mkt_cap,mkt_elast*MAX(0,BW31-1))</x:f>
        <x:v>0.005360448694804232</x:v>
      </x:c>
      <x:c r="BY31" s="47" t="n">
        <x:f>I31+Q31+Y31+AG31</x:f>
        <x:v>484.9661692148757</x:v>
      </x:c>
      <x:c r="BZ31" s="47" t="n">
        <x:f>D31+L31+T31+AB31</x:f>
        <x:v>471</x:v>
      </x:c>
      <x:c r="CA31" s="65" t="n">
        <x:f>IF(BZ31&gt;0,BY31/BZ31,0)</x:f>
        <x:v>1.029652163938165</x:v>
      </x:c>
    </x:row>
    <x:row r="32">
      <x:c r="A32" s="58" t="n">
        <x:v>1872</x:v>
      </x:c>
      <x:c r="B32" s="47" t="n">
        <x:f>Economy!P31</x:f>
        <x:v>302.3217997750594</x:v>
      </x:c>
      <x:c r="C32" s="45" t="n">
        <x:v>35160000</x:v>
      </x:c>
      <x:c r="D32" s="62" t="n">
        <x:f>Japan!B32</x:f>
        <x:v>479</x:v>
      </x:c>
      <x:c r="E32" s="68" t="n">
        <x:v>0.333</x:v>
      </x:c>
      <x:c r="F32" s="47" t="n">
        <x:f>IF(C32&gt;0,D32*1000000/C32,0)</x:f>
        <x:v>13.623435722411832</x:v>
      </x:c>
      <x:c r="G32" s="64" t="n">
        <x:f>IF(AND(E32&gt;0,F31&gt;0,B32&gt;0),MIN(conv_cap,conv_beta*jp_uplift*E32*MAX(0,LN(B32/(F31*H31)))),0)</x:f>
        <x:v>0.010263690527233544</x:v>
      </x:c>
      <x:c r="H32" s="65" t="n">
        <x:f>H31*(1+G32)</x:f>
        <x:v>1.0402201950995227</x:v>
      </x:c>
      <x:c r="I32" s="47" t="n">
        <x:f>D32*H32</x:f>
        <x:v>498.26547345267136</x:v>
      </x:c>
      <x:c r="J32" s="67" t="n">
        <x:f>IF(C32&gt;0,I32*1000000/C32/Economy!Q32,0)</x:f>
        <x:v>0.0819154506652777</x:v>
      </x:c>
      <x:c r="K32" s="62" t="n">
        <x:f>Gulf!B32</x:f>
        <x:v>0</x:v>
      </x:c>
      <x:c r="L32" s="47" t="n">
        <x:f>Gulf!B32*Gulf!C32*Economy!Q32/1000000</x:f>
        <x:v>0</x:v>
      </x:c>
      <x:c r="M32" s="68" t="n">
        <x:v>0</x:v>
      </x:c>
      <x:c r="N32" s="47" t="n">
        <x:f>IF(K32&gt;0,L32*1000000/K32,0)</x:f>
        <x:v>0</x:v>
      </x:c>
      <x:c r="O32" s="64" t="n">
        <x:f>IF(AND(M32&gt;0,N31&gt;0,B32&gt;0),MIN(conv_cap,conv_beta*1*M32*MAX(0,LN(B32/(N31*P31)))),0)</x:f>
        <x:v>0</x:v>
      </x:c>
      <x:c r="P32" s="65" t="n">
        <x:f>P31*(1+O32)</x:f>
        <x:v>1</x:v>
      </x:c>
      <x:c r="Q32" s="47" t="n">
        <x:f>L32*P32</x:f>
        <x:v>0</x:v>
      </x:c>
      <x:c r="R32" s="67" t="n">
        <x:f>IF(K32&gt;0,Q32*1000000/K32/Economy!Q32,0)</x:f>
        <x:v>0</x:v>
      </x:c>
      <x:c r="S32" s="62" t="n">
        <x:f>People!U32</x:f>
        <x:v>0</x:v>
      </x:c>
      <x:c r="T32" s="45" t="n">
        <x:v>0</x:v>
      </x:c>
      <x:c r="U32" s="68" t="n">
        <x:v>0</x:v>
      </x:c>
      <x:c r="V32" s="47" t="n">
        <x:f>IF(S32&gt;0,T32*1000000/S32,0)</x:f>
        <x:v>0</x:v>
      </x:c>
      <x:c r="W32" s="64" t="n">
        <x:f>IF(AND(U32&gt;0,V31&gt;0,B32&gt;0),MIN(conv_cap,conv_beta*1*U32*MAX(0,LN(B32/(V31*X31)))),0)</x:f>
        <x:v>0</x:v>
      </x:c>
      <x:c r="X32" s="65" t="n">
        <x:f>X31*(1+W32)</x:f>
        <x:v>1</x:v>
      </x:c>
      <x:c r="Y32" s="47" t="n">
        <x:f>T32*X32</x:f>
        <x:v>0</x:v>
      </x:c>
      <x:c r="Z32" s="67" t="n">
        <x:f>IF(S32&gt;0,Y32*1000000/S32/Economy!Q32,0)</x:f>
        <x:v>0</x:v>
      </x:c>
      <x:c r="AA32" s="45" t="n">
        <x:v>0</x:v>
      </x:c>
      <x:c r="AB32" s="45" t="n">
        <x:v>0</x:v>
      </x:c>
      <x:c r="AC32" s="68" t="n">
        <x:v>0</x:v>
      </x:c>
      <x:c r="AD32" s="47" t="n">
        <x:f>IF(AA32&gt;0,AB32*1000000/AA32,0)</x:f>
        <x:v>0</x:v>
      </x:c>
      <x:c r="AE32" s="64" t="n">
        <x:f>IF(AND(AC32&gt;0,AD31&gt;0,B32&gt;0),MIN(conv_cap,conv_beta*1*AC32*MAX(0,LN(B32/(AD31*AF31)))),0)</x:f>
        <x:v>0</x:v>
      </x:c>
      <x:c r="AF32" s="65" t="n">
        <x:f>AF31*(1+AE32)</x:f>
        <x:v>1</x:v>
      </x:c>
      <x:c r="AG32" s="47" t="n">
        <x:f>AB32*AF32</x:f>
        <x:v>0</x:v>
      </x:c>
      <x:c r="AH32" s="67" t="n">
        <x:f>IF(AA32&gt;0,AG32*1000000/AA32/Economy!Q32,0)</x:f>
        <x:v>0</x:v>
      </x:c>
      <x:c r="AI32" s="45" t="n">
        <x:v>360800000</x:v>
      </x:c>
      <x:c r="AJ32" s="45" t="n">
        <x:v>3533</x:v>
      </x:c>
      <x:c r="AK32" s="68" t="n">
        <x:v>0.08799999999999999</x:v>
      </x:c>
      <x:c r="AL32" s="47" t="n">
        <x:f>IF(AI32&gt;0,AJ32*1000000/AI32,0)</x:f>
        <x:v>9.792128603104214</x:v>
      </x:c>
      <x:c r="AM32" s="64" t="n">
        <x:f>IF(AND(AK32&gt;0,AL31&gt;0,B32&gt;0),MIN(conv_cap,conv_beta*1*AK32*MAX(0,LN(B32/(AL31*AN31)))),0)</x:f>
        <x:v>0.003000390751084399</x:v>
      </x:c>
      <x:c r="AN32" s="65" t="n">
        <x:f>AN31*(1+AM32)</x:f>
        <x:v>1.024316241223298</x:v>
      </x:c>
      <x:c r="AO32" s="47" t="n">
        <x:f>AJ32*AN32</x:f>
        <x:v>3618.909280241912</x:v>
      </x:c>
      <x:c r="AP32" s="67" t="n">
        <x:f>IF(AI32&gt;0,AO32*1000000/AI32/Economy!Q32,0)</x:f>
        <x:v>0.05797824488038643</x:v>
      </x:c>
      <x:c r="AQ32" s="45" t="n">
        <x:v>10130000</x:v>
      </x:c>
      <x:c r="AR32" s="45" t="n">
        <x:v>157</x:v>
      </x:c>
      <x:c r="AS32" s="68" t="n">
        <x:v>0</x:v>
      </x:c>
      <x:c r="AT32" s="47" t="n">
        <x:f>IF(AQ32&gt;0,AR32*1000000/AQ32,0)</x:f>
        <x:v>15.498519249753208</x:v>
      </x:c>
      <x:c r="AU32" s="64" t="n">
        <x:f>IF(AND(AS32&gt;0,AT31&gt;0,B32&gt;0),MIN(conv_cap,conv_beta*1*AS32*MAX(0,LN(B32/(AT31*AV31)))),0)</x:f>
        <x:v>0</x:v>
      </x:c>
      <x:c r="AV32" s="65" t="n">
        <x:f>AV31*(1+AU32)</x:f>
        <x:v>1</x:v>
      </x:c>
      <x:c r="AW32" s="47" t="n">
        <x:f>AR32*AV32</x:f>
        <x:v>157</x:v>
      </x:c>
      <x:c r="AX32" s="67" t="n">
        <x:f>IF(AQ32&gt;0,AW32*1000000/AQ32/Economy!Q32,0)</x:f>
        <x:v>0.08958681647256189</x:v>
      </x:c>
      <x:c r="AY32" s="45" t="n">
        <x:v>52000000</x:v>
      </x:c>
      <x:c r="AZ32" s="45" t="n">
        <x:v>973</x:v>
      </x:c>
      <x:c r="BA32" s="68" t="n">
        <x:v>0</x:v>
      </x:c>
      <x:c r="BB32" s="47" t="n">
        <x:f>IF(AY32&gt;0,AZ32*1000000/AY32,0)</x:f>
        <x:v>18.71153846153846</x:v>
      </x:c>
      <x:c r="BC32" s="64" t="n">
        <x:f>IF(AND(BA32&gt;0,BB31&gt;0,B32&gt;0),MIN(conv_cap,conv_beta*1*BA32*MAX(0,LN(B32/(BB31*BD31)))),0)</x:f>
        <x:v>0</x:v>
      </x:c>
      <x:c r="BD32" s="65" t="n">
        <x:f>BD31*(1+BC32)</x:f>
        <x:v>1</x:v>
      </x:c>
      <x:c r="BE32" s="47" t="n">
        <x:f>AZ32*BD32</x:f>
        <x:v>973</x:v>
      </x:c>
      <x:c r="BF32" s="67" t="n">
        <x:f>IF(AY32&gt;0,BE32*1000000/AY32/Economy!Q32,0)</x:f>
        <x:v>0.10815918185860382</x:v>
      </x:c>
      <x:c r="BG32" s="45" t="n">
        <x:v>22500000</x:v>
      </x:c>
      <x:c r="BH32" s="45" t="n">
        <x:v>1080</x:v>
      </x:c>
      <x:c r="BI32" s="68" t="n">
        <x:v>0.057</x:v>
      </x:c>
      <x:c r="BJ32" s="47" t="n">
        <x:f>IF(BG32&gt;0,BH32*1000000/BG32,0)</x:f>
        <x:v>48</x:v>
      </x:c>
      <x:c r="BK32" s="64" t="n">
        <x:f>IF(AND(BI32&gt;0,BJ31&gt;0,B32&gt;0),MIN(conv_cap,conv_beta*1*BI32*MAX(0,LN(B32/(BJ31*BL31)))),0)</x:f>
        <x:v>0.0010648186164863706</x:v>
      </x:c>
      <x:c r="BL32" s="65" t="n">
        <x:f>BL31*(1+BK32)</x:f>
        <x:v>1.0020662464757306</x:v>
      </x:c>
      <x:c r="BM32" s="47" t="n">
        <x:f>BH32*BL32</x:f>
        <x:v>1082.231546193789</x:v>
      </x:c>
      <x:c r="BN32" s="67" t="n">
        <x:f>IF(BG32&gt;0,BM32*1000000/BG32/Economy!Q32,0)</x:f>
        <x:v>0.27802994121869984</x:v>
      </x:c>
      <x:c r="BO32" s="45" t="n">
        <x:v>12100000</x:v>
      </x:c>
      <x:c r="BP32" s="45" t="n">
        <x:v>520</x:v>
      </x:c>
      <x:c r="BQ32" s="68" t="n">
        <x:v>0</x:v>
      </x:c>
      <x:c r="BR32" s="47" t="n">
        <x:f>IF(BO32&gt;0,BP32*1000000/BO32,0)</x:f>
        <x:v>42.97520661157025</x:v>
      </x:c>
      <x:c r="BS32" s="64" t="n">
        <x:f>IF(AND(BQ32&gt;0,BR31&gt;0,B32&gt;0),MIN(conv_cap,conv_beta*1*BQ32*MAX(0,LN(B32/(BR31*BT31)))),0)</x:f>
        <x:v>0</x:v>
      </x:c>
      <x:c r="BT32" s="65" t="n">
        <x:f>BT31*(1+BS32)</x:f>
        <x:v>1</x:v>
      </x:c>
      <x:c r="BU32" s="47" t="n">
        <x:f>BP32*BT32</x:f>
        <x:v>520</x:v>
      </x:c>
      <x:c r="BV32" s="67" t="n">
        <x:f>IF(BO32&gt;0,BU32*1000000/BO32/Economy!Q32,0)</x:f>
        <x:v>0.2484115989108107</x:v>
      </x:c>
      <x:c r="BW32" s="65" t="n">
        <x:f>0.25*IF(D32&gt;0,H32,1)+0.15*IF(AJ32&gt;0,AN32,1)+0.03*IF(AR32&gt;0,AV32,1)+0.08*IF(AZ32&gt;0,BD32,1)+0.12*IF(BH32&gt;0,BL32,1)+0.1*IF(L32&gt;0,P32,1)+0.07*IF(T32&gt;0,X32,1)+0.05*IF(AB32&gt;0,AF32,1)+0.05*IF(BP32&gt;0,BT32,1)+0.1</x:f>
        <x:v>1.013950434535463</x:v>
      </x:c>
      <x:c r="BX32" s="63" t="n">
        <x:f>MIN(mkt_cap,mkt_elast*MAX(0,BW32-1))</x:f>
        <x:v>0.006975217267731537</x:v>
      </x:c>
      <x:c r="BY32" s="47" t="n">
        <x:f>I32+Q32+Y32+AG32</x:f>
        <x:v>498.26547345267136</x:v>
      </x:c>
      <x:c r="BZ32" s="47" t="n">
        <x:f>D32+L32+T32+AB32</x:f>
        <x:v>479</x:v>
      </x:c>
      <x:c r="CA32" s="65" t="n">
        <x:f>IF(BZ32&gt;0,BY32/BZ32,0)</x:f>
        <x:v>1.0402201950995227</x:v>
      </x:c>
    </x:row>
    <x:row r="33">
      <x:c r="A33" s="58" t="n">
        <x:v>1873</x:v>
      </x:c>
      <x:c r="B33" s="47" t="n">
        <x:f>Economy!P32</x:f>
        <x:v>304.4791491511384</x:v>
      </x:c>
      <x:c r="C33" s="45" t="n">
        <x:v>35340000</x:v>
      </x:c>
      <x:c r="D33" s="62" t="n">
        <x:f>Japan!B33</x:f>
        <x:v>486</x:v>
      </x:c>
      <x:c r="E33" s="68" t="n">
        <x:v>0.342</x:v>
      </x:c>
      <x:c r="F33" s="47" t="n">
        <x:f>IF(C33&gt;0,D33*1000000/C33,0)</x:f>
        <x:v>13.752122241086587</x:v>
      </x:c>
      <x:c r="G33" s="64" t="n">
        <x:f>IF(AND(E33&gt;0,F32&gt;0,B33&gt;0),MIN(conv_cap,conv_beta*jp_uplift*E33*MAX(0,LN(B33/(F32*H32)))),0)</x:f>
        <x:v>0.0104904350435942</x:v>
      </x:c>
      <x:c r="H33" s="65" t="n">
        <x:f>H32*(1+G33)</x:f>
        <x:v>1.051132557487249</x:v>
      </x:c>
      <x:c r="I33" s="47" t="n">
        <x:f>D33*H33</x:f>
        <x:v>510.85042293880304</x:v>
      </x:c>
      <x:c r="J33" s="67" t="n">
        <x:f>IF(C33&gt;0,I33*1000000/C33/Economy!Q33,0)</x:f>
        <x:v>0.08307645644914151</x:v>
      </x:c>
      <x:c r="K33" s="62" t="n">
        <x:f>Gulf!B33</x:f>
        <x:v>0</x:v>
      </x:c>
      <x:c r="L33" s="47" t="n">
        <x:f>Gulf!B33*Gulf!C33*Economy!Q33/1000000</x:f>
        <x:v>0</x:v>
      </x:c>
      <x:c r="M33" s="68" t="n">
        <x:v>0</x:v>
      </x:c>
      <x:c r="N33" s="47" t="n">
        <x:f>IF(K33&gt;0,L33*1000000/K33,0)</x:f>
        <x:v>0</x:v>
      </x:c>
      <x:c r="O33" s="64" t="n">
        <x:f>IF(AND(M33&gt;0,N32&gt;0,B33&gt;0),MIN(conv_cap,conv_beta*1*M33*MAX(0,LN(B33/(N32*P32)))),0)</x:f>
        <x:v>0</x:v>
      </x:c>
      <x:c r="P33" s="65" t="n">
        <x:f>P32*(1+O33)</x:f>
        <x:v>1</x:v>
      </x:c>
      <x:c r="Q33" s="47" t="n">
        <x:f>L33*P33</x:f>
        <x:v>0</x:v>
      </x:c>
      <x:c r="R33" s="67" t="n">
        <x:f>IF(K33&gt;0,Q33*1000000/K33/Economy!Q33,0)</x:f>
        <x:v>0</x:v>
      </x:c>
      <x:c r="S33" s="62" t="n">
        <x:f>People!U33</x:f>
        <x:v>0</x:v>
      </x:c>
      <x:c r="T33" s="45" t="n">
        <x:v>0</x:v>
      </x:c>
      <x:c r="U33" s="68" t="n">
        <x:v>0</x:v>
      </x:c>
      <x:c r="V33" s="47" t="n">
        <x:f>IF(S33&gt;0,T33*1000000/S33,0)</x:f>
        <x:v>0</x:v>
      </x:c>
      <x:c r="W33" s="64" t="n">
        <x:f>IF(AND(U33&gt;0,V32&gt;0,B33&gt;0),MIN(conv_cap,conv_beta*1*U33*MAX(0,LN(B33/(V32*X32)))),0)</x:f>
        <x:v>0</x:v>
      </x:c>
      <x:c r="X33" s="65" t="n">
        <x:f>X32*(1+W33)</x:f>
        <x:v>1</x:v>
      </x:c>
      <x:c r="Y33" s="47" t="n">
        <x:f>T33*X33</x:f>
        <x:v>0</x:v>
      </x:c>
      <x:c r="Z33" s="67" t="n">
        <x:f>IF(S33&gt;0,Y33*1000000/S33/Economy!Q33,0)</x:f>
        <x:v>0</x:v>
      </x:c>
      <x:c r="AA33" s="45" t="n">
        <x:v>0</x:v>
      </x:c>
      <x:c r="AB33" s="45" t="n">
        <x:v>0</x:v>
      </x:c>
      <x:c r="AC33" s="68" t="n">
        <x:v>0</x:v>
      </x:c>
      <x:c r="AD33" s="47" t="n">
        <x:f>IF(AA33&gt;0,AB33*1000000/AA33,0)</x:f>
        <x:v>0</x:v>
      </x:c>
      <x:c r="AE33" s="64" t="n">
        <x:f>IF(AND(AC33&gt;0,AD32&gt;0,B33&gt;0),MIN(conv_cap,conv_beta*1*AC33*MAX(0,LN(B33/(AD32*AF32)))),0)</x:f>
        <x:v>0</x:v>
      </x:c>
      <x:c r="AF33" s="65" t="n">
        <x:f>AF32*(1+AE33)</x:f>
        <x:v>1</x:v>
      </x:c>
      <x:c r="AG33" s="47" t="n">
        <x:f>AB33*AF33</x:f>
        <x:v>0</x:v>
      </x:c>
      <x:c r="AH33" s="67" t="n">
        <x:f>IF(AA33&gt;0,AG33*1000000/AA33/Economy!Q33,0)</x:f>
        <x:v>0</x:v>
      </x:c>
      <x:c r="AI33" s="45" t="n">
        <x:v>362200000</x:v>
      </x:c>
      <x:c r="AJ33" s="45" t="n">
        <x:v>3550</x:v>
      </x:c>
      <x:c r="AK33" s="68" t="n">
        <x:v>0.092</x:v>
      </x:c>
      <x:c r="AL33" s="47" t="n">
        <x:f>IF(AI33&gt;0,AJ33*1000000/AI33,0)</x:f>
        <x:v>9.801214798453893</x:v>
      </x:c>
      <x:c r="AM33" s="64" t="n">
        <x:f>IF(AND(AK33&gt;0,AL32&gt;0,B33&gt;0),MIN(conv_cap,conv_beta*1*AK33*MAX(0,LN(B33/(AL32*AN32)))),0)</x:f>
        <x:v>0.0031399585663470686</x:v>
      </x:c>
      <x:c r="AN33" s="65" t="n">
        <x:f>AN32*(1+AM33)</x:f>
        <x:v>1.0275325517795755</x:v>
      </x:c>
      <x:c r="AO33" s="47" t="n">
        <x:f>AJ33*AN33</x:f>
        <x:v>3647.740558817493</x:v>
      </x:c>
      <x:c r="AP33" s="67" t="n">
        <x:f>IF(AI33&gt;0,AO33*1000000/AI33/Economy!Q33,0)</x:f>
        <x:v>0.057879696852845205</x:v>
      </x:c>
      <x:c r="AQ33" s="45" t="n">
        <x:v>10200000</x:v>
      </x:c>
      <x:c r="AR33" s="45" t="n">
        <x:v>160</x:v>
      </x:c>
      <x:c r="AS33" s="68" t="n">
        <x:v>0</x:v>
      </x:c>
      <x:c r="AT33" s="47" t="n">
        <x:f>IF(AQ33&gt;0,AR33*1000000/AQ33,0)</x:f>
        <x:v>15.686274509803921</x:v>
      </x:c>
      <x:c r="AU33" s="64" t="n">
        <x:f>IF(AND(AS33&gt;0,AT32&gt;0,B33&gt;0),MIN(conv_cap,conv_beta*1*AS33*MAX(0,LN(B33/(AT32*AV32)))),0)</x:f>
        <x:v>0</x:v>
      </x:c>
      <x:c r="AV33" s="65" t="n">
        <x:f>AV32*(1+AU33)</x:f>
        <x:v>1</x:v>
      </x:c>
      <x:c r="AW33" s="47" t="n">
        <x:f>AR33*AV33</x:f>
        <x:v>160</x:v>
      </x:c>
      <x:c r="AX33" s="67" t="n">
        <x:f>IF(AQ33&gt;0,AW33*1000000/AQ33/Economy!Q33,0)</x:f>
        <x:v>0.09015100292990759</x:v>
      </x:c>
      <x:c r="AY33" s="45" t="n">
        <x:v>53000000</x:v>
      </x:c>
      <x:c r="AZ33" s="45" t="n">
        <x:v>1010</x:v>
      </x:c>
      <x:c r="BA33" s="68" t="n">
        <x:v>0</x:v>
      </x:c>
      <x:c r="BB33" s="47" t="n">
        <x:f>IF(AY33&gt;0,AZ33*1000000/AY33,0)</x:f>
        <x:v>19.056603773584907</x:v>
      </x:c>
      <x:c r="BC33" s="64" t="n">
        <x:f>IF(AND(BA33&gt;0,BB32&gt;0,B33&gt;0),MIN(conv_cap,conv_beta*1*BA33*MAX(0,LN(B33/(BB32*BD32)))),0)</x:f>
        <x:v>0</x:v>
      </x:c>
      <x:c r="BD33" s="65" t="n">
        <x:f>BD32*(1+BC33)</x:f>
        <x:v>1</x:v>
      </x:c>
      <x:c r="BE33" s="47" t="n">
        <x:f>AZ33*BD33</x:f>
        <x:v>1010</x:v>
      </x:c>
      <x:c r="BF33" s="67" t="n">
        <x:f>IF(AY33&gt;0,BE33*1000000/AY33/Economy!Q33,0)</x:f>
        <x:v>0.109520711342442</x:v>
      </x:c>
      <x:c r="BG33" s="45" t="n">
        <x:v>22800000</x:v>
      </x:c>
      <x:c r="BH33" s="45" t="n">
        <x:v>1120</x:v>
      </x:c>
      <x:c r="BI33" s="68" t="n">
        <x:v>0.06</x:v>
      </x:c>
      <x:c r="BJ33" s="47" t="n">
        <x:f>IF(BG33&gt;0,BH33*1000000/BG33,0)</x:f>
        <x:v>49.12280701754386</x:v>
      </x:c>
      <x:c r="BK33" s="64" t="n">
        <x:f>IF(AND(BI33&gt;0,BJ32&gt;0,B33&gt;0),MIN(conv_cap,conv_beta*1*BI33*MAX(0,LN(B33/(BJ32*BL32)))),0)</x:f>
        <x:v>0.0011072024900873447</x:v>
      </x:c>
      <x:c r="BL33" s="65" t="n">
        <x:f>BL32*(1+BK33)</x:f>
        <x:v>1.003175736719061</x:v>
      </x:c>
      <x:c r="BM33" s="47" t="n">
        <x:f>BH33*BL33</x:f>
        <x:v>1123.5568251253483</x:v>
      </x:c>
      <x:c r="BN33" s="67" t="n">
        <x:f>IF(BG33&gt;0,BM33*1000000/BG33/Economy!Q33,0)</x:f>
        <x:v>0.2832115409168553</x:v>
      </x:c>
      <x:c r="BO33" s="45" t="n">
        <x:v>12200000</x:v>
      </x:c>
      <x:c r="BP33" s="45" t="n">
        <x:v>530</x:v>
      </x:c>
      <x:c r="BQ33" s="68" t="n">
        <x:v>0</x:v>
      </x:c>
      <x:c r="BR33" s="47" t="n">
        <x:f>IF(BO33&gt;0,BP33*1000000/BO33,0)</x:f>
        <x:v>43.442622950819676</x:v>
      </x:c>
      <x:c r="BS33" s="64" t="n">
        <x:f>IF(AND(BQ33&gt;0,BR32&gt;0,B33&gt;0),MIN(conv_cap,conv_beta*1*BQ33*MAX(0,LN(B33/(BR32*BT32)))),0)</x:f>
        <x:v>0</x:v>
      </x:c>
      <x:c r="BT33" s="65" t="n">
        <x:f>BT32*(1+BS33)</x:f>
        <x:v>1</x:v>
      </x:c>
      <x:c r="BU33" s="47" t="n">
        <x:f>BP33*BT33</x:f>
        <x:v>530</x:v>
      </x:c>
      <x:c r="BV33" s="67" t="n">
        <x:f>IF(BO33&gt;0,BU33*1000000/BO33/Economy!Q33,0)</x:f>
        <x:v>0.24967024684379124</x:v>
      </x:c>
      <x:c r="BW33" s="65" t="n">
        <x:f>0.25*IF(D33&gt;0,H33,1)+0.15*IF(AJ33&gt;0,AN33,1)+0.03*IF(AR33&gt;0,AV33,1)+0.08*IF(AZ33&gt;0,BD33,1)+0.12*IF(BH33&gt;0,BL33,1)+0.1*IF(L33&gt;0,P33,1)+0.07*IF(T33&gt;0,X33,1)+0.05*IF(AB33&gt;0,AF33,1)+0.05*IF(BP33&gt;0,BT33,1)+0.1</x:f>
        <x:v>1.0172941105450362</x:v>
      </x:c>
      <x:c r="BX33" s="63" t="n">
        <x:f>MIN(mkt_cap,mkt_elast*MAX(0,BW33-1))</x:f>
        <x:v>0.008647055272518078</x:v>
      </x:c>
      <x:c r="BY33" s="47" t="n">
        <x:f>I33+Q33+Y33+AG33</x:f>
        <x:v>510.85042293880304</x:v>
      </x:c>
      <x:c r="BZ33" s="47" t="n">
        <x:f>D33+L33+T33+AB33</x:f>
        <x:v>486</x:v>
      </x:c>
      <x:c r="CA33" s="65" t="n">
        <x:f>IF(BZ33&gt;0,BY33/BZ33,0)</x:f>
        <x:v>1.051132557487249</x:v>
      </x:c>
    </x:row>
    <x:row r="34">
      <x:c r="A34" s="58" t="n">
        <x:v>1874</x:v>
      </x:c>
      <x:c r="B34" s="47" t="n">
        <x:f>Economy!P33</x:f>
        <x:v>302.5471768390658</x:v>
      </x:c>
      <x:c r="C34" s="45" t="n">
        <x:v>35520000</x:v>
      </x:c>
      <x:c r="D34" s="62" t="n">
        <x:f>Japan!B34</x:f>
        <x:v>493</x:v>
      </x:c>
      <x:c r="E34" s="68" t="n">
        <x:v>0.35</x:v>
      </x:c>
      <x:c r="F34" s="47" t="n">
        <x:f>IF(C34&gt;0,D34*1000000/C34,0)</x:f>
        <x:v>13.879504504504505</x:v>
      </x:c>
      <x:c r="G34" s="64" t="n">
        <x:f>IF(AND(E34&gt;0,F33&gt;0,B34&gt;0),MIN(conv_cap,conv_beta*jp_uplift*E34*MAX(0,LN(B34/(F33*H33)))),0)</x:f>
        <x:v>0.01064411549511194</x:v>
      </x:c>
      <x:c r="H34" s="65" t="n">
        <x:f>H33*(1+G34)</x:f>
        <x:v>1.0623209338298156</x:v>
      </x:c>
      <x:c r="I34" s="47" t="n">
        <x:f>D34*H34</x:f>
        <x:v>523.7242203780991</x:v>
      </x:c>
      <x:c r="J34" s="67" t="n">
        <x:f>IF(C34&gt;0,I34*1000000/C34/Economy!Q34,0)</x:f>
        <x:v>0.08473843785241585</x:v>
      </x:c>
      <x:c r="K34" s="62" t="n">
        <x:f>Gulf!B34</x:f>
        <x:v>0</x:v>
      </x:c>
      <x:c r="L34" s="47" t="n">
        <x:f>Gulf!B34*Gulf!C34*Economy!Q34/1000000</x:f>
        <x:v>0</x:v>
      </x:c>
      <x:c r="M34" s="68" t="n">
        <x:v>0</x:v>
      </x:c>
      <x:c r="N34" s="47" t="n">
        <x:f>IF(K34&gt;0,L34*1000000/K34,0)</x:f>
        <x:v>0</x:v>
      </x:c>
      <x:c r="O34" s="64" t="n">
        <x:f>IF(AND(M34&gt;0,N33&gt;0,B34&gt;0),MIN(conv_cap,conv_beta*1*M34*MAX(0,LN(B34/(N33*P33)))),0)</x:f>
        <x:v>0</x:v>
      </x:c>
      <x:c r="P34" s="65" t="n">
        <x:f>P33*(1+O34)</x:f>
        <x:v>1</x:v>
      </x:c>
      <x:c r="Q34" s="47" t="n">
        <x:f>L34*P34</x:f>
        <x:v>0</x:v>
      </x:c>
      <x:c r="R34" s="67" t="n">
        <x:f>IF(K34&gt;0,Q34*1000000/K34/Economy!Q34,0)</x:f>
        <x:v>0</x:v>
      </x:c>
      <x:c r="S34" s="62" t="n">
        <x:f>People!U34</x:f>
        <x:v>0</x:v>
      </x:c>
      <x:c r="T34" s="45" t="n">
        <x:v>0</x:v>
      </x:c>
      <x:c r="U34" s="68" t="n">
        <x:v>0</x:v>
      </x:c>
      <x:c r="V34" s="47" t="n">
        <x:f>IF(S34&gt;0,T34*1000000/S34,0)</x:f>
        <x:v>0</x:v>
      </x:c>
      <x:c r="W34" s="64" t="n">
        <x:f>IF(AND(U34&gt;0,V33&gt;0,B34&gt;0),MIN(conv_cap,conv_beta*1*U34*MAX(0,LN(B34/(V33*X33)))),0)</x:f>
        <x:v>0</x:v>
      </x:c>
      <x:c r="X34" s="65" t="n">
        <x:f>X33*(1+W34)</x:f>
        <x:v>1</x:v>
      </x:c>
      <x:c r="Y34" s="47" t="n">
        <x:f>T34*X34</x:f>
        <x:v>0</x:v>
      </x:c>
      <x:c r="Z34" s="67" t="n">
        <x:f>IF(S34&gt;0,Y34*1000000/S34/Economy!Q34,0)</x:f>
        <x:v>0</x:v>
      </x:c>
      <x:c r="AA34" s="45" t="n">
        <x:v>0</x:v>
      </x:c>
      <x:c r="AB34" s="45" t="n">
        <x:v>0</x:v>
      </x:c>
      <x:c r="AC34" s="68" t="n">
        <x:v>0</x:v>
      </x:c>
      <x:c r="AD34" s="47" t="n">
        <x:f>IF(AA34&gt;0,AB34*1000000/AA34,0)</x:f>
        <x:v>0</x:v>
      </x:c>
      <x:c r="AE34" s="64" t="n">
        <x:f>IF(AND(AC34&gt;0,AD33&gt;0,B34&gt;0),MIN(conv_cap,conv_beta*1*AC34*MAX(0,LN(B34/(AD33*AF33)))),0)</x:f>
        <x:v>0</x:v>
      </x:c>
      <x:c r="AF34" s="65" t="n">
        <x:f>AF33*(1+AE34)</x:f>
        <x:v>1</x:v>
      </x:c>
      <x:c r="AG34" s="47" t="n">
        <x:f>AB34*AF34</x:f>
        <x:v>0</x:v>
      </x:c>
      <x:c r="AH34" s="67" t="n">
        <x:f>IF(AA34&gt;0,AG34*1000000/AA34/Economy!Q34,0)</x:f>
        <x:v>0</x:v>
      </x:c>
      <x:c r="AI34" s="45" t="n">
        <x:v>363600000</x:v>
      </x:c>
      <x:c r="AJ34" s="45" t="n">
        <x:v>3567</x:v>
      </x:c>
      <x:c r="AK34" s="68" t="n">
        <x:v>0.096</x:v>
      </x:c>
      <x:c r="AL34" s="47" t="n">
        <x:f>IF(AI34&gt;0,AJ34*1000000/AI34,0)</x:f>
        <x:v>9.810231023102311</x:v>
      </x:c>
      <x:c r="AM34" s="64" t="n">
        <x:f>IF(AND(AK34&gt;0,AL33&gt;0,B34&gt;0),MIN(conv_cap,conv_beta*1*AK34*MAX(0,LN(B34/(AL33*AN33)))),0)</x:f>
        <x:v>0.0032664677158397567</x:v>
      </x:c>
      <x:c r="AN34" s="65" t="n">
        <x:f>AN33*(1+AM34)</x:f>
        <x:v>1.030888953686938</x:v>
      </x:c>
      <x:c r="AO34" s="47" t="n">
        <x:f>AJ34*AN34</x:f>
        <x:v>3677.1808978013073</x:v>
      </x:c>
      <x:c r="AP34" s="67" t="n">
        <x:f>IF(AI34&gt;0,AO34*1000000/AI34/Economy!Q34,0)</x:f>
        <x:v>0.0581221769817993</x:v>
      </x:c>
      <x:c r="AQ34" s="45" t="n">
        <x:v>10270000</x:v>
      </x:c>
      <x:c r="AR34" s="45" t="n">
        <x:v>163</x:v>
      </x:c>
      <x:c r="AS34" s="68" t="n">
        <x:v>0</x:v>
      </x:c>
      <x:c r="AT34" s="47" t="n">
        <x:f>IF(AQ34&gt;0,AR34*1000000/AQ34,0)</x:f>
        <x:v>15.87147030185005</x:v>
      </x:c>
      <x:c r="AU34" s="64" t="n">
        <x:f>IF(AND(AS34&gt;0,AT33&gt;0,B34&gt;0),MIN(conv_cap,conv_beta*1*AS34*MAX(0,LN(B34/(AT33*AV33)))),0)</x:f>
        <x:v>0</x:v>
      </x:c>
      <x:c r="AV34" s="65" t="n">
        <x:f>AV33*(1+AU34)</x:f>
        <x:v>1</x:v>
      </x:c>
      <x:c r="AW34" s="47" t="n">
        <x:f>AR34*AV34</x:f>
        <x:v>163</x:v>
      </x:c>
      <x:c r="AX34" s="67" t="n">
        <x:f>IF(AQ34&gt;0,AW34*1000000/AQ34/Economy!Q34,0)</x:f>
        <x:v>0.09121534656235661</x:v>
      </x:c>
      <x:c r="AY34" s="45" t="n">
        <x:v>54000000</x:v>
      </x:c>
      <x:c r="AZ34" s="45" t="n">
        <x:v>1047</x:v>
      </x:c>
      <x:c r="BA34" s="68" t="n">
        <x:v>0</x:v>
      </x:c>
      <x:c r="BB34" s="47" t="n">
        <x:f>IF(AY34&gt;0,AZ34*1000000/AY34,0)</x:f>
        <x:v>19.38888888888889</x:v>
      </x:c>
      <x:c r="BC34" s="64" t="n">
        <x:f>IF(AND(BA34&gt;0,BB33&gt;0,B34&gt;0),MIN(conv_cap,conv_beta*1*BA34*MAX(0,LN(B34/(BB33*BD33)))),0)</x:f>
        <x:v>0</x:v>
      </x:c>
      <x:c r="BD34" s="65" t="n">
        <x:f>BD33*(1+BC34)</x:f>
        <x:v>1</x:v>
      </x:c>
      <x:c r="BE34" s="47" t="n">
        <x:f>AZ34*BD34</x:f>
        <x:v>1047</x:v>
      </x:c>
      <x:c r="BF34" s="67" t="n">
        <x:f>IF(AY34&gt;0,BE34*1000000/AY34/Economy!Q34,0)</x:f>
        <x:v>0.11143039591315454</x:v>
      </x:c>
      <x:c r="BG34" s="45" t="n">
        <x:v>23100000</x:v>
      </x:c>
      <x:c r="BH34" s="45" t="n">
        <x:v>1160</x:v>
      </x:c>
      <x:c r="BI34" s="68" t="n">
        <x:v>0.063</x:v>
      </x:c>
      <x:c r="BJ34" s="47" t="n">
        <x:f>IF(BG34&gt;0,BH34*1000000/BG34,0)</x:f>
        <x:v>50.21645021645022</x:v>
      </x:c>
      <x:c r="BK34" s="64" t="n">
        <x:f>IF(AND(BI34&gt;0,BJ33&gt;0,B34&gt;0),MIN(conv_cap,conv_beta*1*BI34*MAX(0,LN(B34/(BJ33*BL33)))),0)</x:f>
        <x:v>0.0011432881459169405</x:v>
      </x:c>
      <x:c r="BL34" s="65" t="n">
        <x:f>BL33*(1+BK34)</x:f>
        <x:v>1.0043226556471234</x:v>
      </x:c>
      <x:c r="BM34" s="47" t="n">
        <x:f>BH34*BL34</x:f>
        <x:v>1165.0142805506632</x:v>
      </x:c>
      <x:c r="BN34" s="67" t="n">
        <x:f>IF(BG34&gt;0,BM34*1000000/BG34/Economy!Q34,0)</x:f>
        <x:v>0.28984780826756806</x:v>
      </x:c>
      <x:c r="BO34" s="45" t="n">
        <x:v>12300000</x:v>
      </x:c>
      <x:c r="BP34" s="45" t="n">
        <x:v>540</x:v>
      </x:c>
      <x:c r="BQ34" s="68" t="n">
        <x:v>0</x:v>
      </x:c>
      <x:c r="BR34" s="47" t="n">
        <x:f>IF(BO34&gt;0,BP34*1000000/BO34,0)</x:f>
        <x:v>43.90243902439025</x:v>
      </x:c>
      <x:c r="BS34" s="64" t="n">
        <x:f>IF(AND(BQ34&gt;0,BR33&gt;0,B34&gt;0),MIN(conv_cap,conv_beta*1*BQ34*MAX(0,LN(B34/(BR33*BT33)))),0)</x:f>
        <x:v>0</x:v>
      </x:c>
      <x:c r="BT34" s="65" t="n">
        <x:f>BT33*(1+BS34)</x:f>
        <x:v>1</x:v>
      </x:c>
      <x:c r="BU34" s="47" t="n">
        <x:f>BP34*BT34</x:f>
        <x:v>540</x:v>
      </x:c>
      <x:c r="BV34" s="67" t="n">
        <x:f>IF(BO34&gt;0,BU34*1000000/BO34/Economy!Q34,0)</x:f>
        <x:v>0.2523128679562658</x:v>
      </x:c>
      <x:c r="BW34" s="65" t="n">
        <x:f>0.25*IF(D34&gt;0,H34,1)+0.15*IF(AJ34&gt;0,AN34,1)+0.03*IF(AR34&gt;0,AV34,1)+0.08*IF(AZ34&gt;0,BD34,1)+0.12*IF(BH34&gt;0,BL34,1)+0.1*IF(L34&gt;0,P34,1)+0.07*IF(T34&gt;0,X34,1)+0.05*IF(AB34&gt;0,AF34,1)+0.05*IF(BP34&gt;0,BT34,1)+0.1</x:f>
        <x:v>1.0207322951881497</x:v>
      </x:c>
      <x:c r="BX34" s="63" t="n">
        <x:f>MIN(mkt_cap,mkt_elast*MAX(0,BW34-1))</x:f>
        <x:v>0.010366147594074837</x:v>
      </x:c>
      <x:c r="BY34" s="47" t="n">
        <x:f>I34+Q34+Y34+AG34</x:f>
        <x:v>523.7242203780991</x:v>
      </x:c>
      <x:c r="BZ34" s="47" t="n">
        <x:f>D34+L34+T34+AB34</x:f>
        <x:v>493</x:v>
      </x:c>
      <x:c r="CA34" s="65" t="n">
        <x:f>IF(BZ34&gt;0,BY34/BZ34,0)</x:f>
        <x:v>1.0623209338298156</x:v>
      </x:c>
    </x:row>
    <x:row r="35">
      <x:c r="A35" s="58" t="n">
        <x:v>1875</x:v>
      </x:c>
      <x:c r="B35" s="47" t="n">
        <x:f>Economy!P34</x:f>
        <x:v>301.4973540569911</x:v>
      </x:c>
      <x:c r="C35" s="45" t="n">
        <x:v>35700000</x:v>
      </x:c>
      <x:c r="D35" s="62" t="n">
        <x:f>Japan!B35</x:f>
        <x:v>500</x:v>
      </x:c>
      <x:c r="E35" s="68" t="n">
        <x:v>0.358</x:v>
      </x:c>
      <x:c r="F35" s="47" t="n">
        <x:f>IF(C35&gt;0,D35*1000000/C35,0)</x:f>
        <x:v>14.005602240896359</x:v>
      </x:c>
      <x:c r="G35" s="64" t="n">
        <x:f>IF(AND(E35&gt;0,F34&gt;0,B35&gt;0),MIN(conv_cap,conv_beta*jp_uplift*E35*MAX(0,LN(B35/(F34*H34)))),0)</x:f>
        <x:v>0.010804053036126398</x:v>
      </x:c>
      <x:c r="H35" s="65" t="n">
        <x:f>H34*(1+G35)</x:f>
        <x:v>1.0737983055403002</x:v>
      </x:c>
      <x:c r="I35" s="47" t="n">
        <x:f>D35*H35</x:f>
        <x:v>536.8991527701501</x:v>
      </x:c>
      <x:c r="J35" s="67" t="n">
        <x:f>IF(C35&gt;0,I35*1000000/C35/Economy!Q35,0)</x:f>
        <x:v>0.08593823973911965</x:v>
      </x:c>
      <x:c r="K35" s="62" t="n">
        <x:f>Gulf!B35</x:f>
        <x:v>0</x:v>
      </x:c>
      <x:c r="L35" s="47" t="n">
        <x:f>Gulf!B35*Gulf!C35*Economy!Q35/1000000</x:f>
        <x:v>0</x:v>
      </x:c>
      <x:c r="M35" s="68" t="n">
        <x:v>0</x:v>
      </x:c>
      <x:c r="N35" s="47" t="n">
        <x:f>IF(K35&gt;0,L35*1000000/K35,0)</x:f>
        <x:v>0</x:v>
      </x:c>
      <x:c r="O35" s="64" t="n">
        <x:f>IF(AND(M35&gt;0,N34&gt;0,B35&gt;0),MIN(conv_cap,conv_beta*1*M35*MAX(0,LN(B35/(N34*P34)))),0)</x:f>
        <x:v>0</x:v>
      </x:c>
      <x:c r="P35" s="65" t="n">
        <x:f>P34*(1+O35)</x:f>
        <x:v>1</x:v>
      </x:c>
      <x:c r="Q35" s="47" t="n">
        <x:f>L35*P35</x:f>
        <x:v>0</x:v>
      </x:c>
      <x:c r="R35" s="67" t="n">
        <x:f>IF(K35&gt;0,Q35*1000000/K35/Economy!Q35,0)</x:f>
        <x:v>0</x:v>
      </x:c>
      <x:c r="S35" s="62" t="n">
        <x:f>People!U35</x:f>
        <x:v>0</x:v>
      </x:c>
      <x:c r="T35" s="45" t="n">
        <x:v>0</x:v>
      </x:c>
      <x:c r="U35" s="68" t="n">
        <x:v>0</x:v>
      </x:c>
      <x:c r="V35" s="47" t="n">
        <x:f>IF(S35&gt;0,T35*1000000/S35,0)</x:f>
        <x:v>0</x:v>
      </x:c>
      <x:c r="W35" s="64" t="n">
        <x:f>IF(AND(U35&gt;0,V34&gt;0,B35&gt;0),MIN(conv_cap,conv_beta*1*U35*MAX(0,LN(B35/(V34*X34)))),0)</x:f>
        <x:v>0</x:v>
      </x:c>
      <x:c r="X35" s="65" t="n">
        <x:f>X34*(1+W35)</x:f>
        <x:v>1</x:v>
      </x:c>
      <x:c r="Y35" s="47" t="n">
        <x:f>T35*X35</x:f>
        <x:v>0</x:v>
      </x:c>
      <x:c r="Z35" s="67" t="n">
        <x:f>IF(S35&gt;0,Y35*1000000/S35/Economy!Q35,0)</x:f>
        <x:v>0</x:v>
      </x:c>
      <x:c r="AA35" s="45" t="n">
        <x:v>0</x:v>
      </x:c>
      <x:c r="AB35" s="45" t="n">
        <x:v>0</x:v>
      </x:c>
      <x:c r="AC35" s="68" t="n">
        <x:v>0</x:v>
      </x:c>
      <x:c r="AD35" s="47" t="n">
        <x:f>IF(AA35&gt;0,AB35*1000000/AA35,0)</x:f>
        <x:v>0</x:v>
      </x:c>
      <x:c r="AE35" s="64" t="n">
        <x:f>IF(AND(AC35&gt;0,AD34&gt;0,B35&gt;0),MIN(conv_cap,conv_beta*1*AC35*MAX(0,LN(B35/(AD34*AF34)))),0)</x:f>
        <x:v>0</x:v>
      </x:c>
      <x:c r="AF35" s="65" t="n">
        <x:f>AF34*(1+AE35)</x:f>
        <x:v>1</x:v>
      </x:c>
      <x:c r="AG35" s="47" t="n">
        <x:f>AB35*AF35</x:f>
        <x:v>0</x:v>
      </x:c>
      <x:c r="AH35" s="67" t="n">
        <x:f>IF(AA35&gt;0,AG35*1000000/AA35/Economy!Q35,0)</x:f>
        <x:v>0</x:v>
      </x:c>
      <x:c r="AI35" s="45" t="n">
        <x:v>365000000</x:v>
      </x:c>
      <x:c r="AJ35" s="45" t="n">
        <x:v>3583</x:v>
      </x:c>
      <x:c r="AK35" s="68" t="n">
        <x:v>0.1</x:v>
      </x:c>
      <x:c r="AL35" s="47" t="n">
        <x:f>IF(AI35&gt;0,AJ35*1000000/AI35,0)</x:f>
        <x:v>9.816438356164383</x:v>
      </x:c>
      <x:c r="AM35" s="64" t="n">
        <x:f>IF(AND(AK35&gt;0,AL34&gt;0,B35&gt;0),MIN(conv_cap,conv_beta*1*AK35*MAX(0,LN(B35/(AL34*AN34)))),0)</x:f>
        <x:v>0.003394913925292973</x:v>
      </x:c>
      <x:c r="AN35" s="65" t="n">
        <x:f>AN34*(1+AM35)</x:f>
        <x:v>1.0343887329512402</x:v>
      </x:c>
      <x:c r="AO35" s="47" t="n">
        <x:f>AJ35*AN35</x:f>
        <x:v>3706.2148301642937</x:v>
      </x:c>
      <x:c r="AP35" s="67" t="n">
        <x:f>IF(AI35&gt;0,AO35*1000000/AI35/Economy!Q35,0)</x:f>
        <x:v>0.05802293276186762</x:v>
      </x:c>
      <x:c r="AQ35" s="45" t="n">
        <x:v>10330000</x:v>
      </x:c>
      <x:c r="AR35" s="45" t="n">
        <x:v>167</x:v>
      </x:c>
      <x:c r="AS35" s="68" t="n">
        <x:v>0</x:v>
      </x:c>
      <x:c r="AT35" s="47" t="n">
        <x:f>IF(AQ35&gt;0,AR35*1000000/AQ35,0)</x:f>
        <x:v>16.16650532429816</x:v>
      </x:c>
      <x:c r="AU35" s="64" t="n">
        <x:f>IF(AND(AS35&gt;0,AT34&gt;0,B35&gt;0),MIN(conv_cap,conv_beta*1*AS35*MAX(0,LN(B35/(AT34*AV34)))),0)</x:f>
        <x:v>0</x:v>
      </x:c>
      <x:c r="AV35" s="65" t="n">
        <x:f>AV34*(1+AU35)</x:f>
        <x:v>1</x:v>
      </x:c>
      <x:c r="AW35" s="47" t="n">
        <x:f>AR35*AV35</x:f>
        <x:v>167</x:v>
      </x:c>
      <x:c r="AX35" s="67" t="n">
        <x:f>IF(AQ35&gt;0,AW35*1000000/AQ35/Economy!Q35,0)</x:f>
        <x:v>0.09238003042456092</x:v>
      </x:c>
      <x:c r="AY35" s="45" t="n">
        <x:v>55000000</x:v>
      </x:c>
      <x:c r="AZ35" s="45" t="n">
        <x:v>1083</x:v>
      </x:c>
      <x:c r="BA35" s="68" t="n">
        <x:v>0</x:v>
      </x:c>
      <x:c r="BB35" s="47" t="n">
        <x:f>IF(AY35&gt;0,AZ35*1000000/AY35,0)</x:f>
        <x:v>19.69090909090909</x:v>
      </x:c>
      <x:c r="BC35" s="64" t="n">
        <x:f>IF(AND(BA35&gt;0,BB34&gt;0,B35&gt;0),MIN(conv_cap,conv_beta*1*BA35*MAX(0,LN(B35/(BB34*BD34)))),0)</x:f>
        <x:v>0</x:v>
      </x:c>
      <x:c r="BD35" s="65" t="n">
        <x:f>BD34*(1+BC35)</x:f>
        <x:v>1</x:v>
      </x:c>
      <x:c r="BE35" s="47" t="n">
        <x:f>AZ35*BD35</x:f>
        <x:v>1083</x:v>
      </x:c>
      <x:c r="BF35" s="67" t="n">
        <x:f>IF(AY35&gt;0,BE35*1000000/AY35/Economy!Q35,0)</x:f>
        <x:v>0.11251948051948052</x:v>
      </x:c>
      <x:c r="BG35" s="45" t="n">
        <x:v>23300000</x:v>
      </x:c>
      <x:c r="BH35" s="45" t="n">
        <x:v>1200</x:v>
      </x:c>
      <x:c r="BI35" s="68" t="n">
        <x:v>0.067</x:v>
      </x:c>
      <x:c r="BJ35" s="47" t="n">
        <x:f>IF(BG35&gt;0,BH35*1000000/BG35,0)</x:f>
        <x:v>51.502145922746784</x:v>
      </x:c>
      <x:c r="BK35" s="64" t="n">
        <x:f>IF(AND(BI35&gt;0,BJ34&gt;0,B35&gt;0),MIN(conv_cap,conv_beta*1*BI35*MAX(0,LN(B35/(BJ34*BL34)))),0)</x:f>
        <x:v>0.0011980305066580782</x:v>
      </x:c>
      <x:c r="BL35" s="65" t="n">
        <x:f>BL34*(1+BK35)</x:f>
        <x:v>1.0055258648271166</x:v>
      </x:c>
      <x:c r="BM35" s="47" t="n">
        <x:f>BH35*BL35</x:f>
        <x:v>1206.63103779254</x:v>
      </x:c>
      <x:c r="BN35" s="67" t="n">
        <x:f>IF(BG35&gt;0,BM35*1000000/BG35/Economy!Q35,0)</x:f>
        <x:v>0.29592422753955605</x:v>
      </x:c>
      <x:c r="BO35" s="45" t="n">
        <x:v>12300000</x:v>
      </x:c>
      <x:c r="BP35" s="45" t="n">
        <x:v>550</x:v>
      </x:c>
      <x:c r="BQ35" s="68" t="n">
        <x:v>0</x:v>
      </x:c>
      <x:c r="BR35" s="47" t="n">
        <x:f>IF(BO35&gt;0,BP35*1000000/BO35,0)</x:f>
        <x:v>44.71544715447155</x:v>
      </x:c>
      <x:c r="BS35" s="64" t="n">
        <x:f>IF(AND(BQ35&gt;0,BR34&gt;0,B35&gt;0),MIN(conv_cap,conv_beta*1*BQ35*MAX(0,LN(B35/(BR34*BT34)))),0)</x:f>
        <x:v>0</x:v>
      </x:c>
      <x:c r="BT35" s="65" t="n">
        <x:f>BT34*(1+BS35)</x:f>
        <x:v>1</x:v>
      </x:c>
      <x:c r="BU35" s="47" t="n">
        <x:f>BP35*BT35</x:f>
        <x:v>550</x:v>
      </x:c>
      <x:c r="BV35" s="67" t="n">
        <x:f>IF(BO35&gt;0,BU35*1000000/BO35/Economy!Q35,0)</x:f>
        <x:v>0.25551684088269455</x:v>
      </x:c>
      <x:c r="BW35" s="65" t="n">
        <x:f>0.25*IF(D35&gt;0,H35,1)+0.15*IF(AJ35&gt;0,AN35,1)+0.03*IF(AR35&gt;0,AV35,1)+0.08*IF(AZ35&gt;0,BD35,1)+0.12*IF(BH35&gt;0,BL35,1)+0.1*IF(L35&gt;0,P35,1)+0.07*IF(T35&gt;0,X35,1)+0.05*IF(AB35&gt;0,AF35,1)+0.05*IF(BP35&gt;0,BT35,1)+0.1</x:f>
        <x:v>1.024270990107015</x:v>
      </x:c>
      <x:c r="BX35" s="63" t="n">
        <x:f>MIN(mkt_cap,mkt_elast*MAX(0,BW35-1))</x:f>
        <x:v>0.012135495053507528</x:v>
      </x:c>
      <x:c r="BY35" s="47" t="n">
        <x:f>I35+Q35+Y35+AG35</x:f>
        <x:v>536.8991527701501</x:v>
      </x:c>
      <x:c r="BZ35" s="47" t="n">
        <x:f>D35+L35+T35+AB35</x:f>
        <x:v>500</x:v>
      </x:c>
      <x:c r="CA35" s="65" t="n">
        <x:f>IF(BZ35&gt;0,BY35/BZ35,0)</x:f>
        <x:v>1.0737983055403002</x:v>
      </x:c>
    </x:row>
    <x:row r="36">
      <x:c r="A36" s="58" t="n">
        <x:v>1876</x:v>
      </x:c>
      <x:c r="B36" s="47" t="n">
        <x:f>Economy!P35</x:f>
        <x:v>306.1558913298886</x:v>
      </x:c>
      <x:c r="C36" s="45" t="n">
        <x:v>35880000</x:v>
      </x:c>
      <x:c r="D36" s="62" t="n">
        <x:f>Japan!B36</x:f>
        <x:v>520</x:v>
      </x:c>
      <x:c r="E36" s="68" t="n">
        <x:v>0.367</x:v>
      </x:c>
      <x:c r="F36" s="47" t="n">
        <x:f>IF(C36&gt;0,D36*1000000/C36,0)</x:f>
        <x:v>14.492753623188406</x:v>
      </x:c>
      <x:c r="G36" s="64" t="n">
        <x:f>IF(AND(E36&gt;0,F35&gt;0,B36&gt;0),MIN(conv_cap,conv_beta*jp_uplift*E36*MAX(0,LN(B36/(F35*H35)))),0)</x:f>
        <x:v>0.011059305827491943</x:v>
      </x:c>
      <x:c r="H36" s="65" t="n">
        <x:f>H35*(1+G36)</x:f>
        <x:v>1.085673769398313</x:v>
      </x:c>
      <x:c r="I36" s="47" t="n">
        <x:f>D36*H36</x:f>
        <x:v>564.5503600871227</x:v>
      </x:c>
      <x:c r="J36" s="67" t="n">
        <x:f>IF(C36&gt;0,I36*1000000/C36/Economy!Q36,0)</x:f>
        <x:v>0.08645276074202204</x:v>
      </x:c>
      <x:c r="K36" s="62" t="n">
        <x:f>Gulf!B36</x:f>
        <x:v>0</x:v>
      </x:c>
      <x:c r="L36" s="47" t="n">
        <x:f>Gulf!B36*Gulf!C36*Economy!Q36/1000000</x:f>
        <x:v>0</x:v>
      </x:c>
      <x:c r="M36" s="68" t="n">
        <x:v>0</x:v>
      </x:c>
      <x:c r="N36" s="47" t="n">
        <x:f>IF(K36&gt;0,L36*1000000/K36,0)</x:f>
        <x:v>0</x:v>
      </x:c>
      <x:c r="O36" s="64" t="n">
        <x:f>IF(AND(M36&gt;0,N35&gt;0,B36&gt;0),MIN(conv_cap,conv_beta*1*M36*MAX(0,LN(B36/(N35*P35)))),0)</x:f>
        <x:v>0</x:v>
      </x:c>
      <x:c r="P36" s="65" t="n">
        <x:f>P35*(1+O36)</x:f>
        <x:v>1</x:v>
      </x:c>
      <x:c r="Q36" s="47" t="n">
        <x:f>L36*P36</x:f>
        <x:v>0</x:v>
      </x:c>
      <x:c r="R36" s="67" t="n">
        <x:f>IF(K36&gt;0,Q36*1000000/K36/Economy!Q36,0)</x:f>
        <x:v>0</x:v>
      </x:c>
      <x:c r="S36" s="62" t="n">
        <x:f>People!U36</x:f>
        <x:v>6000000</x:v>
      </x:c>
      <x:c r="T36" s="45" t="n">
        <x:v>100</x:v>
      </x:c>
      <x:c r="U36" s="68" t="n">
        <x:v>0.3</x:v>
      </x:c>
      <x:c r="V36" s="47" t="n">
        <x:f>IF(S36&gt;0,T36*1000000/S36,0)</x:f>
        <x:v>16.666666666666668</x:v>
      </x:c>
      <x:c r="W36" s="64" t="n">
        <x:f>IF(AND(U36&gt;0,V35&gt;0,B36&gt;0),MIN(conv_cap,conv_beta*1*U36*MAX(0,LN(B36/(V35*X35)))),0)</x:f>
        <x:v>0</x:v>
      </x:c>
      <x:c r="X36" s="65" t="n">
        <x:f>X35*(1+W36)</x:f>
        <x:v>1</x:v>
      </x:c>
      <x:c r="Y36" s="47" t="n">
        <x:f>T36*X36</x:f>
        <x:v>100</x:v>
      </x:c>
      <x:c r="Z36" s="67" t="n">
        <x:f>IF(S36&gt;0,Y36*1000000/S36/Economy!Q36,0)</x:f>
        <x:v>0.09157509157509158</x:v>
      </x:c>
      <x:c r="AA36" s="45" t="n">
        <x:v>0</x:v>
      </x:c>
      <x:c r="AB36" s="45" t="n">
        <x:v>0</x:v>
      </x:c>
      <x:c r="AC36" s="68" t="n">
        <x:v>0</x:v>
      </x:c>
      <x:c r="AD36" s="47" t="n">
        <x:f>IF(AA36&gt;0,AB36*1000000/AA36,0)</x:f>
        <x:v>0</x:v>
      </x:c>
      <x:c r="AE36" s="64" t="n">
        <x:f>IF(AND(AC36&gt;0,AD35&gt;0,B36&gt;0),MIN(conv_cap,conv_beta*1*AC36*MAX(0,LN(B36/(AD35*AF35)))),0)</x:f>
        <x:v>0</x:v>
      </x:c>
      <x:c r="AF36" s="65" t="n">
        <x:f>AF35*(1+AE36)</x:f>
        <x:v>1</x:v>
      </x:c>
      <x:c r="AG36" s="47" t="n">
        <x:f>AB36*AF36</x:f>
        <x:v>0</x:v>
      </x:c>
      <x:c r="AH36" s="67" t="n">
        <x:f>IF(AA36&gt;0,AG36*1000000/AA36/Economy!Q36,0)</x:f>
        <x:v>0</x:v>
      </x:c>
      <x:c r="AI36" s="45" t="n">
        <x:v>366400000</x:v>
      </x:c>
      <x:c r="AJ36" s="45" t="n">
        <x:v>3600</x:v>
      </x:c>
      <x:c r="AK36" s="68" t="n">
        <x:v>0.104</x:v>
      </x:c>
      <x:c r="AL36" s="47" t="n">
        <x:f>IF(AI36&gt;0,AJ36*1000000/AI36,0)</x:f>
        <x:v>9.825327510917031</x:v>
      </x:c>
      <x:c r="AM36" s="64" t="n">
        <x:f>IF(AND(AK36&gt;0,AL35&gt;0,B36&gt;0),MIN(conv_cap,conv_beta*1*AK36*MAX(0,LN(B36/(AL35*AN35)))),0)</x:f>
        <x:v>0.003542474417280337</x:v>
      </x:c>
      <x:c r="AN36" s="65" t="n">
        <x:f>AN35*(1+AM36)</x:f>
        <x:v>1.038053028575243</x:v>
      </x:c>
      <x:c r="AO36" s="47" t="n">
        <x:f>AJ36*AN36</x:f>
        <x:v>3736.990902870875</x:v>
      </x:c>
      <x:c r="AP36" s="67" t="n">
        <x:f>IF(AI36&gt;0,AO36*1000000/AI36/Economy!Q36,0)</x:f>
        <x:v>0.05603962076621471</x:v>
      </x:c>
      <x:c r="AQ36" s="45" t="n">
        <x:v>10400000</x:v>
      </x:c>
      <x:c r="AR36" s="45" t="n">
        <x:v>170</x:v>
      </x:c>
      <x:c r="AS36" s="68" t="n">
        <x:v>0</x:v>
      </x:c>
      <x:c r="AT36" s="47" t="n">
        <x:f>IF(AQ36&gt;0,AR36*1000000/AQ36,0)</x:f>
        <x:v>16.346153846153847</x:v>
      </x:c>
      <x:c r="AU36" s="64" t="n">
        <x:f>IF(AND(AS36&gt;0,AT35&gt;0,B36&gt;0),MIN(conv_cap,conv_beta*1*AS36*MAX(0,LN(B36/(AT35*AV35)))),0)</x:f>
        <x:v>0</x:v>
      </x:c>
      <x:c r="AV36" s="65" t="n">
        <x:f>AV35*(1+AU36)</x:f>
        <x:v>1</x:v>
      </x:c>
      <x:c r="AW36" s="47" t="n">
        <x:f>AR36*AV36</x:f>
        <x:v>170</x:v>
      </x:c>
      <x:c r="AX36" s="67" t="n">
        <x:f>IF(AQ36&gt;0,AW36*1000000/AQ36/Economy!Q36,0)</x:f>
        <x:v>0.08981403212172444</x:v>
      </x:c>
      <x:c r="AY36" s="45" t="n">
        <x:v>56000000</x:v>
      </x:c>
      <x:c r="AZ36" s="45" t="n">
        <x:v>1120</x:v>
      </x:c>
      <x:c r="BA36" s="68" t="n">
        <x:v>0</x:v>
      </x:c>
      <x:c r="BB36" s="47" t="n">
        <x:f>IF(AY36&gt;0,AZ36*1000000/AY36,0)</x:f>
        <x:v>20</x:v>
      </x:c>
      <x:c r="BC36" s="64" t="n">
        <x:f>IF(AND(BA36&gt;0,BB35&gt;0,B36&gt;0),MIN(conv_cap,conv_beta*1*BA36*MAX(0,LN(B36/(BB35*BD35)))),0)</x:f>
        <x:v>0</x:v>
      </x:c>
      <x:c r="BD36" s="65" t="n">
        <x:f>BD35*(1+BC36)</x:f>
        <x:v>1</x:v>
      </x:c>
      <x:c r="BE36" s="47" t="n">
        <x:f>AZ36*BD36</x:f>
        <x:v>1120</x:v>
      </x:c>
      <x:c r="BF36" s="67" t="n">
        <x:f>IF(AY36&gt;0,BE36*1000000/AY36/Economy!Q36,0)</x:f>
        <x:v>0.10989010989010989</x:v>
      </x:c>
      <x:c r="BG36" s="45" t="n">
        <x:v>23600000</x:v>
      </x:c>
      <x:c r="BH36" s="45" t="n">
        <x:v>1240</x:v>
      </x:c>
      <x:c r="BI36" s="68" t="n">
        <x:v>0.07000000000000001</x:v>
      </x:c>
      <x:c r="BJ36" s="47" t="n">
        <x:f>IF(BG36&gt;0,BH36*1000000/BG36,0)</x:f>
        <x:v>52.54237288135593</x:v>
      </x:c>
      <x:c r="BK36" s="64" t="n">
        <x:f>IF(AND(BI36&gt;0,BJ35&gt;0,B36&gt;0),MIN(conv_cap,conv_beta*1*BI36*MAX(0,LN(B36/(BJ35*BL35)))),0)</x:f>
        <x:v>0.001243872204795516</x:v>
      </x:c>
      <x:c r="BL36" s="65" t="n">
        <x:f>BL35*(1+BK36)</x:f>
        <x:v>1.006776610501578</x:v>
      </x:c>
      <x:c r="BM36" s="47" t="n">
        <x:f>BH36*BL36</x:f>
        <x:v>1248.4029970219567</x:v>
      </x:c>
      <x:c r="BN36" s="67" t="n">
        <x:f>IF(BG36&gt;0,BM36*1000000/BG36/Economy!Q36,0)</x:f>
        <x:v>0.29065072569890965</x:v>
      </x:c>
      <x:c r="BO36" s="45" t="n">
        <x:v>12400000</x:v>
      </x:c>
      <x:c r="BP36" s="45" t="n">
        <x:v>560</x:v>
      </x:c>
      <x:c r="BQ36" s="68" t="n">
        <x:v>0</x:v>
      </x:c>
      <x:c r="BR36" s="47" t="n">
        <x:f>IF(BO36&gt;0,BP36*1000000/BO36,0)</x:f>
        <x:v>45.16129032258065</x:v>
      </x:c>
      <x:c r="BS36" s="64" t="n">
        <x:f>IF(AND(BQ36&gt;0,BR35&gt;0,B36&gt;0),MIN(conv_cap,conv_beta*1*BQ36*MAX(0,LN(B36/(BR35*BT35)))),0)</x:f>
        <x:v>0</x:v>
      </x:c>
      <x:c r="BT36" s="65" t="n">
        <x:f>BT35*(1+BS36)</x:f>
        <x:v>1</x:v>
      </x:c>
      <x:c r="BU36" s="47" t="n">
        <x:f>BP36*BT36</x:f>
        <x:v>560</x:v>
      </x:c>
      <x:c r="BV36" s="67" t="n">
        <x:f>IF(BO36&gt;0,BU36*1000000/BO36/Economy!Q36,0)</x:f>
        <x:v>0.24813895781637718</x:v>
      </x:c>
      <x:c r="BW36" s="65" t="n">
        <x:f>0.25*IF(D36&gt;0,H36,1)+0.15*IF(AJ36&gt;0,AN36,1)+0.03*IF(AR36&gt;0,AV36,1)+0.08*IF(AZ36&gt;0,BD36,1)+0.12*IF(BH36&gt;0,BL36,1)+0.1*IF(L36&gt;0,P36,1)+0.07*IF(T36&gt;0,X36,1)+0.05*IF(AB36&gt;0,AF36,1)+0.05*IF(BP36&gt;0,BT36,1)+0.1</x:f>
        <x:v>1.0279395898960542</x:v>
      </x:c>
      <x:c r="BX36" s="63" t="n">
        <x:f>MIN(mkt_cap,mkt_elast*MAX(0,BW36-1))</x:f>
        <x:v>0.013969794948027081</x:v>
      </x:c>
      <x:c r="BY36" s="47" t="n">
        <x:f>I36+Q36+Y36+AG36</x:f>
        <x:v>664.5503600871227</x:v>
      </x:c>
      <x:c r="BZ36" s="47" t="n">
        <x:f>D36+L36+T36+AB36</x:f>
        <x:v>620</x:v>
      </x:c>
      <x:c r="CA36" s="65" t="n">
        <x:f>IF(BZ36&gt;0,BY36/BZ36,0)</x:f>
        <x:v>1.0718554194953593</x:v>
      </x:c>
    </x:row>
    <x:row r="37">
      <x:c r="A37" s="58" t="n">
        <x:v>1877</x:v>
      </x:c>
      <x:c r="B37" s="47" t="n">
        <x:f>Economy!P36</x:f>
        <x:v>313.74168532644137</x:v>
      </x:c>
      <x:c r="C37" s="45" t="n">
        <x:v>36060000</x:v>
      </x:c>
      <x:c r="D37" s="62" t="n">
        <x:f>Japan!B37</x:f>
        <x:v>540</x:v>
      </x:c>
      <x:c r="E37" s="68" t="n">
        <x:v>0.375</x:v>
      </x:c>
      <x:c r="F37" s="47" t="n">
        <x:f>IF(C37&gt;0,D37*1000000/C37,0)</x:f>
        <x:v>14.97504159733777</x:v>
      </x:c>
      <x:c r="G37" s="64" t="n">
        <x:f>IF(AND(E37&gt;0,F36&gt;0,B37&gt;0),MIN(conv_cap,conv_beta*jp_uplift*E37*MAX(0,LN(B37/(F36*H36)))),0)</x:f>
        <x:v>0.011222701630789408</x:v>
      </x:c>
      <x:c r="H37" s="65" t="n">
        <x:f>H36*(1+G37)</x:f>
        <x:v>1.0978579621806446</x:v>
      </x:c>
      <x:c r="I37" s="47" t="n">
        <x:f>D37*H37</x:f>
        <x:v>592.8432995775481</x:v>
      </x:c>
      <x:c r="J37" s="67" t="n">
        <x:f>IF(C37&gt;0,I37*1000000/C37/Economy!Q37,0)</x:f>
        <x:v>0.08744930133842357</x:v>
      </x:c>
      <x:c r="K37" s="62" t="n">
        <x:f>Gulf!B37</x:f>
        <x:v>0</x:v>
      </x:c>
      <x:c r="L37" s="47" t="n">
        <x:f>Gulf!B37*Gulf!C37*Economy!Q37/1000000</x:f>
        <x:v>0</x:v>
      </x:c>
      <x:c r="M37" s="68" t="n">
        <x:v>0</x:v>
      </x:c>
      <x:c r="N37" s="47" t="n">
        <x:f>IF(K37&gt;0,L37*1000000/K37,0)</x:f>
        <x:v>0</x:v>
      </x:c>
      <x:c r="O37" s="64" t="n">
        <x:f>IF(AND(M37&gt;0,N36&gt;0,B37&gt;0),MIN(conv_cap,conv_beta*1*M37*MAX(0,LN(B37/(N36*P36)))),0)</x:f>
        <x:v>0</x:v>
      </x:c>
      <x:c r="P37" s="65" t="n">
        <x:f>P36*(1+O37)</x:f>
        <x:v>1</x:v>
      </x:c>
      <x:c r="Q37" s="47" t="n">
        <x:f>L37*P37</x:f>
        <x:v>0</x:v>
      </x:c>
      <x:c r="R37" s="67" t="n">
        <x:f>IF(K37&gt;0,Q37*1000000/K37/Economy!Q37,0)</x:f>
        <x:v>0</x:v>
      </x:c>
      <x:c r="S37" s="62" t="n">
        <x:f>People!U37</x:f>
        <x:v>6055000</x:v>
      </x:c>
      <x:c r="T37" s="45" t="n">
        <x:v>102</x:v>
      </x:c>
      <x:c r="U37" s="68" t="n">
        <x:v>0.309</x:v>
      </x:c>
      <x:c r="V37" s="47" t="n">
        <x:f>IF(S37&gt;0,T37*1000000/S37,0)</x:f>
        <x:v>16.845582163501238</x:v>
      </x:c>
      <x:c r="W37" s="64" t="n">
        <x:f>IF(AND(U37&gt;0,V36&gt;0,B37&gt;0),MIN(conv_cap,conv_beta*1*U37*MAX(0,LN(B37/(V36*X36)))),0)</x:f>
        <x:v>0.009069642151664148</x:v>
      </x:c>
      <x:c r="X37" s="65" t="n">
        <x:f>X36*(1+W37)</x:f>
        <x:v>1.009069642151664</x:v>
      </x:c>
      <x:c r="Y37" s="47" t="n">
        <x:f>T37*X37</x:f>
        <x:v>102.92510349946973</x:v>
      </x:c>
      <x:c r="Z37" s="67" t="n">
        <x:f>IF(S37&gt;0,Y37*1000000/S37/Economy!Q37,0)</x:f>
        <x:v>0.09041683811468429</x:v>
      </x:c>
      <x:c r="AA37" s="45" t="n">
        <x:v>0</x:v>
      </x:c>
      <x:c r="AB37" s="45" t="n">
        <x:v>0</x:v>
      </x:c>
      <x:c r="AC37" s="68" t="n">
        <x:v>0</x:v>
      </x:c>
      <x:c r="AD37" s="47" t="n">
        <x:f>IF(AA37&gt;0,AB37*1000000/AA37,0)</x:f>
        <x:v>0</x:v>
      </x:c>
      <x:c r="AE37" s="64" t="n">
        <x:f>IF(AND(AC37&gt;0,AD36&gt;0,B37&gt;0),MIN(conv_cap,conv_beta*1*AC37*MAX(0,LN(B37/(AD36*AF36)))),0)</x:f>
        <x:v>0</x:v>
      </x:c>
      <x:c r="AF37" s="65" t="n">
        <x:f>AF36*(1+AE37)</x:f>
        <x:v>1</x:v>
      </x:c>
      <x:c r="AG37" s="47" t="n">
        <x:f>AB37*AF37</x:f>
        <x:v>0</x:v>
      </x:c>
      <x:c r="AH37" s="67" t="n">
        <x:f>IF(AA37&gt;0,AG37*1000000/AA37/Economy!Q37,0)</x:f>
        <x:v>0</x:v>
      </x:c>
      <x:c r="AI37" s="45" t="n">
        <x:v>367800000</x:v>
      </x:c>
      <x:c r="AJ37" s="45" t="n">
        <x:v>3617</x:v>
      </x:c>
      <x:c r="AK37" s="68" t="n">
        <x:v>0.108</x:v>
      </x:c>
      <x:c r="AL37" s="47" t="n">
        <x:f>IF(AI37&gt;0,AJ37*1000000/AI37,0)</x:f>
        <x:v>9.834148994018488</x:v>
      </x:c>
      <x:c r="AM37" s="64" t="n">
        <x:f>IF(AND(AK37&gt;0,AL36&gt;0,B37&gt;0),MIN(conv_cap,conv_beta*1*AK37*MAX(0,LN(B37/(AL36*AN36)))),0)</x:f>
        <x:v>0.0037003603969449246</x:v>
      </x:c>
      <x:c r="AN37" s="65" t="n">
        <x:f>AN36*(1+AM37)</x:f>
        <x:v>1.0418941988921115</x:v>
      </x:c>
      <x:c r="AO37" s="47" t="n">
        <x:f>AJ37*AN37</x:f>
        <x:v>3768.5313173927675</x:v>
      </x:c>
      <x:c r="AP37" s="67" t="n">
        <x:f>IF(AI37&gt;0,AO37*1000000/AI37/Economy!Q37,0)</x:f>
        <x:v>0.054500759510151896</x:v>
      </x:c>
      <x:c r="AQ37" s="45" t="n">
        <x:v>10470000</x:v>
      </x:c>
      <x:c r="AR37" s="45" t="n">
        <x:v>173</x:v>
      </x:c>
      <x:c r="AS37" s="68" t="n">
        <x:v>0</x:v>
      </x:c>
      <x:c r="AT37" s="47" t="n">
        <x:f>IF(AQ37&gt;0,AR37*1000000/AQ37,0)</x:f>
        <x:v>16.523400191021967</x:v>
      </x:c>
      <x:c r="AU37" s="64" t="n">
        <x:f>IF(AND(AS37&gt;0,AT36&gt;0,B37&gt;0),MIN(conv_cap,conv_beta*1*AS37*MAX(0,LN(B37/(AT36*AV36)))),0)</x:f>
        <x:v>0</x:v>
      </x:c>
      <x:c r="AV37" s="65" t="n">
        <x:f>AV36*(1+AU37)</x:f>
        <x:v>1</x:v>
      </x:c>
      <x:c r="AW37" s="47" t="n">
        <x:f>AR37*AV37</x:f>
        <x:v>173</x:v>
      </x:c>
      <x:c r="AX37" s="67" t="n">
        <x:f>IF(AQ37&gt;0,AW37*1000000/AQ37/Economy!Q37,0)</x:f>
        <x:v>0.08789042654798919</x:v>
      </x:c>
      <x:c r="AY37" s="45" t="n">
        <x:v>57000000</x:v>
      </x:c>
      <x:c r="AZ37" s="45" t="n">
        <x:v>1157</x:v>
      </x:c>
      <x:c r="BA37" s="68" t="n">
        <x:v>0</x:v>
      </x:c>
      <x:c r="BB37" s="47" t="n">
        <x:f>IF(AY37&gt;0,AZ37*1000000/AY37,0)</x:f>
        <x:v>20.29824561403509</x:v>
      </x:c>
      <x:c r="BC37" s="64" t="n">
        <x:f>IF(AND(BA37&gt;0,BB36&gt;0,B37&gt;0),MIN(conv_cap,conv_beta*1*BA37*MAX(0,LN(B37/(BB36*BD36)))),0)</x:f>
        <x:v>0</x:v>
      </x:c>
      <x:c r="BD37" s="65" t="n">
        <x:f>BD36*(1+BC37)</x:f>
        <x:v>1</x:v>
      </x:c>
      <x:c r="BE37" s="47" t="n">
        <x:f>AZ37*BD37</x:f>
        <x:v>1157</x:v>
      </x:c>
      <x:c r="BF37" s="67" t="n">
        <x:f>IF(AY37&gt;0,BE37*1000000/AY37/Economy!Q37,0)</x:f>
        <x:v>0.10796939156401643</x:v>
      </x:c>
      <x:c r="BG37" s="45" t="n">
        <x:v>23900000</x:v>
      </x:c>
      <x:c r="BH37" s="45" t="n">
        <x:v>1280</x:v>
      </x:c>
      <x:c r="BI37" s="68" t="n">
        <x:v>0.073</x:v>
      </x:c>
      <x:c r="BJ37" s="47" t="n">
        <x:f>IF(BG37&gt;0,BH37*1000000/BG37,0)</x:f>
        <x:v>53.55648535564853</x:v>
      </x:c>
      <x:c r="BK37" s="64" t="n">
        <x:f>IF(AND(BI37&gt;0,BJ36&gt;0,B37&gt;0),MIN(conv_cap,conv_beta*1*BI37*MAX(0,LN(B37/(BJ36*BL36)))),0)</x:f>
        <x:v>0.0012995432917661588</x:v>
      </x:c>
      <x:c r="BL37" s="65" t="n">
        <x:f>BL36*(1+BK37)</x:f>
        <x:v>1.0080849602920625</x:v>
      </x:c>
      <x:c r="BM37" s="47" t="n">
        <x:f>BH37*BL37</x:f>
        <x:v>1290.3487491738401</x:v>
      </x:c>
      <x:c r="BN37" s="67" t="n">
        <x:f>IF(BG37&gt;0,BM37*1000000/BG37/Economy!Q37,0)</x:f>
        <x:v>0.2871781245379329</x:v>
      </x:c>
      <x:c r="BO37" s="45" t="n">
        <x:v>12500000</x:v>
      </x:c>
      <x:c r="BP37" s="45" t="n">
        <x:v>570</x:v>
      </x:c>
      <x:c r="BQ37" s="68" t="n">
        <x:v>0</x:v>
      </x:c>
      <x:c r="BR37" s="47" t="n">
        <x:f>IF(BO37&gt;0,BP37*1000000/BO37,0)</x:f>
        <x:v>45.6</x:v>
      </x:c>
      <x:c r="BS37" s="64" t="n">
        <x:f>IF(AND(BQ37&gt;0,BR36&gt;0,B37&gt;0),MIN(conv_cap,conv_beta*1*BQ37*MAX(0,LN(B37/(BR36*BT36)))),0)</x:f>
        <x:v>0</x:v>
      </x:c>
      <x:c r="BT37" s="65" t="n">
        <x:f>BT36*(1+BS37)</x:f>
        <x:v>1</x:v>
      </x:c>
      <x:c r="BU37" s="47" t="n">
        <x:f>BP37*BT37</x:f>
        <x:v>570</x:v>
      </x:c>
      <x:c r="BV37" s="67" t="n">
        <x:f>IF(BO37&gt;0,BU37*1000000/BO37/Economy!Q37,0)</x:f>
        <x:v>0.24255319148936172</x:v>
      </x:c>
      <x:c r="BW37" s="65" t="n">
        <x:f>0.25*IF(D37&gt;0,H37,1)+0.15*IF(AJ37&gt;0,AN37,1)+0.03*IF(AR37&gt;0,AV37,1)+0.08*IF(AZ37&gt;0,BD37,1)+0.12*IF(BH37&gt;0,BL37,1)+0.1*IF(L37&gt;0,P37,1)+0.07*IF(T37&gt;0,X37,1)+0.05*IF(AB37&gt;0,AF37,1)+0.05*IF(BP37&gt;0,BT37,1)+0.1</x:f>
        <x:v>1.032353690564642</x:v>
      </x:c>
      <x:c r="BX37" s="63" t="n">
        <x:f>MIN(mkt_cap,mkt_elast*MAX(0,BW37-1))</x:f>
        <x:v>0.016176845282320995</x:v>
      </x:c>
      <x:c r="BY37" s="47" t="n">
        <x:f>I37+Q37+Y37+AG37</x:f>
        <x:v>695.7684030770179</x:v>
      </x:c>
      <x:c r="BZ37" s="47" t="n">
        <x:f>D37+L37+T37+AB37</x:f>
        <x:v>642</x:v>
      </x:c>
      <x:c r="CA37" s="65" t="n">
        <x:f>IF(BZ37&gt;0,BY37/BZ37,0)</x:f>
        <x:v>1.0837514066620215</x:v>
      </x:c>
    </x:row>
    <x:row r="38">
      <x:c r="A38" s="58" t="n">
        <x:v>1878</x:v>
      </x:c>
      <x:c r="B38" s="47" t="n">
        <x:f>Economy!P37</x:f>
        <x:v>309.5609039662246</x:v>
      </x:c>
      <x:c r="C38" s="45" t="n">
        <x:v>36240000</x:v>
      </x:c>
      <x:c r="D38" s="62" t="n">
        <x:f>Japan!B38</x:f>
        <x:v>560</x:v>
      </x:c>
      <x:c r="E38" s="68" t="n">
        <x:v>0.383</x:v>
      </x:c>
      <x:c r="F38" s="47" t="n">
        <x:f>IF(C38&gt;0,D38*1000000/C38,0)</x:f>
        <x:v>15.45253863134658</x:v>
      </x:c>
      <x:c r="G38" s="64" t="n">
        <x:f>IF(AND(E38&gt;0,F37&gt;0,B38&gt;0),MIN(conv_cap,conv_beta*jp_uplift*E38*MAX(0,LN(B38/(F37*H37)))),0)</x:f>
        <x:v>0.011242616311251643</x:v>
      </x:c>
      <x:c r="H38" s="65" t="n">
        <x:f>H37*(1+G38)</x:f>
        <x:v>1.1102007580136941</x:v>
      </x:c>
      <x:c r="I38" s="47" t="n">
        <x:f>D38*H38</x:f>
        <x:v>621.7124244876687</x:v>
      </x:c>
      <x:c r="J38" s="67" t="n">
        <x:f>IF(C38&gt;0,I38*1000000/C38/Economy!Q38,0)</x:f>
        <x:v>0.0879765133423429</x:v>
      </x:c>
      <x:c r="K38" s="62" t="n">
        <x:f>Gulf!B38</x:f>
        <x:v>0</x:v>
      </x:c>
      <x:c r="L38" s="47" t="n">
        <x:f>Gulf!B38*Gulf!C38*Economy!Q38/1000000</x:f>
        <x:v>0</x:v>
      </x:c>
      <x:c r="M38" s="68" t="n">
        <x:v>0</x:v>
      </x:c>
      <x:c r="N38" s="47" t="n">
        <x:f>IF(K38&gt;0,L38*1000000/K38,0)</x:f>
        <x:v>0</x:v>
      </x:c>
      <x:c r="O38" s="64" t="n">
        <x:f>IF(AND(M38&gt;0,N37&gt;0,B38&gt;0),MIN(conv_cap,conv_beta*1*M38*MAX(0,LN(B38/(N37*P37)))),0)</x:f>
        <x:v>0</x:v>
      </x:c>
      <x:c r="P38" s="65" t="n">
        <x:f>P37*(1+O38)</x:f>
        <x:v>1</x:v>
      </x:c>
      <x:c r="Q38" s="47" t="n">
        <x:f>L38*P38</x:f>
        <x:v>0</x:v>
      </x:c>
      <x:c r="R38" s="67" t="n">
        <x:f>IF(K38&gt;0,Q38*1000000/K38/Economy!Q38,0)</x:f>
        <x:v>0</x:v>
      </x:c>
      <x:c r="S38" s="62" t="n">
        <x:f>People!U38</x:f>
        <x:v>6109000</x:v>
      </x:c>
      <x:c r="T38" s="45" t="n">
        <x:v>104</x:v>
      </x:c>
      <x:c r="U38" s="68" t="n">
        <x:v>0.318</x:v>
      </x:c>
      <x:c r="V38" s="47" t="n">
        <x:f>IF(S38&gt;0,T38*1000000/S38,0)</x:f>
        <x:v>17.024062858078246</x:v>
      </x:c>
      <x:c r="W38" s="64" t="n">
        <x:f>IF(AND(U38&gt;0,V37&gt;0,B38&gt;0),MIN(conv_cap,conv_beta*1*U38*MAX(0,LN(B38/(V37*X37)))),0)</x:f>
        <x:v>0.009228479753492506</x:v>
      </x:c>
      <x:c r="X38" s="65" t="n">
        <x:f>X37*(1+W38)</x:f>
        <x:v>1.0183818209141247</x:v>
      </x:c>
      <x:c r="Y38" s="47" t="n">
        <x:f>T38*X38</x:f>
        <x:v>105.91170937506897</x:v>
      </x:c>
      <x:c r="Z38" s="67" t="n">
        <x:f>IF(S38&gt;0,Y38*1000000/S38/Economy!Q38,0)</x:f>
        <x:v>0.08890767247572431</x:v>
      </x:c>
      <x:c r="AA38" s="45" t="n">
        <x:v>0</x:v>
      </x:c>
      <x:c r="AB38" s="45" t="n">
        <x:v>0</x:v>
      </x:c>
      <x:c r="AC38" s="68" t="n">
        <x:v>0</x:v>
      </x:c>
      <x:c r="AD38" s="47" t="n">
        <x:f>IF(AA38&gt;0,AB38*1000000/AA38,0)</x:f>
        <x:v>0</x:v>
      </x:c>
      <x:c r="AE38" s="64" t="n">
        <x:f>IF(AND(AC38&gt;0,AD37&gt;0,B38&gt;0),MIN(conv_cap,conv_beta*1*AC38*MAX(0,LN(B38/(AD37*AF37)))),0)</x:f>
        <x:v>0</x:v>
      </x:c>
      <x:c r="AF38" s="65" t="n">
        <x:f>AF37*(1+AE38)</x:f>
        <x:v>1</x:v>
      </x:c>
      <x:c r="AG38" s="47" t="n">
        <x:f>AB38*AF38</x:f>
        <x:v>0</x:v>
      </x:c>
      <x:c r="AH38" s="67" t="n">
        <x:f>IF(AA38&gt;0,AG38*1000000/AA38/Economy!Q38,0)</x:f>
        <x:v>0</x:v>
      </x:c>
      <x:c r="AI38" s="45" t="n">
        <x:v>369200000</x:v>
      </x:c>
      <x:c r="AJ38" s="45" t="n">
        <x:v>3633</x:v>
      </x:c>
      <x:c r="AK38" s="68" t="n">
        <x:v>0.113</x:v>
      </x:c>
      <x:c r="AL38" s="47" t="n">
        <x:f>IF(AI38&gt;0,AJ38*1000000/AI38,0)</x:f>
        <x:v>9.840195016251354</x:v>
      </x:c>
      <x:c r="AM38" s="64" t="n">
        <x:f>IF(AND(AK38&gt;0,AL37&gt;0,B38&gt;0),MIN(conv_cap,conv_beta*1*AK38*MAX(0,LN(B38/(AL37*AN37)))),0)</x:f>
        <x:v>0.0038513264924898163</x:v>
      </x:c>
      <x:c r="AN38" s="65" t="n">
        <x:f>AN37*(1+AM38)</x:f>
        <x:v>1.0459068736226762</x:v>
      </x:c>
      <x:c r="AO38" s="47" t="n">
        <x:f>AJ38*AN38</x:f>
        <x:v>3799.7796718711825</x:v>
      </x:c>
      <x:c r="AP38" s="67" t="n">
        <x:f>IF(AI38&gt;0,AO38*1000000/AI38/Economy!Q38,0)</x:f>
        <x:v>0.05277911592453791</x:v>
      </x:c>
      <x:c r="AQ38" s="45" t="n">
        <x:v>10530000</x:v>
      </x:c>
      <x:c r="AR38" s="45" t="n">
        <x:v>177</x:v>
      </x:c>
      <x:c r="AS38" s="68" t="n">
        <x:v>0</x:v>
      </x:c>
      <x:c r="AT38" s="47" t="n">
        <x:f>IF(AQ38&gt;0,AR38*1000000/AQ38,0)</x:f>
        <x:v>16.80911680911681</x:v>
      </x:c>
      <x:c r="AU38" s="64" t="n">
        <x:f>IF(AND(AS38&gt;0,AT37&gt;0,B38&gt;0),MIN(conv_cap,conv_beta*1*AS38*MAX(0,LN(B38/(AT37*AV37)))),0)</x:f>
        <x:v>0</x:v>
      </x:c>
      <x:c r="AV38" s="65" t="n">
        <x:f>AV37*(1+AU38)</x:f>
        <x:v>1</x:v>
      </x:c>
      <x:c r="AW38" s="47" t="n">
        <x:f>AR38*AV38</x:f>
        <x:v>177</x:v>
      </x:c>
      <x:c r="AX38" s="67" t="n">
        <x:f>IF(AQ38&gt;0,AW38*1000000/AQ38/Economy!Q38,0)</x:f>
        <x:v>0.08620059902111184</x:v>
      </x:c>
      <x:c r="AY38" s="45" t="n">
        <x:v>58000000</x:v>
      </x:c>
      <x:c r="AZ38" s="45" t="n">
        <x:v>1193</x:v>
      </x:c>
      <x:c r="BA38" s="68" t="n">
        <x:v>0</x:v>
      </x:c>
      <x:c r="BB38" s="47" t="n">
        <x:f>IF(AY38&gt;0,AZ38*1000000/AY38,0)</x:f>
        <x:v>20.56896551724138</x:v>
      </x:c>
      <x:c r="BC38" s="64" t="n">
        <x:f>IF(AND(BA38&gt;0,BB37&gt;0,B38&gt;0),MIN(conv_cap,conv_beta*1*BA38*MAX(0,LN(B38/(BB37*BD37)))),0)</x:f>
        <x:v>0</x:v>
      </x:c>
      <x:c r="BD38" s="65" t="n">
        <x:f>BD37*(1+BC38)</x:f>
        <x:v>1</x:v>
      </x:c>
      <x:c r="BE38" s="47" t="n">
        <x:f>AZ38*BD38</x:f>
        <x:v>1193</x:v>
      </x:c>
      <x:c r="BF38" s="67" t="n">
        <x:f>IF(AY38&gt;0,BE38*1000000/AY38/Economy!Q38,0)</x:f>
        <x:v>0.1054818744473917</x:v>
      </x:c>
      <x:c r="BG38" s="45" t="n">
        <x:v>24100000</x:v>
      </x:c>
      <x:c r="BH38" s="45" t="n">
        <x:v>1320</x:v>
      </x:c>
      <x:c r="BI38" s="68" t="n">
        <x:v>0.077</x:v>
      </x:c>
      <x:c r="BJ38" s="47" t="n">
        <x:f>IF(BG38&gt;0,BH38*1000000/BG38,0)</x:f>
        <x:v>54.77178423236514</x:v>
      </x:c>
      <x:c r="BK38" s="64" t="n">
        <x:f>IF(AND(BI38&gt;0,BJ37&gt;0,B38&gt;0),MIN(conv_cap,conv_beta*1*BI38*MAX(0,LN(B38/(BJ37*BL37)))),0)</x:f>
        <x:v>0.0013447014384536692</x:v>
      </x:c>
      <x:c r="BL38" s="65" t="n">
        <x:f>BL37*(1+BK38)</x:f>
        <x:v>1.0094405335882508</x:v>
      </x:c>
      <x:c r="BM38" s="47" t="n">
        <x:f>BH38*BL38</x:f>
        <x:v>1332.461504336491</x:v>
      </x:c>
      <x:c r="BN38" s="67" t="n">
        <x:f>IF(BG38&gt;0,BM38*1000000/BG38/Economy!Q38,0)</x:f>
        <x:v>0.28353261077486774</x:v>
      </x:c>
      <x:c r="BO38" s="45" t="n">
        <x:v>12500000</x:v>
      </x:c>
      <x:c r="BP38" s="45" t="n">
        <x:v>580</x:v>
      </x:c>
      <x:c r="BQ38" s="68" t="n">
        <x:v>0</x:v>
      </x:c>
      <x:c r="BR38" s="47" t="n">
        <x:f>IF(BO38&gt;0,BP38*1000000/BO38,0)</x:f>
        <x:v>46.4</x:v>
      </x:c>
      <x:c r="BS38" s="64" t="n">
        <x:f>IF(AND(BQ38&gt;0,BR37&gt;0,B38&gt;0),MIN(conv_cap,conv_beta*1*BQ38*MAX(0,LN(B38/(BR37*BT37)))),0)</x:f>
        <x:v>0</x:v>
      </x:c>
      <x:c r="BT38" s="65" t="n">
        <x:f>BT37*(1+BS38)</x:f>
        <x:v>1</x:v>
      </x:c>
      <x:c r="BU38" s="47" t="n">
        <x:f>BP38*BT38</x:f>
        <x:v>580</x:v>
      </x:c>
      <x:c r="BV38" s="67" t="n">
        <x:f>IF(BO38&gt;0,BU38*1000000/BO38/Economy!Q38,0)</x:f>
        <x:v>0.23794871794871794</x:v>
      </x:c>
      <x:c r="BW38" s="65" t="n">
        <x:f>0.25*IF(D38&gt;0,H38,1)+0.15*IF(AJ38&gt;0,AN38,1)+0.03*IF(AR38&gt;0,AV38,1)+0.08*IF(AZ38&gt;0,BD38,1)+0.12*IF(BH38&gt;0,BL38,1)+0.1*IF(L38&gt;0,P38,1)+0.07*IF(T38&gt;0,X38,1)+0.05*IF(AB38&gt;0,AF38,1)+0.05*IF(BP38&gt;0,BT38,1)+0.1</x:f>
        <x:v>1.036855812041404</x:v>
      </x:c>
      <x:c r="BX38" s="63" t="n">
        <x:f>MIN(mkt_cap,mkt_elast*MAX(0,BW38-1))</x:f>
        <x:v>0.01842790602070199</x:v>
      </x:c>
      <x:c r="BY38" s="47" t="n">
        <x:f>I38+Q38+Y38+AG38</x:f>
        <x:v>727.6241338627377</x:v>
      </x:c>
      <x:c r="BZ38" s="47" t="n">
        <x:f>D38+L38+T38+AB38</x:f>
        <x:v>664</x:v>
      </x:c>
      <x:c r="CA38" s="65" t="n">
        <x:f>IF(BZ38&gt;0,BY38/BZ38,0)</x:f>
        <x:v>1.0958194787089424</x:v>
      </x:c>
    </x:row>
    <x:row r="39">
      <x:c r="A39" s="58" t="n">
        <x:v>1879</x:v>
      </x:c>
      <x:c r="B39" s="47" t="n">
        <x:f>Economy!P38</x:f>
        <x:v>311.45366527460124</x:v>
      </x:c>
      <x:c r="C39" s="45" t="n">
        <x:v>36420000</x:v>
      </x:c>
      <x:c r="D39" s="62" t="n">
        <x:f>Japan!B39</x:f>
        <x:v>580</x:v>
      </x:c>
      <x:c r="E39" s="68" t="n">
        <x:v>0.392</x:v>
      </x:c>
      <x:c r="F39" s="47" t="n">
        <x:f>IF(C39&gt;0,D39*1000000/C39,0)</x:f>
        <x:v>15.925315760571115</x:v>
      </x:c>
      <x:c r="G39" s="64" t="n">
        <x:f>IF(AND(E39&gt;0,F38&gt;0,B39&gt;0),MIN(conv_cap,conv_beta*jp_uplift*E39*MAX(0,LN(B39/(F38*H38)))),0)</x:f>
        <x:v>0.01136383074856878</x:v>
      </x:c>
      <x:c r="H39" s="65" t="n">
        <x:f>H38*(1+G39)</x:f>
        <x:v>1.1228168915246945</x:v>
      </x:c>
      <x:c r="I39" s="47" t="n">
        <x:f>D39*H39</x:f>
        <x:v>651.2337970843229</x:v>
      </x:c>
      <x:c r="J39" s="67" t="n">
        <x:f>IF(C39&gt;0,I39*1000000/C39/Economy!Q39,0)</x:f>
        <x:v>0.08896126138723227</x:v>
      </x:c>
      <x:c r="K39" s="62" t="n">
        <x:f>Gulf!B39</x:f>
        <x:v>0</x:v>
      </x:c>
      <x:c r="L39" s="47" t="n">
        <x:f>Gulf!B39*Gulf!C39*Economy!Q39/1000000</x:f>
        <x:v>0</x:v>
      </x:c>
      <x:c r="M39" s="68" t="n">
        <x:v>0</x:v>
      </x:c>
      <x:c r="N39" s="47" t="n">
        <x:f>IF(K39&gt;0,L39*1000000/K39,0)</x:f>
        <x:v>0</x:v>
      </x:c>
      <x:c r="O39" s="64" t="n">
        <x:f>IF(AND(M39&gt;0,N38&gt;0,B39&gt;0),MIN(conv_cap,conv_beta*1*M39*MAX(0,LN(B39/(N38*P38)))),0)</x:f>
        <x:v>0</x:v>
      </x:c>
      <x:c r="P39" s="65" t="n">
        <x:f>P38*(1+O39)</x:f>
        <x:v>1</x:v>
      </x:c>
      <x:c r="Q39" s="47" t="n">
        <x:f>L39*P39</x:f>
        <x:v>0</x:v>
      </x:c>
      <x:c r="R39" s="67" t="n">
        <x:f>IF(K39&gt;0,Q39*1000000/K39/Economy!Q39,0)</x:f>
        <x:v>0</x:v>
      </x:c>
      <x:c r="S39" s="62" t="n">
        <x:f>People!U39</x:f>
        <x:v>6164000</x:v>
      </x:c>
      <x:c r="T39" s="45" t="n">
        <x:v>105</x:v>
      </x:c>
      <x:c r="U39" s="68" t="n">
        <x:v>0.327</x:v>
      </x:c>
      <x:c r="V39" s="47" t="n">
        <x:f>IF(S39&gt;0,T39*1000000/S39,0)</x:f>
        <x:v>17.034393251135626</x:v>
      </x:c>
      <x:c r="W39" s="64" t="n">
        <x:f>IF(AND(U39&gt;0,V38&gt;0,B39&gt;0),MIN(conv_cap,conv_beta*1*U39*MAX(0,LN(B39/(V38*X38)))),0)</x:f>
        <x:v>0.009445093692750527</x:v>
      </x:c>
      <x:c r="X39" s="65" t="n">
        <x:f>X38*(1+W39)</x:f>
        <x:v>1.0280005326276525</x:v>
      </x:c>
      <x:c r="Y39" s="47" t="n">
        <x:f>T39*X39</x:f>
        <x:v>107.94005592590351</x:v>
      </x:c>
      <x:c r="Z39" s="67" t="n">
        <x:f>IF(S39&gt;0,Y39*1000000/S39/Economy!Q39,0)</x:f>
        <x:v>0.08712122057291698</x:v>
      </x:c>
      <x:c r="AA39" s="45" t="n">
        <x:v>0</x:v>
      </x:c>
      <x:c r="AB39" s="45" t="n">
        <x:v>0</x:v>
      </x:c>
      <x:c r="AC39" s="68" t="n">
        <x:v>0</x:v>
      </x:c>
      <x:c r="AD39" s="47" t="n">
        <x:f>IF(AA39&gt;0,AB39*1000000/AA39,0)</x:f>
        <x:v>0</x:v>
      </x:c>
      <x:c r="AE39" s="64" t="n">
        <x:f>IF(AND(AC39&gt;0,AD38&gt;0,B39&gt;0),MIN(conv_cap,conv_beta*1*AC39*MAX(0,LN(B39/(AD38*AF38)))),0)</x:f>
        <x:v>0</x:v>
      </x:c>
      <x:c r="AF39" s="65" t="n">
        <x:f>AF38*(1+AE39)</x:f>
        <x:v>1</x:v>
      </x:c>
      <x:c r="AG39" s="47" t="n">
        <x:f>AB39*AF39</x:f>
        <x:v>0</x:v>
      </x:c>
      <x:c r="AH39" s="67" t="n">
        <x:f>IF(AA39&gt;0,AG39*1000000/AA39/Economy!Q39,0)</x:f>
        <x:v>0</x:v>
      </x:c>
      <x:c r="AI39" s="45" t="n">
        <x:v>370600000</x:v>
      </x:c>
      <x:c r="AJ39" s="45" t="n">
        <x:v>3650</x:v>
      </x:c>
      <x:c r="AK39" s="68" t="n">
        <x:v>0.117</x:v>
      </x:c>
      <x:c r="AL39" s="47" t="n">
        <x:f>IF(AI39&gt;0,AJ39*1000000/AI39,0)</x:f>
        <x:v>9.848893685914733</x:v>
      </x:c>
      <x:c r="AM39" s="64" t="n">
        <x:f>IF(AND(AK39&gt;0,AL38&gt;0,B39&gt;0),MIN(conv_cap,conv_beta*1*AK39*MAX(0,LN(B39/(AL38*AN38)))),0)</x:f>
        <x:v>0.003989572142087895</x:v>
      </x:c>
      <x:c r="AN39" s="65" t="n">
        <x:f>AN38*(1+AM39)</x:f>
        <x:v>1.0500795945488994</x:v>
      </x:c>
      <x:c r="AO39" s="47" t="n">
        <x:f>AJ39*AN39</x:f>
        <x:v>3832.790520103483</x:v>
      </x:c>
      <x:c r="AP39" s="67" t="n">
        <x:f>IF(AI39&gt;0,AO39*1000000/AI39/Economy!Q39,0)</x:f>
        <x:v>0.05145334471870924</x:v>
      </x:c>
      <x:c r="AQ39" s="45" t="n">
        <x:v>10600000</x:v>
      </x:c>
      <x:c r="AR39" s="45" t="n">
        <x:v>180</x:v>
      </x:c>
      <x:c r="AS39" s="68" t="n">
        <x:v>0</x:v>
      </x:c>
      <x:c r="AT39" s="47" t="n">
        <x:f>IF(AQ39&gt;0,AR39*1000000/AQ39,0)</x:f>
        <x:v>16.9811320754717</x:v>
      </x:c>
      <x:c r="AU39" s="64" t="n">
        <x:f>IF(AND(AS39&gt;0,AT38&gt;0,B39&gt;0),MIN(conv_cap,conv_beta*1*AS39*MAX(0,LN(B39/(AT38*AV38)))),0)</x:f>
        <x:v>0</x:v>
      </x:c>
      <x:c r="AV39" s="65" t="n">
        <x:f>AV38*(1+AU39)</x:f>
        <x:v>1</x:v>
      </x:c>
      <x:c r="AW39" s="47" t="n">
        <x:f>AR39*AV39</x:f>
        <x:v>180</x:v>
      </x:c>
      <x:c r="AX39" s="67" t="n">
        <x:f>IF(AQ39&gt;0,AW39*1000000/AQ39/Economy!Q39,0)</x:f>
        <x:v>0.08448324415657561</x:v>
      </x:c>
      <x:c r="AY39" s="45" t="n">
        <x:v>59000000</x:v>
      </x:c>
      <x:c r="AZ39" s="45" t="n">
        <x:v>1230</x:v>
      </x:c>
      <x:c r="BA39" s="68" t="n">
        <x:v>0</x:v>
      </x:c>
      <x:c r="BB39" s="47" t="n">
        <x:f>IF(AY39&gt;0,AZ39*1000000/AY39,0)</x:f>
        <x:v>20.847457627118644</x:v>
      </x:c>
      <x:c r="BC39" s="64" t="n">
        <x:f>IF(AND(BA39&gt;0,BB38&gt;0,B39&gt;0),MIN(conv_cap,conv_beta*1*BA39*MAX(0,LN(B39/(BB38*BD38)))),0)</x:f>
        <x:v>0</x:v>
      </x:c>
      <x:c r="BD39" s="65" t="n">
        <x:f>BD38*(1+BC39)</x:f>
        <x:v>1</x:v>
      </x:c>
      <x:c r="BE39" s="47" t="n">
        <x:f>AZ39*BD39</x:f>
        <x:v>1230</x:v>
      </x:c>
      <x:c r="BF39" s="67" t="n">
        <x:f>IF(AY39&gt;0,BE39*1000000/AY39/Economy!Q39,0)</x:f>
        <x:v>0.10371869466228181</x:v>
      </x:c>
      <x:c r="BG39" s="45" t="n">
        <x:v>24400000</x:v>
      </x:c>
      <x:c r="BH39" s="45" t="n">
        <x:v>1360</x:v>
      </x:c>
      <x:c r="BI39" s="68" t="n">
        <x:v>0.08</x:v>
      </x:c>
      <x:c r="BJ39" s="47" t="n">
        <x:f>IF(BG39&gt;0,BH39*1000000/BG39,0)</x:f>
        <x:v>55.73770491803279</x:v>
      </x:c>
      <x:c r="BK39" s="64" t="n">
        <x:f>IF(AND(BI39&gt;0,BJ38&gt;0,B39&gt;0),MIN(conv_cap,conv_beta*1*BI39*MAX(0,LN(B39/(BJ38*BL38)))),0)</x:f>
        <x:v>0.0013829433237833694</x:v>
      </x:c>
      <x:c r="BL39" s="65" t="n">
        <x:f>BL38*(1+BK39)</x:f>
        <x:v>1.010836532634933</x:v>
      </x:c>
      <x:c r="BM39" s="47" t="n">
        <x:f>BH39*BL39</x:f>
        <x:v>1374.7376843835086</x:v>
      </x:c>
      <x:c r="BN39" s="67" t="n">
        <x:f>IF(BG39&gt;0,BM39*1000000/BG39/Economy!Q39,0)</x:f>
        <x:v>0.2803070068476284</x:v>
      </x:c>
      <x:c r="BO39" s="45" t="n">
        <x:v>12600000</x:v>
      </x:c>
      <x:c r="BP39" s="45" t="n">
        <x:v>590</x:v>
      </x:c>
      <x:c r="BQ39" s="68" t="n">
        <x:v>0</x:v>
      </x:c>
      <x:c r="BR39" s="47" t="n">
        <x:f>IF(BO39&gt;0,BP39*1000000/BO39,0)</x:f>
        <x:v>46.82539682539682</x:v>
      </x:c>
      <x:c r="BS39" s="64" t="n">
        <x:f>IF(AND(BQ39&gt;0,BR38&gt;0,B39&gt;0),MIN(conv_cap,conv_beta*1*BQ39*MAX(0,LN(B39/(BR38*BT38)))),0)</x:f>
        <x:v>0</x:v>
      </x:c>
      <x:c r="BT39" s="65" t="n">
        <x:f>BT38*(1+BS39)</x:f>
        <x:v>1</x:v>
      </x:c>
      <x:c r="BU39" s="47" t="n">
        <x:f>BP39*BT39</x:f>
        <x:v>590</x:v>
      </x:c>
      <x:c r="BV39" s="67" t="n">
        <x:f>IF(BO39&gt;0,BU39*1000000/BO39/Economy!Q39,0)</x:f>
        <x:v>0.23296217326068072</x:v>
      </x:c>
      <x:c r="BW39" s="65" t="n">
        <x:f>0.25*IF(D39&gt;0,H39,1)+0.15*IF(AJ39&gt;0,AN39,1)+0.03*IF(AR39&gt;0,AV39,1)+0.08*IF(AZ39&gt;0,BD39,1)+0.12*IF(BH39&gt;0,BL39,1)+0.1*IF(L39&gt;0,P39,1)+0.07*IF(T39&gt;0,X39,1)+0.05*IF(AB39&gt;0,AF39,1)+0.05*IF(BP39&gt;0,BT39,1)+0.1</x:f>
        <x:v>1.0414765832636363</x:v>
      </x:c>
      <x:c r="BX39" s="63" t="n">
        <x:f>MIN(mkt_cap,mkt_elast*MAX(0,BW39-1))</x:f>
        <x:v>0.020738291631818173</x:v>
      </x:c>
      <x:c r="BY39" s="47" t="n">
        <x:f>I39+Q39+Y39+AG39</x:f>
        <x:v>759.1738530102264</x:v>
      </x:c>
      <x:c r="BZ39" s="47" t="n">
        <x:f>D39+L39+T39+AB39</x:f>
        <x:v>685</x:v>
      </x:c>
      <x:c r="CA39" s="65" t="n">
        <x:f>IF(BZ39&gt;0,BY39/BZ39,0)</x:f>
        <x:v>1.108282997095221</x:v>
      </x:c>
    </x:row>
    <x:row r="40">
      <x:c r="A40" s="58" t="n">
        <x:v>1880</x:v>
      </x:c>
      <x:c r="B40" s="47" t="n">
        <x:f>Economy!P39</x:f>
        <x:v>309.0355882467102</x:v>
      </x:c>
      <x:c r="C40" s="45" t="n">
        <x:v>36600000</x:v>
      </x:c>
      <x:c r="D40" s="62" t="n">
        <x:f>Japan!B40</x:f>
        <x:v>600</x:v>
      </x:c>
      <x:c r="E40" s="68" t="n">
        <x:v>0.4</x:v>
      </x:c>
      <x:c r="F40" s="47" t="n">
        <x:f>IF(C40&gt;0,D40*1000000/C40,0)</x:f>
        <x:v>16.39344262295082</x:v>
      </x:c>
      <x:c r="G40" s="64" t="n">
        <x:f>IF(AND(E40&gt;0,F39&gt;0,B40&gt;0),MIN(conv_cap,conv_beta*jp_uplift*E40*MAX(0,LN(B40/(F39*H39)))),0)</x:f>
        <x:v>0.011398823215374937</x:v>
      </x:c>
      <x:c r="H40" s="65" t="n">
        <x:f>H39*(1+G40)</x:f>
        <x:v>1.1356156827744215</x:v>
      </x:c>
      <x:c r="I40" s="47" t="n">
        <x:f>D40*H40</x:f>
        <x:v>681.369409664653</x:v>
      </x:c>
      <x:c r="J40" s="67" t="n">
        <x:f>IF(C40&gt;0,I40*1000000/C40/Economy!Q40,0)</x:f>
        <x:v>0.08950312758310384</x:v>
      </x:c>
      <x:c r="K40" s="62" t="n">
        <x:f>Gulf!B40</x:f>
        <x:v>0</x:v>
      </x:c>
      <x:c r="L40" s="47" t="n">
        <x:f>Gulf!B40*Gulf!C40*Economy!Q40/1000000</x:f>
        <x:v>0</x:v>
      </x:c>
      <x:c r="M40" s="68" t="n">
        <x:v>0</x:v>
      </x:c>
      <x:c r="N40" s="47" t="n">
        <x:f>IF(K40&gt;0,L40*1000000/K40,0)</x:f>
        <x:v>0</x:v>
      </x:c>
      <x:c r="O40" s="64" t="n">
        <x:f>IF(AND(M40&gt;0,N39&gt;0,B40&gt;0),MIN(conv_cap,conv_beta*1*M40*MAX(0,LN(B40/(N39*P39)))),0)</x:f>
        <x:v>0</x:v>
      </x:c>
      <x:c r="P40" s="65" t="n">
        <x:f>P39*(1+O40)</x:f>
        <x:v>1</x:v>
      </x:c>
      <x:c r="Q40" s="47" t="n">
        <x:f>L40*P40</x:f>
        <x:v>0</x:v>
      </x:c>
      <x:c r="R40" s="67" t="n">
        <x:f>IF(K40&gt;0,Q40*1000000/K40/Economy!Q40,0)</x:f>
        <x:v>0</x:v>
      </x:c>
      <x:c r="S40" s="62" t="n">
        <x:f>People!U40</x:f>
        <x:v>6218000</x:v>
      </x:c>
      <x:c r="T40" s="45" t="n">
        <x:v>107</x:v>
      </x:c>
      <x:c r="U40" s="68" t="n">
        <x:v>0.336</x:v>
      </x:c>
      <x:c r="V40" s="47" t="n">
        <x:f>IF(S40&gt;0,T40*1000000/S40,0)</x:f>
        <x:v>17.208105500160823</x:v>
      </x:c>
      <x:c r="W40" s="64" t="n">
        <x:f>IF(AND(U40&gt;0,V39&gt;0,B40&gt;0),MIN(conv_cap,conv_beta*1*U40*MAX(0,LN(B40/(V39*X39)))),0)</x:f>
        <x:v>0.009645237251101522</x:v>
      </x:c>
      <x:c r="X40" s="65" t="n">
        <x:f>X39*(1+W40)</x:f>
        <x:v>1.037915841659105</x:v>
      </x:c>
      <x:c r="Y40" s="47" t="n">
        <x:f>T40*X40</x:f>
        <x:v>111.05699505752423</x:v>
      </x:c>
      <x:c r="Z40" s="67" t="n">
        <x:f>IF(S40&gt;0,Y40*1000000/S40/Economy!Q40,0)</x:f>
        <x:v>0.08586810242095237</x:v>
      </x:c>
      <x:c r="AA40" s="45" t="n">
        <x:v>0</x:v>
      </x:c>
      <x:c r="AB40" s="45" t="n">
        <x:v>0</x:v>
      </x:c>
      <x:c r="AC40" s="68" t="n">
        <x:v>0</x:v>
      </x:c>
      <x:c r="AD40" s="47" t="n">
        <x:f>IF(AA40&gt;0,AB40*1000000/AA40,0)</x:f>
        <x:v>0</x:v>
      </x:c>
      <x:c r="AE40" s="64" t="n">
        <x:f>IF(AND(AC40&gt;0,AD39&gt;0,B40&gt;0),MIN(conv_cap,conv_beta*1*AC40*MAX(0,LN(B40/(AD39*AF39)))),0)</x:f>
        <x:v>0</x:v>
      </x:c>
      <x:c r="AF40" s="65" t="n">
        <x:f>AF39*(1+AE40)</x:f>
        <x:v>1</x:v>
      </x:c>
      <x:c r="AG40" s="47" t="n">
        <x:f>AB40*AF40</x:f>
        <x:v>0</x:v>
      </x:c>
      <x:c r="AH40" s="67" t="n">
        <x:f>IF(AA40&gt;0,AG40*1000000/AA40/Economy!Q40,0)</x:f>
        <x:v>0</x:v>
      </x:c>
      <x:c r="AI40" s="45" t="n">
        <x:v>372000000</x:v>
      </x:c>
      <x:c r="AJ40" s="45" t="n">
        <x:v>3667</x:v>
      </x:c>
      <x:c r="AK40" s="68" t="n">
        <x:v>0.121</x:v>
      </x:c>
      <x:c r="AL40" s="47" t="n">
        <x:f>IF(AI40&gt;0,AJ40*1000000/AI40,0)</x:f>
        <x:v>9.85752688172043</x:v>
      </x:c>
      <x:c r="AM40" s="64" t="n">
        <x:f>IF(AND(AK40&gt;0,AL39&gt;0,B40&gt;0),MIN(conv_cap,conv_beta*1*AK40*MAX(0,LN(B40/(AL39*AN39)))),0)</x:f>
        <x:v>0.004110649926519972</x:v>
      </x:c>
      <x:c r="AN40" s="65" t="n">
        <x:f>AN39*(1+AM40)</x:f>
        <x:v>1.054396104157072</x:v>
      </x:c>
      <x:c r="AO40" s="47" t="n">
        <x:f>AJ40*AN40</x:f>
        <x:v>3866.470513943983</x:v>
      </x:c>
      <x:c r="AP40" s="67" t="n">
        <x:f>IF(AI40&gt;0,AO40*1000000/AI40/Economy!Q40,0)</x:f>
        <x:v>0.049969893945719386</x:v>
      </x:c>
      <x:c r="AQ40" s="45" t="n">
        <x:v>10670000</x:v>
      </x:c>
      <x:c r="AR40" s="45" t="n">
        <x:v>183</x:v>
      </x:c>
      <x:c r="AS40" s="68" t="n">
        <x:v>0.1</x:v>
      </x:c>
      <x:c r="AT40" s="47" t="n">
        <x:f>IF(AQ40&gt;0,AR40*1000000/AQ40,0)</x:f>
        <x:v>17.150890346766637</x:v>
      </x:c>
      <x:c r="AU40" s="64" t="n">
        <x:f>IF(AND(AS40&gt;0,AT39&gt;0,B40&gt;0),MIN(conv_cap,conv_beta*1*AS40*MAX(0,LN(B40/(AT39*AV39)))),0)</x:f>
        <x:v>0.0029013535928131846</x:v>
      </x:c>
      <x:c r="AV40" s="65" t="n">
        <x:f>AV39*(1+AU40)</x:f>
        <x:v>1.0029013535928133</x:v>
      </x:c>
      <x:c r="AW40" s="47" t="n">
        <x:f>AR40*AV40</x:f>
        <x:v>183.53094770748484</x:v>
      </x:c>
      <x:c r="AX40" s="67" t="n">
        <x:f>IF(AQ40&gt;0,AW40*1000000/AQ40/Economy!Q40,0)</x:f>
        <x:v>0.08269543819276046</x:v>
      </x:c>
      <x:c r="AY40" s="45" t="n">
        <x:v>60000000</x:v>
      </x:c>
      <x:c r="AZ40" s="45" t="n">
        <x:v>1267</x:v>
      </x:c>
      <x:c r="BA40" s="68" t="n">
        <x:v>0.05</x:v>
      </x:c>
      <x:c r="BB40" s="47" t="n">
        <x:f>IF(AY40&gt;0,AZ40*1000000/AY40,0)</x:f>
        <x:v>21.116666666666667</x:v>
      </x:c>
      <x:c r="BC40" s="64" t="n">
        <x:f>IF(AND(BA40&gt;0,BB39&gt;0,B40&gt;0),MIN(conv_cap,conv_beta*1*BA40*MAX(0,LN(B40/(BB39*BD39)))),0)</x:f>
        <x:v>0.001348112219062315</x:v>
      </x:c>
      <x:c r="BD40" s="65" t="n">
        <x:f>BD39*(1+BC40)</x:f>
        <x:v>1.0013481122190624</x:v>
      </x:c>
      <x:c r="BE40" s="47" t="n">
        <x:f>AZ40*BD40</x:f>
        <x:v>1268.7080581815521</x:v>
      </x:c>
      <x:c r="BF40" s="67" t="n">
        <x:f>IF(AY40&gt;0,BE40*1000000/AY40/Economy!Q40,0)</x:f>
        <x:v>0.10165929953377822</x:v>
      </x:c>
      <x:c r="BG40" s="45" t="n">
        <x:v>24700000</x:v>
      </x:c>
      <x:c r="BH40" s="45" t="n">
        <x:v>1400</x:v>
      </x:c>
      <x:c r="BI40" s="68" t="n">
        <x:v>0.083</x:v>
      </x:c>
      <x:c r="BJ40" s="47" t="n">
        <x:f>IF(BG40&gt;0,BH40*1000000/BG40,0)</x:f>
        <x:v>56.68016194331984</x:v>
      </x:c>
      <x:c r="BK40" s="64" t="n">
        <x:f>IF(AND(BI40&gt;0,BJ39&gt;0,B40&gt;0),MIN(conv_cap,conv_beta*1*BI40*MAX(0,LN(B40/(BJ39*BL39)))),0)</x:f>
        <x:v>0.001412677727121353</x:v>
      </x:c>
      <x:c r="BL40" s="65" t="n">
        <x:f>BL39*(1+BK40)</x:f>
        <x:v>1.0122645188903467</x:v>
      </x:c>
      <x:c r="BM40" s="47" t="n">
        <x:f>BH40*BL40</x:f>
        <x:v>1417.1703264464854</x:v>
      </x:c>
      <x:c r="BN40" s="67" t="n">
        <x:f>IF(BG40&gt;0,BM40*1000000/BG40/Economy!Q40,0)</x:f>
        <x:v>0.27584286952010384</x:v>
      </x:c>
      <x:c r="BO40" s="45" t="n">
        <x:v>12700000</x:v>
      </x:c>
      <x:c r="BP40" s="45" t="n">
        <x:v>600</x:v>
      </x:c>
      <x:c r="BQ40" s="68" t="n">
        <x:v>0</x:v>
      </x:c>
      <x:c r="BR40" s="47" t="n">
        <x:f>IF(BO40&gt;0,BP40*1000000/BO40,0)</x:f>
        <x:v>47.24409448818898</x:v>
      </x:c>
      <x:c r="BS40" s="64" t="n">
        <x:f>IF(AND(BQ40&gt;0,BR39&gt;0,B40&gt;0),MIN(conv_cap,conv_beta*1*BQ40*MAX(0,LN(B40/(BR39*BT39)))),0)</x:f>
        <x:v>0</x:v>
      </x:c>
      <x:c r="BT40" s="65" t="n">
        <x:f>BT39*(1+BS40)</x:f>
        <x:v>1</x:v>
      </x:c>
      <x:c r="BU40" s="47" t="n">
        <x:f>BP40*BT40</x:f>
        <x:v>600</x:v>
      </x:c>
      <x:c r="BV40" s="67" t="n">
        <x:f>IF(BO40&gt;0,BU40*1000000/BO40/Economy!Q40,0)</x:f>
        <x:v>0.2271350696547547</x:v>
      </x:c>
      <x:c r="BW40" s="65" t="n">
        <x:f>0.25*IF(D40&gt;0,H40,1)+0.15*IF(AJ40&gt;0,AN40,1)+0.03*IF(AR40&gt;0,AV40,1)+0.08*IF(AZ40&gt;0,BD40,1)+0.12*IF(BH40&gt;0,BL40,1)+0.1*IF(L40&gt;0,P40,1)+0.07*IF(T40&gt;0,X40,1)+0.05*IF(AB40&gt;0,AF40,1)+0.05*IF(BP40&gt;0,BT40,1)+0.1</x:f>
        <x:v>1.0463840770854547</x:v>
      </x:c>
      <x:c r="BX40" s="63" t="n">
        <x:f>MIN(mkt_cap,mkt_elast*MAX(0,BW40-1))</x:f>
        <x:v>0.023192038542727333</x:v>
      </x:c>
      <x:c r="BY40" s="47" t="n">
        <x:f>I40+Q40+Y40+AG40</x:f>
        <x:v>792.4264047221772</x:v>
      </x:c>
      <x:c r="BZ40" s="47" t="n">
        <x:f>D40+L40+T40+AB40</x:f>
        <x:v>707</x:v>
      </x:c>
      <x:c r="CA40" s="65" t="n">
        <x:f>IF(BZ40&gt;0,BY40/BZ40,0)</x:f>
        <x:v>1.1208294267640413</x:v>
      </x:c>
    </x:row>
    <x:row r="41">
      <x:c r="A41" s="58" t="n">
        <x:v>1881</x:v>
      </x:c>
      <x:c r="B41" s="47" t="n">
        <x:f>Economy!P40</x:f>
        <x:v>309.11267982226235</x:v>
      </x:c>
      <x:c r="C41" s="45" t="n">
        <x:v>36940000</x:v>
      </x:c>
      <x:c r="D41" s="62" t="n">
        <x:f>Japan!B41</x:f>
        <x:v>610</x:v>
      </x:c>
      <x:c r="E41" s="68" t="n">
        <x:v>0.421</x:v>
      </x:c>
      <x:c r="F41" s="47" t="n">
        <x:f>IF(C41&gt;0,D41*1000000/C41,0)</x:f>
        <x:v>16.513264753654575</x:v>
      </x:c>
      <x:c r="G41" s="64" t="n">
        <x:f>IF(AND(E41&gt;0,F40&gt;0,B41&gt;0),MIN(conv_cap,conv_beta*jp_uplift*E41*MAX(0,LN(B41/(F40*H40)))),0)</x:f>
        <x:v>0.011828624393284507</x:v>
      </x:c>
      <x:c r="H41" s="65" t="n">
        <x:f>H40*(1+G41)</x:f>
        <x:v>1.1490484541410835</x:v>
      </x:c>
      <x:c r="I41" s="47" t="n">
        <x:f>D41*H41</x:f>
        <x:v>700.9195570260609</x:v>
      </x:c>
      <x:c r="J41" s="67" t="n">
        <x:f>IF(C41&gt;0,I41*1000000/C41/Economy!Q41,0)</x:f>
        <x:v>0.09166445090825714</x:v>
      </x:c>
      <x:c r="K41" s="62" t="n">
        <x:f>Gulf!B41</x:f>
        <x:v>0</x:v>
      </x:c>
      <x:c r="L41" s="47" t="n">
        <x:f>Gulf!B41*Gulf!C41*Economy!Q41/1000000</x:f>
        <x:v>0</x:v>
      </x:c>
      <x:c r="M41" s="68" t="n">
        <x:v>0</x:v>
      </x:c>
      <x:c r="N41" s="47" t="n">
        <x:f>IF(K41&gt;0,L41*1000000/K41,0)</x:f>
        <x:v>0</x:v>
      </x:c>
      <x:c r="O41" s="64" t="n">
        <x:f>IF(AND(M41&gt;0,N40&gt;0,B41&gt;0),MIN(conv_cap,conv_beta*1*M41*MAX(0,LN(B41/(N40*P40)))),0)</x:f>
        <x:v>0</x:v>
      </x:c>
      <x:c r="P41" s="65" t="n">
        <x:f>P40*(1+O41)</x:f>
        <x:v>1</x:v>
      </x:c>
      <x:c r="Q41" s="47" t="n">
        <x:f>L41*P41</x:f>
        <x:v>0</x:v>
      </x:c>
      <x:c r="R41" s="67" t="n">
        <x:f>IF(K41&gt;0,Q41*1000000/K41/Economy!Q41,0)</x:f>
        <x:v>0</x:v>
      </x:c>
      <x:c r="S41" s="62" t="n">
        <x:f>People!U41</x:f>
        <x:v>6273000</x:v>
      </x:c>
      <x:c r="T41" s="45" t="n">
        <x:v>109</x:v>
      </x:c>
      <x:c r="U41" s="68" t="n">
        <x:v>0.345</x:v>
      </x:c>
      <x:c r="V41" s="47" t="n">
        <x:f>IF(S41&gt;0,T41*1000000/S41,0)</x:f>
        <x:v>17.37605611350231</x:v>
      </x:c>
      <x:c r="W41" s="64" t="n">
        <x:f>IF(AND(U41&gt;0,V40&gt;0,B41&gt;0),MIN(conv_cap,conv_beta*1*U41*MAX(0,LN(B41/(V40*X40)))),0)</x:f>
        <x:v>0.009836331718909496</x:v>
      </x:c>
      <x:c r="X41" s="65" t="n">
        <x:f>X40*(1+W41)</x:f>
        <x:v>1.048125126173975</x:v>
      </x:c>
      <x:c r="Y41" s="47" t="n">
        <x:f>T41*X41</x:f>
        <x:v>114.24563875296327</x:v>
      </x:c>
      <x:c r="Z41" s="67" t="n">
        <x:f>IF(S41&gt;0,Y41*1000000/S41/Economy!Q41,0)</x:f>
        <x:v>0.08798203384720135</x:v>
      </x:c>
      <x:c r="AA41" s="45" t="n">
        <x:v>0</x:v>
      </x:c>
      <x:c r="AB41" s="45" t="n">
        <x:v>0</x:v>
      </x:c>
      <x:c r="AC41" s="68" t="n">
        <x:v>0</x:v>
      </x:c>
      <x:c r="AD41" s="47" t="n">
        <x:f>IF(AA41&gt;0,AB41*1000000/AA41,0)</x:f>
        <x:v>0</x:v>
      </x:c>
      <x:c r="AE41" s="64" t="n">
        <x:f>IF(AND(AC41&gt;0,AD40&gt;0,B41&gt;0),MIN(conv_cap,conv_beta*1*AC41*MAX(0,LN(B41/(AD40*AF40)))),0)</x:f>
        <x:v>0</x:v>
      </x:c>
      <x:c r="AF41" s="65" t="n">
        <x:f>AF40*(1+AE41)</x:f>
        <x:v>1</x:v>
      </x:c>
      <x:c r="AG41" s="47" t="n">
        <x:f>AB41*AF41</x:f>
        <x:v>0</x:v>
      </x:c>
      <x:c r="AH41" s="67" t="n">
        <x:f>IF(AA41&gt;0,AG41*1000000/AA41/Economy!Q41,0)</x:f>
        <x:v>0</x:v>
      </x:c>
      <x:c r="AI41" s="45" t="n">
        <x:v>373400000</x:v>
      </x:c>
      <x:c r="AJ41" s="45" t="n">
        <x:v>3683</x:v>
      </x:c>
      <x:c r="AK41" s="68" t="n">
        <x:v>0.125</x:v>
      </x:c>
      <x:c r="AL41" s="47" t="n">
        <x:f>IF(AI41&gt;0,AJ41*1000000/AI41,0)</x:f>
        <x:v>9.863417246920193</x:v>
      </x:c>
      <x:c r="AM41" s="64" t="n">
        <x:f>IF(AND(AK41&gt;0,AL40&gt;0,B41&gt;0),MIN(conv_cap,conv_beta*1*AK41*MAX(0,LN(B41/(AL40*AN40)))),0)</x:f>
        <x:v>0.00424062795791318</x:v>
      </x:c>
      <x:c r="AN41" s="65" t="n">
        <x:f>AN40*(1+AM41)</x:f>
        <x:v>1.0588674057550753</x:v>
      </x:c>
      <x:c r="AO41" s="47" t="n">
        <x:f>AJ41*AN41</x:f>
        <x:v>3899.8086553959424</x:v>
      </x:c>
      <x:c r="AP41" s="67" t="n">
        <x:f>IF(AI41&gt;0,AO41*1000000/AI41/Economy!Q41,0)</x:f>
        <x:v>0.05045435281220412</x:v>
      </x:c>
      <x:c r="AQ41" s="45" t="n">
        <x:v>10730000</x:v>
      </x:c>
      <x:c r="AR41" s="45" t="n">
        <x:v>187</x:v>
      </x:c>
      <x:c r="AS41" s="68" t="n">
        <x:v>0.129</x:v>
      </x:c>
      <x:c r="AT41" s="47" t="n">
        <x:f>IF(AQ41&gt;0,AR41*1000000/AQ41,0)</x:f>
        <x:v>17.427772600186394</x:v>
      </x:c>
      <x:c r="AU41" s="64" t="n">
        <x:f>IF(AND(AS41&gt;0,AT40&gt;0,B41&gt;0),MIN(conv_cap,conv_beta*1*AS41*MAX(0,LN(B41/(AT40*AV40)))),0)</x:f>
        <x:v>0.003726498632347752</x:v>
      </x:c>
      <x:c r="AV41" s="65" t="n">
        <x:f>AV40*(1+AU41)</x:f>
        <x:v>1.0066386641153566</x:v>
      </x:c>
      <x:c r="AW41" s="47" t="n">
        <x:f>AR41*AV41</x:f>
        <x:v>188.2414301895717</x:v>
      </x:c>
      <x:c r="AX41" s="67" t="n">
        <x:f>IF(AQ41&gt;0,AW41*1000000/AQ41/Economy!Q41,0)</x:f>
        <x:v>0.0847510614915838</x:v>
      </x:c>
      <x:c r="AY41" s="45" t="n">
        <x:v>61000000</x:v>
      </x:c>
      <x:c r="AZ41" s="45" t="n">
        <x:v>1303</x:v>
      </x:c>
      <x:c r="BA41" s="68" t="n">
        <x:v>0.053</x:v>
      </x:c>
      <x:c r="BB41" s="47" t="n">
        <x:f>IF(AY41&gt;0,AZ41*1000000/AY41,0)</x:f>
        <x:v>21.360655737704917</x:v>
      </x:c>
      <x:c r="BC41" s="64" t="n">
        <x:f>IF(AND(BA41&gt;0,BB40&gt;0,B41&gt;0),MIN(conv_cap,conv_beta*1*BA41*MAX(0,LN(B41/(BB40*BD40)))),0)</x:f>
        <x:v>0.0014216169052353512</x:v>
      </x:c>
      <x:c r="BD41" s="65" t="n">
        <x:f>BD40*(1+BC41)</x:f>
        <x:v>1.0027716456234186</x:v>
      </x:c>
      <x:c r="BE41" s="47" t="n">
        <x:f>AZ41*BD41</x:f>
        <x:v>1306.6114542473144</x:v>
      </x:c>
      <x:c r="BF41" s="67" t="n">
        <x:f>IF(AY41&gt;0,BE41*1000000/AY41/Economy!Q41,0)</x:f>
        <x:v>0.10347758408547672</x:v>
      </x:c>
      <x:c r="BG41" s="45" t="n">
        <x:v>24900000</x:v>
      </x:c>
      <x:c r="BH41" s="45" t="n">
        <x:v>1440</x:v>
      </x:c>
      <x:c r="BI41" s="68" t="n">
        <x:v>0.08699999999999999</x:v>
      </x:c>
      <x:c r="BJ41" s="47" t="n">
        <x:f>IF(BG41&gt;0,BH41*1000000/BG41,0)</x:f>
        <x:v>57.83132530120482</x:v>
      </x:c>
      <x:c r="BK41" s="64" t="n">
        <x:f>IF(AND(BI41&gt;0,BJ40&gt;0,B41&gt;0),MIN(conv_cap,conv_beta*1*BI41*MAX(0,LN(B41/(BJ40*BL40)))),0)</x:f>
        <x:v>0.001465159760783552</x:v>
      </x:c>
      <x:c r="BL41" s="65" t="n">
        <x:f>BL40*(1+BK41)</x:f>
        <x:v>1.0137476481306937</x:v>
      </x:c>
      <x:c r="BM41" s="47" t="n">
        <x:f>BH41*BL41</x:f>
        <x:v>1459.796613308199</x:v>
      </x:c>
      <x:c r="BN41" s="67" t="n">
        <x:f>IF(BG41&gt;0,BM41*1000000/BG41/Economy!Q41,0)</x:f>
        <x:v>0.2832191788037559</x:v>
      </x:c>
      <x:c r="BO41" s="45" t="n">
        <x:v>12700000</x:v>
      </x:c>
      <x:c r="BP41" s="45" t="n">
        <x:v>610</x:v>
      </x:c>
      <x:c r="BQ41" s="68" t="n">
        <x:v>0</x:v>
      </x:c>
      <x:c r="BR41" s="47" t="n">
        <x:f>IF(BO41&gt;0,BP41*1000000/BO41,0)</x:f>
        <x:v>48.031496062992126</x:v>
      </x:c>
      <x:c r="BS41" s="64" t="n">
        <x:f>IF(AND(BQ41&gt;0,BR40&gt;0,B41&gt;0),MIN(conv_cap,conv_beta*1*BQ41*MAX(0,LN(B41/(BR40*BT40)))),0)</x:f>
        <x:v>0</x:v>
      </x:c>
      <x:c r="BT41" s="65" t="n">
        <x:f>BT40*(1+BS41)</x:f>
        <x:v>1</x:v>
      </x:c>
      <x:c r="BU41" s="47" t="n">
        <x:f>BP41*BT41</x:f>
        <x:v>610</x:v>
      </x:c>
      <x:c r="BV41" s="67" t="n">
        <x:f>IF(BO41&gt;0,BU41*1000000/BO41/Economy!Q41,0)</x:f>
        <x:v>0.23203621286469625</x:v>
      </x:c>
      <x:c r="BW41" s="65" t="n">
        <x:f>0.25*IF(D41&gt;0,H41,1)+0.15*IF(AJ41&gt;0,AN41,1)+0.03*IF(AR41&gt;0,AV41,1)+0.08*IF(AZ41&gt;0,BD41,1)+0.12*IF(BH41&gt;0,BL41,1)+0.1*IF(L41&gt;0,P41,1)+0.07*IF(T41&gt;0,X41,1)+0.05*IF(AB41&gt;0,AF41,1)+0.05*IF(BP41&gt;0,BT41,1)+0.1</x:f>
        <x:v>1.051531592579728</x:v>
      </x:c>
      <x:c r="BX41" s="63" t="n">
        <x:f>MIN(mkt_cap,mkt_elast*MAX(0,BW41-1))</x:f>
        <x:v>0.025765796289863974</x:v>
      </x:c>
      <x:c r="BY41" s="47" t="n">
        <x:f>I41+Q41+Y41+AG41</x:f>
        <x:v>815.1651957790242</x:v>
      </x:c>
      <x:c r="BZ41" s="47" t="n">
        <x:f>D41+L41+T41+AB41</x:f>
        <x:v>719</x:v>
      </x:c>
      <x:c r="CA41" s="65" t="n">
        <x:f>IF(BZ41&gt;0,BY41/BZ41,0)</x:f>
        <x:v>1.1337485337677666</x:v>
      </x:c>
    </x:row>
    <x:row r="42">
      <x:c r="A42" s="58" t="n">
        <x:v>1882</x:v>
      </x:c>
      <x:c r="B42" s="47" t="n">
        <x:f>Economy!P41</x:f>
        <x:v>311.3844616803935</x:v>
      </x:c>
      <x:c r="C42" s="45" t="n">
        <x:v>37280000</x:v>
      </x:c>
      <x:c r="D42" s="62" t="n">
        <x:f>Japan!B42</x:f>
        <x:v>620</x:v>
      </x:c>
      <x:c r="E42" s="68" t="n">
        <x:v>0.443</x:v>
      </x:c>
      <x:c r="F42" s="47" t="n">
        <x:f>IF(C42&gt;0,D42*1000000/C42,0)</x:f>
        <x:v>16.630901287553648</x:v>
      </x:c>
      <x:c r="G42" s="64" t="n">
        <x:f>IF(AND(E42&gt;0,F41&gt;0,B42&gt;0),MIN(conv_cap,conv_beta*jp_uplift*E42*MAX(0,LN(B42/(F41*H41)))),0)</x:f>
        <x:v>0.01239483082503131</x:v>
      </x:c>
      <x:c r="H42" s="65" t="n">
        <x:f>H41*(1+G42)</x:f>
        <x:v>1.163290715339926</x:v>
      </x:c>
      <x:c r="I42" s="47" t="n">
        <x:f>D42*H42</x:f>
        <x:v>721.240243510754</x:v>
      </x:c>
      <x:c r="J42" s="67" t="n">
        <x:f>IF(C42&gt;0,I42*1000000/C42/Economy!Q42,0)</x:f>
        <x:v>0.09346170558234772</x:v>
      </x:c>
      <x:c r="K42" s="62" t="n">
        <x:f>Gulf!B42</x:f>
        <x:v>0</x:v>
      </x:c>
      <x:c r="L42" s="47" t="n">
        <x:f>Gulf!B42*Gulf!C42*Economy!Q42/1000000</x:f>
        <x:v>0</x:v>
      </x:c>
      <x:c r="M42" s="68" t="n">
        <x:v>0</x:v>
      </x:c>
      <x:c r="N42" s="47" t="n">
        <x:f>IF(K42&gt;0,L42*1000000/K42,0)</x:f>
        <x:v>0</x:v>
      </x:c>
      <x:c r="O42" s="64" t="n">
        <x:f>IF(AND(M42&gt;0,N41&gt;0,B42&gt;0),MIN(conv_cap,conv_beta*1*M42*MAX(0,LN(B42/(N41*P41)))),0)</x:f>
        <x:v>0</x:v>
      </x:c>
      <x:c r="P42" s="65" t="n">
        <x:f>P41*(1+O42)</x:f>
        <x:v>1</x:v>
      </x:c>
      <x:c r="Q42" s="47" t="n">
        <x:f>L42*P42</x:f>
        <x:v>0</x:v>
      </x:c>
      <x:c r="R42" s="67" t="n">
        <x:f>IF(K42&gt;0,Q42*1000000/K42/Economy!Q42,0)</x:f>
        <x:v>0</x:v>
      </x:c>
      <x:c r="S42" s="62" t="n">
        <x:f>People!U42</x:f>
        <x:v>6327000</x:v>
      </x:c>
      <x:c r="T42" s="45" t="n">
        <x:v>111</x:v>
      </x:c>
      <x:c r="U42" s="68" t="n">
        <x:v>0.355</x:v>
      </x:c>
      <x:c r="V42" s="47" t="n">
        <x:f>IF(S42&gt;0,T42*1000000/S42,0)</x:f>
        <x:v>17.54385964912281</x:v>
      </x:c>
      <x:c r="W42" s="64" t="n">
        <x:f>IF(AND(U42&gt;0,V41&gt;0,B42&gt;0),MIN(conv_cap,conv_beta*1*U42*MAX(0,LN(B42/(V41*X41)))),0)</x:f>
        <x:v>0.01007820935543923</x:v>
      </x:c>
      <x:c r="X42" s="65" t="n">
        <x:f>X41*(1+W42)</x:f>
        <x:v>1.0586883506262526</x:v>
      </x:c>
      <x:c r="Y42" s="47" t="n">
        <x:f>T42*X42</x:f>
        <x:v>117.51440691951403</x:v>
      </x:c>
      <x:c r="Z42" s="67" t="n">
        <x:f>IF(S42&gt;0,Y42*1000000/S42/Economy!Q42,0)</x:f>
        <x:v>0.08972695572728642</x:v>
      </x:c>
      <x:c r="AA42" s="45" t="n">
        <x:v>0</x:v>
      </x:c>
      <x:c r="AB42" s="45" t="n">
        <x:v>0</x:v>
      </x:c>
      <x:c r="AC42" s="68" t="n">
        <x:v>0</x:v>
      </x:c>
      <x:c r="AD42" s="47" t="n">
        <x:f>IF(AA42&gt;0,AB42*1000000/AA42,0)</x:f>
        <x:v>0</x:v>
      </x:c>
      <x:c r="AE42" s="64" t="n">
        <x:f>IF(AND(AC42&gt;0,AD41&gt;0,B42&gt;0),MIN(conv_cap,conv_beta*1*AC42*MAX(0,LN(B42/(AD41*AF41)))),0)</x:f>
        <x:v>0</x:v>
      </x:c>
      <x:c r="AF42" s="65" t="n">
        <x:f>AF41*(1+AE42)</x:f>
        <x:v>1</x:v>
      </x:c>
      <x:c r="AG42" s="47" t="n">
        <x:f>AB42*AF42</x:f>
        <x:v>0</x:v>
      </x:c>
      <x:c r="AH42" s="67" t="n">
        <x:f>IF(AA42&gt;0,AG42*1000000/AA42/Economy!Q42,0)</x:f>
        <x:v>0</x:v>
      </x:c>
      <x:c r="AI42" s="45" t="n">
        <x:v>374800000</x:v>
      </x:c>
      <x:c r="AJ42" s="45" t="n">
        <x:v>3700</x:v>
      </x:c>
      <x:c r="AK42" s="68" t="n">
        <x:v>0.129</x:v>
      </x:c>
      <x:c r="AL42" s="47" t="n">
        <x:f>IF(AI42&gt;0,AJ42*1000000/AI42,0)</x:f>
        <x:v>9.871931696905015</x:v>
      </x:c>
      <x:c r="AM42" s="64" t="n">
        <x:f>IF(AND(AK42&gt;0,AL41&gt;0,B42&gt;0),MIN(conv_cap,conv_beta*1*AK42*MAX(0,LN(B42/(AL41*AN41)))),0)</x:f>
        <x:v>0.004379544611415604</x:v>
      </x:c>
      <x:c r="AN42" s="65" t="n">
        <x:f>AN41*(1+AM42)</x:f>
        <x:v>1.0635047627961536</x:v>
      </x:c>
      <x:c r="AO42" s="47" t="n">
        <x:f>AJ42*AN42</x:f>
        <x:v>3934.967622345768</x:v>
      </x:c>
      <x:c r="AP42" s="67" t="n">
        <x:f>IF(AI42&gt;0,AO42*1000000/AI42/Economy!Q42,0)</x:f>
        <x:v>0.050719064626361346</x:v>
      </x:c>
      <x:c r="AQ42" s="45" t="n">
        <x:v>10800000</x:v>
      </x:c>
      <x:c r="AR42" s="45" t="n">
        <x:v>190</x:v>
      </x:c>
      <x:c r="AS42" s="68" t="n">
        <x:v>0.157</x:v>
      </x:c>
      <x:c r="AT42" s="47" t="n">
        <x:f>IF(AQ42&gt;0,AR42*1000000/AQ42,0)</x:f>
        <x:v>17.59259259259259</x:v>
      </x:c>
      <x:c r="AU42" s="64" t="n">
        <x:f>IF(AND(AS42&gt;0,AT41&gt;0,B42&gt;0),MIN(conv_cap,conv_beta*1*AS42*MAX(0,LN(B42/(AT41*AV41)))),0)</x:f>
        <x:v>0.004515864121887302</x:v>
      </x:c>
      <x:c r="AV42" s="65" t="n">
        <x:f>AV41*(1+AU42)</x:f>
        <x:v>1.0111845075423396</x:v>
      </x:c>
      <x:c r="AW42" s="47" t="n">
        <x:f>AR42*AV42</x:f>
        <x:v>192.1250564330445</x:v>
      </x:c>
      <x:c r="AX42" s="67" t="n">
        <x:f>IF(AQ42&gt;0,AW42*1000000/AQ42/Economy!Q42,0)</x:f>
        <x:v>0.08593892307794082</x:v>
      </x:c>
      <x:c r="AY42" s="45" t="n">
        <x:v>62000000</x:v>
      </x:c>
      <x:c r="AZ42" s="45" t="n">
        <x:v>1340</x:v>
      </x:c>
      <x:c r="BA42" s="68" t="n">
        <x:v>0.055</x:v>
      </x:c>
      <x:c r="BB42" s="47" t="n">
        <x:f>IF(AY42&gt;0,AZ42*1000000/AY42,0)</x:f>
        <x:v>21.612903225806452</x:v>
      </x:c>
      <x:c r="BC42" s="64" t="n">
        <x:f>IF(AND(BA42&gt;0,BB41&gt;0,B42&gt;0),MIN(conv_cap,conv_beta*1*BA42*MAX(0,LN(B42/(BB41*BD41)))),0)</x:f>
        <x:v>0.0014721904093833896</x:v>
      </x:c>
      <x:c r="BD42" s="65" t="n">
        <x:f>BD41*(1+BC42)</x:f>
        <x:v>1.0042479164229068</x:v>
      </x:c>
      <x:c r="BE42" s="47" t="n">
        <x:f>AZ42*BD42</x:f>
        <x:v>1345.6922080066952</x:v>
      </x:c>
      <x:c r="BF42" s="67" t="n">
        <x:f>IF(AY42&gt;0,BE42*1000000/AY42/Economy!Q42,0)</x:f>
        <x:v>0.10485368614669589</x:v>
      </x:c>
      <x:c r="BG42" s="45" t="n">
        <x:v>25200000</x:v>
      </x:c>
      <x:c r="BH42" s="45" t="n">
        <x:v>1480</x:v>
      </x:c>
      <x:c r="BI42" s="68" t="n">
        <x:v>0.09</x:v>
      </x:c>
      <x:c r="BJ42" s="47" t="n">
        <x:f>IF(BG42&gt;0,BH42*1000000/BG42,0)</x:f>
        <x:v>58.73015873015873</x:v>
      </x:c>
      <x:c r="BK42" s="64" t="n">
        <x:f>IF(AND(BI42&gt;0,BJ41&gt;0,B42&gt;0),MIN(conv_cap,conv_beta*1*BI42*MAX(0,LN(B42/(BJ41*BL41)))),0)</x:f>
        <x:v>0.0015028593878842645</x:v>
      </x:c>
      <x:c r="BL42" s="65" t="n">
        <x:f>BL41*(1+BK42)</x:f>
        <x:v>1.0152711683006326</x:v>
      </x:c>
      <x:c r="BM42" s="47" t="n">
        <x:f>BH42*BL42</x:f>
        <x:v>1502.6013290849362</x:v>
      </x:c>
      <x:c r="BN42" s="67" t="n">
        <x:f>IF(BG42&gt;0,BM42*1000000/BG42/Economy!Q42,0)</x:f>
        <x:v>0.28805331820507174</x:v>
      </x:c>
      <x:c r="BO42" s="45" t="n">
        <x:v>12800000</x:v>
      </x:c>
      <x:c r="BP42" s="45" t="n">
        <x:v>620</x:v>
      </x:c>
      <x:c r="BQ42" s="68" t="n">
        <x:v>0</x:v>
      </x:c>
      <x:c r="BR42" s="47" t="n">
        <x:f>IF(BO42&gt;0,BP42*1000000/BO42,0)</x:f>
        <x:v>48.4375</x:v>
      </x:c>
      <x:c r="BS42" s="64" t="n">
        <x:f>IF(AND(BQ42&gt;0,BR41&gt;0,B42&gt;0),MIN(conv_cap,conv_beta*1*BQ42*MAX(0,LN(B42/(BR41*BT41)))),0)</x:f>
        <x:v>0</x:v>
      </x:c>
      <x:c r="BT42" s="65" t="n">
        <x:f>BT41*(1+BS42)</x:f>
        <x:v>1</x:v>
      </x:c>
      <x:c r="BU42" s="47" t="n">
        <x:f>BP42*BT42</x:f>
        <x:v>620</x:v>
      </x:c>
      <x:c r="BV42" s="67" t="n">
        <x:f>IF(BO42&gt;0,BU42*1000000/BO42/Economy!Q42,0)</x:f>
        <x:v>0.23399758454106281</x:v>
      </x:c>
      <x:c r="BW42" s="65" t="n">
        <x:f>0.25*IF(D42&gt;0,H42,1)+0.15*IF(AJ42&gt;0,AN42,1)+0.03*IF(AR42&gt;0,AV42,1)+0.08*IF(AZ42&gt;0,BD42,1)+0.12*IF(BH42&gt;0,BL42,1)+0.1*IF(L42&gt;0,P42,1)+0.07*IF(T42&gt;0,X42,1)+0.05*IF(AB42&gt;0,AF42,1)+0.05*IF(BP42&gt;0,BT42,1)+0.1</x:f>
        <x:v>1.056964486534421</x:v>
      </x:c>
      <x:c r="BX42" s="63" t="n">
        <x:f>MIN(mkt_cap,mkt_elast*MAX(0,BW42-1))</x:f>
        <x:v>0.028482243267210494</x:v>
      </x:c>
      <x:c r="BY42" s="47" t="n">
        <x:f>I42+Q42+Y42+AG42</x:f>
        <x:v>838.754650430268</x:v>
      </x:c>
      <x:c r="BZ42" s="47" t="n">
        <x:f>D42+L42+T42+AB42</x:f>
        <x:v>731</x:v>
      </x:c>
      <x:c r="CA42" s="65" t="n">
        <x:f>IF(BZ42&gt;0,BY42/BZ42,0)</x:f>
        <x:v>1.1474071825311465</x:v>
      </x:c>
    </x:row>
    <x:row r="43">
      <x:c r="A43" s="58" t="n">
        <x:v>1883</x:v>
      </x:c>
      <x:c r="B43" s="47" t="n">
        <x:f>Economy!P42</x:f>
        <x:v>313.2688564236857</x:v>
      </x:c>
      <x:c r="C43" s="45" t="n">
        <x:v>37620000</x:v>
      </x:c>
      <x:c r="D43" s="62" t="n">
        <x:f>Japan!B43</x:f>
        <x:v>630</x:v>
      </x:c>
      <x:c r="E43" s="68" t="n">
        <x:v>0.464</x:v>
      </x:c>
      <x:c r="F43" s="47" t="n">
        <x:f>IF(C43&gt;0,D43*1000000/C43,0)</x:f>
        <x:v>16.74641148325359</x:v>
      </x:c>
      <x:c r="G43" s="64" t="n">
        <x:f>IF(AND(E43&gt;0,F42&gt;0,B43&gt;0),MIN(conv_cap,conv_beta*jp_uplift*E43*MAX(0,LN(B43/(F42*H42)))),0)</x:f>
        <x:v>0.012920295701215957</x:v>
      </x:c>
      <x:c r="H43" s="65" t="n">
        <x:f>H42*(1+G43)</x:f>
        <x:v>1.178320775368597</x:v>
      </x:c>
      <x:c r="I43" s="47" t="n">
        <x:f>D43*H43</x:f>
        <x:v>742.342088482216</x:v>
      </x:c>
      <x:c r="J43" s="67" t="n">
        <x:f>IF(C43&gt;0,I43*1000000/C43/Economy!Q43,0)</x:f>
        <x:v>0.09578953671645117</x:v>
      </x:c>
      <x:c r="K43" s="62" t="n">
        <x:f>Gulf!B43</x:f>
        <x:v>0</x:v>
      </x:c>
      <x:c r="L43" s="47" t="n">
        <x:f>Gulf!B43*Gulf!C43*Economy!Q43/1000000</x:f>
        <x:v>0</x:v>
      </x:c>
      <x:c r="M43" s="68" t="n">
        <x:v>0</x:v>
      </x:c>
      <x:c r="N43" s="47" t="n">
        <x:f>IF(K43&gt;0,L43*1000000/K43,0)</x:f>
        <x:v>0</x:v>
      </x:c>
      <x:c r="O43" s="64" t="n">
        <x:f>IF(AND(M43&gt;0,N42&gt;0,B43&gt;0),MIN(conv_cap,conv_beta*1*M43*MAX(0,LN(B43/(N42*P42)))),0)</x:f>
        <x:v>0</x:v>
      </x:c>
      <x:c r="P43" s="65" t="n">
        <x:f>P42*(1+O43)</x:f>
        <x:v>1</x:v>
      </x:c>
      <x:c r="Q43" s="47" t="n">
        <x:f>L43*P43</x:f>
        <x:v>0</x:v>
      </x:c>
      <x:c r="R43" s="67" t="n">
        <x:f>IF(K43&gt;0,Q43*1000000/K43/Economy!Q43,0)</x:f>
        <x:v>0</x:v>
      </x:c>
      <x:c r="S43" s="62" t="n">
        <x:f>People!U43</x:f>
        <x:v>6382000</x:v>
      </x:c>
      <x:c r="T43" s="45" t="n">
        <x:v>113</x:v>
      </x:c>
      <x:c r="U43" s="68" t="n">
        <x:v>0.364</x:v>
      </x:c>
      <x:c r="V43" s="47" t="n">
        <x:f>IF(S43&gt;0,T43*1000000/S43,0)</x:f>
        <x:v>17.70604826073331</x:v>
      </x:c>
      <x:c r="W43" s="64" t="n">
        <x:f>IF(AND(U43&gt;0,V42&gt;0,B43&gt;0),MIN(conv_cap,conv_beta*1*U43*MAX(0,LN(B43/(V42*X42)))),0)</x:f>
        <x:v>0.010284190425838296</x:v>
      </x:c>
      <x:c r="X43" s="65" t="n">
        <x:f>X42*(1+W43)</x:f>
        <x:v>1.0695761032257096</x:v>
      </x:c>
      <x:c r="Y43" s="47" t="n">
        <x:f>T43*X43</x:f>
        <x:v>120.86209966450518</x:v>
      </x:c>
      <x:c r="Z43" s="67" t="n">
        <x:f>IF(S43&gt;0,Y43*1000000/S43/Economy!Q43,0)</x:f>
        <x:v>0.09193187428272567</x:v>
      </x:c>
      <x:c r="AA43" s="45" t="n">
        <x:v>0</x:v>
      </x:c>
      <x:c r="AB43" s="45" t="n">
        <x:v>0</x:v>
      </x:c>
      <x:c r="AC43" s="68" t="n">
        <x:v>0</x:v>
      </x:c>
      <x:c r="AD43" s="47" t="n">
        <x:f>IF(AA43&gt;0,AB43*1000000/AA43,0)</x:f>
        <x:v>0</x:v>
      </x:c>
      <x:c r="AE43" s="64" t="n">
        <x:f>IF(AND(AC43&gt;0,AD42&gt;0,B43&gt;0),MIN(conv_cap,conv_beta*1*AC43*MAX(0,LN(B43/(AD42*AF42)))),0)</x:f>
        <x:v>0</x:v>
      </x:c>
      <x:c r="AF43" s="65" t="n">
        <x:f>AF42*(1+AE43)</x:f>
        <x:v>1</x:v>
      </x:c>
      <x:c r="AG43" s="47" t="n">
        <x:f>AB43*AF43</x:f>
        <x:v>0</x:v>
      </x:c>
      <x:c r="AH43" s="67" t="n">
        <x:f>IF(AA43&gt;0,AG43*1000000/AA43/Economy!Q43,0)</x:f>
        <x:v>0</x:v>
      </x:c>
      <x:c r="AI43" s="45" t="n">
        <x:v>376200000</x:v>
      </x:c>
      <x:c r="AJ43" s="45" t="n">
        <x:v>3717</x:v>
      </x:c>
      <x:c r="AK43" s="68" t="n">
        <x:v>0.133</x:v>
      </x:c>
      <x:c r="AL43" s="47" t="n">
        <x:f>IF(AI43&gt;0,AJ43*1000000/AI43,0)</x:f>
        <x:v>9.880382775119617</x:v>
      </x:c>
      <x:c r="AM43" s="64" t="n">
        <x:f>IF(AND(AK43&gt;0,AL42&gt;0,B43&gt;0),MIN(conv_cap,conv_beta*1*AK43*MAX(0,LN(B43/(AL42*AN42)))),0)</x:f>
        <x:v>0.004516409219603327</x:v>
      </x:c>
      <x:c r="AN43" s="65" t="n">
        <x:f>AN42*(1+AM43)</x:f>
        <x:v>1.0683079855119382</x:v>
      </x:c>
      <x:c r="AO43" s="47" t="n">
        <x:f>AJ43*AN43</x:f>
        <x:v>3970.900782147874</x:v>
      </x:c>
      <x:c r="AP43" s="67" t="n">
        <x:f>IF(AI43&gt;0,AO43*1000000/AI43/Economy!Q43,0)</x:f>
        <x:v>0.05123928067269364</x:v>
      </x:c>
      <x:c r="AQ43" s="45" t="n">
        <x:v>10870000</x:v>
      </x:c>
      <x:c r="AR43" s="45" t="n">
        <x:v>193</x:v>
      </x:c>
      <x:c r="AS43" s="68" t="n">
        <x:v>0.186</x:v>
      </x:c>
      <x:c r="AT43" s="47" t="n">
        <x:f>IF(AQ43&gt;0,AR43*1000000/AQ43,0)</x:f>
        <x:v>17.755289788408465</x:v>
      </x:c>
      <x:c r="AU43" s="64" t="n">
        <x:f>IF(AND(AS43&gt;0,AT42&gt;0,B43&gt;0),MIN(conv_cap,conv_beta*1*AS43*MAX(0,LN(B43/(AT42*AV42)))),0)</x:f>
        <x:v>0.005335338253457842</x:v>
      </x:c>
      <x:c r="AV43" s="65" t="n">
        <x:f>AV42*(1+AU43)</x:f>
        <x:v>1.0165795189267341</x:v>
      </x:c>
      <x:c r="AW43" s="47" t="n">
        <x:f>AR43*AV43</x:f>
        <x:v>196.1998471528597</x:v>
      </x:c>
      <x:c r="AX43" s="67" t="n">
        <x:f>IF(AQ43&gt;0,AW43*1000000/AQ43/Economy!Q43,0)</x:f>
        <x:v>0.08761972791992734</x:v>
      </x:c>
      <x:c r="AY43" s="45" t="n">
        <x:v>63000000</x:v>
      </x:c>
      <x:c r="AZ43" s="45" t="n">
        <x:v>1377</x:v>
      </x:c>
      <x:c r="BA43" s="68" t="n">
        <x:v>0.058</x:v>
      </x:c>
      <x:c r="BB43" s="47" t="n">
        <x:f>IF(AY43&gt;0,AZ43*1000000/AY43,0)</x:f>
        <x:v>21.857142857142858</x:v>
      </x:c>
      <x:c r="BC43" s="64" t="n">
        <x:f>IF(AND(BA43&gt;0,BB42&gt;0,B43&gt;0),MIN(conv_cap,conv_beta*1*BA43*MAX(0,LN(B43/(BB42*BD42)))),0)</x:f>
        <x:v>0.0015483287691793514</x:v>
      </x:c>
      <x:c r="BD43" s="65" t="n">
        <x:f>BD42*(1+BC43)</x:f>
        <x:v>1.0058028223632927</x:v>
      </x:c>
      <x:c r="BE43" s="47" t="n">
        <x:f>AZ43*BD43</x:f>
        <x:v>1384.990486394254</x:v>
      </x:c>
      <x:c r="BF43" s="67" t="n">
        <x:f>IF(AY43&gt;0,BE43*1000000/AY43/Economy!Q43,0)</x:f>
        <x:v>0.10671832997335906</x:v>
      </x:c>
      <x:c r="BG43" s="45" t="n">
        <x:v>25500000</x:v>
      </x:c>
      <x:c r="BH43" s="45" t="n">
        <x:v>1520</x:v>
      </x:c>
      <x:c r="BI43" s="68" t="n">
        <x:v>0.093</x:v>
      </x:c>
      <x:c r="BJ43" s="47" t="n">
        <x:f>IF(BG43&gt;0,BH43*1000000/BG43,0)</x:f>
        <x:v>59.6078431372549</x:v>
      </x:c>
      <x:c r="BK43" s="64" t="n">
        <x:f>IF(AND(BI43&gt;0,BJ42&gt;0,B43&gt;0),MIN(conv_cap,conv_beta*1*BI43*MAX(0,LN(B43/(BJ42*BL42)))),0)</x:f>
        <x:v>0.0015428259906412904</x:v>
      </x:c>
      <x:c r="BL43" s="65" t="n">
        <x:f>BL42*(1+BK43)</x:f>
        <x:v>1.0168375550466355</x:v>
      </x:c>
      <x:c r="BM43" s="47" t="n">
        <x:f>BH43*BL43</x:f>
        <x:v>1545.593083670886</x:v>
      </x:c>
      <x:c r="BN43" s="67" t="n">
        <x:f>IF(BG43&gt;0,BM43*1000000/BG43/Economy!Q43,0)</x:f>
        <x:v>0.2942305508606294</x:v>
      </x:c>
      <x:c r="BO43" s="45" t="n">
        <x:v>12900000</x:v>
      </x:c>
      <x:c r="BP43" s="45" t="n">
        <x:v>630</x:v>
      </x:c>
      <x:c r="BQ43" s="68" t="n">
        <x:v>0</x:v>
      </x:c>
      <x:c r="BR43" s="47" t="n">
        <x:f>IF(BO43&gt;0,BP43*1000000/BO43,0)</x:f>
        <x:v>48.83720930232558</x:v>
      </x:c>
      <x:c r="BS43" s="64" t="n">
        <x:f>IF(AND(BQ43&gt;0,BR42&gt;0,B43&gt;0),MIN(conv_cap,conv_beta*1*BQ43*MAX(0,LN(B43/(BR42*BT42)))),0)</x:f>
        <x:v>0</x:v>
      </x:c>
      <x:c r="BT43" s="65" t="n">
        <x:f>BT42*(1+BS43)</x:f>
        <x:v>1</x:v>
      </x:c>
      <x:c r="BU43" s="47" t="n">
        <x:f>BP43*BT43</x:f>
        <x:v>630</x:v>
      </x:c>
      <x:c r="BV43" s="67" t="n">
        <x:f>IF(BO43&gt;0,BU43*1000000/BO43/Economy!Q43,0)</x:f>
        <x:v>0.23707383156468728</x:v>
      </x:c>
      <x:c r="BW43" s="65" t="n">
        <x:f>0.25*IF(D43&gt;0,H43,1)+0.15*IF(AJ43&gt;0,AN43,1)+0.03*IF(AR43&gt;0,AV43,1)+0.08*IF(AZ43&gt;0,BD43,1)+0.12*IF(BH43&gt;0,BL43,1)+0.1*IF(L43&gt;0,P43,1)+0.07*IF(T43&gt;0,X43,1)+0.05*IF(AB43&gt;0,AF43,1)+0.05*IF(BP43&gt;0,BT43,1)+0.1</x:f>
        <x:v>1.0626788368572013</x:v>
      </x:c>
      <x:c r="BX43" s="63" t="n">
        <x:f>MIN(mkt_cap,mkt_elast*MAX(0,BW43-1))</x:f>
        <x:v>0.03133941842860066</x:v>
      </x:c>
      <x:c r="BY43" s="47" t="n">
        <x:f>I43+Q43+Y43+AG43</x:f>
        <x:v>863.2041881467212</x:v>
      </x:c>
      <x:c r="BZ43" s="47" t="n">
        <x:f>D43+L43+T43+AB43</x:f>
        <x:v>743</x:v>
      </x:c>
      <x:c r="CA43" s="65" t="n">
        <x:f>IF(BZ43&gt;0,BY43/BZ43,0)</x:f>
        <x:v>1.1617822182324646</x:v>
      </x:c>
    </x:row>
    <x:row r="44">
      <x:c r="A44" s="58" t="n">
        <x:v>1884</x:v>
      </x:c>
      <x:c r="B44" s="47" t="n">
        <x:f>Economy!P43</x:f>
        <x:v>315.1007662674532</x:v>
      </x:c>
      <x:c r="C44" s="45" t="n">
        <x:v>37960000</x:v>
      </x:c>
      <x:c r="D44" s="62" t="n">
        <x:f>Japan!B44</x:f>
        <x:v>640</x:v>
      </x:c>
      <x:c r="E44" s="68" t="n">
        <x:v>0.486</x:v>
      </x:c>
      <x:c r="F44" s="47" t="n">
        <x:f>IF(C44&gt;0,D44*1000000/C44,0)</x:f>
        <x:v>16.859852476290833</x:v>
      </x:c>
      <x:c r="G44" s="64" t="n">
        <x:f>IF(AND(E44&gt;0,F43&gt;0,B44&gt;0),MIN(conv_cap,conv_beta*jp_uplift*E44*MAX(0,LN(B44/(F43*H43)))),0)</x:f>
        <x:v>0.013465204120756202</x:v>
      </x:c>
      <x:c r="H44" s="65" t="n">
        <x:f>H43*(1+G44)</x:f>
        <x:v>1.1941871051286628</x:v>
      </x:c>
      <x:c r="I44" s="47" t="n">
        <x:f>D44*H44</x:f>
        <x:v>764.2797472823441</x:v>
      </x:c>
      <x:c r="J44" s="67" t="n">
        <x:f>IF(C44&gt;0,I44*1000000/C44/Economy!Q44,0)</x:f>
        <x:v>0.09773698262892265</x:v>
      </x:c>
      <x:c r="K44" s="62" t="n">
        <x:f>Gulf!B44</x:f>
        <x:v>0</x:v>
      </x:c>
      <x:c r="L44" s="47" t="n">
        <x:f>Gulf!B44*Gulf!C44*Economy!Q44/1000000</x:f>
        <x:v>0</x:v>
      </x:c>
      <x:c r="M44" s="68" t="n">
        <x:v>0</x:v>
      </x:c>
      <x:c r="N44" s="47" t="n">
        <x:f>IF(K44&gt;0,L44*1000000/K44,0)</x:f>
        <x:v>0</x:v>
      </x:c>
      <x:c r="O44" s="64" t="n">
        <x:f>IF(AND(M44&gt;0,N43&gt;0,B44&gt;0),MIN(conv_cap,conv_beta*1*M44*MAX(0,LN(B44/(N43*P43)))),0)</x:f>
        <x:v>0</x:v>
      </x:c>
      <x:c r="P44" s="65" t="n">
        <x:f>P43*(1+O44)</x:f>
        <x:v>1</x:v>
      </x:c>
      <x:c r="Q44" s="47" t="n">
        <x:f>L44*P44</x:f>
        <x:v>0</x:v>
      </x:c>
      <x:c r="R44" s="67" t="n">
        <x:f>IF(K44&gt;0,Q44*1000000/K44/Economy!Q44,0)</x:f>
        <x:v>0</x:v>
      </x:c>
      <x:c r="S44" s="62" t="n">
        <x:f>People!U44</x:f>
        <x:v>6436000</x:v>
      </x:c>
      <x:c r="T44" s="45" t="n">
        <x:v>115</x:v>
      </x:c>
      <x:c r="U44" s="68" t="n">
        <x:v>0.373</x:v>
      </x:c>
      <x:c r="V44" s="47" t="n">
        <x:f>IF(S44&gt;0,T44*1000000/S44,0)</x:f>
        <x:v>17.868241143567435</x:v>
      </x:c>
      <x:c r="W44" s="64" t="n">
        <x:f>IF(AND(U44&gt;0,V43&gt;0,B44&gt;0),MIN(conv_cap,conv_beta*1*U44*MAX(0,LN(B44/(V43*X43)))),0)</x:f>
        <x:v>0.010487729717889745</x:v>
      </x:c>
      <x:c r="X44" s="65" t="n">
        <x:f>X43*(1+W44)</x:f>
        <x:v>1.0807935283090546</x:v>
      </x:c>
      <x:c r="Y44" s="47" t="n">
        <x:f>T44*X44</x:f>
        <x:v>124.29125575554129</x:v>
      </x:c>
      <x:c r="Z44" s="67" t="n">
        <x:f>IF(S44&gt;0,Y44*1000000/S44/Economy!Q44,0)</x:f>
        <x:v>0.09374698733122942</x:v>
      </x:c>
      <x:c r="AA44" s="45" t="n">
        <x:v>0</x:v>
      </x:c>
      <x:c r="AB44" s="45" t="n">
        <x:v>0</x:v>
      </x:c>
      <x:c r="AC44" s="68" t="n">
        <x:v>0</x:v>
      </x:c>
      <x:c r="AD44" s="47" t="n">
        <x:f>IF(AA44&gt;0,AB44*1000000/AA44,0)</x:f>
        <x:v>0</x:v>
      </x:c>
      <x:c r="AE44" s="64" t="n">
        <x:f>IF(AND(AC44&gt;0,AD43&gt;0,B44&gt;0),MIN(conv_cap,conv_beta*1*AC44*MAX(0,LN(B44/(AD43*AF43)))),0)</x:f>
        <x:v>0</x:v>
      </x:c>
      <x:c r="AF44" s="65" t="n">
        <x:f>AF43*(1+AE44)</x:f>
        <x:v>1</x:v>
      </x:c>
      <x:c r="AG44" s="47" t="n">
        <x:f>AB44*AF44</x:f>
        <x:v>0</x:v>
      </x:c>
      <x:c r="AH44" s="67" t="n">
        <x:f>IF(AA44&gt;0,AG44*1000000/AA44/Economy!Q44,0)</x:f>
        <x:v>0</x:v>
      </x:c>
      <x:c r="AI44" s="45" t="n">
        <x:v>377600000</x:v>
      </x:c>
      <x:c r="AJ44" s="45" t="n">
        <x:v>3733</x:v>
      </x:c>
      <x:c r="AK44" s="68" t="n">
        <x:v>0.138</x:v>
      </x:c>
      <x:c r="AL44" s="47" t="n">
        <x:f>IF(AI44&gt;0,AJ44*1000000/AI44,0)</x:f>
        <x:v>9.886122881355933</x:v>
      </x:c>
      <x:c r="AM44" s="64" t="n">
        <x:f>IF(AND(AK44&gt;0,AL43&gt;0,B44&gt;0),MIN(conv_cap,conv_beta*1*AK44*MAX(0,LN(B44/(AL43*AN43)))),0)</x:f>
        <x:v>0.004686845910091025</x:v>
      </x:c>
      <x:c r="AN44" s="65" t="n">
        <x:f>AN43*(1+AM44)</x:f>
        <x:v>1.0733149804245523</x:v>
      </x:c>
      <x:c r="AO44" s="47" t="n">
        <x:f>AJ44*AN44</x:f>
        <x:v>4006.6848219248536</x:v>
      </x:c>
      <x:c r="AP44" s="67" t="n">
        <x:f>IF(AI44&gt;0,AO44*1000000/AI44/Economy!Q44,0)</x:f>
        <x:v>0.051509338771248844</x:v>
      </x:c>
      <x:c r="AQ44" s="45" t="n">
        <x:v>10930000</x:v>
      </x:c>
      <x:c r="AR44" s="45" t="n">
        <x:v>197</x:v>
      </x:c>
      <x:c r="AS44" s="68" t="n">
        <x:v>0.214</x:v>
      </x:c>
      <x:c r="AT44" s="47" t="n">
        <x:f>IF(AQ44&gt;0,AR44*1000000/AQ44,0)</x:f>
        <x:v>18.023787740164686</x:v>
      </x:c>
      <x:c r="AU44" s="64" t="n">
        <x:f>IF(AND(AS44&gt;0,AT43&gt;0,B44&gt;0),MIN(conv_cap,conv_beta*1*AS44*MAX(0,LN(B44/(AT43*AV43)))),0)</x:f>
        <x:v>0.006119897985153061</x:v>
      </x:c>
      <x:c r="AV44" s="65" t="n">
        <x:f>AV43*(1+AU44)</x:f>
        <x:v>1.0228008818763619</x:v>
      </x:c>
      <x:c r="AW44" s="47" t="n">
        <x:f>AR44*AV44</x:f>
        <x:v>201.49177372964328</x:v>
      </x:c>
      <x:c r="AX44" s="67" t="n">
        <x:f>IF(AQ44&gt;0,AW44*1000000/AQ44/Economy!Q44,0)</x:f>
        <x:v>0.08948905823006213</x:v>
      </x:c>
      <x:c r="AY44" s="45" t="n">
        <x:v>64000000</x:v>
      </x:c>
      <x:c r="AZ44" s="45" t="n">
        <x:v>1413</x:v>
      </x:c>
      <x:c r="BA44" s="68" t="n">
        <x:v>0.06</x:v>
      </x:c>
      <x:c r="BB44" s="47" t="n">
        <x:f>IF(AY44&gt;0,AZ44*1000000/AY44,0)</x:f>
        <x:v>22.078125</x:v>
      </x:c>
      <x:c r="BC44" s="64" t="n">
        <x:f>IF(AND(BA44&gt;0,BB43&gt;0,B44&gt;0),MIN(conv_cap,conv_beta*1*BA44*MAX(0,LN(B44/(BB43*BD43)))),0)</x:f>
        <x:v>0.0015975471944438754</x:v>
      </x:c>
      <x:c r="BD44" s="65" t="n">
        <x:f>BD43*(1+BC44)</x:f>
        <x:v>1.0074096398403227</x:v>
      </x:c>
      <x:c r="BE44" s="47" t="n">
        <x:f>AZ44*BD44</x:f>
        <x:v>1423.469821094376</x:v>
      </x:c>
      <x:c r="BF44" s="67" t="n">
        <x:f>IF(AY44&gt;0,BE44*1000000/AY44/Economy!Q44,0)</x:f>
        <x:v>0.1079694949252409</x:v>
      </x:c>
      <x:c r="BG44" s="45" t="n">
        <x:v>25700000</x:v>
      </x:c>
      <x:c r="BH44" s="45" t="n">
        <x:v>1560</x:v>
      </x:c>
      <x:c r="BI44" s="68" t="n">
        <x:v>0.097</x:v>
      </x:c>
      <x:c r="BJ44" s="47" t="n">
        <x:f>IF(BG44&gt;0,BH44*1000000/BG44,0)</x:f>
        <x:v>60.70038910505836</x:v>
      </x:c>
      <x:c r="BK44" s="64" t="n">
        <x:f>IF(AND(BI44&gt;0,BJ43&gt;0,B44&gt;0),MIN(conv_cap,conv_beta*1*BI44*MAX(0,LN(B44/(BJ43*BL43)))),0)</x:f>
        <x:v>0.0015989557058256074</x:v>
      </x:c>
      <x:c r="BL44" s="65" t="n">
        <x:f>BL43*(1+BK44)</x:f>
        <x:v>1.0184634332571751</x:v>
      </x:c>
      <x:c r="BM44" s="47" t="n">
        <x:f>BH44*BL44</x:f>
        <x:v>1588.8029558811932</x:v>
      </x:c>
      <x:c r="BN44" s="67" t="n">
        <x:f>IF(BG44&gt;0,BM44*1000000/BG44/Economy!Q44,0)</x:f>
        <x:v>0.30010255673778724</x:v>
      </x:c>
      <x:c r="BO44" s="45" t="n">
        <x:v>12900000</x:v>
      </x:c>
      <x:c r="BP44" s="45" t="n">
        <x:v>640</x:v>
      </x:c>
      <x:c r="BQ44" s="68" t="n">
        <x:v>0</x:v>
      </x:c>
      <x:c r="BR44" s="47" t="n">
        <x:f>IF(BO44&gt;0,BP44*1000000/BO44,0)</x:f>
        <x:v>49.6124031007752</x:v>
      </x:c>
      <x:c r="BS44" s="64" t="n">
        <x:f>IF(AND(BQ44&gt;0,BR43&gt;0,B44&gt;0),MIN(conv_cap,conv_beta*1*BQ44*MAX(0,LN(B44/(BR43*BT43)))),0)</x:f>
        <x:v>0</x:v>
      </x:c>
      <x:c r="BT44" s="65" t="n">
        <x:f>BT43*(1+BS44)</x:f>
        <x:v>1</x:v>
      </x:c>
      <x:c r="BU44" s="47" t="n">
        <x:f>BP44*BT44</x:f>
        <x:v>640</x:v>
      </x:c>
      <x:c r="BV44" s="67" t="n">
        <x:f>IF(BO44&gt;0,BU44*1000000/BO44/Economy!Q44,0)</x:f>
        <x:v>0.24083690825619028</x:v>
      </x:c>
      <x:c r="BW44" s="65" t="n">
        <x:f>0.25*IF(D44&gt;0,H44,1)+0.15*IF(AJ44&gt;0,AN44,1)+0.03*IF(AR44&gt;0,AV44,1)+0.08*IF(AZ44&gt;0,BD44,1)+0.12*IF(BH44&gt;0,BL44,1)+0.1*IF(L44&gt;0,P44,1)+0.07*IF(T44&gt;0,X44,1)+0.05*IF(AB44&gt;0,AF44,1)+0.05*IF(BP44&gt;0,BT44,1)+0.1</x:f>
        <x:v>1.0686919799618602</x:v>
      </x:c>
      <x:c r="BX44" s="63" t="n">
        <x:f>MIN(mkt_cap,mkt_elast*MAX(0,BW44-1))</x:f>
        <x:v>0.03434598998093008</x:v>
      </x:c>
      <x:c r="BY44" s="47" t="n">
        <x:f>I44+Q44+Y44+AG44</x:f>
        <x:v>888.5710030378855</x:v>
      </x:c>
      <x:c r="BZ44" s="47" t="n">
        <x:f>D44+L44+T44+AB44</x:f>
        <x:v>755</x:v>
      </x:c>
      <x:c r="CA44" s="65" t="n">
        <x:f>IF(BZ44&gt;0,BY44/BZ44,0)</x:f>
        <x:v>1.176915235811769</x:v>
      </x:c>
    </x:row>
    <x:row r="45">
      <x:c r="A45" s="58" t="n">
        <x:v>1885</x:v>
      </x:c>
      <x:c r="B45" s="47" t="n">
        <x:f>Economy!P44</x:f>
        <x:v>310.7532264774822</x:v>
      </x:c>
      <x:c r="C45" s="45" t="n">
        <x:v>38300000</x:v>
      </x:c>
      <x:c r="D45" s="62" t="n">
        <x:f>Japan!B45</x:f>
        <x:v>650</x:v>
      </x:c>
      <x:c r="E45" s="68" t="n">
        <x:v>0.507</x:v>
      </x:c>
      <x:c r="F45" s="47" t="n">
        <x:f>IF(C45&gt;0,D45*1000000/C45,0)</x:f>
        <x:v>16.971279373368148</x:v>
      </x:c>
      <x:c r="G45" s="64" t="n">
        <x:f>IF(AND(E45&gt;0,F44&gt;0,B45&gt;0),MIN(conv_cap,conv_beta*jp_uplift*E45*MAX(0,LN(B45/(F44*H44)))),0)</x:f>
        <x:v>0.013874552891443537</x:v>
      </x:c>
      <x:c r="H45" s="65" t="n">
        <x:f>H44*(1+G45)</x:f>
        <x:v>1.2107559172810503</x:v>
      </x:c>
      <x:c r="I45" s="47" t="n">
        <x:f>D45*H45</x:f>
        <x:v>786.9913462326826</x:v>
      </x:c>
      <x:c r="J45" s="67" t="n">
        <x:f>IF(C45&gt;0,I45*1000000/C45/Economy!Q45,0)</x:f>
        <x:v>0.10023452158602593</x:v>
      </x:c>
      <x:c r="K45" s="62" t="n">
        <x:f>Gulf!B45</x:f>
        <x:v>0</x:v>
      </x:c>
      <x:c r="L45" s="47" t="n">
        <x:f>Gulf!B45*Gulf!C45*Economy!Q45/1000000</x:f>
        <x:v>0</x:v>
      </x:c>
      <x:c r="M45" s="68" t="n">
        <x:v>0</x:v>
      </x:c>
      <x:c r="N45" s="47" t="n">
        <x:f>IF(K45&gt;0,L45*1000000/K45,0)</x:f>
        <x:v>0</x:v>
      </x:c>
      <x:c r="O45" s="64" t="n">
        <x:f>IF(AND(M45&gt;0,N44&gt;0,B45&gt;0),MIN(conv_cap,conv_beta*1*M45*MAX(0,LN(B45/(N44*P44)))),0)</x:f>
        <x:v>0</x:v>
      </x:c>
      <x:c r="P45" s="65" t="n">
        <x:f>P44*(1+O45)</x:f>
        <x:v>1</x:v>
      </x:c>
      <x:c r="Q45" s="47" t="n">
        <x:f>L45*P45</x:f>
        <x:v>0</x:v>
      </x:c>
      <x:c r="R45" s="67" t="n">
        <x:f>IF(K45&gt;0,Q45*1000000/K45/Economy!Q45,0)</x:f>
        <x:v>0</x:v>
      </x:c>
      <x:c r="S45" s="62" t="n">
        <x:f>People!U45</x:f>
        <x:v>6491000</x:v>
      </x:c>
      <x:c r="T45" s="45" t="n">
        <x:v>116</x:v>
      </x:c>
      <x:c r="U45" s="68" t="n">
        <x:v>0.382</x:v>
      </x:c>
      <x:c r="V45" s="47" t="n">
        <x:f>IF(S45&gt;0,T45*1000000/S45,0)</x:f>
        <x:v>17.870898166692342</x:v>
      </x:c>
      <x:c r="W45" s="64" t="n">
        <x:f>IF(AND(U45&gt;0,V44&gt;0,B45&gt;0),MIN(conv_cap,conv_beta*1*U45*MAX(0,LN(B45/(V44*X44)))),0)</x:f>
        <x:v>0.010613024611847354</x:v>
      </x:c>
      <x:c r="X45" s="65" t="n">
        <x:f>X44*(1+W45)</x:f>
        <x:v>1.0922640166253241</x:v>
      </x:c>
      <x:c r="Y45" s="47" t="n">
        <x:f>T45*X45</x:f>
        <x:v>126.7026259285376</x:v>
      </x:c>
      <x:c r="Z45" s="67" t="n">
        <x:f>IF(S45&gt;0,Y45*1000000/S45/Economy!Q45,0)</x:f>
        <x:v>0.09521823908416352</x:v>
      </x:c>
      <x:c r="AA45" s="45" t="n">
        <x:v>0</x:v>
      </x:c>
      <x:c r="AB45" s="45" t="n">
        <x:v>0</x:v>
      </x:c>
      <x:c r="AC45" s="68" t="n">
        <x:v>0</x:v>
      </x:c>
      <x:c r="AD45" s="47" t="n">
        <x:f>IF(AA45&gt;0,AB45*1000000/AA45,0)</x:f>
        <x:v>0</x:v>
      </x:c>
      <x:c r="AE45" s="64" t="n">
        <x:f>IF(AND(AC45&gt;0,AD44&gt;0,B45&gt;0),MIN(conv_cap,conv_beta*1*AC45*MAX(0,LN(B45/(AD44*AF44)))),0)</x:f>
        <x:v>0</x:v>
      </x:c>
      <x:c r="AF45" s="65" t="n">
        <x:f>AF44*(1+AE45)</x:f>
        <x:v>1</x:v>
      </x:c>
      <x:c r="AG45" s="47" t="n">
        <x:f>AB45*AF45</x:f>
        <x:v>0</x:v>
      </x:c>
      <x:c r="AH45" s="67" t="n">
        <x:f>IF(AA45&gt;0,AG45*1000000/AA45/Economy!Q45,0)</x:f>
        <x:v>0</x:v>
      </x:c>
      <x:c r="AI45" s="45" t="n">
        <x:v>379000000</x:v>
      </x:c>
      <x:c r="AJ45" s="45" t="n">
        <x:v>3750</x:v>
      </x:c>
      <x:c r="AK45" s="68" t="n">
        <x:v>0.142</x:v>
      </x:c>
      <x:c r="AL45" s="47" t="n">
        <x:f>IF(AI45&gt;0,AJ45*1000000/AI45,0)</x:f>
        <x:v>9.894459102902374</x:v>
      </x:c>
      <x:c r="AM45" s="64" t="n">
        <x:f>IF(AND(AK45&gt;0,AL44&gt;0,B45&gt;0),MIN(conv_cap,conv_beta*1*AK45*MAX(0,LN(B45/(AL44*AN44)))),0)</x:f>
        <x:v>0.004795503437465975</x:v>
      </x:c>
      <x:c r="AN45" s="65" t="n">
        <x:f>AN44*(1+AM45)</x:f>
        <x:v>1.078462066102662</x:v>
      </x:c>
      <x:c r="AO45" s="47" t="n">
        <x:f>AJ45*AN45</x:f>
        <x:v>4044.2327478849825</x:v>
      </x:c>
      <x:c r="AP45" s="67" t="n">
        <x:f>IF(AI45&gt;0,AO45*1000000/AI45/Economy!Q45,0)</x:f>
        <x:v>0.05205267710772871</x:v>
      </x:c>
      <x:c r="AQ45" s="45" t="n">
        <x:v>11000000</x:v>
      </x:c>
      <x:c r="AR45" s="45" t="n">
        <x:v>200</x:v>
      </x:c>
      <x:c r="AS45" s="68" t="n">
        <x:v>0.243</x:v>
      </x:c>
      <x:c r="AT45" s="47" t="n">
        <x:f>IF(AQ45&gt;0,AR45*1000000/AQ45,0)</x:f>
        <x:v>18.181818181818183</x:v>
      </x:c>
      <x:c r="AU45" s="64" t="n">
        <x:f>IF(AND(AS45&gt;0,AT44&gt;0,B45&gt;0),MIN(conv_cap,conv_beta*1*AS45*MAX(0,LN(B45/(AT44*AV44)))),0)</x:f>
        <x:v>0.006864171319817217</x:v>
      </x:c>
      <x:c r="AV45" s="65" t="n">
        <x:f>AV44*(1+AU45)</x:f>
        <x:v>1.0298215623556213</x:v>
      </x:c>
      <x:c r="AW45" s="47" t="n">
        <x:f>AR45*AV45</x:f>
        <x:v>205.96431247112426</x:v>
      </x:c>
      <x:c r="AX45" s="67" t="n">
        <x:f>IF(AQ45&gt;0,AW45*1000000/AQ45/Economy!Q45,0)</x:f>
        <x:v>0.09133672393397971</x:v>
      </x:c>
      <x:c r="AY45" s="45" t="n">
        <x:v>65000000</x:v>
      </x:c>
      <x:c r="AZ45" s="45" t="n">
        <x:v>1450</x:v>
      </x:c>
      <x:c r="BA45" s="68" t="n">
        <x:v>0.062</x:v>
      </x:c>
      <x:c r="BB45" s="47" t="n">
        <x:f>IF(AY45&gt;0,AZ45*1000000/AY45,0)</x:f>
        <x:v>22.307692307692307</x:v>
      </x:c>
      <x:c r="BC45" s="64" t="n">
        <x:f>IF(AND(BA45&gt;0,BB44&gt;0,B45&gt;0),MIN(conv_cap,conv_beta*1*BA45*MAX(0,LN(B45/(BB44*BD44)))),0)</x:f>
        <x:v>0.0016349582841539922</x:v>
      </x:c>
      <x:c r="BD45" s="65" t="n">
        <x:f>BD44*(1+BC45)</x:f>
        <x:v>1.0090567125765162</x:v>
      </x:c>
      <x:c r="BE45" s="47" t="n">
        <x:f>AZ45*BD45</x:f>
        <x:v>1463.1322332359484</x:v>
      </x:c>
      <x:c r="BF45" s="67" t="n">
        <x:f>IF(AY45&gt;0,BE45*1000000/AY45/Economy!Q45,0)</x:f>
        <x:v>0.10980354470813872</x:v>
      </x:c>
      <x:c r="BG45" s="45" t="n">
        <x:v>26000000</x:v>
      </x:c>
      <x:c r="BH45" s="45" t="n">
        <x:v>1600</x:v>
      </x:c>
      <x:c r="BI45" s="68" t="n">
        <x:v>0.1</x:v>
      </x:c>
      <x:c r="BJ45" s="47" t="n">
        <x:f>IF(BG45&gt;0,BH45*1000000/BG45,0)</x:f>
        <x:v>61.53846153846154</x:v>
      </x:c>
      <x:c r="BK45" s="64" t="n">
        <x:f>IF(AND(BI45&gt;0,BJ44&gt;0,B45&gt;0),MIN(conv_cap,conv_beta*1*BI45*MAX(0,LN(B45/(BJ44*BL44)))),0)</x:f>
        <x:v>0.0016147539513720539</x:v>
      </x:c>
      <x:c r="BL45" s="65" t="n">
        <x:f>BL44*(1+BK45)</x:f>
        <x:v>1.0201080011103552</x:v>
      </x:c>
      <x:c r="BM45" s="47" t="n">
        <x:f>BH45*BL45</x:f>
        <x:v>1632.1728017765683</x:v>
      </x:c>
      <x:c r="BN45" s="67" t="n">
        <x:f>IF(BG45&gt;0,BM45*1000000/BG45/Economy!Q45,0)</x:f>
        <x:v>0.3062237902019828</x:v>
      </x:c>
      <x:c r="BO45" s="45" t="n">
        <x:v>13000000</x:v>
      </x:c>
      <x:c r="BP45" s="45" t="n">
        <x:v>650</x:v>
      </x:c>
      <x:c r="BQ45" s="68" t="n">
        <x:v>0</x:v>
      </x:c>
      <x:c r="BR45" s="47" t="n">
        <x:f>IF(BO45&gt;0,BP45*1000000/BO45,0)</x:f>
        <x:v>50</x:v>
      </x:c>
      <x:c r="BS45" s="64" t="n">
        <x:f>IF(AND(BQ45&gt;0,BR44&gt;0,B45&gt;0),MIN(conv_cap,conv_beta*1*BQ45*MAX(0,LN(B45/(BR44*BT44)))),0)</x:f>
        <x:v>0</x:v>
      </x:c>
      <x:c r="BT45" s="65" t="n">
        <x:f>BT44*(1+BS45)</x:f>
        <x:v>1</x:v>
      </x:c>
      <x:c r="BU45" s="47" t="n">
        <x:f>BP45*BT45</x:f>
        <x:v>650</x:v>
      </x:c>
      <x:c r="BV45" s="67" t="n">
        <x:f>IF(BO45&gt;0,BU45*1000000/BO45/Economy!Q45,0)</x:f>
        <x:v>0.24390243902439024</x:v>
      </x:c>
      <x:c r="BW45" s="65" t="n">
        <x:f>0.25*IF(D45&gt;0,H45,1)+0.15*IF(AJ45&gt;0,AN45,1)+0.03*IF(AR45&gt;0,AV45,1)+0.08*IF(AZ45&gt;0,BD45,1)+0.12*IF(BH45&gt;0,BL45,1)+0.1*IF(L45&gt;0,P45,1)+0.07*IF(T45&gt;0,X45,1)+0.05*IF(AB45&gt;0,AF45,1)+0.05*IF(BP45&gt;0,BT45,1)+0.1</x:f>
        <x:v>1.0749489144094673</x:v>
      </x:c>
      <x:c r="BX45" s="63" t="n">
        <x:f>MIN(mkt_cap,mkt_elast*MAX(0,BW45-1))</x:f>
        <x:v>0.037474457204733636</x:v>
      </x:c>
      <x:c r="BY45" s="47" t="n">
        <x:f>I45+Q45+Y45+AG45</x:f>
        <x:v>913.6939721612202</x:v>
      </x:c>
      <x:c r="BZ45" s="47" t="n">
        <x:f>D45+L45+T45+AB45</x:f>
        <x:v>766</x:v>
      </x:c>
      <x:c r="CA45" s="65" t="n">
        <x:f>IF(BZ45&gt;0,BY45/BZ45,0)</x:f>
        <x:v>1.1928119741008096</x:v>
      </x:c>
    </x:row>
    <x:row r="46">
      <x:c r="A46" s="58" t="n">
        <x:v>1886</x:v>
      </x:c>
      <x:c r="B46" s="47" t="n">
        <x:f>Economy!P45</x:f>
        <x:v>313.0939836654077</x:v>
      </x:c>
      <x:c r="C46" s="45" t="n">
        <x:v>38640000</x:v>
      </x:c>
      <x:c r="D46" s="62" t="n">
        <x:f>Japan!B46</x:f>
        <x:v>680</x:v>
      </x:c>
      <x:c r="E46" s="68" t="n">
        <x:v>0.529</x:v>
      </x:c>
      <x:c r="F46" s="47" t="n">
        <x:f>IF(C46&gt;0,D46*1000000/C46,0)</x:f>
        <x:v>17.598343685300208</x:v>
      </x:c>
      <x:c r="G46" s="64" t="n">
        <x:f>IF(AND(E46&gt;0,F45&gt;0,B46&gt;0),MIN(conv_cap,conv_beta*jp_uplift*E46*MAX(0,LN(B46/(F45*H45)))),0)</x:f>
        <x:v>0.014408563738845968</x:v>
      </x:c>
      <x:c r="H46" s="65" t="n">
        <x:f>H45*(1+G46)</x:f>
        <x:v>1.2282011710873793</x:v>
      </x:c>
      <x:c r="I46" s="47" t="n">
        <x:f>D46*H46</x:f>
        <x:v>835.1767963394179</x:v>
      </x:c>
      <x:c r="J46" s="67" t="n">
        <x:f>IF(C46&gt;0,I46*1000000/C46/Economy!Q46,0)</x:f>
        <x:v>0.10492381710429079</x:v>
      </x:c>
      <x:c r="K46" s="62" t="n">
        <x:f>Gulf!B46</x:f>
        <x:v>0</x:v>
      </x:c>
      <x:c r="L46" s="47" t="n">
        <x:f>Gulf!B46*Gulf!C46*Economy!Q46/1000000</x:f>
        <x:v>0</x:v>
      </x:c>
      <x:c r="M46" s="68" t="n">
        <x:v>0</x:v>
      </x:c>
      <x:c r="N46" s="47" t="n">
        <x:f>IF(K46&gt;0,L46*1000000/K46,0)</x:f>
        <x:v>0</x:v>
      </x:c>
      <x:c r="O46" s="64" t="n">
        <x:f>IF(AND(M46&gt;0,N45&gt;0,B46&gt;0),MIN(conv_cap,conv_beta*1*M46*MAX(0,LN(B46/(N45*P45)))),0)</x:f>
        <x:v>0</x:v>
      </x:c>
      <x:c r="P46" s="65" t="n">
        <x:f>P45*(1+O46)</x:f>
        <x:v>1</x:v>
      </x:c>
      <x:c r="Q46" s="47" t="n">
        <x:f>L46*P46</x:f>
        <x:v>0</x:v>
      </x:c>
      <x:c r="R46" s="67" t="n">
        <x:f>IF(K46&gt;0,Q46*1000000/K46/Economy!Q46,0)</x:f>
        <x:v>0</x:v>
      </x:c>
      <x:c r="S46" s="62" t="n">
        <x:f>People!U46</x:f>
        <x:v>6545000</x:v>
      </x:c>
      <x:c r="T46" s="45" t="n">
        <x:v>118</x:v>
      </x:c>
      <x:c r="U46" s="68" t="n">
        <x:v>0.391</x:v>
      </x:c>
      <x:c r="V46" s="47" t="n">
        <x:f>IF(S46&gt;0,T46*1000000/S46,0)</x:f>
        <x:v>18.029029793735678</x:v>
      </x:c>
      <x:c r="W46" s="64" t="n">
        <x:f>IF(AND(U46&gt;0,V45&gt;0,B46&gt;0),MIN(conv_cap,conv_beta*1*U46*MAX(0,LN(B46/(V45*X45)))),0)</x:f>
        <x:v>0.01085055186040222</x:v>
      </x:c>
      <x:c r="X46" s="65" t="n">
        <x:f>X45*(1+W46)</x:f>
        <x:v>1.1041156839829684</x:v>
      </x:c>
      <x:c r="Y46" s="47" t="n">
        <x:f>T46*X46</x:f>
        <x:v>130.28565070999028</x:v>
      </x:c>
      <x:c r="Z46" s="67" t="n">
        <x:f>IF(S46&gt;0,Y46*1000000/S46/Economy!Q46,0)</x:f>
        <x:v>0.09663172117601837</x:v>
      </x:c>
      <x:c r="AA46" s="45" t="n">
        <x:v>0</x:v>
      </x:c>
      <x:c r="AB46" s="45" t="n">
        <x:v>0</x:v>
      </x:c>
      <x:c r="AC46" s="68" t="n">
        <x:v>0</x:v>
      </x:c>
      <x:c r="AD46" s="47" t="n">
        <x:f>IF(AA46&gt;0,AB46*1000000/AA46,0)</x:f>
        <x:v>0</x:v>
      </x:c>
      <x:c r="AE46" s="64" t="n">
        <x:f>IF(AND(AC46&gt;0,AD45&gt;0,B46&gt;0),MIN(conv_cap,conv_beta*1*AC46*MAX(0,LN(B46/(AD45*AF45)))),0)</x:f>
        <x:v>0</x:v>
      </x:c>
      <x:c r="AF46" s="65" t="n">
        <x:f>AF45*(1+AE46)</x:f>
        <x:v>1</x:v>
      </x:c>
      <x:c r="AG46" s="47" t="n">
        <x:f>AB46*AF46</x:f>
        <x:v>0</x:v>
      </x:c>
      <x:c r="AH46" s="67" t="n">
        <x:f>IF(AA46&gt;0,AG46*1000000/AA46/Economy!Q46,0)</x:f>
        <x:v>0</x:v>
      </x:c>
      <x:c r="AI46" s="45" t="n">
        <x:v>380400000</x:v>
      </x:c>
      <x:c r="AJ46" s="45" t="n">
        <x:v>3767</x:v>
      </x:c>
      <x:c r="AK46" s="68" t="n">
        <x:v>0.146</x:v>
      </x:c>
      <x:c r="AL46" s="47" t="n">
        <x:f>IF(AI46&gt;0,AJ46*1000000/AI46,0)</x:f>
        <x:v>9.90273396424816</x:v>
      </x:c>
      <x:c r="AM46" s="64" t="n">
        <x:f>IF(AND(AK46&gt;0,AL45&gt;0,B46&gt;0),MIN(conv_cap,conv_beta*1*AK46*MAX(0,LN(B46/(AL45*AN45)))),0)</x:f>
        <x:v>0.004933329028815714</x:v>
      </x:c>
      <x:c r="AN46" s="65" t="n">
        <x:f>AN45*(1+AM46)</x:f>
        <x:v>1.0837824743198428</x:v>
      </x:c>
      <x:c r="AO46" s="47" t="n">
        <x:f>AJ46*AN46</x:f>
        <x:v>4082.608580762848</x:v>
      </x:c>
      <x:c r="AP46" s="67" t="n">
        <x:f>IF(AI46&gt;0,AO46*1000000/AI46/Economy!Q46,0)</x:f>
        <x:v>0.052099075331572896</x:v>
      </x:c>
      <x:c r="AQ46" s="45" t="n">
        <x:v>11070000</x:v>
      </x:c>
      <x:c r="AR46" s="45" t="n">
        <x:v>203</x:v>
      </x:c>
      <x:c r="AS46" s="68" t="n">
        <x:v>0.271</x:v>
      </x:c>
      <x:c r="AT46" s="47" t="n">
        <x:f>IF(AQ46&gt;0,AR46*1000000/AQ46,0)</x:f>
        <x:v>18.33785004516712</x:v>
      </x:c>
      <x:c r="AU46" s="64" t="n">
        <x:f>IF(AND(AS46&gt;0,AT45&gt;0,B46&gt;0),MIN(conv_cap,conv_beta*1*AS46*MAX(0,LN(B46/(AT45*AV45)))),0)</x:f>
        <x:v>0.00763324554271255</x:v>
      </x:c>
      <x:c r="AV46" s="65" t="n">
        <x:f>AV45*(1+AU46)</x:f>
        <x:v>1.0376824432062617</x:v>
      </x:c>
      <x:c r="AW46" s="47" t="n">
        <x:f>AR46*AV46</x:f>
        <x:v>210.6495359708711</x:v>
      </x:c>
      <x:c r="AX46" s="67" t="n">
        <x:f>IF(AQ46&gt;0,AW46*1000000/AQ46/Economy!Q46,0)</x:f>
        <x:v>0.09237313125251975</x:v>
      </x:c>
      <x:c r="AY46" s="45" t="n">
        <x:v>66000000</x:v>
      </x:c>
      <x:c r="AZ46" s="45" t="n">
        <x:v>1487</x:v>
      </x:c>
      <x:c r="BA46" s="68" t="n">
        <x:v>0.065</x:v>
      </x:c>
      <x:c r="BB46" s="47" t="n">
        <x:f>IF(AY46&gt;0,AZ46*1000000/AY46,0)</x:f>
        <x:v>22.53030303030303</x:v>
      </x:c>
      <x:c r="BC46" s="64" t="n">
        <x:f>IF(AND(BA46&gt;0,BB45&gt;0,B46&gt;0),MIN(conv_cap,conv_beta*1*BA46*MAX(0,LN(B46/(BB45*BD45)))),0)</x:f>
        <x:v>0.001711161335483329</x:v>
      </x:c>
      <x:c r="BD46" s="65" t="n">
        <x:f>BD45*(1+BC46)</x:f>
        <x:v>1.0107833714083871</x:v>
      </x:c>
      <x:c r="BE46" s="47" t="n">
        <x:f>AZ46*BD46</x:f>
        <x:v>1503.0348732842717</x:v>
      </x:c>
      <x:c r="BF46" s="67" t="n">
        <x:f>IF(AY46&gt;0,BE46*1000000/AY46/Economy!Q46,0)</x:f>
        <x:v>0.11054978473700146</x:v>
      </x:c>
      <x:c r="BG46" s="45" t="n">
        <x:v>26300000</x:v>
      </x:c>
      <x:c r="BH46" s="45" t="n">
        <x:v>1640</x:v>
      </x:c>
      <x:c r="BI46" s="68" t="n">
        <x:v>0.106</x:v>
      </x:c>
      <x:c r="BJ46" s="47" t="n">
        <x:f>IF(BG46&gt;0,BH46*1000000/BG46,0)</x:f>
        <x:v>62.3574144486692</x:v>
      </x:c>
      <x:c r="BK46" s="64" t="n">
        <x:f>IF(AND(BI46&gt;0,BJ45&gt;0,B46&gt;0),MIN(conv_cap,conv_beta*1*BI46*MAX(0,LN(B46/(BJ45*BL45)))),0)</x:f>
        <x:v>0.0017033484896776358</x:v>
      </x:c>
      <x:c r="BL46" s="65" t="n">
        <x:f>BL45*(1+BK46)</x:f>
        <x:v>1.0218456005333545</x:v>
      </x:c>
      <x:c r="BM46" s="47" t="n">
        <x:f>BH46*BL46</x:f>
        <x:v>1675.8267848747014</x:v>
      </x:c>
      <x:c r="BN46" s="67" t="n">
        <x:f>IF(BG46&gt;0,BM46*1000000/BG46/Economy!Q46,0)</x:f>
        <x:v>0.3093186874514935</x:v>
      </x:c>
      <x:c r="BO46" s="45" t="n">
        <x:v>13100000</x:v>
      </x:c>
      <x:c r="BP46" s="45" t="n">
        <x:v>660</x:v>
      </x:c>
      <x:c r="BQ46" s="68" t="n">
        <x:v>0</x:v>
      </x:c>
      <x:c r="BR46" s="47" t="n">
        <x:f>IF(BO46&gt;0,BP46*1000000/BO46,0)</x:f>
        <x:v>50.38167938931298</x:v>
      </x:c>
      <x:c r="BS46" s="64" t="n">
        <x:f>IF(AND(BQ46&gt;0,BR45&gt;0,B46&gt;0),MIN(conv_cap,conv_beta*1*BQ46*MAX(0,LN(B46/(BR45*BT45)))),0)</x:f>
        <x:v>0</x:v>
      </x:c>
      <x:c r="BT46" s="65" t="n">
        <x:f>BT45*(1+BS46)</x:f>
        <x:v>1</x:v>
      </x:c>
      <x:c r="BU46" s="47" t="n">
        <x:f>BP46*BT46</x:f>
        <x:v>660</x:v>
      </x:c>
      <x:c r="BV46" s="67" t="n">
        <x:f>IF(BO46&gt;0,BU46*1000000/BO46/Economy!Q46,0)</x:f>
        <x:v>0.24457125917142222</x:v>
      </x:c>
      <x:c r="BW46" s="65" t="n">
        <x:f>0.25*IF(D46&gt;0,H46,1)+0.15*IF(AJ46&gt;0,AN46,1)+0.03*IF(AR46&gt;0,AV46,1)+0.08*IF(AZ46&gt;0,BD46,1)+0.12*IF(BH46&gt;0,BL46,1)+0.1*IF(L46&gt;0,P46,1)+0.07*IF(T46&gt;0,X46,1)+0.05*IF(AB46&gt;0,AF46,1)+0.05*IF(BP46&gt;0,BT46,1)+0.1</x:f>
        <x:v>1.0815203768714905</x:v>
      </x:c>
      <x:c r="BX46" s="63" t="n">
        <x:f>MIN(mkt_cap,mkt_elast*MAX(0,BW46-1))</x:f>
        <x:v>0.04076018843574525</x:v>
      </x:c>
      <x:c r="BY46" s="47" t="n">
        <x:f>I46+Q46+Y46+AG46</x:f>
        <x:v>965.4624470494082</x:v>
      </x:c>
      <x:c r="BZ46" s="47" t="n">
        <x:f>D46+L46+T46+AB46</x:f>
        <x:v>798</x:v>
      </x:c>
      <x:c r="CA46" s="65" t="n">
        <x:f>IF(BZ46&gt;0,BY46/BZ46,0)</x:f>
        <x:v>1.2098526905381055</x:v>
      </x:c>
    </x:row>
    <x:row r="47">
      <x:c r="A47" s="58" t="n">
        <x:v>1887</x:v>
      </x:c>
      <x:c r="B47" s="47" t="n">
        <x:f>Economy!P46</x:f>
        <x:v>325.75170061922756</x:v>
      </x:c>
      <x:c r="C47" s="45" t="n">
        <x:v>38980000</x:v>
      </x:c>
      <x:c r="D47" s="62" t="n">
        <x:f>Japan!B47</x:f>
        <x:v>710</x:v>
      </x:c>
      <x:c r="E47" s="68" t="n">
        <x:v>0.55</x:v>
      </x:c>
      <x:c r="F47" s="47" t="n">
        <x:f>IF(C47&gt;0,D47*1000000/C47,0)</x:f>
        <x:v>18.214468958440225</x:v>
      </x:c>
      <x:c r="G47" s="64" t="n">
        <x:f>IF(AND(E47&gt;0,F46&gt;0,B47&gt;0),MIN(conv_cap,conv_beta*jp_uplift*E47*MAX(0,LN(B47/(F46*H46)))),0)</x:f>
        <x:v>0.014920290062594432</x:v>
      </x:c>
      <x:c r="H47" s="65" t="n">
        <x:f>H46*(1+G47)</x:f>
        <x:v>1.246526288815221</x:v>
      </x:c>
      <x:c r="I47" s="47" t="n">
        <x:f>D47*H47</x:f>
        <x:v>885.033665058807</x:v>
      </x:c>
      <x:c r="J47" s="67" t="n">
        <x:f>IF(C47&gt;0,I47*1000000/C47/Economy!Q47,0)</x:f>
        <x:v>0.11021754559953659</x:v>
      </x:c>
      <x:c r="K47" s="62" t="n">
        <x:f>Gulf!B47</x:f>
        <x:v>0</x:v>
      </x:c>
      <x:c r="L47" s="47" t="n">
        <x:f>Gulf!B47*Gulf!C47*Economy!Q47/1000000</x:f>
        <x:v>0</x:v>
      </x:c>
      <x:c r="M47" s="68" t="n">
        <x:v>0</x:v>
      </x:c>
      <x:c r="N47" s="47" t="n">
        <x:f>IF(K47&gt;0,L47*1000000/K47,0)</x:f>
        <x:v>0</x:v>
      </x:c>
      <x:c r="O47" s="64" t="n">
        <x:f>IF(AND(M47&gt;0,N46&gt;0,B47&gt;0),MIN(conv_cap,conv_beta*1*M47*MAX(0,LN(B47/(N46*P46)))),0)</x:f>
        <x:v>0</x:v>
      </x:c>
      <x:c r="P47" s="65" t="n">
        <x:f>P46*(1+O47)</x:f>
        <x:v>1</x:v>
      </x:c>
      <x:c r="Q47" s="47" t="n">
        <x:f>L47*P47</x:f>
        <x:v>0</x:v>
      </x:c>
      <x:c r="R47" s="67" t="n">
        <x:f>IF(K47&gt;0,Q47*1000000/K47/Economy!Q47,0)</x:f>
        <x:v>0</x:v>
      </x:c>
      <x:c r="S47" s="62" t="n">
        <x:f>People!U47</x:f>
        <x:v>6600000</x:v>
      </x:c>
      <x:c r="T47" s="45" t="n">
        <x:v>120</x:v>
      </x:c>
      <x:c r="U47" s="68" t="n">
        <x:v>0.4</x:v>
      </x:c>
      <x:c r="V47" s="47" t="n">
        <x:f>IF(S47&gt;0,T47*1000000/S47,0)</x:f>
        <x:v>18.181818181818183</x:v>
      </x:c>
      <x:c r="W47" s="64" t="n">
        <x:f>IF(AND(U47&gt;0,V46&gt;0,B47&gt;0),MIN(conv_cap,conv_beta*1*U47*MAX(0,LN(B47/(V46*X46)))),0)</x:f>
        <x:v>0.011180429931731212</x:v>
      </x:c>
      <x:c r="X47" s="65" t="n">
        <x:f>X46*(1+W47)</x:f>
        <x:v>1.1164601720242655</x:v>
      </x:c>
      <x:c r="Y47" s="47" t="n">
        <x:f>T47*X47</x:f>
        <x:v>133.97522064291186</x:v>
      </x:c>
      <x:c r="Z47" s="67" t="n">
        <x:f>IF(S47&gt;0,Y47*1000000/S47/Economy!Q47,0)</x:f>
        <x:v>0.09854017405333323</x:v>
      </x:c>
      <x:c r="AA47" s="45" t="n">
        <x:v>0</x:v>
      </x:c>
      <x:c r="AB47" s="45" t="n">
        <x:v>0</x:v>
      </x:c>
      <x:c r="AC47" s="68" t="n">
        <x:v>0</x:v>
      </x:c>
      <x:c r="AD47" s="47" t="n">
        <x:f>IF(AA47&gt;0,AB47*1000000/AA47,0)</x:f>
        <x:v>0</x:v>
      </x:c>
      <x:c r="AE47" s="64" t="n">
        <x:f>IF(AND(AC47&gt;0,AD46&gt;0,B47&gt;0),MIN(conv_cap,conv_beta*1*AC47*MAX(0,LN(B47/(AD46*AF46)))),0)</x:f>
        <x:v>0</x:v>
      </x:c>
      <x:c r="AF47" s="65" t="n">
        <x:f>AF46*(1+AE47)</x:f>
        <x:v>1</x:v>
      </x:c>
      <x:c r="AG47" s="47" t="n">
        <x:f>AB47*AF47</x:f>
        <x:v>0</x:v>
      </x:c>
      <x:c r="AH47" s="67" t="n">
        <x:f>IF(AA47&gt;0,AG47*1000000/AA47/Economy!Q47,0)</x:f>
        <x:v>0</x:v>
      </x:c>
      <x:c r="AI47" s="45" t="n">
        <x:v>381800000</x:v>
      </x:c>
      <x:c r="AJ47" s="45" t="n">
        <x:v>3783</x:v>
      </x:c>
      <x:c r="AK47" s="68" t="n">
        <x:v>0.15</x:v>
      </x:c>
      <x:c r="AL47" s="47" t="n">
        <x:f>IF(AI47&gt;0,AJ47*1000000/AI47,0)</x:f>
        <x:v>9.908328968046098</x:v>
      </x:c>
      <x:c r="AM47" s="64" t="n">
        <x:f>IF(AND(AK47&gt;0,AL46&gt;0,B47&gt;0),MIN(conv_cap,conv_beta*1*AK47*MAX(0,LN(B47/(AL46*AN46)))),0)</x:f>
        <x:v>0.005119301019245189</x:v>
      </x:c>
      <x:c r="AN47" s="65" t="n">
        <x:f>AN46*(1+AM47)</x:f>
        <x:v>1.0893306830452685</x:v>
      </x:c>
      <x:c r="AO47" s="47" t="n">
        <x:f>AJ47*AN47</x:f>
        <x:v>4120.937973960251</x:v>
      </x:c>
      <x:c r="AP47" s="67" t="n">
        <x:f>IF(AI47&gt;0,AO47*1000000/AI47/Economy!Q47,0)</x:f>
        <x:v>0.052395372633975125</x:v>
      </x:c>
      <x:c r="AQ47" s="45" t="n">
        <x:v>11130000</x:v>
      </x:c>
      <x:c r="AR47" s="45" t="n">
        <x:v>207</x:v>
      </x:c>
      <x:c r="AS47" s="68" t="n">
        <x:v>0.3</x:v>
      </x:c>
      <x:c r="AT47" s="47" t="n">
        <x:f>IF(AQ47&gt;0,AR47*1000000/AQ47,0)</x:f>
        <x:v>18.598382749326145</x:v>
      </x:c>
      <x:c r="AU47" s="64" t="n">
        <x:f>IF(AND(AS47&gt;0,AT46&gt;0,B47&gt;0),MIN(conv_cap,conv_beta*1*AS47*MAX(0,LN(B47/(AT46*AV46)))),0)</x:f>
        <x:v>0.00852053519328123</x:v>
      </x:c>
      <x:c r="AV47" s="65" t="n">
        <x:f>AV46*(1+AU47)</x:f>
        <x:v>1.0465240529830508</x:v>
      </x:c>
      <x:c r="AW47" s="47" t="n">
        <x:f>AR47*AV47</x:f>
        <x:v>216.6304789674915</x:v>
      </x:c>
      <x:c r="AX47" s="67" t="n">
        <x:f>IF(AQ47&gt;0,AW47*1000000/AQ47/Economy!Q47,0)</x:f>
        <x:v>0.0944837616201692</x:v>
      </x:c>
      <x:c r="AY47" s="45" t="n">
        <x:v>67000000</x:v>
      </x:c>
      <x:c r="AZ47" s="45" t="n">
        <x:v>1523</x:v>
      </x:c>
      <x:c r="BA47" s="68" t="n">
        <x:v>0.068</x:v>
      </x:c>
      <x:c r="BB47" s="47" t="n">
        <x:f>IF(AY47&gt;0,AZ47*1000000/AY47,0)</x:f>
        <x:v>22.73134328358209</x:v>
      </x:c>
      <x:c r="BC47" s="64" t="n">
        <x:f>IF(AND(BA47&gt;0,BB46&gt;0,B47&gt;0),MIN(conv_cap,conv_beta*1*BA47*MAX(0,LN(B47/(BB46*BD46)))),0)</x:f>
        <x:v>0.00180917303896254</x:v>
      </x:c>
      <x:c r="BD47" s="65" t="n">
        <x:f>BD46*(1+BC47)</x:f>
        <x:v>1.0126120534321708</x:v>
      </x:c>
      <x:c r="BE47" s="47" t="n">
        <x:f>AZ47*BD47</x:f>
        <x:v>1542.2081573771961</x:v>
      </x:c>
      <x:c r="BF47" s="67" t="n">
        <x:f>IF(AY47&gt;0,BE47*1000000/AY47/Economy!Q47,0)</x:f>
        <x:v>0.11173802038669729</x:v>
      </x:c>
      <x:c r="BG47" s="45" t="n">
        <x:v>26500000</x:v>
      </x:c>
      <x:c r="BH47" s="45" t="n">
        <x:v>1680</x:v>
      </x:c>
      <x:c r="BI47" s="68" t="n">
        <x:v>0.113</x:v>
      </x:c>
      <x:c r="BJ47" s="47" t="n">
        <x:f>IF(BG47&gt;0,BH47*1000000/BG47,0)</x:f>
        <x:v>63.39622641509434</x:v>
      </x:c>
      <x:c r="BK47" s="64" t="n">
        <x:f>IF(AND(BI47&gt;0,BJ46&gt;0,B47&gt;0),MIN(conv_cap,conv_beta*1*BI47*MAX(0,LN(B47/(BJ46*BL46)))),0)</x:f>
        <x:v>0.001843755968968271</x:v>
      </x:c>
      <x:c r="BL47" s="65" t="n">
        <x:f>BL46*(1+BK47)</x:f>
        <x:v>1.023729634458702</x:v>
      </x:c>
      <x:c r="BM47" s="47" t="n">
        <x:f>BH47*BL47</x:f>
        <x:v>1719.8657858906192</x:v>
      </x:c>
      <x:c r="BN47" s="67" t="n">
        <x:f>IF(BG47&gt;0,BM47*1000000/BG47/Economy!Q47,0)</x:f>
        <x:v>0.31505143540769726</x:v>
      </x:c>
      <x:c r="BO47" s="45" t="n">
        <x:v>13100000</x:v>
      </x:c>
      <x:c r="BP47" s="45" t="n">
        <x:v>670</x:v>
      </x:c>
      <x:c r="BQ47" s="68" t="n">
        <x:v>0</x:v>
      </x:c>
      <x:c r="BR47" s="47" t="n">
        <x:f>IF(BO47&gt;0,BP47*1000000/BO47,0)</x:f>
        <x:v>51.14503816793893</x:v>
      </x:c>
      <x:c r="BS47" s="64" t="n">
        <x:f>IF(AND(BQ47&gt;0,BR46&gt;0,B47&gt;0),MIN(conv_cap,conv_beta*1*BQ47*MAX(0,LN(B47/(BR46*BT46)))),0)</x:f>
        <x:v>0</x:v>
      </x:c>
      <x:c r="BT47" s="65" t="n">
        <x:f>BT46*(1+BS47)</x:f>
        <x:v>1</x:v>
      </x:c>
      <x:c r="BU47" s="47" t="n">
        <x:f>BP47*BT47</x:f>
        <x:v>670</x:v>
      </x:c>
      <x:c r="BV47" s="67" t="n">
        <x:f>IF(BO47&gt;0,BU47*1000000/BO47/Economy!Q47,0)</x:f>
        <x:v>0.24827688431038314</x:v>
      </x:c>
      <x:c r="BW47" s="65" t="n">
        <x:f>0.25*IF(D47&gt;0,H47,1)+0.15*IF(AJ47&gt;0,AN47,1)+0.03*IF(AR47&gt;0,AV47,1)+0.08*IF(AZ47&gt;0,BD47,1)+0.12*IF(BH47&gt;0,BL47,1)+0.1*IF(L47&gt;0,P47,1)+0.07*IF(T47&gt;0,X47,1)+0.05*IF(AB47&gt;0,AF47,1)+0.05*IF(BP47&gt;0,BT47,1)+0.1</x:f>
        <x:v>1.0884356287014036</x:v>
      </x:c>
      <x:c r="BX47" s="63" t="n">
        <x:f>MIN(mkt_cap,mkt_elast*MAX(0,BW47-1))</x:f>
        <x:v>0.04421781435070182</x:v>
      </x:c>
      <x:c r="BY47" s="47" t="n">
        <x:f>I47+Q47+Y47+AG47</x:f>
        <x:v>1019.0088857017188</x:v>
      </x:c>
      <x:c r="BZ47" s="47" t="n">
        <x:f>D47+L47+T47+AB47</x:f>
        <x:v>830</x:v>
      </x:c>
      <x:c r="CA47" s="65" t="n">
        <x:f>IF(BZ47&gt;0,BY47/BZ47,0)</x:f>
        <x:v>1.2277215490382154</x:v>
      </x:c>
    </x:row>
    <x:row r="48">
      <x:c r="A48" s="58" t="n">
        <x:v>1888</x:v>
      </x:c>
      <x:c r="B48" s="47" t="n">
        <x:f>Economy!P47</x:f>
        <x:v>332.52513086000874</x:v>
      </x:c>
      <x:c r="C48" s="45" t="n">
        <x:v>39320000</x:v>
      </x:c>
      <x:c r="D48" s="62" t="n">
        <x:f>Japan!B48</x:f>
        <x:v>740</x:v>
      </x:c>
      <x:c r="E48" s="68" t="n">
        <x:v>0.5620000000000001</x:v>
      </x:c>
      <x:c r="F48" s="47" t="n">
        <x:f>IF(C48&gt;0,D48*1000000/C48,0)</x:f>
        <x:v>18.819938962360123</x:v>
      </x:c>
      <x:c r="G48" s="64" t="n">
        <x:f>IF(AND(E48&gt;0,F47&gt;0,B48&gt;0),MIN(conv_cap,conv_beta*jp_uplift*E48*MAX(0,LN(B48/(F47*H47)))),0)</x:f>
        <x:v>0.015084858083122222</x:v>
      </x:c>
      <x:c r="H48" s="65" t="n">
        <x:f>H47*(1+G48)</x:f>
        <x:v>1.2653299609788797</x:v>
      </x:c>
      <x:c r="I48" s="47" t="n">
        <x:f>D48*H48</x:f>
        <x:v>936.344171124371</x:v>
      </x:c>
      <x:c r="J48" s="67" t="n">
        <x:f>IF(C48&gt;0,I48*1000000/C48/Economy!Q48,0)</x:f>
        <x:v>0.11504073735685039</x:v>
      </x:c>
      <x:c r="K48" s="62" t="n">
        <x:f>Gulf!B48</x:f>
        <x:v>0</x:v>
      </x:c>
      <x:c r="L48" s="47" t="n">
        <x:f>Gulf!B48*Gulf!C48*Economy!Q48/1000000</x:f>
        <x:v>0</x:v>
      </x:c>
      <x:c r="M48" s="68" t="n">
        <x:v>0</x:v>
      </x:c>
      <x:c r="N48" s="47" t="n">
        <x:f>IF(K48&gt;0,L48*1000000/K48,0)</x:f>
        <x:v>0</x:v>
      </x:c>
      <x:c r="O48" s="64" t="n">
        <x:f>IF(AND(M48&gt;0,N47&gt;0,B48&gt;0),MIN(conv_cap,conv_beta*1*M48*MAX(0,LN(B48/(N47*P47)))),0)</x:f>
        <x:v>0</x:v>
      </x:c>
      <x:c r="P48" s="65" t="n">
        <x:f>P47*(1+O48)</x:f>
        <x:v>1</x:v>
      </x:c>
      <x:c r="Q48" s="47" t="n">
        <x:f>L48*P48</x:f>
        <x:v>0</x:v>
      </x:c>
      <x:c r="R48" s="67" t="n">
        <x:f>IF(K48&gt;0,Q48*1000000/K48/Economy!Q48,0)</x:f>
        <x:v>0</x:v>
      </x:c>
      <x:c r="S48" s="62" t="n">
        <x:f>People!U48</x:f>
        <x:v>6662000</x:v>
      </x:c>
      <x:c r="T48" s="45" t="n">
        <x:v>130</x:v>
      </x:c>
      <x:c r="U48" s="68" t="n">
        <x:v>0.408</x:v>
      </x:c>
      <x:c r="V48" s="47" t="n">
        <x:f>IF(S48&gt;0,T48*1000000/S48,0)</x:f>
        <x:v>19.513659561693185</x:v>
      </x:c>
      <x:c r="W48" s="64" t="n">
        <x:f>IF(AND(U48&gt;0,V47&gt;0,B48&gt;0),MIN(conv_cap,conv_beta*1*U48*MAX(0,LN(B48/(V47*X47)))),0)</x:f>
        <x:v>0.011408211320163624</x:v>
      </x:c>
      <x:c r="X48" s="65" t="n">
        <x:f>X47*(1+W48)</x:f>
        <x:v>1.1291969855972646</x:v>
      </x:c>
      <x:c r="Y48" s="47" t="n">
        <x:f>T48*X48</x:f>
        <x:v>146.79560812764439</x:v>
      </x:c>
      <x:c r="Z48" s="67" t="n">
        <x:f>IF(S48&gt;0,Y48*1000000/S48/Economy!Q48,0)</x:f>
        <x:v>0.10644814277794774</x:v>
      </x:c>
      <x:c r="AA48" s="45" t="n">
        <x:v>0</x:v>
      </x:c>
      <x:c r="AB48" s="45" t="n">
        <x:v>0</x:v>
      </x:c>
      <x:c r="AC48" s="68" t="n">
        <x:v>0</x:v>
      </x:c>
      <x:c r="AD48" s="47" t="n">
        <x:f>IF(AA48&gt;0,AB48*1000000/AA48,0)</x:f>
        <x:v>0</x:v>
      </x:c>
      <x:c r="AE48" s="64" t="n">
        <x:f>IF(AND(AC48&gt;0,AD47&gt;0,B48&gt;0),MIN(conv_cap,conv_beta*1*AC48*MAX(0,LN(B48/(AD47*AF47)))),0)</x:f>
        <x:v>0</x:v>
      </x:c>
      <x:c r="AF48" s="65" t="n">
        <x:f>AF47*(1+AE48)</x:f>
        <x:v>1</x:v>
      </x:c>
      <x:c r="AG48" s="47" t="n">
        <x:f>AB48*AF48</x:f>
        <x:v>0</x:v>
      </x:c>
      <x:c r="AH48" s="67" t="n">
        <x:f>IF(AA48&gt;0,AG48*1000000/AA48/Economy!Q48,0)</x:f>
        <x:v>0</x:v>
      </x:c>
      <x:c r="AI48" s="45" t="n">
        <x:v>383200000</x:v>
      </x:c>
      <x:c r="AJ48" s="45" t="n">
        <x:v>3800</x:v>
      </x:c>
      <x:c r="AK48" s="68" t="n">
        <x:v>0.154</x:v>
      </x:c>
      <x:c r="AL48" s="47" t="n">
        <x:f>IF(AI48&gt;0,AJ48*1000000/AI48,0)</x:f>
        <x:v>9.916492693110648</x:v>
      </x:c>
      <x:c r="AM48" s="64" t="n">
        <x:f>IF(AND(AK48&gt;0,AL47&gt;0,B48&gt;0),MIN(conv_cap,conv_beta*1*AK48*MAX(0,LN(B48/(AL47*AN47)))),0)</x:f>
        <x:v>0.0052787754558778315</x:v>
      </x:c>
      <x:c r="AN48" s="65" t="n">
        <x:f>AN47*(1+AM48)</x:f>
        <x:v>1.0950810151182624</x:v>
      </x:c>
      <x:c r="AO48" s="47" t="n">
        <x:f>AJ48*AN48</x:f>
        <x:v>4161.3078574493975</x:v>
      </x:c>
      <x:c r="AP48" s="67" t="n">
        <x:f>IF(AI48&gt;0,AO48*1000000/AI48/Economy!Q48,0)</x:f>
        <x:v>0.05246069026465913</x:v>
      </x:c>
      <x:c r="AQ48" s="45" t="n">
        <x:v>11200000</x:v>
      </x:c>
      <x:c r="AR48" s="45" t="n">
        <x:v>210</x:v>
      </x:c>
      <x:c r="AS48" s="68" t="n">
        <x:v>0.312</x:v>
      </x:c>
      <x:c r="AT48" s="47" t="n">
        <x:f>IF(AQ48&gt;0,AR48*1000000/AQ48,0)</x:f>
        <x:v>18.75</x:v>
      </x:c>
      <x:c r="AU48" s="64" t="n">
        <x:f>IF(AND(AS48&gt;0,AT47&gt;0,B48&gt;0),MIN(conv_cap,conv_beta*1*AS48*MAX(0,LN(B48/(AT47*AV47)))),0)</x:f>
        <x:v>0.00885507967948958</x:v>
      </x:c>
      <x:c r="AV48" s="65" t="n">
        <x:f>AV47*(1+AU48)</x:f>
        <x:v>1.055791106858718</x:v>
      </x:c>
      <x:c r="AW48" s="47" t="n">
        <x:f>AR48*AV48</x:f>
        <x:v>221.7161324403308</x:v>
      </x:c>
      <x:c r="AX48" s="67" t="n">
        <x:f>IF(AQ48&gt;0,AW48*1000000/AQ48/Economy!Q48,0)</x:f>
        <x:v>0.0956332524328549</x:v>
      </x:c>
      <x:c r="AY48" s="45" t="n">
        <x:v>68000000</x:v>
      </x:c>
      <x:c r="AZ48" s="45" t="n">
        <x:v>1560</x:v>
      </x:c>
      <x:c r="BA48" s="68" t="n">
        <x:v>0.07000000000000001</x:v>
      </x:c>
      <x:c r="BB48" s="47" t="n">
        <x:f>IF(AY48&gt;0,AZ48*1000000/AY48,0)</x:f>
        <x:v>22.941176470588236</x:v>
      </x:c>
      <x:c r="BC48" s="64" t="n">
        <x:f>IF(AND(BA48&gt;0,BB47&gt;0,B48&gt;0),MIN(conv_cap,conv_beta*1*BA48*MAX(0,LN(B48/(BB47*BD47)))),0)</x:f>
        <x:v>0.001869306264936524</x:v>
      </x:c>
      <x:c r="BD48" s="65" t="n">
        <x:f>BD47*(1+BC48)</x:f>
        <x:v>1.0145049354876017</x:v>
      </x:c>
      <x:c r="BE48" s="47" t="n">
        <x:f>AZ48*BD48</x:f>
        <x:v>1582.6276993606587</x:v>
      </x:c>
      <x:c r="BF48" s="67" t="n">
        <x:f>IF(AY48&gt;0,BE48*1000000/AY48/Economy!Q48,0)</x:f>
        <x:v>0.11243447707876233</x:v>
      </x:c>
      <x:c r="BG48" s="45" t="n">
        <x:v>26800000</x:v>
      </x:c>
      <x:c r="BH48" s="45" t="n">
        <x:v>1720</x:v>
      </x:c>
      <x:c r="BI48" s="68" t="n">
        <x:v>0.119</x:v>
      </x:c>
      <x:c r="BJ48" s="47" t="n">
        <x:f>IF(BG48&gt;0,BH48*1000000/BG48,0)</x:f>
        <x:v>64.17910447761194</x:v>
      </x:c>
      <x:c r="BK48" s="64" t="n">
        <x:f>IF(AND(BI48&gt;0,BJ47&gt;0,B48&gt;0),MIN(conv_cap,conv_beta*1*BI48*MAX(0,LN(B48/(BJ47*BL47)))),0)</x:f>
        <x:v>0.0019442917773896157</x:v>
      </x:c>
      <x:c r="BL48" s="65" t="n">
        <x:f>BL47*(1+BK48)</x:f>
        <x:v>1.02572006356925</x:v>
      </x:c>
      <x:c r="BM48" s="47" t="n">
        <x:f>BH48*BL48</x:f>
        <x:v>1764.2385093391101</x:v>
      </x:c>
      <x:c r="BN48" s="67" t="n">
        <x:f>IF(BG48&gt;0,BM48*1000000/BG48/Economy!Q48,0)</x:f>
        <x:v>0.31801833393523504</x:v>
      </x:c>
      <x:c r="BO48" s="45" t="n">
        <x:v>13200000</x:v>
      </x:c>
      <x:c r="BP48" s="45" t="n">
        <x:v>680</x:v>
      </x:c>
      <x:c r="BQ48" s="68" t="n">
        <x:v>0</x:v>
      </x:c>
      <x:c r="BR48" s="47" t="n">
        <x:f>IF(BO48&gt;0,BP48*1000000/BO48,0)</x:f>
        <x:v>51.515151515151516</x:v>
      </x:c>
      <x:c r="BS48" s="64" t="n">
        <x:f>IF(AND(BQ48&gt;0,BR47&gt;0,B48&gt;0),MIN(conv_cap,conv_beta*1*BQ48*MAX(0,LN(B48/(BR47*BT47)))),0)</x:f>
        <x:v>0</x:v>
      </x:c>
      <x:c r="BT48" s="65" t="n">
        <x:f>BT47*(1+BS48)</x:f>
        <x:v>1</x:v>
      </x:c>
      <x:c r="BU48" s="47" t="n">
        <x:f>BP48*BT48</x:f>
        <x:v>680</x:v>
      </x:c>
      <x:c r="BV48" s="67" t="n">
        <x:f>IF(BO48&gt;0,BU48*1000000/BO48/Economy!Q48,0)</x:f>
        <x:v>0.2488654662567706</x:v>
      </x:c>
      <x:c r="BW48" s="65" t="n">
        <x:f>0.25*IF(D48&gt;0,H48,1)+0.15*IF(AJ48&gt;0,AN48,1)+0.03*IF(AR48&gt;0,AV48,1)+0.08*IF(AZ48&gt;0,BD48,1)+0.12*IF(BH48&gt;0,BL48,1)+0.1*IF(L48&gt;0,P48,1)+0.07*IF(T48&gt;0,X48,1)+0.05*IF(AB48&gt;0,AF48,1)+0.05*IF(BP48&gt;0,BT48,1)+0.1</x:f>
        <x:v>1.0955589671773476</x:v>
      </x:c>
      <x:c r="BX48" s="63" t="n">
        <x:f>MIN(mkt_cap,mkt_elast*MAX(0,BW48-1))</x:f>
        <x:v>0.04777948358867379</x:v>
      </x:c>
      <x:c r="BY48" s="47" t="n">
        <x:f>I48+Q48+Y48+AG48</x:f>
        <x:v>1083.1397792520154</x:v>
      </x:c>
      <x:c r="BZ48" s="47" t="n">
        <x:f>D48+L48+T48+AB48</x:f>
        <x:v>870</x:v>
      </x:c>
      <x:c r="CA48" s="65" t="n">
        <x:f>IF(BZ48&gt;0,BY48/BZ48,0)</x:f>
        <x:v>1.2449882520138107</x:v>
      </x:c>
    </x:row>
    <x:row r="49">
      <x:c r="A49" s="58" t="n">
        <x:v>1889</x:v>
      </x:c>
      <x:c r="B49" s="47" t="n">
        <x:f>Economy!P48</x:f>
        <x:v>341.25177491325223</x:v>
      </x:c>
      <x:c r="C49" s="45" t="n">
        <x:v>39660000</x:v>
      </x:c>
      <x:c r="D49" s="62" t="n">
        <x:f>Japan!B49</x:f>
        <x:v>770</x:v>
      </x:c>
      <x:c r="E49" s="68" t="n">
        <x:v>0.575</x:v>
      </x:c>
      <x:c r="F49" s="47" t="n">
        <x:f>IF(C49&gt;0,D49*1000000/C49,0)</x:f>
        <x:v>19.41502773575391</x:v>
      </x:c>
      <x:c r="G49" s="64" t="n">
        <x:f>IF(AND(E49&gt;0,F48&gt;0,B49&gt;0),MIN(conv_cap,conv_beta*jp_uplift*E49*MAX(0,LN(B49/(F48*H48)))),0)</x:f>
        <x:v>0.015308631696878582</x:v>
      </x:c>
      <x:c r="H49" s="65" t="n">
        <x:f>H48*(1+G49)</x:f>
        <x:v>1.2847004313265313</x:v>
      </x:c>
      <x:c r="I49" s="47" t="n">
        <x:f>D49*H49</x:f>
        <x:v>989.2193321214291</x:v>
      </x:c>
      <x:c r="J49" s="67" t="n">
        <x:f>IF(C49&gt;0,I49*1000000/C49/Economy!Q49,0)</x:f>
        <x:v>0.12049514254270347</x:v>
      </x:c>
      <x:c r="K49" s="62" t="n">
        <x:f>Gulf!B49</x:f>
        <x:v>0</x:v>
      </x:c>
      <x:c r="L49" s="47" t="n">
        <x:f>Gulf!B49*Gulf!C49*Economy!Q49/1000000</x:f>
        <x:v>0</x:v>
      </x:c>
      <x:c r="M49" s="68" t="n">
        <x:v>0</x:v>
      </x:c>
      <x:c r="N49" s="47" t="n">
        <x:f>IF(K49&gt;0,L49*1000000/K49,0)</x:f>
        <x:v>0</x:v>
      </x:c>
      <x:c r="O49" s="64" t="n">
        <x:f>IF(AND(M49&gt;0,N48&gt;0,B49&gt;0),MIN(conv_cap,conv_beta*1*M49*MAX(0,LN(B49/(N48*P48)))),0)</x:f>
        <x:v>0</x:v>
      </x:c>
      <x:c r="P49" s="65" t="n">
        <x:f>P48*(1+O49)</x:f>
        <x:v>1</x:v>
      </x:c>
      <x:c r="Q49" s="47" t="n">
        <x:f>L49*P49</x:f>
        <x:v>0</x:v>
      </x:c>
      <x:c r="R49" s="67" t="n">
        <x:f>IF(K49&gt;0,Q49*1000000/K49/Economy!Q49,0)</x:f>
        <x:v>0</x:v>
      </x:c>
      <x:c r="S49" s="62" t="n">
        <x:f>People!U49</x:f>
        <x:v>6725000</x:v>
      </x:c>
      <x:c r="T49" s="45" t="n">
        <x:v>140</x:v>
      </x:c>
      <x:c r="U49" s="68" t="n">
        <x:v>0.415</x:v>
      </x:c>
      <x:c r="V49" s="47" t="n">
        <x:f>IF(S49&gt;0,T49*1000000/S49,0)</x:f>
        <x:v>20.817843866171003</x:v>
      </x:c>
      <x:c r="W49" s="64" t="n">
        <x:f>IF(AND(U49&gt;0,V48&gt;0,B49&gt;0),MIN(conv_cap,conv_beta*1*U49*MAX(0,LN(B49/(V48*X48)))),0)</x:f>
        <x:v>0.011370996219855737</x:v>
      </x:c>
      <x:c r="X49" s="65" t="n">
        <x:f>X48*(1+W49)</x:f>
        <x:v>1.1420370802519637</x:v>
      </x:c>
      <x:c r="Y49" s="47" t="n">
        <x:f>T49*X49</x:f>
        <x:v>159.88519123527493</x:v>
      </x:c>
      <x:c r="Z49" s="67" t="n">
        <x:f>IF(S49&gt;0,Y49*1000000/S49/Economy!Q49,0)</x:f>
        <x:v>0.11485386292784149</x:v>
      </x:c>
      <x:c r="AA49" s="45" t="n">
        <x:v>0</x:v>
      </x:c>
      <x:c r="AB49" s="45" t="n">
        <x:v>0</x:v>
      </x:c>
      <x:c r="AC49" s="68" t="n">
        <x:v>0</x:v>
      </x:c>
      <x:c r="AD49" s="47" t="n">
        <x:f>IF(AA49&gt;0,AB49*1000000/AA49,0)</x:f>
        <x:v>0</x:v>
      </x:c>
      <x:c r="AE49" s="64" t="n">
        <x:f>IF(AND(AC49&gt;0,AD48&gt;0,B49&gt;0),MIN(conv_cap,conv_beta*1*AC49*MAX(0,LN(B49/(AD48*AF48)))),0)</x:f>
        <x:v>0</x:v>
      </x:c>
      <x:c r="AF49" s="65" t="n">
        <x:f>AF48*(1+AE49)</x:f>
        <x:v>1</x:v>
      </x:c>
      <x:c r="AG49" s="47" t="n">
        <x:f>AB49*AF49</x:f>
        <x:v>0</x:v>
      </x:c>
      <x:c r="AH49" s="67" t="n">
        <x:f>IF(AA49&gt;0,AG49*1000000/AA49/Economy!Q49,0)</x:f>
        <x:v>0</x:v>
      </x:c>
      <x:c r="AI49" s="45" t="n">
        <x:v>384600000</x:v>
      </x:c>
      <x:c r="AJ49" s="45" t="n">
        <x:v>3817</x:v>
      </x:c>
      <x:c r="AK49" s="68" t="n">
        <x:v>0.158</x:v>
      </x:c>
      <x:c r="AL49" s="47" t="n">
        <x:f>IF(AI49&gt;0,AJ49*1000000/AI49,0)</x:f>
        <x:v>9.924596983879356</x:v>
      </x:c>
      <x:c r="AM49" s="64" t="n">
        <x:f>IF(AND(AK49&gt;0,AL48&gt;0,B49&gt;0),MIN(conv_cap,conv_beta*1*AK49*MAX(0,LN(B49/(AL48*AN48)))),0)</x:f>
        <x:v>0.0054471967837978665</x:v>
      </x:c>
      <x:c r="AN49" s="65" t="n">
        <x:f>AN48*(1+AM49)</x:f>
        <x:v>1.1010461369018127</x:v>
      </x:c>
      <x:c r="AO49" s="47" t="n">
        <x:f>AJ49*AN49</x:f>
        <x:v>4202.69310455422</x:v>
      </x:c>
      <x:c r="AP49" s="67" t="n">
        <x:f>IF(AI49&gt;0,AO49*1000000/AI49/Economy!Q49,0)</x:f>
        <x:v>0.05278956120486835</x:v>
      </x:c>
      <x:c r="AQ49" s="45" t="n">
        <x:v>11270000</x:v>
      </x:c>
      <x:c r="AR49" s="45" t="n">
        <x:v>213</x:v>
      </x:c>
      <x:c r="AS49" s="68" t="n">
        <x:v>0.325</x:v>
      </x:c>
      <x:c r="AT49" s="47" t="n">
        <x:f>IF(AQ49&gt;0,AR49*1000000/AQ49,0)</x:f>
        <x:v>18.899733806566104</x:v>
      </x:c>
      <x:c r="AU49" s="64" t="n">
        <x:f>IF(AND(AS49&gt;0,AT48&gt;0,B49&gt;0),MIN(conv_cap,conv_beta*1*AS49*MAX(0,LN(B49/(AT48*AV48)))),0)</x:f>
        <x:v>0.009253193446376456</x:v>
      </x:c>
      <x:c r="AV49" s="65" t="n">
        <x:f>AV48*(1+AU49)</x:f>
        <x:v>1.0655605462094457</x:v>
      </x:c>
      <x:c r="AW49" s="47" t="n">
        <x:f>AR49*AV49</x:f>
        <x:v>226.96439634261193</x:v>
      </x:c>
      <x:c r="AX49" s="67" t="n">
        <x:f>IF(AQ49&gt;0,AW49*1000000/AQ49/Economy!Q49,0)</x:f>
        <x:v>0.0972889404740952</x:v>
      </x:c>
      <x:c r="AY49" s="45" t="n">
        <x:v>69000000</x:v>
      </x:c>
      <x:c r="AZ49" s="45" t="n">
        <x:v>1597</x:v>
      </x:c>
      <x:c r="BA49" s="68" t="n">
        <x:v>0.073</x:v>
      </x:c>
      <x:c r="BB49" s="47" t="n">
        <x:f>IF(AY49&gt;0,AZ49*1000000/AY49,0)</x:f>
        <x:v>23.144927536231883</x:v>
      </x:c>
      <x:c r="BC49" s="64" t="n">
        <x:f>IF(AND(BA49&gt;0,BB48&gt;0,B49&gt;0),MIN(conv_cap,conv_beta*1*BA49*MAX(0,LN(B49/(BB48*BD48)))),0)</x:f>
        <x:v>0.001960259077410306</x:v>
      </x:c>
      <x:c r="BD49" s="65" t="n">
        <x:f>BD48*(1+BC49)</x:f>
        <x:v>1.016493627996469</x:v>
      </x:c>
      <x:c r="BE49" s="47" t="n">
        <x:f>AZ49*BD49</x:f>
        <x:v>1623.340323910361</x:v>
      </x:c>
      <x:c r="BF49" s="67" t="n">
        <x:f>IF(AY49&gt;0,BE49*1000000/AY49/Economy!Q49,0)</x:f>
        <x:v>0.11365541720299382</x:v>
      </x:c>
      <x:c r="BG49" s="45" t="n">
        <x:v>27100000</x:v>
      </x:c>
      <x:c r="BH49" s="45" t="n">
        <x:v>1760</x:v>
      </x:c>
      <x:c r="BI49" s="68" t="n">
        <x:v>0.125</x:v>
      </x:c>
      <x:c r="BJ49" s="47" t="n">
        <x:f>IF(BG49&gt;0,BH49*1000000/BG49,0)</x:f>
        <x:v>64.94464944649447</x:v>
      </x:c>
      <x:c r="BK49" s="64" t="n">
        <x:f>IF(AND(BI49&gt;0,BJ48&gt;0,B49&gt;0),MIN(conv_cap,conv_beta*1*BI49*MAX(0,LN(B49/(BJ48*BL48)))),0)</x:f>
        <x:v>0.0020569349980134556</x:v>
      </x:c>
      <x:c r="BL49" s="65" t="n">
        <x:f>BL48*(1+BK49)</x:f>
        <x:v>1.0278299030661704</x:v>
      </x:c>
      <x:c r="BM49" s="47" t="n">
        <x:f>BH49*BL49</x:f>
        <x:v>1808.9806293964598</x:v>
      </x:c>
      <x:c r="BN49" s="67" t="n">
        <x:f>IF(BG49&gt;0,BM49*1000000/BG49/Economy!Q49,0)</x:f>
        <x:v>0.3224736847596948</x:v>
      </x:c>
      <x:c r="BO49" s="45" t="n">
        <x:v>13300000</x:v>
      </x:c>
      <x:c r="BP49" s="45" t="n">
        <x:v>690</x:v>
      </x:c>
      <x:c r="BQ49" s="68" t="n">
        <x:v>0</x:v>
      </x:c>
      <x:c r="BR49" s="47" t="n">
        <x:f>IF(BO49&gt;0,BP49*1000000/BO49,0)</x:f>
        <x:v>51.8796992481203</x:v>
      </x:c>
      <x:c r="BS49" s="64" t="n">
        <x:f>IF(AND(BQ49&gt;0,BR48&gt;0,B49&gt;0),MIN(conv_cap,conv_beta*1*BQ49*MAX(0,LN(B49/(BR48*BT48)))),0)</x:f>
        <x:v>0</x:v>
      </x:c>
      <x:c r="BT49" s="65" t="n">
        <x:f>BT48*(1+BS49)</x:f>
        <x:v>1</x:v>
      </x:c>
      <x:c r="BU49" s="47" t="n">
        <x:f>BP49*BT49</x:f>
        <x:v>690</x:v>
      </x:c>
      <x:c r="BV49" s="67" t="n">
        <x:f>IF(BO49&gt;0,BU49*1000000/BO49/Economy!Q49,0)</x:f>
        <x:v>0.2506265664160401</x:v>
      </x:c>
      <x:c r="BW49" s="65" t="n">
        <x:f>0.25*IF(D49&gt;0,H49,1)+0.15*IF(AJ49&gt;0,AN49,1)+0.03*IF(AR49&gt;0,AV49,1)+0.08*IF(AZ49&gt;0,BD49,1)+0.12*IF(BH49&gt;0,BL49,1)+0.1*IF(L49&gt;0,P49,1)+0.07*IF(T49&gt;0,X49,1)+0.05*IF(AB49&gt;0,AF49,1)+0.05*IF(BP49&gt;0,BT49,1)+0.1</x:f>
        <x:v>1.1029005189784837</x:v>
      </x:c>
      <x:c r="BX49" s="63" t="n">
        <x:f>MIN(mkt_cap,mkt_elast*MAX(0,BW49-1))</x:f>
        <x:v>0.05145025948924187</x:v>
      </x:c>
      <x:c r="BY49" s="47" t="n">
        <x:f>I49+Q49+Y49+AG49</x:f>
        <x:v>1149.104523356704</x:v>
      </x:c>
      <x:c r="BZ49" s="47" t="n">
        <x:f>D49+L49+T49+AB49</x:f>
        <x:v>910</x:v>
      </x:c>
      <x:c r="CA49" s="65" t="n">
        <x:f>IF(BZ49&gt;0,BY49/BZ49,0)</x:f>
        <x:v>1.2627522234689055</x:v>
      </x:c>
    </x:row>
    <x:row r="50">
      <x:c r="A50" s="58" t="n">
        <x:v>1890</x:v>
      </x:c>
      <x:c r="B50" s="47" t="n">
        <x:f>Economy!P49</x:f>
        <x:v>349.61569418277713</x:v>
      </x:c>
      <x:c r="C50" s="45" t="n">
        <x:v>40000000</x:v>
      </x:c>
      <x:c r="D50" s="62" t="n">
        <x:f>Japan!B50</x:f>
        <x:v>800</x:v>
      </x:c>
      <x:c r="E50" s="68" t="n">
        <x:v>0.588</x:v>
      </x:c>
      <x:c r="F50" s="47" t="n">
        <x:f>IF(C50&gt;0,D50*1000000/C50,0)</x:f>
        <x:v>20</x:v>
      </x:c>
      <x:c r="G50" s="64" t="n">
        <x:f>IF(AND(E50&gt;0,F49&gt;0,B50&gt;0),MIN(conv_cap,conv_beta*jp_uplift*E50*MAX(0,LN(B50/(F49*H49)))),0)</x:f>
        <x:v>0.015524738084804793</x:v>
      </x:c>
      <x:c r="H50" s="65" t="n">
        <x:f>H49*(1+G50)</x:f>
        <x:v>1.3046450690403113</x:v>
      </x:c>
      <x:c r="I50" s="47" t="n">
        <x:f>D50*H50</x:f>
        <x:v>1043.7160552322491</x:v>
      </x:c>
      <x:c r="J50" s="67" t="n">
        <x:f>IF(C50&gt;0,I50*1000000/C50/Economy!Q50,0)</x:f>
        <x:v>0.1254466412538761</x:v>
      </x:c>
      <x:c r="K50" s="62" t="n">
        <x:f>Gulf!B50</x:f>
        <x:v>0</x:v>
      </x:c>
      <x:c r="L50" s="47" t="n">
        <x:f>Gulf!B50*Gulf!C50*Economy!Q50/1000000</x:f>
        <x:v>0</x:v>
      </x:c>
      <x:c r="M50" s="68" t="n">
        <x:v>0</x:v>
      </x:c>
      <x:c r="N50" s="47" t="n">
        <x:f>IF(K50&gt;0,L50*1000000/K50,0)</x:f>
        <x:v>0</x:v>
      </x:c>
      <x:c r="O50" s="64" t="n">
        <x:f>IF(AND(M50&gt;0,N49&gt;0,B50&gt;0),MIN(conv_cap,conv_beta*1*M50*MAX(0,LN(B50/(N49*P49)))),0)</x:f>
        <x:v>0</x:v>
      </x:c>
      <x:c r="P50" s="65" t="n">
        <x:f>P49*(1+O50)</x:f>
        <x:v>1</x:v>
      </x:c>
      <x:c r="Q50" s="47" t="n">
        <x:f>L50*P50</x:f>
        <x:v>0</x:v>
      </x:c>
      <x:c r="R50" s="67" t="n">
        <x:f>IF(K50&gt;0,Q50*1000000/K50/Economy!Q50,0)</x:f>
        <x:v>0</x:v>
      </x:c>
      <x:c r="S50" s="62" t="n">
        <x:f>People!U50</x:f>
        <x:v>6788000</x:v>
      </x:c>
      <x:c r="T50" s="45" t="n">
        <x:v>150</x:v>
      </x:c>
      <x:c r="U50" s="68" t="n">
        <x:v>0.423</x:v>
      </x:c>
      <x:c r="V50" s="47" t="n">
        <x:f>IF(S50&gt;0,T50*1000000/S50,0)</x:f>
        <x:v>22.097819681791396</x:v>
      </x:c>
      <x:c r="W50" s="64" t="n">
        <x:f>IF(AND(U50&gt;0,V49&gt;0,B50&gt;0),MIN(conv_cap,conv_beta*1*U50*MAX(0,LN(B50/(V49*X49)))),0)</x:f>
        <x:v>0.011371130233956828</x:v>
      </x:c>
      <x:c r="X50" s="65" t="n">
        <x:f>X49*(1+W50)</x:f>
        <x:v>1.1550233326235164</x:v>
      </x:c>
      <x:c r="Y50" s="47" t="n">
        <x:f>T50*X50</x:f>
        <x:v>173.25349989352748</x:v>
      </x:c>
      <x:c r="Z50" s="67" t="n">
        <x:f>IF(S50&gt;0,Y50*1000000/S50/Economy!Q50,0)</x:f>
        <x:v>0.12270912179123189</x:v>
      </x:c>
      <x:c r="AA50" s="45" t="n">
        <x:v>0</x:v>
      </x:c>
      <x:c r="AB50" s="45" t="n">
        <x:v>0</x:v>
      </x:c>
      <x:c r="AC50" s="68" t="n">
        <x:v>0</x:v>
      </x:c>
      <x:c r="AD50" s="47" t="n">
        <x:f>IF(AA50&gt;0,AB50*1000000/AA50,0)</x:f>
        <x:v>0</x:v>
      </x:c>
      <x:c r="AE50" s="64" t="n">
        <x:f>IF(AND(AC50&gt;0,AD49&gt;0,B50&gt;0),MIN(conv_cap,conv_beta*1*AC50*MAX(0,LN(B50/(AD49*AF49)))),0)</x:f>
        <x:v>0</x:v>
      </x:c>
      <x:c r="AF50" s="65" t="n">
        <x:f>AF49*(1+AE50)</x:f>
        <x:v>1</x:v>
      </x:c>
      <x:c r="AG50" s="47" t="n">
        <x:f>AB50*AF50</x:f>
        <x:v>0</x:v>
      </x:c>
      <x:c r="AH50" s="67" t="n">
        <x:f>IF(AA50&gt;0,AG50*1000000/AA50/Economy!Q50,0)</x:f>
        <x:v>0</x:v>
      </x:c>
      <x:c r="AI50" s="45" t="n">
        <x:v>386000000</x:v>
      </x:c>
      <x:c r="AJ50" s="45" t="n">
        <x:v>3833</x:v>
      </x:c>
      <x:c r="AK50" s="68" t="n">
        <x:v>0.162</x:v>
      </x:c>
      <x:c r="AL50" s="47" t="n">
        <x:f>IF(AI50&gt;0,AJ50*1000000/AI50,0)</x:f>
        <x:v>9.930051813471502</x:v>
      </x:c>
      <x:c r="AM50" s="64" t="n">
        <x:f>IF(AND(AK50&gt;0,AL49&gt;0,B50&gt;0),MIN(conv_cap,conv_beta*1*AK50*MAX(0,LN(B50/(AL49*AN49)))),0)</x:f>
        <x:v>0.005614203236839846</x:v>
      </x:c>
      <x:c r="AN50" s="65" t="n">
        <x:f>AN49*(1+AM50)</x:f>
        <x:v>1.1072276336875169</x:v>
      </x:c>
      <x:c r="AO50" s="47" t="n">
        <x:f>AJ50*AN50</x:f>
        <x:v>4244.003519924252</x:v>
      </x:c>
      <x:c r="AP50" s="67" t="n">
        <x:f>IF(AI50&gt;0,AO50*1000000/AI50/Economy!Q50,0)</x:f>
        <x:v>0.052859748903002345</x:v>
      </x:c>
      <x:c r="AQ50" s="45" t="n">
        <x:v>11330000</x:v>
      </x:c>
      <x:c r="AR50" s="45" t="n">
        <x:v>217</x:v>
      </x:c>
      <x:c r="AS50" s="68" t="n">
        <x:v>0.338</x:v>
      </x:c>
      <x:c r="AT50" s="47" t="n">
        <x:f>IF(AQ50&gt;0,AR50*1000000/AQ50,0)</x:f>
        <x:v>19.152691968225948</x:v>
      </x:c>
      <x:c r="AU50" s="64" t="n">
        <x:f>IF(AND(AS50&gt;0,AT49&gt;0,B50&gt;0),MIN(conv_cap,conv_beta*1*AS50*MAX(0,LN(B50/(AT49*AV49)))),0)</x:f>
        <x:v>0.009647147672010482</x:v>
      </x:c>
      <x:c r="AV50" s="65" t="n">
        <x:f>AV49*(1+AU50)</x:f>
        <x:v>1.0758401661521966</x:v>
      </x:c>
      <x:c r="AW50" s="47" t="n">
        <x:f>AR50*AV50</x:f>
        <x:v>233.45731605502667</x:v>
      </x:c>
      <x:c r="AX50" s="67" t="n">
        <x:f>IF(AQ50&gt;0,AW50*1000000/AQ50/Economy!Q50,0)</x:f>
        <x:v>0.09906363129499061</x:v>
      </x:c>
      <x:c r="AY50" s="45" t="n">
        <x:v>70000000</x:v>
      </x:c>
      <x:c r="AZ50" s="45" t="n">
        <x:v>1633</x:v>
      </x:c>
      <x:c r="BA50" s="68" t="n">
        <x:v>0.075</x:v>
      </x:c>
      <x:c r="BB50" s="47" t="n">
        <x:f>IF(AY50&gt;0,AZ50*1000000/AY50,0)</x:f>
        <x:v>23.32857142857143</x:v>
      </x:c>
      <x:c r="BC50" s="64" t="n">
        <x:f>IF(AND(BA50&gt;0,BB49&gt;0,B50&gt;0),MIN(conv_cap,conv_beta*1*BA50*MAX(0,LN(B50/(BB49*BD49)))),0)</x:f>
        <x:v>0.002024024854116495</x:v>
      </x:c>
      <x:c r="BD50" s="65" t="n">
        <x:f>BD49*(1+BC50)</x:f>
        <x:v>1.0185510363635848</x:v>
      </x:c>
      <x:c r="BE50" s="47" t="n">
        <x:f>AZ50*BD50</x:f>
        <x:v>1663.293842381734</x:v>
      </x:c>
      <x:c r="BF50" s="67" t="n">
        <x:f>IF(AY50&gt;0,BE50*1000000/AY50/Economy!Q50,0)</x:f>
        <x:v>0.11423721444929492</x:v>
      </x:c>
      <x:c r="BG50" s="45" t="n">
        <x:v>27300000</x:v>
      </x:c>
      <x:c r="BH50" s="45" t="n">
        <x:v>1800</x:v>
      </x:c>
      <x:c r="BI50" s="68" t="n">
        <x:v>0.131</x:v>
      </x:c>
      <x:c r="BJ50" s="47" t="n">
        <x:f>IF(BG50&gt;0,BH50*1000000/BG50,0)</x:f>
        <x:v>65.93406593406593</x:v>
      </x:c>
      <x:c r="BK50" s="64" t="n">
        <x:f>IF(AND(BI50&gt;0,BJ49&gt;0,B50&gt;0),MIN(conv_cap,conv_beta*1*BI50*MAX(0,LN(B50/(BJ49*BL49)))),0)</x:f>
        <x:v>0.002169162825422712</x:v>
      </x:c>
      <x:c r="BL50" s="65" t="n">
        <x:f>BL49*(1+BK50)</x:f>
        <x:v>1.0300594334827595</x:v>
      </x:c>
      <x:c r="BM50" s="47" t="n">
        <x:f>BH50*BL50</x:f>
        <x:v>1854.1069802689672</x:v>
      </x:c>
      <x:c r="BN50" s="67" t="n">
        <x:f>IF(BG50&gt;0,BM50*1000000/BG50/Economy!Q50,0)</x:f>
        <x:v>0.3265192625156676</x:v>
      </x:c>
      <x:c r="BO50" s="45" t="n">
        <x:v>13300000</x:v>
      </x:c>
      <x:c r="BP50" s="45" t="n">
        <x:v>700</x:v>
      </x:c>
      <x:c r="BQ50" s="68" t="n">
        <x:v>0</x:v>
      </x:c>
      <x:c r="BR50" s="47" t="n">
        <x:f>IF(BO50&gt;0,BP50*1000000/BO50,0)</x:f>
        <x:v>52.63157894736842</x:v>
      </x:c>
      <x:c r="BS50" s="64" t="n">
        <x:f>IF(AND(BQ50&gt;0,BR49&gt;0,B50&gt;0),MIN(conv_cap,conv_beta*1*BQ50*MAX(0,LN(B50/(BR49*BT49)))),0)</x:f>
        <x:v>0</x:v>
      </x:c>
      <x:c r="BT50" s="65" t="n">
        <x:f>BT49*(1+BS50)</x:f>
        <x:v>1</x:v>
      </x:c>
      <x:c r="BU50" s="47" t="n">
        <x:f>BP50*BT50</x:f>
        <x:v>700</x:v>
      </x:c>
      <x:c r="BV50" s="67" t="n">
        <x:f>IF(BO50&gt;0,BU50*1000000/BO50/Economy!Q50,0)</x:f>
        <x:v>0.25303643724696356</x:v>
      </x:c>
      <x:c r="BW50" s="65" t="n">
        <x:f>0.25*IF(D50&gt;0,H50,1)+0.15*IF(AJ50&gt;0,AN50,1)+0.03*IF(AR50&gt;0,AV50,1)+0.08*IF(AZ50&gt;0,BD50,1)+0.12*IF(BH50&gt;0,BL50,1)+0.1*IF(L50&gt;0,P50,1)+0.07*IF(T50&gt;0,X50,1)+0.05*IF(AB50&gt;0,AF50,1)+0.05*IF(BP50&gt;0,BT50,1)+0.1</x:f>
        <x:v>1.1104634655084356</x:v>
      </x:c>
      <x:c r="BX50" s="63" t="n">
        <x:f>MIN(mkt_cap,mkt_elast*MAX(0,BW50-1))</x:f>
        <x:v>0.05523173275421778</x:v>
      </x:c>
      <x:c r="BY50" s="47" t="n">
        <x:f>I50+Q50+Y50+AG50</x:f>
        <x:v>1216.9695551257767</x:v>
      </x:c>
      <x:c r="BZ50" s="47" t="n">
        <x:f>D50+L50+T50+AB50</x:f>
        <x:v>950</x:v>
      </x:c>
      <x:c r="CA50" s="65" t="n">
        <x:f>IF(BZ50&gt;0,BY50/BZ50,0)</x:f>
        <x:v>1.2810205843429228</x:v>
      </x:c>
    </x:row>
    <x:row r="51">
      <x:c r="A51" s="58" t="n">
        <x:v>1891</x:v>
      </x:c>
      <x:c r="B51" s="47" t="n">
        <x:f>Economy!P50</x:f>
        <x:v>358.92526000992774</x:v>
      </x:c>
      <x:c r="C51" s="45" t="n">
        <x:v>40400000</x:v>
      </x:c>
      <x:c r="D51" s="62" t="n">
        <x:f>Japan!B51</x:f>
        <x:v>804</x:v>
      </x:c>
      <x:c r="E51" s="68" t="n">
        <x:v>0.6</x:v>
      </x:c>
      <x:c r="F51" s="47" t="n">
        <x:f>IF(C51&gt;0,D51*1000000/C51,0)</x:f>
        <x:v>19.900990099009903</x:v>
      </x:c>
      <x:c r="G51" s="64" t="n">
        <x:f>IF(AND(E51&gt;0,F50&gt;0,B51&gt;0),MIN(conv_cap,conv_beta*jp_uplift*E51*MAX(0,LN(B51/(F50*H50)))),0)</x:f>
        <x:v>0.015728705267024204</x:v>
      </x:c>
      <x:c r="H51" s="65" t="n">
        <x:f>H50*(1+G51)</x:f>
        <x:v>1.325165446809323</x:v>
      </x:c>
      <x:c r="I51" s="47" t="n">
        <x:f>D51*H51</x:f>
        <x:v>1065.4330192346956</x:v>
      </x:c>
      <x:c r="J51" s="67" t="n">
        <x:f>IF(C51&gt;0,I51*1000000/C51/Economy!Q51,0)</x:f>
        <x:v>0.12801992444904062</x:v>
      </x:c>
      <x:c r="K51" s="62" t="n">
        <x:f>Gulf!B51</x:f>
        <x:v>0</x:v>
      </x:c>
      <x:c r="L51" s="47" t="n">
        <x:f>Gulf!B51*Gulf!C51*Economy!Q51/1000000</x:f>
        <x:v>0</x:v>
      </x:c>
      <x:c r="M51" s="68" t="n">
        <x:v>0</x:v>
      </x:c>
      <x:c r="N51" s="47" t="n">
        <x:f>IF(K51&gt;0,L51*1000000/K51,0)</x:f>
        <x:v>0</x:v>
      </x:c>
      <x:c r="O51" s="64" t="n">
        <x:f>IF(AND(M51&gt;0,N50&gt;0,B51&gt;0),MIN(conv_cap,conv_beta*1*M51*MAX(0,LN(B51/(N50*P50)))),0)</x:f>
        <x:v>0</x:v>
      </x:c>
      <x:c r="P51" s="65" t="n">
        <x:f>P50*(1+O51)</x:f>
        <x:v>1</x:v>
      </x:c>
      <x:c r="Q51" s="47" t="n">
        <x:f>L51*P51</x:f>
        <x:v>0</x:v>
      </x:c>
      <x:c r="R51" s="67" t="n">
        <x:f>IF(K51&gt;0,Q51*1000000/K51/Economy!Q51,0)</x:f>
        <x:v>0</x:v>
      </x:c>
      <x:c r="S51" s="62" t="n">
        <x:f>People!U51</x:f>
        <x:v>6850000</x:v>
      </x:c>
      <x:c r="T51" s="45" t="n">
        <x:v>160</x:v>
      </x:c>
      <x:c r="U51" s="68" t="n">
        <x:v>0.431</x:v>
      </x:c>
      <x:c r="V51" s="47" t="n">
        <x:f>IF(S51&gt;0,T51*1000000/S51,0)</x:f>
        <x:v>23.357664233576642</x:v>
      </x:c>
      <x:c r="W51" s="64" t="n">
        <x:f>IF(AND(U51&gt;0,V50&gt;0,B51&gt;0),MIN(conv_cap,conv_beta*1*U51*MAX(0,LN(B51/(V50*X50)))),0)</x:f>
        <x:v>0.011393548294620694</x:v>
      </x:c>
      <x:c r="X51" s="65" t="n">
        <x:f>X50*(1+W51)</x:f>
        <x:v>1.1681831467451764</x:v>
      </x:c>
      <x:c r="Y51" s="47" t="n">
        <x:f>T51*X51</x:f>
        <x:v>186.90930347922824</x:v>
      </x:c>
      <x:c r="Z51" s="67" t="n">
        <x:f>IF(S51&gt;0,Y51*1000000/S51/Economy!Q51,0)</x:f>
        <x:v>0.13245645487862534</x:v>
      </x:c>
      <x:c r="AA51" s="45" t="n">
        <x:v>0</x:v>
      </x:c>
      <x:c r="AB51" s="45" t="n">
        <x:v>0</x:v>
      </x:c>
      <x:c r="AC51" s="68" t="n">
        <x:v>0</x:v>
      </x:c>
      <x:c r="AD51" s="47" t="n">
        <x:f>IF(AA51&gt;0,AB51*1000000/AA51,0)</x:f>
        <x:v>0</x:v>
      </x:c>
      <x:c r="AE51" s="64" t="n">
        <x:f>IF(AND(AC51&gt;0,AD50&gt;0,B51&gt;0),MIN(conv_cap,conv_beta*1*AC51*MAX(0,LN(B51/(AD50*AF50)))),0)</x:f>
        <x:v>0</x:v>
      </x:c>
      <x:c r="AF51" s="65" t="n">
        <x:f>AF50*(1+AE51)</x:f>
        <x:v>1</x:v>
      </x:c>
      <x:c r="AG51" s="47" t="n">
        <x:f>AB51*AF51</x:f>
        <x:v>0</x:v>
      </x:c>
      <x:c r="AH51" s="67" t="n">
        <x:f>IF(AA51&gt;0,AG51*1000000/AA51/Economy!Q51,0)</x:f>
        <x:v>0</x:v>
      </x:c>
      <x:c r="AI51" s="45" t="n">
        <x:v>387400000</x:v>
      </x:c>
      <x:c r="AJ51" s="45" t="n">
        <x:v>3850</x:v>
      </x:c>
      <x:c r="AK51" s="68" t="n">
        <x:v>0.165</x:v>
      </x:c>
      <x:c r="AL51" s="47" t="n">
        <x:f>IF(AI51&gt;0,AJ51*1000000/AI51,0)</x:f>
        <x:v>9.938048528652555</x:v>
      </x:c>
      <x:c r="AM51" s="64" t="n">
        <x:f>IF(AND(AK51&gt;0,AL50&gt;0,B51&gt;0),MIN(conv_cap,conv_beta*1*AK51*MAX(0,LN(B51/(AL50*AN50)))),0)</x:f>
        <x:v>0.005751387209319512</x:v>
      </x:c>
      <x:c r="AN51" s="65" t="n">
        <x:f>AN50*(1+AM51)</x:f>
        <x:v>1.1135957285377125</x:v>
      </x:c>
      <x:c r="AO51" s="47" t="n">
        <x:f>AJ51*AN51</x:f>
        <x:v>4287.343554870193</x:v>
      </x:c>
      <x:c r="AP51" s="67" t="n">
        <x:f>IF(AI51&gt;0,AO51*1000000/AI51/Economy!Q51,0)</x:f>
        <x:v>0.05372314753159215</x:v>
      </x:c>
      <x:c r="AQ51" s="45" t="n">
        <x:v>11400000</x:v>
      </x:c>
      <x:c r="AR51" s="45" t="n">
        <x:v>220</x:v>
      </x:c>
      <x:c r="AS51" s="68" t="n">
        <x:v>0.35</x:v>
      </x:c>
      <x:c r="AT51" s="47" t="n">
        <x:f>IF(AQ51&gt;0,AR51*1000000/AQ51,0)</x:f>
        <x:v>19.29824561403509</x:v>
      </x:c>
      <x:c r="AU51" s="64" t="n">
        <x:f>IF(AND(AS51&gt;0,AT50&gt;0,B51&gt;0),MIN(conv_cap,conv_beta*1*AS51*MAX(0,LN(B51/(AT50*AV50)))),0)</x:f>
        <x:v>0.010001491474409315</x:v>
      </x:c>
      <x:c r="AV51" s="65" t="n">
        <x:f>AV50*(1+AU51)</x:f>
        <x:v>1.0866001724017949</x:v>
      </x:c>
      <x:c r="AW51" s="47" t="n">
        <x:f>AR51*AV51</x:f>
        <x:v>239.05203792839487</x:v>
      </x:c>
      <x:c r="AX51" s="67" t="n">
        <x:f>IF(AQ51&gt;0,AW51*1000000/AQ51/Economy!Q51,0)</x:f>
        <x:v>0.10179357772457626</x:v>
      </x:c>
      <x:c r="AY51" s="45" t="n">
        <x:v>71000000</x:v>
      </x:c>
      <x:c r="AZ51" s="45" t="n">
        <x:v>1670</x:v>
      </x:c>
      <x:c r="BA51" s="68" t="n">
        <x:v>0.078</x:v>
      </x:c>
      <x:c r="BB51" s="47" t="n">
        <x:f>IF(AY51&gt;0,AZ51*1000000/AY51,0)</x:f>
        <x:v>23.52112676056338</x:v>
      </x:c>
      <x:c r="BC51" s="64" t="n">
        <x:f>IF(AND(BA51&gt;0,BB50&gt;0,B51&gt;0),MIN(conv_cap,conv_beta*1*BA51*MAX(0,LN(B51/(BB50*BD50)))),0)</x:f>
        <x:v>0.002117742324153529</x:v>
      </x:c>
      <x:c r="BD51" s="65" t="n">
        <x:f>BD50*(1+BC51)</x:f>
        <x:v>1.0207080650026026</x:v>
      </x:c>
      <x:c r="BE51" s="47" t="n">
        <x:f>AZ51*BD51</x:f>
        <x:v>1704.5824685543464</x:v>
      </x:c>
      <x:c r="BF51" s="67" t="n">
        <x:f>IF(AY51&gt;0,BE51*1000000/AY51/Economy!Q51,0)</x:f>
        <x:v>0.11654467855560961</x:v>
      </x:c>
      <x:c r="BG51" s="45" t="n">
        <x:v>27600000</x:v>
      </x:c>
      <x:c r="BH51" s="45" t="n">
        <x:v>1840</x:v>
      </x:c>
      <x:c r="BI51" s="68" t="n">
        <x:v>0.138</x:v>
      </x:c>
      <x:c r="BJ51" s="47" t="n">
        <x:f>IF(BG51&gt;0,BH51*1000000/BG51,0)</x:f>
        <x:v>66.66666666666667</x:v>
      </x:c>
      <x:c r="BK51" s="64" t="n">
        <x:f>IF(AND(BI51&gt;0,BJ50&gt;0,B51&gt;0),MIN(conv_cap,conv_beta*1*BI51*MAX(0,LN(B51/(BJ50*BL50)))),0)</x:f>
        <x:v>0.002297482557189287</x:v>
      </x:c>
      <x:c r="BL51" s="65" t="n">
        <x:f>BL50*(1+BK51)</x:f>
        <x:v>1.0324259770640545</x:v>
      </x:c>
      <x:c r="BM51" s="47" t="n">
        <x:f>BH51*BL51</x:f>
        <x:v>1899.6637977978603</x:v>
      </x:c>
      <x:c r="BN51" s="67" t="n">
        <x:f>IF(BG51&gt;0,BM51*1000000/BG51/Economy!Q51,0)</x:f>
        <x:v>0.3341184391793057</x:v>
      </x:c>
      <x:c r="BO51" s="45" t="n">
        <x:v>13400000</x:v>
      </x:c>
      <x:c r="BP51" s="45" t="n">
        <x:v>710</x:v>
      </x:c>
      <x:c r="BQ51" s="68" t="n">
        <x:v>0</x:v>
      </x:c>
      <x:c r="BR51" s="47" t="n">
        <x:f>IF(BO51&gt;0,BP51*1000000/BO51,0)</x:f>
        <x:v>52.985074626865675</x:v>
      </x:c>
      <x:c r="BS51" s="64" t="n">
        <x:f>IF(AND(BQ51&gt;0,BR50&gt;0,B51&gt;0),MIN(conv_cap,conv_beta*1*BQ51*MAX(0,LN(B51/(BR50*BT50)))),0)</x:f>
        <x:v>0</x:v>
      </x:c>
      <x:c r="BT51" s="65" t="n">
        <x:f>BT50*(1+BS51)</x:f>
        <x:v>1</x:v>
      </x:c>
      <x:c r="BU51" s="47" t="n">
        <x:f>BP51*BT51</x:f>
        <x:v>710</x:v>
      </x:c>
      <x:c r="BV51" s="67" t="n">
        <x:f>IF(BO51&gt;0,BU51*1000000/BO51/Economy!Q51,0)</x:f>
        <x:v>0.2572091001304159</x:v>
      </x:c>
      <x:c r="BW51" s="65" t="n">
        <x:f>0.25*IF(D51&gt;0,H51,1)+0.15*IF(AJ51&gt;0,AN51,1)+0.03*IF(AR51&gt;0,AV51,1)+0.08*IF(AZ51&gt;0,BD51,1)+0.12*IF(BH51&gt;0,BL51,1)+0.1*IF(L51&gt;0,P51,1)+0.07*IF(T51&gt;0,X51,1)+0.05*IF(AB51&gt;0,AF51,1)+0.05*IF(BP51&gt;0,BT51,1)+0.1</x:f>
        <x:v>1.1182493088750987</x:v>
      </x:c>
      <x:c r="BX51" s="63" t="n">
        <x:f>MIN(mkt_cap,mkt_elast*MAX(0,BW51-1))</x:f>
        <x:v>0.05912465443754933</x:v>
      </x:c>
      <x:c r="BY51" s="47" t="n">
        <x:f>I51+Q51+Y51+AG51</x:f>
        <x:v>1252.3423227139237</x:v>
      </x:c>
      <x:c r="BZ51" s="47" t="n">
        <x:f>D51+L51+T51+AB51</x:f>
        <x:v>964</x:v>
      </x:c>
      <x:c r="CA51" s="65" t="n">
        <x:f>IF(BZ51&gt;0,BY51/BZ51,0)</x:f>
        <x:v>1.2991102932717051</x:v>
      </x:c>
    </x:row>
    <x:row r="52">
      <x:c r="A52" s="58" t="n">
        <x:v>1892</x:v>
      </x:c>
      <x:c r="B52" s="47" t="n">
        <x:f>Economy!P51</x:f>
        <x:v>365.91808229197716</x:v>
      </x:c>
      <x:c r="C52" s="45" t="n">
        <x:v>40800000</x:v>
      </x:c>
      <x:c r="D52" s="62" t="n">
        <x:f>Japan!B52</x:f>
        <x:v>808</x:v>
      </x:c>
      <x:c r="E52" s="68" t="n">
        <x:v>0.613</x:v>
      </x:c>
      <x:c r="F52" s="47" t="n">
        <x:f>IF(C52&gt;0,D52*1000000/C52,0)</x:f>
        <x:v>19.80392156862745</x:v>
      </x:c>
      <x:c r="G52" s="64" t="n">
        <x:f>IF(AND(E52&gt;0,F51&gt;0,B52&gt;0),MIN(conv_cap,conv_beta*jp_uplift*E52*MAX(0,LN(B52/(F51*H51)))),0)</x:f>
        <x:v>0.016122529478079583</x:v>
      </x:c>
      <x:c r="H52" s="65" t="n">
        <x:f>H51*(1+G52)</x:f>
        <x:v>1.3465304657888388</x:v>
      </x:c>
      <x:c r="I52" s="47" t="n">
        <x:f>D52*H52</x:f>
        <x:v>1087.9966163573818</x:v>
      </x:c>
      <x:c r="J52" s="67" t="n">
        <x:f>IF(C52&gt;0,I52*1000000/C52/Economy!Q52,0)</x:f>
        <x:v>0.13008089626463196</x:v>
      </x:c>
      <x:c r="K52" s="62" t="n">
        <x:f>Gulf!B52</x:f>
        <x:v>0</x:v>
      </x:c>
      <x:c r="L52" s="47" t="n">
        <x:f>Gulf!B52*Gulf!C52*Economy!Q52/1000000</x:f>
        <x:v>0</x:v>
      </x:c>
      <x:c r="M52" s="68" t="n">
        <x:v>0</x:v>
      </x:c>
      <x:c r="N52" s="47" t="n">
        <x:f>IF(K52&gt;0,L52*1000000/K52,0)</x:f>
        <x:v>0</x:v>
      </x:c>
      <x:c r="O52" s="64" t="n">
        <x:f>IF(AND(M52&gt;0,N51&gt;0,B52&gt;0),MIN(conv_cap,conv_beta*1*M52*MAX(0,LN(B52/(N51*P51)))),0)</x:f>
        <x:v>0</x:v>
      </x:c>
      <x:c r="P52" s="65" t="n">
        <x:f>P51*(1+O52)</x:f>
        <x:v>1</x:v>
      </x:c>
      <x:c r="Q52" s="47" t="n">
        <x:f>L52*P52</x:f>
        <x:v>0</x:v>
      </x:c>
      <x:c r="R52" s="67" t="n">
        <x:f>IF(K52&gt;0,Q52*1000000/K52/Economy!Q52,0)</x:f>
        <x:v>0</x:v>
      </x:c>
      <x:c r="S52" s="62" t="n">
        <x:f>People!U52</x:f>
        <x:v>6912000</x:v>
      </x:c>
      <x:c r="T52" s="45" t="n">
        <x:v>170</x:v>
      </x:c>
      <x:c r="U52" s="68" t="n">
        <x:v>0.438</x:v>
      </x:c>
      <x:c r="V52" s="47" t="n">
        <x:f>IF(S52&gt;0,T52*1000000/S52,0)</x:f>
        <x:v>24.59490740740741</x:v>
      </x:c>
      <x:c r="W52" s="64" t="n">
        <x:f>IF(AND(U52&gt;0,V51&gt;0,B52&gt;0),MIN(conv_cap,conv_beta*1*U52*MAX(0,LN(B52/(V51*X51)))),0)</x:f>
        <x:v>0.011370631769988515</x:v>
      </x:c>
      <x:c r="X52" s="65" t="n">
        <x:f>X51*(1+W52)</x:f>
        <x:v>1.1814661271467222</x:v>
      </x:c>
      <x:c r="Y52" s="47" t="n">
        <x:f>T52*X52</x:f>
        <x:v>200.84924161494277</x:v>
      </x:c>
      <x:c r="Z52" s="67" t="n">
        <x:f>IF(S52&gt;0,Y52*1000000/S52/Economy!Q52,0)</x:f>
        <x:v>0.1417465853763993</x:v>
      </x:c>
      <x:c r="AA52" s="45" t="n">
        <x:v>0</x:v>
      </x:c>
      <x:c r="AB52" s="45" t="n">
        <x:v>0</x:v>
      </x:c>
      <x:c r="AC52" s="68" t="n">
        <x:v>0</x:v>
      </x:c>
      <x:c r="AD52" s="47" t="n">
        <x:f>IF(AA52&gt;0,AB52*1000000/AA52,0)</x:f>
        <x:v>0</x:v>
      </x:c>
      <x:c r="AE52" s="64" t="n">
        <x:f>IF(AND(AC52&gt;0,AD51&gt;0,B52&gt;0),MIN(conv_cap,conv_beta*1*AC52*MAX(0,LN(B52/(AD51*AF51)))),0)</x:f>
        <x:v>0</x:v>
      </x:c>
      <x:c r="AF52" s="65" t="n">
        <x:f>AF51*(1+AE52)</x:f>
        <x:v>1</x:v>
      </x:c>
      <x:c r="AG52" s="47" t="n">
        <x:f>AB52*AF52</x:f>
        <x:v>0</x:v>
      </x:c>
      <x:c r="AH52" s="67" t="n">
        <x:f>IF(AA52&gt;0,AG52*1000000/AA52/Economy!Q52,0)</x:f>
        <x:v>0</x:v>
      </x:c>
      <x:c r="AI52" s="45" t="n">
        <x:v>388800000</x:v>
      </x:c>
      <x:c r="AJ52" s="45" t="n">
        <x:v>3867</x:v>
      </x:c>
      <x:c r="AK52" s="68" t="n">
        <x:v>0.169</x:v>
      </x:c>
      <x:c r="AL52" s="47" t="n">
        <x:f>IF(AI52&gt;0,AJ52*1000000/AI52,0)</x:f>
        <x:v>9.945987654320987</x:v>
      </x:c>
      <x:c r="AM52" s="64" t="n">
        <x:f>IF(AND(AK52&gt;0,AL51&gt;0,B52&gt;0),MIN(conv_cap,conv_beta*1*AK52*MAX(0,LN(B52/(AL51*AN51)))),0)</x:f>
        <x:v>0.005912371438727415</x:v>
      </x:c>
      <x:c r="AN52" s="65" t="n">
        <x:f>AN51*(1+AM52)</x:f>
        <x:v>1.1201797201174077</x:v>
      </x:c>
      <x:c r="AO52" s="47" t="n">
        <x:f>AJ52*AN52</x:f>
        <x:v>4331.7349776940155</x:v>
      </x:c>
      <x:c r="AP52" s="67" t="n">
        <x:f>IF(AI52&gt;0,AO52*1000000/AI52/Economy!Q52,0)</x:f>
        <x:v>0.0543477739849194</x:v>
      </x:c>
      <x:c r="AQ52" s="45" t="n">
        <x:v>11470000</x:v>
      </x:c>
      <x:c r="AR52" s="45" t="n">
        <x:v>223</x:v>
      </x:c>
      <x:c r="AS52" s="68" t="n">
        <x:v>0.363</x:v>
      </x:c>
      <x:c r="AT52" s="47" t="n">
        <x:f>IF(AQ52&gt;0,AR52*1000000/AQ52,0)</x:f>
        <x:v>19.442022667829118</x:v>
      </x:c>
      <x:c r="AU52" s="64" t="n">
        <x:f>IF(AND(AS52&gt;0,AT51&gt;0,B52&gt;0),MIN(conv_cap,conv_beta*1*AS52*MAX(0,LN(B52/(AT51*AV51)))),0)</x:f>
        <x:v>0.010379409952558746</x:v>
      </x:c>
      <x:c r="AV52" s="65" t="n">
        <x:f>AV51*(1+AU52)</x:f>
        <x:v>1.0978784410456741</x:v>
      </x:c>
      <x:c r="AW52" s="47" t="n">
        <x:f>AR52*AV52</x:f>
        <x:v>244.82689235318531</x:v>
      </x:c>
      <x:c r="AX52" s="67" t="n">
        <x:f>IF(AQ52&gt;0,AW52*1000000/AQ52/Economy!Q52,0)</x:f>
        <x:v>0.10412184164551654</x:v>
      </x:c>
      <x:c r="AY52" s="45" t="n">
        <x:v>72000000</x:v>
      </x:c>
      <x:c r="AZ52" s="45" t="n">
        <x:v>1707</x:v>
      </x:c>
      <x:c r="BA52" s="68" t="n">
        <x:v>0.08</x:v>
      </x:c>
      <x:c r="BB52" s="47" t="n">
        <x:f>IF(AY52&gt;0,AZ52*1000000/AY52,0)</x:f>
        <x:v>23.708333333333332</x:v>
      </x:c>
      <x:c r="BC52" s="64" t="n">
        <x:f>IF(AND(BA52&gt;0,BB51&gt;0,B52&gt;0),MIN(conv_cap,conv_beta*1*BA52*MAX(0,LN(B52/(BB51*BD51)))),0)</x:f>
        <x:v>0.0021792111146139857</x:v>
      </x:c>
      <x:c r="BD52" s="65" t="n">
        <x:f>BD51*(1+BC52)</x:f>
        <x:v>1.0229324033626324</x:v>
      </x:c>
      <x:c r="BE52" s="47" t="n">
        <x:f>AZ52*BD52</x:f>
        <x:v>1746.1456125400134</x:v>
      </x:c>
      <x:c r="BF52" s="67" t="n">
        <x:f>IF(AY52&gt;0,BE52*1000000/AY52/Economy!Q52,0)</x:f>
        <x:v>0.11830254827506864</x:v>
      </x:c>
      <x:c r="BG52" s="45" t="n">
        <x:v>27900000</x:v>
      </x:c>
      <x:c r="BH52" s="45" t="n">
        <x:v>1880</x:v>
      </x:c>
      <x:c r="BI52" s="68" t="n">
        <x:v>0.144</x:v>
      </x:c>
      <x:c r="BJ52" s="47" t="n">
        <x:f>IF(BG52&gt;0,BH52*1000000/BG52,0)</x:f>
        <x:v>67.38351254480287</x:v>
      </x:c>
      <x:c r="BK52" s="64" t="n">
        <x:f>IF(AND(BI52&gt;0,BJ51&gt;0,B52&gt;0),MIN(conv_cap,conv_beta*1*BI52*MAX(0,LN(B52/(BJ51*BL51)))),0)</x:f>
        <x:v>0.0024059420081698414</x:v>
      </x:c>
      <x:c r="BL52" s="65" t="n">
        <x:f>BL51*(1+BK52)</x:f>
        <x:v>1.0349099340925987</x:v>
      </x:c>
      <x:c r="BM52" s="47" t="n">
        <x:f>BH52*BL52</x:f>
        <x:v>1945.6306760940856</x:v>
      </x:c>
      <x:c r="BN52" s="67" t="n">
        <x:f>IF(BG52&gt;0,BM52*1000000/BG52/Economy!Q52,0)</x:f>
        <x:v>0.3401749586666816</x:v>
      </x:c>
      <x:c r="BO52" s="45" t="n">
        <x:v>13500000</x:v>
      </x:c>
      <x:c r="BP52" s="45" t="n">
        <x:v>720</x:v>
      </x:c>
      <x:c r="BQ52" s="68" t="n">
        <x:v>0</x:v>
      </x:c>
      <x:c r="BR52" s="47" t="n">
        <x:f>IF(BO52&gt;0,BP52*1000000/BO52,0)</x:f>
        <x:v>53.333333333333336</x:v>
      </x:c>
      <x:c r="BS52" s="64" t="n">
        <x:f>IF(AND(BQ52&gt;0,BR51&gt;0,B52&gt;0),MIN(conv_cap,conv_beta*1*BQ52*MAX(0,LN(B52/(BR51*BT51)))),0)</x:f>
        <x:v>0</x:v>
      </x:c>
      <x:c r="BT52" s="65" t="n">
        <x:f>BT51*(1+BS52)</x:f>
        <x:v>1</x:v>
      </x:c>
      <x:c r="BU52" s="47" t="n">
        <x:f>BP52*BT52</x:f>
        <x:v>720</x:v>
      </x:c>
      <x:c r="BV52" s="67" t="n">
        <x:f>IF(BO52&gt;0,BU52*1000000/BO52/Economy!Q52,0)</x:f>
        <x:v>0.2601626016260163</x:v>
      </x:c>
      <x:c r="BW52" s="65" t="n">
        <x:f>0.25*IF(D52&gt;0,H52,1)+0.15*IF(AJ52&gt;0,AN52,1)+0.03*IF(AR52&gt;0,AV52,1)+0.08*IF(AZ52&gt;0,BD52,1)+0.12*IF(BH52&gt;0,BL52,1)+0.1*IF(L52&gt;0,P52,1)+0.07*IF(T52&gt;0,X52,1)+0.05*IF(AB52&gt;0,AF52,1)+0.05*IF(BP52&gt;0,BT52,1)+0.1</x:f>
        <x:v>1.1263223409565841</x:v>
      </x:c>
      <x:c r="BX52" s="63" t="n">
        <x:f>MIN(mkt_cap,mkt_elast*MAX(0,BW52-1))</x:f>
        <x:v>0.06316117047829206</x:v>
      </x:c>
      <x:c r="BY52" s="47" t="n">
        <x:f>I52+Q52+Y52+AG52</x:f>
        <x:v>1288.8458579723244</x:v>
      </x:c>
      <x:c r="BZ52" s="47" t="n">
        <x:f>D52+L52+T52+AB52</x:f>
        <x:v>978</x:v>
      </x:c>
      <x:c r="CA52" s="65" t="n">
        <x:f>IF(BZ52&gt;0,BY52/BZ52,0)</x:f>
        <x:v>1.3178383005851988</x:v>
      </x:c>
    </x:row>
    <x:row r="53">
      <x:c r="A53" s="58" t="n">
        <x:v>1893</x:v>
      </x:c>
      <x:c r="B53" s="47" t="n">
        <x:f>Economy!P52</x:f>
        <x:v>372.8062235860887</x:v>
      </x:c>
      <x:c r="C53" s="45" t="n">
        <x:v>41200000</x:v>
      </x:c>
      <x:c r="D53" s="62" t="n">
        <x:f>Japan!B53</x:f>
        <x:v>812</x:v>
      </x:c>
      <x:c r="E53" s="68" t="n">
        <x:v>0.625</x:v>
      </x:c>
      <x:c r="F53" s="47" t="n">
        <x:f>IF(C53&gt;0,D53*1000000/C53,0)</x:f>
        <x:v>19.70873786407767</x:v>
      </x:c>
      <x:c r="G53" s="64" t="n">
        <x:f>IF(AND(E53&gt;0,F52&gt;0,B53&gt;0),MIN(conv_cap,conv_beta*jp_uplift*E53*MAX(0,LN(B53/(F52*H52)))),0)</x:f>
        <x:v>0.016485297130034306</x:v>
      </x:c>
      <x:c r="H53" s="65" t="n">
        <x:f>H52*(1+G53)</x:f>
        <x:v>1.3687284206120112</x:v>
      </x:c>
      <x:c r="I53" s="47" t="n">
        <x:f>D53*H53</x:f>
        <x:v>1111.4074775369531</x:v>
      </x:c>
      <x:c r="J53" s="67" t="n">
        <x:f>IF(C53&gt;0,I53*1000000/C53/Economy!Q53,0)</x:f>
        <x:v>0.13288625442835061</x:v>
      </x:c>
      <x:c r="K53" s="62" t="n">
        <x:f>Gulf!B53</x:f>
        <x:v>0</x:v>
      </x:c>
      <x:c r="L53" s="47" t="n">
        <x:f>Gulf!B53*Gulf!C53*Economy!Q53/1000000</x:f>
        <x:v>0</x:v>
      </x:c>
      <x:c r="M53" s="68" t="n">
        <x:v>0</x:v>
      </x:c>
      <x:c r="N53" s="47" t="n">
        <x:f>IF(K53&gt;0,L53*1000000/K53,0)</x:f>
        <x:v>0</x:v>
      </x:c>
      <x:c r="O53" s="64" t="n">
        <x:f>IF(AND(M53&gt;0,N52&gt;0,B53&gt;0),MIN(conv_cap,conv_beta*1*M53*MAX(0,LN(B53/(N52*P52)))),0)</x:f>
        <x:v>0</x:v>
      </x:c>
      <x:c r="P53" s="65" t="n">
        <x:f>P52*(1+O53)</x:f>
        <x:v>1</x:v>
      </x:c>
      <x:c r="Q53" s="47" t="n">
        <x:f>L53*P53</x:f>
        <x:v>0</x:v>
      </x:c>
      <x:c r="R53" s="67" t="n">
        <x:f>IF(K53&gt;0,Q53*1000000/K53/Economy!Q53,0)</x:f>
        <x:v>0</x:v>
      </x:c>
      <x:c r="S53" s="62" t="n">
        <x:f>People!U53</x:f>
        <x:v>6975000</x:v>
      </x:c>
      <x:c r="T53" s="45" t="n">
        <x:v>180</x:v>
      </x:c>
      <x:c r="U53" s="68" t="n">
        <x:v>0.446</x:v>
      </x:c>
      <x:c r="V53" s="47" t="n">
        <x:f>IF(S53&gt;0,T53*1000000/S53,0)</x:f>
        <x:v>25.806451612903224</x:v>
      </x:c>
      <x:c r="W53" s="64" t="n">
        <x:f>IF(AND(U53&gt;0,V52&gt;0,B53&gt;0),MIN(conv_cap,conv_beta*1*U53*MAX(0,LN(B53/(V52*X52)))),0)</x:f>
        <x:v>0.011380863976462926</x:v>
      </x:c>
      <x:c r="X53" s="65" t="n">
        <x:f>X52*(1+W53)</x:f>
        <x:v>1.1949122324325776</x:v>
      </x:c>
      <x:c r="Y53" s="47" t="n">
        <x:f>T53*X53</x:f>
        <x:v>215.08420183786396</x:v>
      </x:c>
      <x:c r="Z53" s="67" t="n">
        <x:f>IF(S53&gt;0,Y53*1000000/S53/Economy!Q53,0)</x:f>
        <x:v>0.15190366851200732</x:v>
      </x:c>
      <x:c r="AA53" s="45" t="n">
        <x:v>0</x:v>
      </x:c>
      <x:c r="AB53" s="45" t="n">
        <x:v>0</x:v>
      </x:c>
      <x:c r="AC53" s="68" t="n">
        <x:v>0</x:v>
      </x:c>
      <x:c r="AD53" s="47" t="n">
        <x:f>IF(AA53&gt;0,AB53*1000000/AA53,0)</x:f>
        <x:v>0</x:v>
      </x:c>
      <x:c r="AE53" s="64" t="n">
        <x:f>IF(AND(AC53&gt;0,AD52&gt;0,B53&gt;0),MIN(conv_cap,conv_beta*1*AC53*MAX(0,LN(B53/(AD52*AF52)))),0)</x:f>
        <x:v>0</x:v>
      </x:c>
      <x:c r="AF53" s="65" t="n">
        <x:f>AF52*(1+AE53)</x:f>
        <x:v>1</x:v>
      </x:c>
      <x:c r="AG53" s="47" t="n">
        <x:f>AB53*AF53</x:f>
        <x:v>0</x:v>
      </x:c>
      <x:c r="AH53" s="67" t="n">
        <x:f>IF(AA53&gt;0,AG53*1000000/AA53/Economy!Q53,0)</x:f>
        <x:v>0</x:v>
      </x:c>
      <x:c r="AI53" s="45" t="n">
        <x:v>390200000</x:v>
      </x:c>
      <x:c r="AJ53" s="45" t="n">
        <x:v>3883</x:v>
      </x:c>
      <x:c r="AK53" s="68" t="n">
        <x:v>0.173</x:v>
      </x:c>
      <x:c r="AL53" s="47" t="n">
        <x:f>IF(AI53&gt;0,AJ53*1000000/AI53,0)</x:f>
        <x:v>9.951307022039979</x:v>
      </x:c>
      <x:c r="AM53" s="64" t="n">
        <x:f>IF(AND(AK53&gt;0,AL52&gt;0,B53&gt;0),MIN(conv_cap,conv_beta*1*AK53*MAX(0,LN(B53/(AL52*AN52)))),0)</x:f>
        <x:v>0.006072992728321795</x:v>
      </x:c>
      <x:c r="AN53" s="65" t="n">
        <x:f>AN52*(1+AM53)</x:f>
        <x:v>1.1269825634120945</x:v>
      </x:c>
      <x:c r="AO53" s="47" t="n">
        <x:f>AJ53*AN53</x:f>
        <x:v>4376.073293729163</x:v>
      </x:c>
      <x:c r="AP53" s="67" t="n">
        <x:f>IF(AI53&gt;0,AO53*1000000/AI53/Economy!Q53,0)</x:f>
        <x:v>0.055246056635464995</x:v>
      </x:c>
      <x:c r="AQ53" s="45" t="n">
        <x:v>11530000</x:v>
      </x:c>
      <x:c r="AR53" s="45" t="n">
        <x:v>227</x:v>
      </x:c>
      <x:c r="AS53" s="68" t="n">
        <x:v>0.375</x:v>
      </x:c>
      <x:c r="AT53" s="47" t="n">
        <x:f>IF(AQ53&gt;0,AR53*1000000/AQ53,0)</x:f>
        <x:v>19.6877710320902</x:v>
      </x:c>
      <x:c r="AU53" s="64" t="n">
        <x:f>IF(AND(AS53&gt;0,AT52&gt;0,B53&gt;0),MIN(conv_cap,conv_beta*1*AS53*MAX(0,LN(B53/(AT52*AV52)))),0)</x:f>
        <x:v>0.010725908658725681</x:v>
      </x:c>
      <x:c r="AV53" s="65" t="n">
        <x:f>AV52*(1+AU53)</x:f>
        <x:v>1.1096541849227142</x:v>
      </x:c>
      <x:c r="AW53" s="47" t="n">
        <x:f>AR53*AV53</x:f>
        <x:v>251.8914999774561</x:v>
      </x:c>
      <x:c r="AX53" s="67" t="n">
        <x:f>IF(AQ53&gt;0,AW53*1000000/AQ53/Economy!Q53,0)</x:f>
        <x:v>0.1076188055052171</x:v>
      </x:c>
      <x:c r="AY53" s="45" t="n">
        <x:v>73000000</x:v>
      </x:c>
      <x:c r="AZ53" s="45" t="n">
        <x:v>1743</x:v>
      </x:c>
      <x:c r="BA53" s="68" t="n">
        <x:v>0.083</x:v>
      </x:c>
      <x:c r="BB53" s="47" t="n">
        <x:f>IF(AY53&gt;0,AZ53*1000000/AY53,0)</x:f>
        <x:v>23.876712328767123</x:v>
      </x:c>
      <x:c r="BC53" s="64" t="n">
        <x:f>IF(AND(BA53&gt;0,BB52&gt;0,B53&gt;0),MIN(conv_cap,conv_beta*1*BA53*MAX(0,LN(B53/(BB52*BD52)))),0)</x:f>
        <x:v>0.002268023775070726</x:v>
      </x:c>
      <x:c r="BD53" s="65" t="n">
        <x:f>BD52*(1+BC53)</x:f>
        <x:v>1.0252524383737491</x:v>
      </x:c>
      <x:c r="BE53" s="47" t="n">
        <x:f>AZ53*BD53</x:f>
        <x:v>1787.0150000854446</x:v>
      </x:c>
      <x:c r="BF53" s="67" t="n">
        <x:f>IF(AY53&gt;0,BE53*1000000/AY53/Economy!Q53,0)</x:f>
        <x:v>0.12058944598727611</x:v>
      </x:c>
      <x:c r="BG53" s="45" t="n">
        <x:v>28100000</x:v>
      </x:c>
      <x:c r="BH53" s="45" t="n">
        <x:v>1920</x:v>
      </x:c>
      <x:c r="BI53" s="68" t="n">
        <x:v>0.15</x:v>
      </x:c>
      <x:c r="BJ53" s="47" t="n">
        <x:f>IF(BG53&gt;0,BH53*1000000/BG53,0)</x:f>
        <x:v>68.32740213523131</x:v>
      </x:c>
      <x:c r="BK53" s="64" t="n">
        <x:f>IF(AND(BI53&gt;0,BJ52&gt;0,B53&gt;0),MIN(conv_cap,conv_beta*1*BI53*MAX(0,LN(B53/(BJ52*BL52)))),0)</x:f>
        <x:v>0.002514516010670461</x:v>
      </x:c>
      <x:c r="BL53" s="65" t="n">
        <x:f>BL52*(1+BK53)</x:f>
        <x:v>1.0375122316914764</x:v>
      </x:c>
      <x:c r="BM53" s="47" t="n">
        <x:f>BH53*BL53</x:f>
        <x:v>1992.0234848476348</x:v>
      </x:c>
      <x:c r="BN53" s="67" t="n">
        <x:f>IF(BG53&gt;0,BM53*1000000/BG53/Economy!Q53,0)</x:f>
        <x:v>0.3492143619458364</x:v>
      </x:c>
      <x:c r="BO53" s="45" t="n">
        <x:v>13500000</x:v>
      </x:c>
      <x:c r="BP53" s="45" t="n">
        <x:v>730</x:v>
      </x:c>
      <x:c r="BQ53" s="68" t="n">
        <x:v>0</x:v>
      </x:c>
      <x:c r="BR53" s="47" t="n">
        <x:f>IF(BO53&gt;0,BP53*1000000/BO53,0)</x:f>
        <x:v>54.074074074074076</x:v>
      </x:c>
      <x:c r="BS53" s="64" t="n">
        <x:f>IF(AND(BQ53&gt;0,BR52&gt;0,B53&gt;0),MIN(conv_cap,conv_beta*1*BQ53*MAX(0,LN(B53/(BR52*BT52)))),0)</x:f>
        <x:v>0</x:v>
      </x:c>
      <x:c r="BT53" s="65" t="n">
        <x:f>BT52*(1+BS53)</x:f>
        <x:v>1</x:v>
      </x:c>
      <x:c r="BU53" s="47" t="n">
        <x:f>BP53*BT53</x:f>
        <x:v>730</x:v>
      </x:c>
      <x:c r="BV53" s="67" t="n">
        <x:f>IF(BO53&gt;0,BU53*1000000/BO53/Economy!Q53,0)</x:f>
        <x:v>0.26637474913336984</x:v>
      </x:c>
      <x:c r="BW53" s="65" t="n">
        <x:f>0.25*IF(D53&gt;0,H53,1)+0.15*IF(AJ53&gt;0,AN53,1)+0.03*IF(AR53&gt;0,AV53,1)+0.08*IF(AZ53&gt;0,BD53,1)+0.12*IF(BH53&gt;0,BL53,1)+0.1*IF(L53&gt;0,P53,1)+0.07*IF(T53&gt;0,X53,1)+0.05*IF(AB53&gt;0,AF53,1)+0.05*IF(BP53&gt;0,BT53,1)+0.1</x:f>
        <x:v>1.1346846343556563</x:v>
      </x:c>
      <x:c r="BX53" s="63" t="n">
        <x:f>MIN(mkt_cap,mkt_elast*MAX(0,BW53-1))</x:f>
        <x:v>0.06734231717782813</x:v>
      </x:c>
      <x:c r="BY53" s="47" t="n">
        <x:f>I53+Q53+Y53+AG53</x:f>
        <x:v>1326.491679374817</x:v>
      </x:c>
      <x:c r="BZ53" s="47" t="n">
        <x:f>D53+L53+T53+AB53</x:f>
        <x:v>992</x:v>
      </x:c>
      <x:c r="CA53" s="65" t="n">
        <x:f>IF(BZ53&gt;0,BY53/BZ53,0)</x:f>
        <x:v>1.3371891929181623</x:v>
      </x:c>
    </x:row>
    <x:row r="54">
      <x:c r="A54" s="58" t="n">
        <x:v>1894</x:v>
      </x:c>
      <x:c r="B54" s="47" t="n">
        <x:f>Economy!P53</x:f>
        <x:v>361.77292536412466</x:v>
      </x:c>
      <x:c r="C54" s="45" t="n">
        <x:v>41600000</x:v>
      </x:c>
      <x:c r="D54" s="62" t="n">
        <x:f>Japan!B54</x:f>
        <x:v>816</x:v>
      </x:c>
      <x:c r="E54" s="68" t="n">
        <x:v>0.638</x:v>
      </x:c>
      <x:c r="F54" s="47" t="n">
        <x:f>IF(C54&gt;0,D54*1000000/C54,0)</x:f>
        <x:v>19.615384615384617</x:v>
      </x:c>
      <x:c r="G54" s="64" t="n">
        <x:f>IF(AND(E54&gt;0,F53&gt;0,B54&gt;0),MIN(conv_cap,conv_beta*jp_uplift*E54*MAX(0,LN(B54/(F53*H53)))),0)</x:f>
        <x:v>0.016562942578730946</x:v>
      </x:c>
      <x:c r="H54" s="65" t="n">
        <x:f>H53*(1+G54)</x:f>
        <x:v>1.3913985908484852</x:v>
      </x:c>
      <x:c r="I54" s="47" t="n">
        <x:f>D54*H54</x:f>
        <x:v>1135.381250132364</x:v>
      </x:c>
      <x:c r="J54" s="67" t="n">
        <x:f>IF(C54&gt;0,I54*1000000/C54/Economy!Q54,0)</x:f>
        <x:v>0.13511296293463965</x:v>
      </x:c>
      <x:c r="K54" s="62" t="n">
        <x:f>Gulf!B54</x:f>
        <x:v>0</x:v>
      </x:c>
      <x:c r="L54" s="47" t="n">
        <x:f>Gulf!B54*Gulf!C54*Economy!Q54/1000000</x:f>
        <x:v>0</x:v>
      </x:c>
      <x:c r="M54" s="68" t="n">
        <x:v>0</x:v>
      </x:c>
      <x:c r="N54" s="47" t="n">
        <x:f>IF(K54&gt;0,L54*1000000/K54,0)</x:f>
        <x:v>0</x:v>
      </x:c>
      <x:c r="O54" s="64" t="n">
        <x:f>IF(AND(M54&gt;0,N53&gt;0,B54&gt;0),MIN(conv_cap,conv_beta*1*M54*MAX(0,LN(B54/(N53*P53)))),0)</x:f>
        <x:v>0</x:v>
      </x:c>
      <x:c r="P54" s="65" t="n">
        <x:f>P53*(1+O54)</x:f>
        <x:v>1</x:v>
      </x:c>
      <x:c r="Q54" s="47" t="n">
        <x:f>L54*P54</x:f>
        <x:v>0</x:v>
      </x:c>
      <x:c r="R54" s="67" t="n">
        <x:f>IF(K54&gt;0,Q54*1000000/K54/Economy!Q54,0)</x:f>
        <x:v>0</x:v>
      </x:c>
      <x:c r="S54" s="62" t="n">
        <x:f>People!U54</x:f>
        <x:v>7038000</x:v>
      </x:c>
      <x:c r="T54" s="45" t="n">
        <x:v>190</x:v>
      </x:c>
      <x:c r="U54" s="68" t="n">
        <x:v>0.454</x:v>
      </x:c>
      <x:c r="V54" s="47" t="n">
        <x:f>IF(S54&gt;0,T54*1000000/S54,0)</x:f>
        <x:v>26.996305768684284</x:v>
      </x:c>
      <x:c r="W54" s="64" t="n">
        <x:f>IF(AND(U54&gt;0,V53&gt;0,B54&gt;0),MIN(conv_cap,conv_beta*1*U54*MAX(0,LN(B54/(V53*X53)))),0)</x:f>
        <x:v>0.011178930424667841</x:v>
      </x:c>
      <x:c r="X54" s="65" t="n">
        <x:f>X53*(1+W54)</x:f>
        <x:v>1.208270073142526</x:v>
      </x:c>
      <x:c r="Y54" s="47" t="n">
        <x:f>T54*X54</x:f>
        <x:v>229.57131389707993</x:v>
      </x:c>
      <x:c r="Z54" s="67" t="n">
        <x:f>IF(S54&gt;0,Y54*1000000/S54/Economy!Q54,0)</x:f>
        <x:v>0.16147934824607008</x:v>
      </x:c>
      <x:c r="AA54" s="45" t="n">
        <x:v>0</x:v>
      </x:c>
      <x:c r="AB54" s="45" t="n">
        <x:v>0</x:v>
      </x:c>
      <x:c r="AC54" s="68" t="n">
        <x:v>0</x:v>
      </x:c>
      <x:c r="AD54" s="47" t="n">
        <x:f>IF(AA54&gt;0,AB54*1000000/AA54,0)</x:f>
        <x:v>0</x:v>
      </x:c>
      <x:c r="AE54" s="64" t="n">
        <x:f>IF(AND(AC54&gt;0,AD53&gt;0,B54&gt;0),MIN(conv_cap,conv_beta*1*AC54*MAX(0,LN(B54/(AD53*AF53)))),0)</x:f>
        <x:v>0</x:v>
      </x:c>
      <x:c r="AF54" s="65" t="n">
        <x:f>AF53*(1+AE54)</x:f>
        <x:v>1</x:v>
      </x:c>
      <x:c r="AG54" s="47" t="n">
        <x:f>AB54*AF54</x:f>
        <x:v>0</x:v>
      </x:c>
      <x:c r="AH54" s="67" t="n">
        <x:f>IF(AA54&gt;0,AG54*1000000/AA54/Economy!Q54,0)</x:f>
        <x:v>0</x:v>
      </x:c>
      <x:c r="AI54" s="45" t="n">
        <x:v>391600000</x:v>
      </x:c>
      <x:c r="AJ54" s="45" t="n">
        <x:v>3900</x:v>
      </x:c>
      <x:c r="AK54" s="68" t="n">
        <x:v>0.177</x:v>
      </x:c>
      <x:c r="AL54" s="47" t="n">
        <x:f>IF(AI54&gt;0,AJ54*1000000/AI54,0)</x:f>
        <x:v>9.959141981613891</x:v>
      </x:c>
      <x:c r="AM54" s="64" t="n">
        <x:f>IF(AND(AK54&gt;0,AL53&gt;0,B54&gt;0),MIN(conv_cap,conv_beta*1*AK54*MAX(0,LN(B54/(AL53*AN53)))),0)</x:f>
        <x:v>0.0061485712578088405</x:v>
      </x:c>
      <x:c r="AN54" s="65" t="n">
        <x:f>AN53*(1+AM54)</x:f>
        <x:v>1.1339118960095418</x:v>
      </x:c>
      <x:c r="AO54" s="47" t="n">
        <x:f>AJ54*AN54</x:f>
        <x:v>4422.256394437213</x:v>
      </x:c>
      <x:c r="AP54" s="67" t="n">
        <x:f>IF(AI54&gt;0,AO54*1000000/AI54/Economy!Q54,0)</x:f>
        <x:v>0.05590489884653482</x:v>
      </x:c>
      <x:c r="AQ54" s="45" t="n">
        <x:v>11600000</x:v>
      </x:c>
      <x:c r="AR54" s="45" t="n">
        <x:v>230</x:v>
      </x:c>
      <x:c r="AS54" s="68" t="n">
        <x:v>0.388</x:v>
      </x:c>
      <x:c r="AT54" s="47" t="n">
        <x:f>IF(AQ54&gt;0,AR54*1000000/AQ54,0)</x:f>
        <x:v>19.82758620689655</x:v>
      </x:c>
      <x:c r="AU54" s="64" t="n">
        <x:f>IF(AND(AS54&gt;0,AT53&gt;0,B54&gt;0),MIN(conv_cap,conv_beta*1*AS54*MAX(0,LN(B54/(AT53*AV53)))),0)</x:f>
        <x:v>0.01089104605268463</x:v>
      </x:c>
      <x:c r="AV54" s="65" t="n">
        <x:f>AV53*(1+AU54)</x:f>
        <x:v>1.1217394797532616</x:v>
      </x:c>
      <x:c r="AW54" s="47" t="n">
        <x:f>AR54*AV54</x:f>
        <x:v>258.00008034325015</x:v>
      </x:c>
      <x:c r="AX54" s="67" t="n">
        <x:f>IF(AQ54&gt;0,AW54*1000000/AQ54/Economy!Q54,0)</x:f>
        <x:v>0.11010587245785683</x:v>
      </x:c>
      <x:c r="AY54" s="45" t="n">
        <x:v>74000000</x:v>
      </x:c>
      <x:c r="AZ54" s="45" t="n">
        <x:v>1780</x:v>
      </x:c>
      <x:c r="BA54" s="68" t="n">
        <x:v>0.08500000000000001</x:v>
      </x:c>
      <x:c r="BB54" s="47" t="n">
        <x:f>IF(AY54&gt;0,AZ54*1000000/AY54,0)</x:f>
        <x:v>24.054054054054053</x:v>
      </x:c>
      <x:c r="BC54" s="64" t="n">
        <x:f>IF(AND(BA54&gt;0,BB53&gt;0,B54&gt;0),MIN(conv_cap,conv_beta*1*BA54*MAX(0,LN(B54/(BB53*BD53)))),0)</x:f>
        <x:v>0.002289198128671238</x:v>
      </x:c>
      <x:c r="BD54" s="65" t="n">
        <x:f>BD53*(1+BC54)</x:f>
        <x:v>1.02759944433709</x:v>
      </x:c>
      <x:c r="BE54" s="47" t="n">
        <x:f>AZ54*BD54</x:f>
        <x:v>1829.12701092002</x:v>
      </x:c>
      <x:c r="BF54" s="67" t="n">
        <x:f>IF(AY54&gt;0,BE54*1000000/AY54/Economy!Q54,0)</x:f>
        <x:v>0.12236600287128846</x:v>
      </x:c>
      <x:c r="BG54" s="45" t="n">
        <x:v>28400000</x:v>
      </x:c>
      <x:c r="BH54" s="45" t="n">
        <x:v>1960</x:v>
      </x:c>
      <x:c r="BI54" s="68" t="n">
        <x:v>0.156</x:v>
      </x:c>
      <x:c r="BJ54" s="47" t="n">
        <x:f>IF(BG54&gt;0,BH54*1000000/BG54,0)</x:f>
        <x:v>69.01408450704226</x:v>
      </x:c>
      <x:c r="BK54" s="64" t="n">
        <x:f>IF(AND(BI54&gt;0,BJ53&gt;0,B54&gt;0),MIN(conv_cap,conv_beta*1*BI54*MAX(0,LN(B54/(BJ53*BL53)))),0)</x:f>
        <x:v>0.002542612933672447</x:v>
      </x:c>
      <x:c r="BL54" s="65" t="n">
        <x:f>BL53*(1+BK54)</x:f>
        <x:v>1.0401502237106186</x:v>
      </x:c>
      <x:c r="BM54" s="47" t="n">
        <x:f>BH54*BL54</x:f>
        <x:v>2038.6944384728124</x:v>
      </x:c>
      <x:c r="BN54" s="67" t="n">
        <x:f>IF(BG54&gt;0,BM54*1000000/BG54/Economy!Q54,0)</x:f>
        <x:v>0.35537136356031457</x:v>
      </x:c>
      <x:c r="BO54" s="45" t="n">
        <x:v>13600000</x:v>
      </x:c>
      <x:c r="BP54" s="45" t="n">
        <x:v>740</x:v>
      </x:c>
      <x:c r="BQ54" s="68" t="n">
        <x:v>0</x:v>
      </x:c>
      <x:c r="BR54" s="47" t="n">
        <x:f>IF(BO54&gt;0,BP54*1000000/BO54,0)</x:f>
        <x:v>54.411764705882355</x:v>
      </x:c>
      <x:c r="BS54" s="64" t="n">
        <x:f>IF(AND(BQ54&gt;0,BR53&gt;0,B54&gt;0),MIN(conv_cap,conv_beta*1*BQ54*MAX(0,LN(B54/(BR53*BT53)))),0)</x:f>
        <x:v>0</x:v>
      </x:c>
      <x:c r="BT54" s="65" t="n">
        <x:f>BT53*(1+BS54)</x:f>
        <x:v>1</x:v>
      </x:c>
      <x:c r="BU54" s="47" t="n">
        <x:f>BP54*BT54</x:f>
        <x:v>740</x:v>
      </x:c>
      <x:c r="BV54" s="67" t="n">
        <x:f>IF(BO54&gt;0,BU54*1000000/BO54/Economy!Q54,0)</x:f>
        <x:v>0.26936517181129876</x:v>
      </x:c>
      <x:c r="BW54" s="65" t="n">
        <x:f>0.25*IF(D54&gt;0,H54,1)+0.15*IF(AJ54&gt;0,AN54,1)+0.03*IF(AR54&gt;0,AV54,1)+0.08*IF(AZ54&gt;0,BD54,1)+0.12*IF(BH54&gt;0,BL54,1)+0.1*IF(L54&gt;0,P54,1)+0.07*IF(T54&gt;0,X54,1)+0.05*IF(AB54&gt;0,AF54,1)+0.05*IF(BP54&gt;0,BT54,1)+0.1</x:f>
        <x:v>1.1431935040183687</x:v>
      </x:c>
      <x:c r="BX54" s="63" t="n">
        <x:f>MIN(mkt_cap,mkt_elast*MAX(0,BW54-1))</x:f>
        <x:v>0.07159675200918436</x:v>
      </x:c>
      <x:c r="BY54" s="47" t="n">
        <x:f>I54+Q54+Y54+AG54</x:f>
        <x:v>1364.952564029444</x:v>
      </x:c>
      <x:c r="BZ54" s="47" t="n">
        <x:f>D54+L54+T54+AB54</x:f>
        <x:v>1006</x:v>
      </x:c>
      <x:c r="CA54" s="65" t="n">
        <x:f>IF(BZ54&gt;0,BY54/BZ54,0)</x:f>
        <x:v>1.3568116938662464</x:v>
      </x:c>
    </x:row>
    <x:row r="55">
      <x:c r="A55" s="58" t="n">
        <x:v>1895</x:v>
      </x:c>
      <x:c r="B55" s="47" t="n">
        <x:f>Economy!P54</x:f>
        <x:v>364.6365130458162</x:v>
      </x:c>
      <x:c r="C55" s="45" t="n">
        <x:v>42000000</x:v>
      </x:c>
      <x:c r="D55" s="62" t="n">
        <x:f>Japan!B55</x:f>
        <x:v>820</x:v>
      </x:c>
      <x:c r="E55" s="68" t="n">
        <x:v>0.65</x:v>
      </x:c>
      <x:c r="F55" s="47" t="n">
        <x:f>IF(C55&gt;0,D55*1000000/C55,0)</x:f>
        <x:v>19.523809523809526</x:v>
      </x:c>
      <x:c r="G55" s="64" t="n">
        <x:f>IF(AND(E55&gt;0,F54&gt;0,B55&gt;0),MIN(conv_cap,conv_beta*jp_uplift*E55*MAX(0,LN(B55/(F54*H54)))),0)</x:f>
        <x:v>0.016849803056287672</x:v>
      </x:c>
      <x:c r="H55" s="65" t="n">
        <x:f>H54*(1+G55)</x:f>
        <x:v>1.4148433830770781</x:v>
      </x:c>
      <x:c r="I55" s="47" t="n">
        <x:f>D55*H55</x:f>
        <x:v>1160.171574123204</x:v>
      </x:c>
      <x:c r="J55" s="67" t="n">
        <x:f>IF(C55&gt;0,I55*1000000/C55/Economy!Q55,0)</x:f>
        <x:v>0.13811566358609573</x:v>
      </x:c>
      <x:c r="K55" s="62" t="n">
        <x:f>Gulf!B55</x:f>
        <x:v>0</x:v>
      </x:c>
      <x:c r="L55" s="47" t="n">
        <x:f>Gulf!B55*Gulf!C55*Economy!Q55/1000000</x:f>
        <x:v>0</x:v>
      </x:c>
      <x:c r="M55" s="68" t="n">
        <x:v>0.3</x:v>
      </x:c>
      <x:c r="N55" s="47" t="n">
        <x:f>IF(K55&gt;0,L55*1000000/K55,0)</x:f>
        <x:v>0</x:v>
      </x:c>
      <x:c r="O55" s="64" t="n">
        <x:f>IF(AND(M55&gt;0,N54&gt;0,B55&gt;0),MIN(conv_cap,conv_beta*1*M55*MAX(0,LN(B55/(N54*P54)))),0)</x:f>
        <x:v>0</x:v>
      </x:c>
      <x:c r="P55" s="65" t="n">
        <x:f>P54*(1+O55)</x:f>
        <x:v>1</x:v>
      </x:c>
      <x:c r="Q55" s="47" t="n">
        <x:f>L55*P55</x:f>
        <x:v>0</x:v>
      </x:c>
      <x:c r="R55" s="67" t="n">
        <x:f>IF(K55&gt;0,Q55*1000000/K55/Economy!Q55,0)</x:f>
        <x:v>0</x:v>
      </x:c>
      <x:c r="S55" s="62" t="n">
        <x:f>People!U55</x:f>
        <x:v>7100000</x:v>
      </x:c>
      <x:c r="T55" s="45" t="n">
        <x:v>200</x:v>
      </x:c>
      <x:c r="U55" s="68" t="n">
        <x:v>0.462</x:v>
      </x:c>
      <x:c r="V55" s="47" t="n">
        <x:f>IF(S55&gt;0,T55*1000000/S55,0)</x:f>
        <x:v>28.169014084507044</x:v>
      </x:c>
      <x:c r="W55" s="64" t="n">
        <x:f>IF(AND(U55&gt;0,V54&gt;0,B55&gt;0),MIN(conv_cap,conv_beta*1*U55*MAX(0,LN(B55/(V54*X54)))),0)</x:f>
        <x:v>0.011152732318972855</x:v>
      </x:c>
      <x:c r="X55" s="65" t="n">
        <x:f>X54*(1+W55)</x:f>
        <x:v>1.2217455858373103</x:v>
      </x:c>
      <x:c r="Y55" s="47" t="n">
        <x:f>T55*X55</x:f>
        <x:v>244.34911716746205</x:v>
      </x:c>
      <x:c r="Z55" s="67" t="n">
        <x:f>IF(S55&gt;0,Y55*1000000/S55/Economy!Q55,0)</x:f>
        <x:v>0.1720768430756775</x:v>
      </x:c>
      <x:c r="AA55" s="45" t="n">
        <x:v>0</x:v>
      </x:c>
      <x:c r="AB55" s="45" t="n">
        <x:v>0</x:v>
      </x:c>
      <x:c r="AC55" s="68" t="n">
        <x:v>0</x:v>
      </x:c>
      <x:c r="AD55" s="47" t="n">
        <x:f>IF(AA55&gt;0,AB55*1000000/AA55,0)</x:f>
        <x:v>0</x:v>
      </x:c>
      <x:c r="AE55" s="64" t="n">
        <x:f>IF(AND(AC55&gt;0,AD54&gt;0,B55&gt;0),MIN(conv_cap,conv_beta*1*AC55*MAX(0,LN(B55/(AD54*AF54)))),0)</x:f>
        <x:v>0</x:v>
      </x:c>
      <x:c r="AF55" s="65" t="n">
        <x:f>AF54*(1+AE55)</x:f>
        <x:v>1</x:v>
      </x:c>
      <x:c r="AG55" s="47" t="n">
        <x:f>AB55*AF55</x:f>
        <x:v>0</x:v>
      </x:c>
      <x:c r="AH55" s="67" t="n">
        <x:f>IF(AA55&gt;0,AG55*1000000/AA55/Economy!Q55,0)</x:f>
        <x:v>0</x:v>
      </x:c>
      <x:c r="AI55" s="45" t="n">
        <x:v>393000000</x:v>
      </x:c>
      <x:c r="AJ55" s="45" t="n">
        <x:v>3917</x:v>
      </x:c>
      <x:c r="AK55" s="68" t="n">
        <x:v>0.181</x:v>
      </x:c>
      <x:c r="AL55" s="47" t="n">
        <x:f>IF(AI55&gt;0,AJ55*1000000/AI55,0)</x:f>
        <x:v>9.966921119592875</x:v>
      </x:c>
      <x:c r="AM55" s="64" t="n">
        <x:f>IF(AND(AK55&gt;0,AL54&gt;0,B55&gt;0),MIN(conv_cap,conv_beta*1*AK55*MAX(0,LN(B55/(AL54*AN54)))),0)</x:f>
        <x:v>0.006289273195474547</x:v>
      </x:c>
      <x:c r="AN55" s="65" t="n">
        <x:f>AN54*(1+AM55)</x:f>
        <x:v>1.1410433777031441</x:v>
      </x:c>
      <x:c r="AO55" s="47" t="n">
        <x:f>AJ55*AN55</x:f>
        <x:v>4469.466910463216</x:v>
      </x:c>
      <x:c r="AP55" s="67" t="n">
        <x:f>IF(AI55&gt;0,AO55*1000000/AI55/Economy!Q55,0)</x:f>
        <x:v>0.05686344669800529</x:v>
      </x:c>
      <x:c r="AQ55" s="45" t="n">
        <x:v>11670000</x:v>
      </x:c>
      <x:c r="AR55" s="45" t="n">
        <x:v>233</x:v>
      </x:c>
      <x:c r="AS55" s="68" t="n">
        <x:v>0.4</x:v>
      </x:c>
      <x:c r="AT55" s="47" t="n">
        <x:f>IF(AQ55&gt;0,AR55*1000000/AQ55,0)</x:f>
        <x:v>19.96572407883462</x:v>
      </x:c>
      <x:c r="AU55" s="64" t="n">
        <x:f>IF(AND(AS55&gt;0,AT54&gt;0,B55&gt;0),MIN(conv_cap,conv_beta*1*AS55*MAX(0,LN(B55/(AT54*AV54)))),0)</x:f>
        <x:v>0.011187784818014345</x:v>
      </x:c>
      <x:c r="AV55" s="65" t="n">
        <x:f>AV54*(1+AU55)</x:f>
        <x:v>1.1342892596746126</x:v>
      </x:c>
      <x:c r="AW55" s="47" t="n">
        <x:f>AR55*AV55</x:f>
        <x:v>264.2893975041847</x:v>
      </x:c>
      <x:c r="AX55" s="67" t="n">
        <x:f>IF(AQ55&gt;0,AW55*1000000/AQ55/Economy!Q55,0)</x:f>
        <x:v>0.11323453192124452</x:v>
      </x:c>
      <x:c r="AY55" s="45" t="n">
        <x:v>75000000</x:v>
      </x:c>
      <x:c r="AZ55" s="45" t="n">
        <x:v>1817</x:v>
      </x:c>
      <x:c r="BA55" s="68" t="n">
        <x:v>0.08699999999999999</x:v>
      </x:c>
      <x:c r="BB55" s="47" t="n">
        <x:f>IF(AY55&gt;0,AZ55*1000000/AY55,0)</x:f>
        <x:v>24.226666666666667</x:v>
      </x:c>
      <x:c r="BC55" s="64" t="n">
        <x:f>IF(AND(BA55&gt;0,BB54&gt;0,B55&gt;0),MIN(conv_cap,conv_beta*1*BA55*MAX(0,LN(B55/(BB54*BD54)))),0)</x:f>
        <x:v>0.002341493646197796</x:v>
      </x:c>
      <x:c r="BD55" s="65" t="n">
        <x:f>BD54*(1+BC55)</x:f>
        <x:v>1.0300055619068418</x:v>
      </x:c>
      <x:c r="BE55" s="47" t="n">
        <x:f>AZ55*BD55</x:f>
        <x:v>1871.5201059847316</x:v>
      </x:c>
      <x:c r="BF55" s="67" t="n">
        <x:f>IF(AY55&gt;0,BE55*1000000/AY55/Economy!Q55,0)</x:f>
        <x:v>0.12476800706564878</x:v>
      </x:c>
      <x:c r="BG55" s="45" t="n">
        <x:v>28700000</x:v>
      </x:c>
      <x:c r="BH55" s="45" t="n">
        <x:v>2000</x:v>
      </x:c>
      <x:c r="BI55" s="68" t="n">
        <x:v>0.163</x:v>
      </x:c>
      <x:c r="BJ55" s="47" t="n">
        <x:f>IF(BG55&gt;0,BH55*1000000/BG55,0)</x:f>
        <x:v>69.68641114982579</x:v>
      </x:c>
      <x:c r="BK55" s="64" t="n">
        <x:f>IF(AND(BI55&gt;0,BJ54&gt;0,B55&gt;0),MIN(conv_cap,conv_beta*1*BI55*MAX(0,LN(B55/(BJ54*BL54)))),0)</x:f>
        <x:v>0.0026491171527172623</x:v>
      </x:c>
      <x:c r="BL55" s="65" t="n">
        <x:f>BL54*(1+BK55)</x:f>
        <x:v>1.042905703509653</x:v>
      </x:c>
      <x:c r="BM55" s="47" t="n">
        <x:f>BH55*BL55</x:f>
        <x:v>2085.811407019306</x:v>
      </x:c>
      <x:c r="BN55" s="67" t="n">
        <x:f>IF(BG55&gt;0,BM55*1000000/BG55/Economy!Q55,0)</x:f>
        <x:v>0.3633817782263599</x:v>
      </x:c>
      <x:c r="BO55" s="45" t="n">
        <x:v>13700000</x:v>
      </x:c>
      <x:c r="BP55" s="45" t="n">
        <x:v>750</x:v>
      </x:c>
      <x:c r="BQ55" s="68" t="n">
        <x:v>0</x:v>
      </x:c>
      <x:c r="BR55" s="47" t="n">
        <x:f>IF(BO55&gt;0,BP55*1000000/BO55,0)</x:f>
        <x:v>54.74452554744526</x:v>
      </x:c>
      <x:c r="BS55" s="64" t="n">
        <x:f>IF(AND(BQ55&gt;0,BR54&gt;0,B55&gt;0),MIN(conv_cap,conv_beta*1*BQ55*MAX(0,LN(B55/(BR54*BT54)))),0)</x:f>
        <x:v>0</x:v>
      </x:c>
      <x:c r="BT55" s="65" t="n">
        <x:f>BT54*(1+BS55)</x:f>
        <x:v>1</x:v>
      </x:c>
      <x:c r="BU55" s="47" t="n">
        <x:f>BP55*BT55</x:f>
        <x:v>750</x:v>
      </x:c>
      <x:c r="BV55" s="67" t="n">
        <x:f>IF(BO55&gt;0,BU55*1000000/BO55/Economy!Q55,0)</x:f>
        <x:v>0.2737226277372263</x:v>
      </x:c>
      <x:c r="BW55" s="65" t="n">
        <x:f>0.25*IF(D55&gt;0,H55,1)+0.15*IF(AJ55&gt;0,AN55,1)+0.03*IF(AR55&gt;0,AV55,1)+0.08*IF(AZ55&gt;0,BD55,1)+0.12*IF(BH55&gt;0,BL55,1)+0.1*IF(L55&gt;0,P55,1)+0.07*IF(T55&gt;0,X55,1)+0.05*IF(AB55&gt;0,AF55,1)+0.05*IF(BP55&gt;0,BT55,1)+0.1</x:f>
        <x:v>1.151967350597297</x:v>
      </x:c>
      <x:c r="BX55" s="63" t="n">
        <x:f>MIN(mkt_cap,mkt_elast*MAX(0,BW55-1))</x:f>
        <x:v>0.07598367529864847</x:v>
      </x:c>
      <x:c r="BY55" s="47" t="n">
        <x:f>I55+Q55+Y55+AG55</x:f>
        <x:v>1404.520691290666</x:v>
      </x:c>
      <x:c r="BZ55" s="47" t="n">
        <x:f>D55+L55+T55+AB55</x:f>
        <x:v>1020</x:v>
      </x:c>
      <x:c r="CA55" s="65" t="n">
        <x:f>IF(BZ55&gt;0,BY55/BZ55,0)</x:f>
        <x:v>1.3769810698928098</x:v>
      </x:c>
    </x:row>
    <x:row r="56">
      <x:c r="A56" s="58" t="n">
        <x:v>1896</x:v>
      </x:c>
      <x:c r="B56" s="47" t="n">
        <x:f>Economy!P55</x:f>
        <x:v>381.7002230285115</x:v>
      </x:c>
      <x:c r="C56" s="45" t="n">
        <x:v>42400000</x:v>
      </x:c>
      <x:c r="D56" s="62" t="n">
        <x:f>Japan!B56</x:f>
        <x:v>960</x:v>
      </x:c>
      <x:c r="E56" s="68" t="n">
        <x:v>0.66</x:v>
      </x:c>
      <x:c r="F56" s="47" t="n">
        <x:f>IF(C56&gt;0,D56*1000000/C56,0)</x:f>
        <x:v>22.641509433962263</x:v>
      </x:c>
      <x:c r="G56" s="64" t="n">
        <x:f>IF(AND(E56&gt;0,F55&gt;0,B56&gt;0),MIN(conv_cap,conv_beta*jp_uplift*E56*MAX(0,LN(B56/(F55*H55)))),0)</x:f>
        <x:v>0.0173314810709544</x:v>
      </x:c>
      <x:c r="H56" s="65" t="n">
        <x:f>H55*(1+G56)</x:f>
        <x:v>1.4393647143892436</x:v>
      </x:c>
      <x:c r="I56" s="47" t="n">
        <x:f>D56*H56</x:f>
        <x:v>1381.790125813674</x:v>
      </x:c>
      <x:c r="J56" s="67" t="n">
        <x:f>IF(C56&gt;0,I56*1000000/C56/Economy!Q56,0)</x:f>
        <x:v>0.1559300945442893</x:v>
      </x:c>
      <x:c r="K56" s="62" t="n">
        <x:f>Gulf!B56</x:f>
        <x:v>0</x:v>
      </x:c>
      <x:c r="L56" s="47" t="n">
        <x:f>Gulf!B56*Gulf!C56*Economy!Q56/1000000</x:f>
        <x:v>0</x:v>
      </x:c>
      <x:c r="M56" s="68" t="n">
        <x:v>0.34</x:v>
      </x:c>
      <x:c r="N56" s="47" t="n">
        <x:f>IF(K56&gt;0,L56*1000000/K56,0)</x:f>
        <x:v>0</x:v>
      </x:c>
      <x:c r="O56" s="64" t="n">
        <x:f>IF(AND(M56&gt;0,N55&gt;0,B56&gt;0),MIN(conv_cap,conv_beta*1*M56*MAX(0,LN(B56/(N55*P55)))),0)</x:f>
        <x:v>0</x:v>
      </x:c>
      <x:c r="P56" s="65" t="n">
        <x:f>P55*(1+O56)</x:f>
        <x:v>1</x:v>
      </x:c>
      <x:c r="Q56" s="47" t="n">
        <x:f>L56*P56</x:f>
        <x:v>0</x:v>
      </x:c>
      <x:c r="R56" s="67" t="n">
        <x:f>IF(K56&gt;0,Q56*1000000/K56/Economy!Q56,0)</x:f>
        <x:v>0</x:v>
      </x:c>
      <x:c r="S56" s="62" t="n">
        <x:f>People!U56</x:f>
        <x:v>7162000</x:v>
      </x:c>
      <x:c r="T56" s="45" t="n">
        <x:v>210</x:v>
      </x:c>
      <x:c r="U56" s="68" t="n">
        <x:v>0.469</x:v>
      </x:c>
      <x:c r="V56" s="47" t="n">
        <x:f>IF(S56&gt;0,T56*1000000/S56,0)</x:f>
        <x:v>29.32141859815694</x:v>
      </x:c>
      <x:c r="W56" s="64" t="n">
        <x:f>IF(AND(U56&gt;0,V55&gt;0,B56&gt;0),MIN(conv_cap,conv_beta*1*U56*MAX(0,LN(B56/(V55*X55)))),0)</x:f>
        <x:v>0.011284760568490504</x:v>
      </x:c>
      <x:c r="X56" s="65" t="n">
        <x:f>X55*(1+W56)</x:f>
        <x:v>1.2355326922490946</x:v>
      </x:c>
      <x:c r="Y56" s="47" t="n">
        <x:f>T56*X56</x:f>
        <x:v>259.46186537230983</x:v>
      </x:c>
      <x:c r="Z56" s="67" t="n">
        <x:f>IF(S56&gt;0,Y56*1000000/S56/Economy!Q56,0)</x:f>
        <x:v>0.17333766153657182</x:v>
      </x:c>
      <x:c r="AA56" s="45" t="n">
        <x:v>0</x:v>
      </x:c>
      <x:c r="AB56" s="45" t="n">
        <x:v>0</x:v>
      </x:c>
      <x:c r="AC56" s="68" t="n">
        <x:v>0</x:v>
      </x:c>
      <x:c r="AD56" s="47" t="n">
        <x:f>IF(AA56&gt;0,AB56*1000000/AA56,0)</x:f>
        <x:v>0</x:v>
      </x:c>
      <x:c r="AE56" s="64" t="n">
        <x:f>IF(AND(AC56&gt;0,AD55&gt;0,B56&gt;0),MIN(conv_cap,conv_beta*1*AC56*MAX(0,LN(B56/(AD55*AF55)))),0)</x:f>
        <x:v>0</x:v>
      </x:c>
      <x:c r="AF56" s="65" t="n">
        <x:f>AF55*(1+AE56)</x:f>
        <x:v>1</x:v>
      </x:c>
      <x:c r="AG56" s="47" t="n">
        <x:f>AB56*AF56</x:f>
        <x:v>0</x:v>
      </x:c>
      <x:c r="AH56" s="67" t="n">
        <x:f>IF(AA56&gt;0,AG56*1000000/AA56/Economy!Q56,0)</x:f>
        <x:v>0</x:v>
      </x:c>
      <x:c r="AI56" s="45" t="n">
        <x:v>394400000</x:v>
      </x:c>
      <x:c r="AJ56" s="45" t="n">
        <x:v>3933</x:v>
      </x:c>
      <x:c r="AK56" s="68" t="n">
        <x:v>0.185</x:v>
      </x:c>
      <x:c r="AL56" s="47" t="n">
        <x:f>IF(AI56&gt;0,AJ56*1000000/AI56,0)</x:f>
        <x:v>9.97210953346856</x:v>
      </x:c>
      <x:c r="AM56" s="64" t="n">
        <x:f>IF(AND(AK56&gt;0,AL55&gt;0,B56&gt;0),MIN(conv_cap,conv_beta*1*AK56*MAX(0,LN(B56/(AL55*AN55)))),0)</x:f>
        <x:v>0.00649982835943916</x:v>
      </x:c>
      <x:c r="AN56" s="65" t="n">
        <x:f>AN55*(1+AM56)</x:f>
        <x:v>1.1484599638088893</x:v>
      </x:c>
      <x:c r="AO56" s="47" t="n">
        <x:f>AJ56*AN56</x:f>
        <x:v>4516.893037660361</x:v>
      </x:c>
      <x:c r="AP56" s="67" t="n">
        <x:f>IF(AI56&gt;0,AO56*1000000/AI56/Economy!Q56,0)</x:f>
        <x:v>0.05479697872682097</x:v>
      </x:c>
      <x:c r="AQ56" s="45" t="n">
        <x:v>11730000</x:v>
      </x:c>
      <x:c r="AR56" s="45" t="n">
        <x:v>237</x:v>
      </x:c>
      <x:c r="AS56" s="68" t="n">
        <x:v>0.41</x:v>
      </x:c>
      <x:c r="AT56" s="47" t="n">
        <x:f>IF(AQ56&gt;0,AR56*1000000/AQ56,0)</x:f>
        <x:v>20.20460358056266</x:v>
      </x:c>
      <x:c r="AU56" s="64" t="n">
        <x:f>IF(AND(AS56&gt;0,AT55&gt;0,B56&gt;0),MIN(conv_cap,conv_beta*1*AS56*MAX(0,LN(B56/(AT55*AV55)))),0)</x:f>
        <x:v>0.011580910368214476</x:v>
      </x:c>
      <x:c r="AV56" s="65" t="n">
        <x:f>AV55*(1+AU56)</x:f>
        <x:v>1.1474253619225327</x:v>
      </x:c>
      <x:c r="AW56" s="47" t="n">
        <x:f>AR56*AV56</x:f>
        <x:v>271.93981077564024</x:v>
      </x:c>
      <x:c r="AX56" s="67" t="n">
        <x:f>IF(AQ56&gt;0,AW56*1000000/AQ56/Economy!Q56,0)</x:f>
        <x:v>0.11092475873649958</x:v>
      </x:c>
      <x:c r="AY56" s="45" t="n">
        <x:v>76000000</x:v>
      </x:c>
      <x:c r="AZ56" s="45" t="n">
        <x:v>1853</x:v>
      </x:c>
      <x:c r="BA56" s="68" t="n">
        <x:v>0.09</x:v>
      </x:c>
      <x:c r="BB56" s="47" t="n">
        <x:f>IF(AY56&gt;0,AZ56*1000000/AY56,0)</x:f>
        <x:v>24.38157894736842</x:v>
      </x:c>
      <x:c r="BC56" s="64" t="n">
        <x:f>IF(AND(BA56&gt;0,BB55&gt;0,B56&gt;0),MIN(conv_cap,conv_beta*1*BA56*MAX(0,LN(B56/(BB55*BD55)))),0)</x:f>
        <x:v>0.0024548556483520024</x:v>
      </x:c>
      <x:c r="BD56" s="65" t="n">
        <x:f>BD55*(1+BC56)</x:f>
        <x:v>1.0325340768783227</x:v>
      </x:c>
      <x:c r="BE56" s="47" t="n">
        <x:f>AZ56*BD56</x:f>
        <x:v>1913.2856444555318</x:v>
      </x:c>
      <x:c r="BF56" s="67" t="n">
        <x:f>IF(AY56&gt;0,BE56*1000000/AY56/Economy!Q56,0)</x:f>
        <x:v>0.12045364168065549</x:v>
      </x:c>
      <x:c r="BG56" s="45" t="n">
        <x:v>28900000</x:v>
      </x:c>
      <x:c r="BH56" s="45" t="n">
        <x:v>2040</x:v>
      </x:c>
      <x:c r="BI56" s="68" t="n">
        <x:v>0.169</x:v>
      </x:c>
      <x:c r="BJ56" s="47" t="n">
        <x:f>IF(BG56&gt;0,BH56*1000000/BG56,0)</x:f>
        <x:v>70.58823529411765</x:v>
      </x:c>
      <x:c r="BK56" s="64" t="n">
        <x:f>IF(AND(BI56&gt;0,BJ55&gt;0,B56&gt;0),MIN(conv_cap,conv_beta*1*BI56*MAX(0,LN(B56/(BJ55*BL55)))),0)</x:f>
        <x:v>0.0028030668607883853</x:v>
      </x:c>
      <x:c r="BL56" s="65" t="n">
        <x:f>BL55*(1+BK56)</x:f>
        <x:v>1.045829037926088</x:v>
      </x:c>
      <x:c r="BM56" s="47" t="n">
        <x:f>BH56*BL56</x:f>
        <x:v>2133.4912373692196</x:v>
      </x:c>
      <x:c r="BN56" s="67" t="n">
        <x:f>IF(BG56&gt;0,BM56*1000000/BG56/Economy!Q56,0)</x:f>
        <x:v>0.35322117802175784</x:v>
      </x:c>
      <x:c r="BO56" s="45" t="n">
        <x:v>13700000</x:v>
      </x:c>
      <x:c r="BP56" s="45" t="n">
        <x:v>760</x:v>
      </x:c>
      <x:c r="BQ56" s="68" t="n">
        <x:v>0</x:v>
      </x:c>
      <x:c r="BR56" s="47" t="n">
        <x:f>IF(BO56&gt;0,BP56*1000000/BO56,0)</x:f>
        <x:v>55.47445255474452</x:v>
      </x:c>
      <x:c r="BS56" s="64" t="n">
        <x:f>IF(AND(BQ56&gt;0,BR55&gt;0,B56&gt;0),MIN(conv_cap,conv_beta*1*BQ56*MAX(0,LN(B56/(BR55*BT55)))),0)</x:f>
        <x:v>0</x:v>
      </x:c>
      <x:c r="BT56" s="65" t="n">
        <x:f>BT55*(1+BS56)</x:f>
        <x:v>1</x:v>
      </x:c>
      <x:c r="BU56" s="47" t="n">
        <x:f>BP56*BT56</x:f>
        <x:v>760</x:v>
      </x:c>
      <x:c r="BV56" s="67" t="n">
        <x:f>IF(BO56&gt;0,BU56*1000000/BO56/Economy!Q56,0)</x:f>
        <x:v>0.26542800265428</x:v>
      </x:c>
      <x:c r="BW56" s="65" t="n">
        <x:f>0.25*IF(D56&gt;0,H56,1)+0.15*IF(AJ56&gt;0,AN56,1)+0.03*IF(AR56&gt;0,AV56,1)+0.08*IF(AZ56&gt;0,BD56,1)+0.12*IF(BH56&gt;0,BL56,1)+0.1*IF(L56&gt;0,P56,1)+0.07*IF(T56&gt;0,X56,1)+0.05*IF(AB56&gt;0,AF56,1)+0.05*IF(BP56&gt;0,BT56,1)+0.1</x:f>
        <x:v>1.1611224331851533</x:v>
      </x:c>
      <x:c r="BX56" s="63" t="n">
        <x:f>MIN(mkt_cap,mkt_elast*MAX(0,BW56-1))</x:f>
        <x:v>0.08056121659257665</x:v>
      </x:c>
      <x:c r="BY56" s="47" t="n">
        <x:f>I56+Q56+Y56+AG56</x:f>
        <x:v>1641.2519911859838</x:v>
      </x:c>
      <x:c r="BZ56" s="47" t="n">
        <x:f>D56+L56+T56+AB56</x:f>
        <x:v>1170</x:v>
      </x:c>
      <x:c r="CA56" s="65" t="n">
        <x:f>IF(BZ56&gt;0,BY56/BZ56,0)</x:f>
        <x:v>1.40277947964614</x:v>
      </x:c>
    </x:row>
    <x:row r="57">
      <x:c r="A57" s="58" t="n">
        <x:v>1897</x:v>
      </x:c>
      <x:c r="B57" s="47" t="n">
        <x:f>Economy!P56</x:f>
        <x:v>389.87760133884996</x:v>
      </x:c>
      <x:c r="C57" s="45" t="n">
        <x:v>42800000</x:v>
      </x:c>
      <x:c r="D57" s="62" t="n">
        <x:f>Japan!B57</x:f>
        <x:v>1100</x:v>
      </x:c>
      <x:c r="E57" s="68" t="n">
        <x:v>0.67</x:v>
      </x:c>
      <x:c r="F57" s="47" t="n">
        <x:f>IF(C57&gt;0,D57*1000000/C57,0)</x:f>
        <x:v>25.700934579439252</x:v>
      </x:c>
      <x:c r="G57" s="64" t="n">
        <x:f>IF(AND(E57&gt;0,F56&gt;0,B57&gt;0),MIN(conv_cap,conv_beta*jp_uplift*E57*MAX(0,LN(B57/(F56*H56)))),0)</x:f>
        <x:v>0.01662836873090379</x:v>
      </x:c>
      <x:c r="H57" s="65" t="n">
        <x:f>H56*(1+G57)</x:f>
        <x:v>1.4632990015983602</x:v>
      </x:c>
      <x:c r="I57" s="47" t="n">
        <x:f>D57*H57</x:f>
        <x:v>1609.6289017581962</x:v>
      </x:c>
      <x:c r="J57" s="67" t="n">
        <x:f>IF(C57&gt;0,I57*1000000/C57/Economy!Q57,0)</x:f>
        <x:v>0.17251445830384507</x:v>
      </x:c>
      <x:c r="K57" s="62" t="n">
        <x:f>Gulf!B57</x:f>
        <x:v>0</x:v>
      </x:c>
      <x:c r="L57" s="47" t="n">
        <x:f>Gulf!B57*Gulf!C57*Economy!Q57/1000000</x:f>
        <x:v>0</x:v>
      </x:c>
      <x:c r="M57" s="68" t="n">
        <x:v>0.38</x:v>
      </x:c>
      <x:c r="N57" s="47" t="n">
        <x:f>IF(K57&gt;0,L57*1000000/K57,0)</x:f>
        <x:v>0</x:v>
      </x:c>
      <x:c r="O57" s="64" t="n">
        <x:f>IF(AND(M57&gt;0,N56&gt;0,B57&gt;0),MIN(conv_cap,conv_beta*1*M57*MAX(0,LN(B57/(N56*P56)))),0)</x:f>
        <x:v>0</x:v>
      </x:c>
      <x:c r="P57" s="65" t="n">
        <x:f>P56*(1+O57)</x:f>
        <x:v>1</x:v>
      </x:c>
      <x:c r="Q57" s="47" t="n">
        <x:f>L57*P57</x:f>
        <x:v>0</x:v>
      </x:c>
      <x:c r="R57" s="67" t="n">
        <x:f>IF(K57&gt;0,Q57*1000000/K57/Economy!Q57,0)</x:f>
        <x:v>0</x:v>
      </x:c>
      <x:c r="S57" s="62" t="n">
        <x:f>People!U57</x:f>
        <x:v>7225000</x:v>
      </x:c>
      <x:c r="T57" s="45" t="n">
        <x:v>220</x:v>
      </x:c>
      <x:c r="U57" s="68" t="n">
        <x:v>0.477</x:v>
      </x:c>
      <x:c r="V57" s="47" t="n">
        <x:f>IF(S57&gt;0,T57*1000000/S57,0)</x:f>
        <x:v>30.44982698961938</x:v>
      </x:c>
      <x:c r="W57" s="64" t="n">
        <x:f>IF(AND(U57&gt;0,V56&gt;0,B57&gt;0),MIN(conv_cap,conv_beta*1*U57*MAX(0,LN(B57/(V56*X56)))),0)</x:f>
        <x:v>0.011333579058144076</x:v>
      </x:c>
      <x:c r="X57" s="65" t="n">
        <x:f>X56*(1+W57)</x:f>
        <x:v>1.2495356996956213</x:v>
      </x:c>
      <x:c r="Y57" s="47" t="n">
        <x:f>T57*X57</x:f>
        <x:v>274.8978539330367</x:v>
      </x:c>
      <x:c r="Z57" s="67" t="n">
        <x:f>IF(S57&gt;0,Y57*1000000/S57/Economy!Q57,0)</x:f>
        <x:v>0.17453277923433333</x:v>
      </x:c>
      <x:c r="AA57" s="45" t="n">
        <x:v>0</x:v>
      </x:c>
      <x:c r="AB57" s="45" t="n">
        <x:v>0</x:v>
      </x:c>
      <x:c r="AC57" s="68" t="n">
        <x:v>0</x:v>
      </x:c>
      <x:c r="AD57" s="47" t="n">
        <x:f>IF(AA57&gt;0,AB57*1000000/AA57,0)</x:f>
        <x:v>0</x:v>
      </x:c>
      <x:c r="AE57" s="64" t="n">
        <x:f>IF(AND(AC57&gt;0,AD56&gt;0,B57&gt;0),MIN(conv_cap,conv_beta*1*AC57*MAX(0,LN(B57/(AD56*AF56)))),0)</x:f>
        <x:v>0</x:v>
      </x:c>
      <x:c r="AF57" s="65" t="n">
        <x:f>AF56*(1+AE57)</x:f>
        <x:v>1</x:v>
      </x:c>
      <x:c r="AG57" s="47" t="n">
        <x:f>AB57*AF57</x:f>
        <x:v>0</x:v>
      </x:c>
      <x:c r="AH57" s="67" t="n">
        <x:f>IF(AA57&gt;0,AG57*1000000/AA57/Economy!Q57,0)</x:f>
        <x:v>0</x:v>
      </x:c>
      <x:c r="AI57" s="45" t="n">
        <x:v>395800000</x:v>
      </x:c>
      <x:c r="AJ57" s="45" t="n">
        <x:v>3950</x:v>
      </x:c>
      <x:c r="AK57" s="68" t="n">
        <x:v>0.188</x:v>
      </x:c>
      <x:c r="AL57" s="47" t="n">
        <x:f>IF(AI57&gt;0,AJ57*1000000/AI57,0)</x:f>
        <x:v>9.979787771601819</x:v>
      </x:c>
      <x:c r="AM57" s="64" t="n">
        <x:f>IF(AND(AK57&gt;0,AL56&gt;0,B57&gt;0),MIN(conv_cap,conv_beta*1*AK57*MAX(0,LN(B57/(AL56*AN56)))),0)</x:f>
        <x:v>0.006631923371164735</x:v>
      </x:c>
      <x:c r="AN57" s="65" t="n">
        <x:f>AN56*(1+AM57)</x:f>
        <x:v>1.1560764622837203</x:v>
      </x:c>
      <x:c r="AO57" s="47" t="n">
        <x:f>AJ57*AN57</x:f>
        <x:v>4566.502026020695</x:v>
      </x:c>
      <x:c r="AP57" s="67" t="n">
        <x:f>IF(AI57&gt;0,AO57*1000000/AI57/Economy!Q57,0)</x:f>
        <x:v>0.05292384285016405</x:v>
      </x:c>
      <x:c r="AQ57" s="45" t="n">
        <x:v>11800000</x:v>
      </x:c>
      <x:c r="AR57" s="45" t="n">
        <x:v>240</x:v>
      </x:c>
      <x:c r="AS57" s="68" t="n">
        <x:v>0.42</x:v>
      </x:c>
      <x:c r="AT57" s="47" t="n">
        <x:f>IF(AQ57&gt;0,AR57*1000000/AQ57,0)</x:f>
        <x:v>20.338983050847457</x:v>
      </x:c>
      <x:c r="AU57" s="64" t="n">
        <x:f>IF(AND(AS57&gt;0,AT56&gt;0,B57&gt;0),MIN(conv_cap,conv_beta*1*AS57*MAX(0,LN(B57/(AT56*AV56)))),0)</x:f>
        <x:v>0.011854087358035576</x:v>
      </x:c>
      <x:c r="AV57" s="65" t="n">
        <x:f>AV56*(1+AU57)</x:f>
        <x:v>1.1610270423995879</x:v>
      </x:c>
      <x:c r="AW57" s="47" t="n">
        <x:f>AR57*AV57</x:f>
        <x:v>278.6464901759011</x:v>
      </x:c>
      <x:c r="AX57" s="67" t="n">
        <x:f>IF(AQ57&gt;0,AW57*1000000/AQ57/Economy!Q57,0)</x:f>
        <x:v>0.10832160246303105</x:v>
      </x:c>
      <x:c r="AY57" s="45" t="n">
        <x:v>77000000</x:v>
      </x:c>
      <x:c r="AZ57" s="45" t="n">
        <x:v>1890</x:v>
      </x:c>
      <x:c r="BA57" s="68" t="n">
        <x:v>0.092</x:v>
      </x:c>
      <x:c r="BB57" s="47" t="n">
        <x:f>IF(AY57&gt;0,AZ57*1000000/AY57,0)</x:f>
        <x:v>24.545454545454547</x:v>
      </x:c>
      <x:c r="BC57" s="64" t="n">
        <x:f>IF(AND(BA57&gt;0,BB56&gt;0,B57&gt;0),MIN(conv_cap,conv_beta*1*BA57*MAX(0,LN(B57/(BB56*BD56)))),0)</x:f>
        <x:v>0.0025207897986682312</x:v>
      </x:c>
      <x:c r="BD57" s="65" t="n">
        <x:f>BD56*(1+BC57)</x:f>
        <x:v>1.035136878246095</x:v>
      </x:c>
      <x:c r="BE57" s="47" t="n">
        <x:f>AZ57*BD57</x:f>
        <x:v>1956.4086998851196</x:v>
      </x:c>
      <x:c r="BF57" s="67" t="n">
        <x:f>IF(AY57&gt;0,BE57*1000000/AY57/Economy!Q57,0)</x:f>
        <x:v>0.11655002382253782</x:v>
      </x:c>
      <x:c r="BG57" s="45" t="n">
        <x:v>29200000</x:v>
      </x:c>
      <x:c r="BH57" s="45" t="n">
        <x:v>2080</x:v>
      </x:c>
      <x:c r="BI57" s="68" t="n">
        <x:v>0.175</x:v>
      </x:c>
      <x:c r="BJ57" s="47" t="n">
        <x:f>IF(BG57&gt;0,BH57*1000000/BG57,0)</x:f>
        <x:v>71.23287671232876</x:v>
      </x:c>
      <x:c r="BK57" s="64" t="n">
        <x:f>IF(AND(BI57&gt;0,BJ56&gt;0,B57&gt;0),MIN(conv_cap,conv_beta*1*BI57*MAX(0,LN(B57/(BJ56*BL56)))),0)</x:f>
        <x:v>0.0029122790319086335</x:v>
      </x:c>
      <x:c r="BL57" s="65" t="n">
        <x:f>BL56*(1+BK57)</x:f>
        <x:v>1.0488747839042014</x:v>
      </x:c>
      <x:c r="BM57" s="47" t="n">
        <x:f>BH57*BL57</x:f>
        <x:v>2181.659550520739</x:v>
      </x:c>
      <x:c r="BN57" s="67" t="n">
        <x:f>IF(BG57&gt;0,BM57*1000000/BG57/Economy!Q57,0)</x:f>
        <x:v>0.34272645948861674</x:v>
      </x:c>
      <x:c r="BO57" s="45" t="n">
        <x:v>13800000</x:v>
      </x:c>
      <x:c r="BP57" s="45" t="n">
        <x:v>770</x:v>
      </x:c>
      <x:c r="BQ57" s="68" t="n">
        <x:v>0</x:v>
      </x:c>
      <x:c r="BR57" s="47" t="n">
        <x:f>IF(BO57&gt;0,BP57*1000000/BO57,0)</x:f>
        <x:v>55.79710144927536</x:v>
      </x:c>
      <x:c r="BS57" s="64" t="n">
        <x:f>IF(AND(BQ57&gt;0,BR56&gt;0,B57&gt;0),MIN(conv_cap,conv_beta*1*BQ57*MAX(0,LN(B57/(BR56*BT56)))),0)</x:f>
        <x:v>0</x:v>
      </x:c>
      <x:c r="BT57" s="65" t="n">
        <x:f>BT56*(1+BS57)</x:f>
        <x:v>1</x:v>
      </x:c>
      <x:c r="BU57" s="47" t="n">
        <x:f>BP57*BT57</x:f>
        <x:v>770</x:v>
      </x:c>
      <x:c r="BV57" s="67" t="n">
        <x:f>IF(BO57&gt;0,BU57*1000000/BO57/Economy!Q57,0)</x:f>
        <x:v>0.2559500066480521</x:v>
      </x:c>
      <x:c r="BW57" s="65" t="n">
        <x:f>0.25*IF(D57&gt;0,H57,1)+0.15*IF(AJ57&gt;0,AN57,1)+0.03*IF(AR57&gt;0,AV57,1)+0.08*IF(AZ57&gt;0,BD57,1)+0.12*IF(BH57&gt;0,BL57,1)+0.1*IF(L57&gt;0,P57,1)+0.07*IF(T57&gt;0,X57,1)+0.05*IF(AB57&gt;0,AF57,1)+0.05*IF(BP57&gt;0,BT57,1)+0.1</x:f>
        <x:v>1.170210454321021</x:v>
      </x:c>
      <x:c r="BX57" s="63" t="n">
        <x:f>MIN(mkt_cap,mkt_elast*MAX(0,BW57-1))</x:f>
        <x:v>0.0851052271605105</x:v>
      </x:c>
      <x:c r="BY57" s="47" t="n">
        <x:f>I57+Q57+Y57+AG57</x:f>
        <x:v>1884.526755691233</x:v>
      </x:c>
      <x:c r="BZ57" s="47" t="n">
        <x:f>D57+L57+T57+AB57</x:f>
        <x:v>1320</x:v>
      </x:c>
      <x:c r="CA57" s="65" t="n">
        <x:f>IF(BZ57&gt;0,BY57/BZ57,0)</x:f>
        <x:v>1.4276717846145703</x:v>
      </x:c>
    </x:row>
    <x:row r="58">
      <x:c r="A58" s="58" t="n">
        <x:v>1898</x:v>
      </x:c>
      <x:c r="B58" s="47" t="n">
        <x:f>Economy!P57</x:f>
        <x:v>419.82524478228567</x:v>
      </x:c>
      <x:c r="C58" s="45" t="n">
        <x:v>43200000</x:v>
      </x:c>
      <x:c r="D58" s="62" t="n">
        <x:f>Japan!B58</x:f>
        <x:v>1133</x:v>
      </x:c>
      <x:c r="E58" s="68" t="n">
        <x:v>0.68</x:v>
      </x:c>
      <x:c r="F58" s="47" t="n">
        <x:f>IF(C58&gt;0,D58*1000000/C58,0)</x:f>
        <x:v>26.22685185185185</x:v>
      </x:c>
      <x:c r="G58" s="64" t="n">
        <x:f>IF(AND(E58&gt;0,F57&gt;0,B58&gt;0),MIN(conv_cap,conv_beta*jp_uplift*E58*MAX(0,LN(B58/(F57*H57)))),0)</x:f>
        <x:v>0.016405800413166846</x:v>
      </x:c>
      <x:c r="H58" s="65" t="n">
        <x:f>H57*(1+G58)</x:f>
        <x:v>1.4873055929633692</x:v>
      </x:c>
      <x:c r="I58" s="47" t="n">
        <x:f>D58*H58</x:f>
        <x:v>1685.1172368274972</x:v>
      </x:c>
      <x:c r="J58" s="67" t="n">
        <x:f>IF(C58&gt;0,I58*1000000/C58/Economy!Q58,0)</x:f>
        <x:v>0.1710848396714077</x:v>
      </x:c>
      <x:c r="K58" s="62" t="n">
        <x:f>Gulf!B58</x:f>
        <x:v>0</x:v>
      </x:c>
      <x:c r="L58" s="47" t="n">
        <x:f>Gulf!B58*Gulf!C58*Economy!Q58/1000000</x:f>
        <x:v>0</x:v>
      </x:c>
      <x:c r="M58" s="68" t="n">
        <x:v>0.42</x:v>
      </x:c>
      <x:c r="N58" s="47" t="n">
        <x:f>IF(K58&gt;0,L58*1000000/K58,0)</x:f>
        <x:v>0</x:v>
      </x:c>
      <x:c r="O58" s="64" t="n">
        <x:f>IF(AND(M58&gt;0,N57&gt;0,B58&gt;0),MIN(conv_cap,conv_beta*1*M58*MAX(0,LN(B58/(N57*P57)))),0)</x:f>
        <x:v>0</x:v>
      </x:c>
      <x:c r="P58" s="65" t="n">
        <x:f>P57*(1+O58)</x:f>
        <x:v>1</x:v>
      </x:c>
      <x:c r="Q58" s="47" t="n">
        <x:f>L58*P58</x:f>
        <x:v>0</x:v>
      </x:c>
      <x:c r="R58" s="67" t="n">
        <x:f>IF(K58&gt;0,Q58*1000000/K58/Economy!Q58,0)</x:f>
        <x:v>0</x:v>
      </x:c>
      <x:c r="S58" s="62" t="n">
        <x:f>People!U58</x:f>
        <x:v>7288000</x:v>
      </x:c>
      <x:c r="T58" s="45" t="n">
        <x:v>230</x:v>
      </x:c>
      <x:c r="U58" s="68" t="n">
        <x:v>0.485</x:v>
      </x:c>
      <x:c r="V58" s="47" t="n">
        <x:f>IF(S58&gt;0,T58*1000000/S58,0)</x:f>
        <x:v>31.558726673984633</x:v>
      </x:c>
      <x:c r="W58" s="64" t="n">
        <x:f>IF(AND(U58&gt;0,V57&gt;0,B58&gt;0),MIN(conv_cap,conv_beta*1*U58*MAX(0,LN(B58/(V57*X57)))),0)</x:f>
        <x:v>0.011644783004113963</x:v>
      </x:c>
      <x:c r="X58" s="65" t="n">
        <x:f>X57*(1+W58)</x:f>
        <x:v>1.2640862717744705</x:v>
      </x:c>
      <x:c r="Y58" s="47" t="n">
        <x:f>T58*X58</x:f>
        <x:v>290.7398425081282</x:v>
      </x:c>
      <x:c r="Z58" s="67" t="n">
        <x:f>IF(S58&gt;0,Y58*1000000/S58/Economy!Q58,0)</x:f>
        <x:v>0.1749690927336262</x:v>
      </x:c>
      <x:c r="AA58" s="45" t="n">
        <x:v>0</x:v>
      </x:c>
      <x:c r="AB58" s="45" t="n">
        <x:v>0</x:v>
      </x:c>
      <x:c r="AC58" s="68" t="n">
        <x:v>0</x:v>
      </x:c>
      <x:c r="AD58" s="47" t="n">
        <x:f>IF(AA58&gt;0,AB58*1000000/AA58,0)</x:f>
        <x:v>0</x:v>
      </x:c>
      <x:c r="AE58" s="64" t="n">
        <x:f>IF(AND(AC58&gt;0,AD57&gt;0,B58&gt;0),MIN(conv_cap,conv_beta*1*AC58*MAX(0,LN(B58/(AD57*AF57)))),0)</x:f>
        <x:v>0</x:v>
      </x:c>
      <x:c r="AF58" s="65" t="n">
        <x:f>AF57*(1+AE58)</x:f>
        <x:v>1</x:v>
      </x:c>
      <x:c r="AG58" s="47" t="n">
        <x:f>AB58*AF58</x:f>
        <x:v>0</x:v>
      </x:c>
      <x:c r="AH58" s="67" t="n">
        <x:f>IF(AA58&gt;0,AG58*1000000/AA58/Economy!Q58,0)</x:f>
        <x:v>0</x:v>
      </x:c>
      <x:c r="AI58" s="45" t="n">
        <x:v>397200000</x:v>
      </x:c>
      <x:c r="AJ58" s="45" t="n">
        <x:v>3967</x:v>
      </x:c>
      <x:c r="AK58" s="68" t="n">
        <x:v>0.192</x:v>
      </x:c>
      <x:c r="AL58" s="47" t="n">
        <x:f>IF(AI58&gt;0,AJ58*1000000/AI58,0)</x:f>
        <x:v>9.987411883182276</x:v>
      </x:c>
      <x:c r="AM58" s="64" t="n">
        <x:f>IF(AND(AK58&gt;0,AL57&gt;0,B58&gt;0),MIN(conv_cap,conv_beta*1*AK58*MAX(0,LN(B58/(AL57*AN57)))),0)</x:f>
        <x:v>0.006900950024074136</x:v>
      </x:c>
      <x:c r="AN58" s="65" t="n">
        <x:f>AN57*(1+AM58)</x:f>
        <x:v>1.1640544881739487</x:v>
      </x:c>
      <x:c r="AO58" s="47" t="n">
        <x:f>AJ58*AN58</x:f>
        <x:v>4617.804154586054</x:v>
      </x:c>
      <x:c r="AP58" s="67" t="n">
        <x:f>IF(AI58&gt;0,AO58*1000000/AI58/Economy!Q58,0)</x:f>
        <x:v>0.050990752753772614</x:v>
      </x:c>
      <x:c r="AQ58" s="45" t="n">
        <x:v>11870000</x:v>
      </x:c>
      <x:c r="AR58" s="45" t="n">
        <x:v>243</x:v>
      </x:c>
      <x:c r="AS58" s="68" t="n">
        <x:v>0.43</x:v>
      </x:c>
      <x:c r="AT58" s="47" t="n">
        <x:f>IF(AQ58&gt;0,AR58*1000000/AQ58,0)</x:f>
        <x:v>20.471777590564447</x:v>
      </x:c>
      <x:c r="AU58" s="64" t="n">
        <x:f>IF(AND(AS58&gt;0,AT57&gt;0,B58&gt;0),MIN(conv_cap,conv_beta*1*AS58*MAX(0,LN(B58/(AT57*AV57)))),0)</x:f>
        <x:v>0.012375374863017449</x:v>
      </x:c>
      <x:c r="AV58" s="65" t="n">
        <x:f>AV57*(1+AU58)</x:f>
        <x:v>1.1753951872753834</x:v>
      </x:c>
      <x:c r="AW58" s="47" t="n">
        <x:f>AR58*AV58</x:f>
        <x:v>285.6210305079182</x:v>
      </x:c>
      <x:c r="AX58" s="67" t="n">
        <x:f>IF(AQ58&gt;0,AW58*1000000/AQ58/Economy!Q58,0)</x:f>
        <x:v>0.1055369686619364</x:v>
      </x:c>
      <x:c r="AY58" s="45" t="n">
        <x:v>78000000</x:v>
      </x:c>
      <x:c r="AZ58" s="45" t="n">
        <x:v>1927</x:v>
      </x:c>
      <x:c r="BA58" s="68" t="n">
        <x:v>0.095</x:v>
      </x:c>
      <x:c r="BB58" s="47" t="n">
        <x:f>IF(AY58&gt;0,AZ58*1000000/AY58,0)</x:f>
        <x:v>24.705128205128204</x:v>
      </x:c>
      <x:c r="BC58" s="64" t="n">
        <x:f>IF(AND(BA58&gt;0,BB57&gt;0,B58&gt;0),MIN(conv_cap,conv_beta*1*BA58*MAX(0,LN(B58/(BB57*BD57)))),0)</x:f>
        <x:v>0.002664539277794905</x:v>
      </x:c>
      <x:c r="BD58" s="65" t="n">
        <x:f>BD57*(1+BC58)</x:f>
        <x:v>1.0378950411160757</x:v>
      </x:c>
      <x:c r="BE58" s="47" t="n">
        <x:f>AZ58*BD58</x:f>
        <x:v>2000.0237442306777</x:v>
      </x:c>
      <x:c r="BF58" s="67" t="n">
        <x:f>IF(AY58&gt;0,BE58*1000000/AY58/Economy!Q58,0)</x:f>
        <x:v>0.11246197392210289</x:v>
      </x:c>
      <x:c r="BG58" s="45" t="n">
        <x:v>29500000</x:v>
      </x:c>
      <x:c r="BH58" s="45" t="n">
        <x:v>2120</x:v>
      </x:c>
      <x:c r="BI58" s="68" t="n">
        <x:v>0.181</x:v>
      </x:c>
      <x:c r="BJ58" s="47" t="n">
        <x:f>IF(BG58&gt;0,BH58*1000000/BG58,0)</x:f>
        <x:v>71.86440677966101</x:v>
      </x:c>
      <x:c r="BK58" s="64" t="n">
        <x:f>IF(AND(BI58&gt;0,BJ57&gt;0,B58&gt;0),MIN(conv_cap,conv_beta*1*BI58*MAX(0,LN(B58/(BJ57*BL57)))),0)</x:f>
        <x:v>0.0031243606812469253</x:v>
      </x:c>
      <x:c r="BL58" s="65" t="n">
        <x:f>BL57*(1+BK58)</x:f>
        <x:v>1.052151847038583</x:v>
      </x:c>
      <x:c r="BM58" s="47" t="n">
        <x:f>BH58*BL58</x:f>
        <x:v>2230.561915721796</x:v>
      </x:c>
      <x:c r="BN58" s="67" t="n">
        <x:f>IF(BG58&gt;0,BM58*1000000/BG58/Economy!Q58,0)</x:f>
        <x:v>0.3316327558313702</x:v>
      </x:c>
      <x:c r="BO58" s="45" t="n">
        <x:v>13900000</x:v>
      </x:c>
      <x:c r="BP58" s="45" t="n">
        <x:v>780</x:v>
      </x:c>
      <x:c r="BQ58" s="68" t="n">
        <x:v>0</x:v>
      </x:c>
      <x:c r="BR58" s="47" t="n">
        <x:f>IF(BO58&gt;0,BP58*1000000/BO58,0)</x:f>
        <x:v>56.115107913669064</x:v>
      </x:c>
      <x:c r="BS58" s="64" t="n">
        <x:f>IF(AND(BQ58&gt;0,BR57&gt;0,B58&gt;0),MIN(conv_cap,conv_beta*1*BQ58*MAX(0,LN(B58/(BR57*BT57)))),0)</x:f>
        <x:v>0</x:v>
      </x:c>
      <x:c r="BT58" s="65" t="n">
        <x:f>BT57*(1+BS58)</x:f>
        <x:v>1</x:v>
      </x:c>
      <x:c r="BU58" s="47" t="n">
        <x:f>BP58*BT58</x:f>
        <x:v>780</x:v>
      </x:c>
      <x:c r="BV58" s="67" t="n">
        <x:f>IF(BO58&gt;0,BU58*1000000/BO58/Economy!Q58,0)</x:f>
        <x:v>0.24611889435819764</x:v>
      </x:c>
      <x:c r="BW58" s="65" t="n">
        <x:f>0.25*IF(D58&gt;0,H58,1)+0.15*IF(AJ58&gt;0,AN58,1)+0.03*IF(AR58&gt;0,AV58,1)+0.08*IF(AZ58&gt;0,BD58,1)+0.12*IF(BH58&gt;0,BL58,1)+0.1*IF(L58&gt;0,P58,1)+0.07*IF(T58&gt;0,X58,1)+0.05*IF(AB58&gt;0,AF58,1)+0.05*IF(BP58&gt;0,BT58,1)+0.1</x:f>
        <x:v>1.179472291043325</x:v>
      </x:c>
      <x:c r="BX58" s="63" t="n">
        <x:f>MIN(mkt_cap,mkt_elast*MAX(0,BW58-1))</x:f>
        <x:v>0.08973614552166254</x:v>
      </x:c>
      <x:c r="BY58" s="47" t="n">
        <x:f>I58+Q58+Y58+AG58</x:f>
        <x:v>1975.8570793356255</x:v>
      </x:c>
      <x:c r="BZ58" s="47" t="n">
        <x:f>D58+L58+T58+AB58</x:f>
        <x:v>1363</x:v>
      </x:c>
      <x:c r="CA58" s="65" t="n">
        <x:f>IF(BZ58&gt;0,BY58/BZ58,0)</x:f>
        <x:v>1.4496383560789623</x:v>
      </x:c>
    </x:row>
    <x:row r="59">
      <x:c r="A59" s="58" t="n">
        <x:v>1899</x:v>
      </x:c>
      <x:c r="B59" s="47" t="n">
        <x:f>Economy!P58</x:f>
        <x:v>441.893347338501</x:v>
      </x:c>
      <x:c r="C59" s="45" t="n">
        <x:v>43600000</x:v>
      </x:c>
      <x:c r="D59" s="62" t="n">
        <x:f>Japan!B59</x:f>
        <x:v>1167</x:v>
      </x:c>
      <x:c r="E59" s="68" t="n">
        <x:v>0.6899999999999999</x:v>
      </x:c>
      <x:c r="F59" s="47" t="n">
        <x:f>IF(C59&gt;0,D59*1000000/C59,0)</x:f>
        <x:v>26.76605504587156</x:v>
      </x:c>
      <x:c r="G59" s="64" t="n">
        <x:f>IF(AND(E59&gt;0,F58&gt;0,B59&gt;0),MIN(conv_cap,conv_beta*jp_uplift*E59*MAX(0,LN(B59/(F58*H58)))),0)</x:f>
        <x:v>0.016748498584803064</x:v>
      </x:c>
      <x:c r="H59" s="65" t="n">
        <x:f>H58*(1+G59)</x:f>
        <x:v>1.5122157285822857</x:v>
      </x:c>
      <x:c r="I59" s="47" t="n">
        <x:f>D59*H59</x:f>
        <x:v>1764.7557552555274</x:v>
      </x:c>
      <x:c r="J59" s="67" t="n">
        <x:f>IF(C59&gt;0,I59*1000000/C59/Economy!Q59,0)</x:f>
        <x:v>0.17078501870238913</x:v>
      </x:c>
      <x:c r="K59" s="62" t="n">
        <x:f>Gulf!B59</x:f>
        <x:v>0</x:v>
      </x:c>
      <x:c r="L59" s="47" t="n">
        <x:f>Gulf!B59*Gulf!C59*Economy!Q59/1000000</x:f>
        <x:v>0</x:v>
      </x:c>
      <x:c r="M59" s="68" t="n">
        <x:v>0.46</x:v>
      </x:c>
      <x:c r="N59" s="47" t="n">
        <x:f>IF(K59&gt;0,L59*1000000/K59,0)</x:f>
        <x:v>0</x:v>
      </x:c>
      <x:c r="O59" s="64" t="n">
        <x:f>IF(AND(M59&gt;0,N58&gt;0,B59&gt;0),MIN(conv_cap,conv_beta*1*M59*MAX(0,LN(B59/(N58*P58)))),0)</x:f>
        <x:v>0</x:v>
      </x:c>
      <x:c r="P59" s="65" t="n">
        <x:f>P58*(1+O59)</x:f>
        <x:v>1</x:v>
      </x:c>
      <x:c r="Q59" s="47" t="n">
        <x:f>L59*P59</x:f>
        <x:v>0</x:v>
      </x:c>
      <x:c r="R59" s="67" t="n">
        <x:f>IF(K59&gt;0,Q59*1000000/K59/Economy!Q59,0)</x:f>
        <x:v>0</x:v>
      </x:c>
      <x:c r="S59" s="62" t="n">
        <x:f>People!U59</x:f>
        <x:v>7350000</x:v>
      </x:c>
      <x:c r="T59" s="45" t="n">
        <x:v>240</x:v>
      </x:c>
      <x:c r="U59" s="68" t="n">
        <x:v>0.492</x:v>
      </x:c>
      <x:c r="V59" s="47" t="n">
        <x:f>IF(S59&gt;0,T59*1000000/S59,0)</x:f>
        <x:v>32.6530612244898</x:v>
      </x:c>
      <x:c r="W59" s="64" t="n">
        <x:f>IF(AND(U59&gt;0,V58&gt;0,B59&gt;0),MIN(conv_cap,conv_beta*1*U59*MAX(0,LN(B59/(V58*X58)))),0)</x:f>
        <x:v>0.011831954801038868</x:v>
      </x:c>
      <x:c r="X59" s="65" t="n">
        <x:f>X58*(1+W59)</x:f>
        <x:v>1.2790428834067198</x:v>
      </x:c>
      <x:c r="Y59" s="47" t="n">
        <x:f>T59*X59</x:f>
        <x:v>306.97029201761273</x:v>
      </x:c>
      <x:c r="Z59" s="67" t="n">
        <x:f>IF(S59&gt;0,Y59*1000000/S59/Economy!Q59,0)</x:f>
        <x:v>0.17622221763977886</x:v>
      </x:c>
      <x:c r="AA59" s="45" t="n">
        <x:v>0</x:v>
      </x:c>
      <x:c r="AB59" s="45" t="n">
        <x:v>0</x:v>
      </x:c>
      <x:c r="AC59" s="68" t="n">
        <x:v>0</x:v>
      </x:c>
      <x:c r="AD59" s="47" t="n">
        <x:f>IF(AA59&gt;0,AB59*1000000/AA59,0)</x:f>
        <x:v>0</x:v>
      </x:c>
      <x:c r="AE59" s="64" t="n">
        <x:f>IF(AND(AC59&gt;0,AD58&gt;0,B59&gt;0),MIN(conv_cap,conv_beta*1*AC59*MAX(0,LN(B59/(AD58*AF58)))),0)</x:f>
        <x:v>0</x:v>
      </x:c>
      <x:c r="AF59" s="65" t="n">
        <x:f>AF58*(1+AE59)</x:f>
        <x:v>1</x:v>
      </x:c>
      <x:c r="AG59" s="47" t="n">
        <x:f>AB59*AF59</x:f>
        <x:v>0</x:v>
      </x:c>
      <x:c r="AH59" s="67" t="n">
        <x:f>IF(AA59&gt;0,AG59*1000000/AA59/Economy!Q59,0)</x:f>
        <x:v>0</x:v>
      </x:c>
      <x:c r="AI59" s="45" t="n">
        <x:v>398600000</x:v>
      </x:c>
      <x:c r="AJ59" s="45" t="n">
        <x:v>3983</x:v>
      </x:c>
      <x:c r="AK59" s="68" t="n">
        <x:v>0.196</x:v>
      </x:c>
      <x:c r="AL59" s="47" t="n">
        <x:f>IF(AI59&gt;0,AJ59*1000000/AI59,0)</x:f>
        <x:v>9.992473657802307</x:v>
      </x:c>
      <x:c r="AM59" s="64" t="n">
        <x:f>IF(AND(AK59&gt;0,AL58&gt;0,B59&gt;0),MIN(conv_cap,conv_beta*1*AK59*MAX(0,LN(B59/(AL58*AN58)))),0)</x:f>
        <x:v>0.007130154462902281</x:v>
      </x:c>
      <x:c r="AN59" s="65" t="n">
        <x:f>AN58*(1+AM59)</x:f>
        <x:v>1.1723543764778637</x:v>
      </x:c>
      <x:c r="AO59" s="47" t="n">
        <x:f>AJ59*AN59</x:f>
        <x:v>4669.487481511331</x:v>
      </x:c>
      <x:c r="AP59" s="67" t="n">
        <x:f>IF(AI59&gt;0,AO59*1000000/AI59/Economy!Q59,0)</x:f>
        <x:v>0.04942919925976498</x:v>
      </x:c>
      <x:c r="AQ59" s="45" t="n">
        <x:v>11930000</x:v>
      </x:c>
      <x:c r="AR59" s="45" t="n">
        <x:v>247</x:v>
      </x:c>
      <x:c r="AS59" s="68" t="n">
        <x:v>0.44</x:v>
      </x:c>
      <x:c r="AT59" s="47" t="n">
        <x:f>IF(AQ59&gt;0,AR59*1000000/AQ59,0)</x:f>
        <x:v>20.704107292539817</x:v>
      </x:c>
      <x:c r="AU59" s="64" t="n">
        <x:f>IF(AND(AS59&gt;0,AT58&gt;0,B59&gt;0),MIN(conv_cap,conv_beta*1*AS59*MAX(0,LN(B59/(AT58*AV58)))),0)</x:f>
        <x:v>0.012805834368720499</x:v>
      </x:c>
      <x:c r="AV59" s="65" t="n">
        <x:f>AV58*(1+AU59)</x:f>
        <x:v>1.1904471033614232</x:v>
      </x:c>
      <x:c r="AW59" s="47" t="n">
        <x:f>AR59*AV59</x:f>
        <x:v>294.0404345302715</x:v>
      </x:c>
      <x:c r="AX59" s="67" t="n">
        <x:f>IF(AQ59&gt;0,AW59*1000000/AQ59/Economy!Q59,0)</x:f>
        <x:v>0.10399639052357866</x:v>
      </x:c>
      <x:c r="AY59" s="45" t="n">
        <x:v>79000000</x:v>
      </x:c>
      <x:c r="AZ59" s="45" t="n">
        <x:v>1963</x:v>
      </x:c>
      <x:c r="BA59" s="68" t="n">
        <x:v>0.098</x:v>
      </x:c>
      <x:c r="BB59" s="47" t="n">
        <x:f>IF(AY59&gt;0,AZ59*1000000/AY59,0)</x:f>
        <x:v>24.848101265822784</x:v>
      </x:c>
      <x:c r="BC59" s="64" t="n">
        <x:f>IF(AND(BA59&gt;0,BB58&gt;0,B59&gt;0),MIN(conv_cap,conv_beta*1*BA59*MAX(0,LN(B59/(BB58*BD58)))),0)</x:f>
        <x:v>0.0027899257914006273</x:v>
      </x:c>
      <x:c r="BD59" s="65" t="n">
        <x:f>BD58*(1+BC59)</x:f>
        <x:v>1.0407906912600522</x:v>
      </x:c>
      <x:c r="BE59" s="47" t="n">
        <x:f>AZ59*BD59</x:f>
        <x:v>2043.0721269434825</x:v>
      </x:c>
      <x:c r="BF59" s="67" t="n">
        <x:f>IF(AY59&gt;0,BE59*1000000/AY59/Economy!Q59,0)</x:f>
        <x:v>0.1091209809829345</x:v>
      </x:c>
      <x:c r="BG59" s="45" t="n">
        <x:v>29700000</x:v>
      </x:c>
      <x:c r="BH59" s="45" t="n">
        <x:v>2160</x:v>
      </x:c>
      <x:c r="BI59" s="68" t="n">
        <x:v>0.188</x:v>
      </x:c>
      <x:c r="BJ59" s="47" t="n">
        <x:f>IF(BG59&gt;0,BH59*1000000/BG59,0)</x:f>
        <x:v>72.72727272727273</x:v>
      </x:c>
      <x:c r="BK59" s="64" t="n">
        <x:f>IF(AND(BI59&gt;0,BJ58&gt;0,B59&gt;0),MIN(conv_cap,conv_beta*1*BI59*MAX(0,LN(B59/(BJ58*BL58)))),0)</x:f>
        <x:v>0.003319046014731581</x:v>
      </x:c>
      <x:c r="BL59" s="65" t="n">
        <x:f>BL58*(1+BK59)</x:f>
        <x:v>1.0556439874333892</x:v>
      </x:c>
      <x:c r="BM59" s="47" t="n">
        <x:f>BH59*BL59</x:f>
        <x:v>2280.191012856121</x:v>
      </x:c>
      <x:c r="BN59" s="67" t="n">
        <x:f>IF(BG59&gt;0,BM59*1000000/BG59/Economy!Q59,0)</x:f>
        <x:v>0.3239413847129694</x:v>
      </x:c>
      <x:c r="BO59" s="45" t="n">
        <x:v>13900000</x:v>
      </x:c>
      <x:c r="BP59" s="45" t="n">
        <x:v>790</x:v>
      </x:c>
      <x:c r="BQ59" s="68" t="n">
        <x:v>0</x:v>
      </x:c>
      <x:c r="BR59" s="47" t="n">
        <x:f>IF(BO59&gt;0,BP59*1000000/BO59,0)</x:f>
        <x:v>56.83453237410072</x:v>
      </x:c>
      <x:c r="BS59" s="64" t="n">
        <x:f>IF(AND(BQ59&gt;0,BR58&gt;0,B59&gt;0),MIN(conv_cap,conv_beta*1*BQ59*MAX(0,LN(B59/(BR58*BT58)))),0)</x:f>
        <x:v>0</x:v>
      </x:c>
      <x:c r="BT59" s="65" t="n">
        <x:f>BT58*(1+BS59)</x:f>
        <x:v>1</x:v>
      </x:c>
      <x:c r="BU59" s="47" t="n">
        <x:f>BP59*BT59</x:f>
        <x:v>790</x:v>
      </x:c>
      <x:c r="BV59" s="67" t="n">
        <x:f>IF(BO59&gt;0,BU59*1000000/BO59/Economy!Q59,0)</x:f>
        <x:v>0.2398081534772182</x:v>
      </x:c>
      <x:c r="BW59" s="65" t="n">
        <x:f>0.25*IF(D59&gt;0,H59,1)+0.15*IF(AJ59&gt;0,AN59,1)+0.03*IF(AR59&gt;0,AV59,1)+0.08*IF(AZ59&gt;0,BD59,1)+0.12*IF(BH59&gt;0,BL59,1)+0.1*IF(L59&gt;0,P59,1)+0.07*IF(T59&gt;0,X59,1)+0.05*IF(AB59&gt;0,AF59,1)+0.05*IF(BP59&gt;0,BT59,1)+0.1</x:f>
        <x:v>1.189094037349375</x:v>
      </x:c>
      <x:c r="BX59" s="63" t="n">
        <x:f>MIN(mkt_cap,mkt_elast*MAX(0,BW59-1))</x:f>
        <x:v>0.09454701867468751</x:v>
      </x:c>
      <x:c r="BY59" s="47" t="n">
        <x:f>I59+Q59+Y59+AG59</x:f>
        <x:v>2071.72604727314</x:v>
      </x:c>
      <x:c r="BZ59" s="47" t="n">
        <x:f>D59+L59+T59+AB59</x:f>
        <x:v>1407</x:v>
      </x:c>
      <x:c r="CA59" s="65" t="n">
        <x:f>IF(BZ59&gt;0,BY59/BZ59,0)</x:f>
        <x:v>1.4724421089361337</x:v>
      </x:c>
    </x:row>
    <x:row r="60">
      <x:c r="A60" s="58" t="n">
        <x:v>1900</x:v>
      </x:c>
      <x:c r="B60" s="47" t="n">
        <x:f>Economy!P59</x:f>
        <x:v>464.4134438756709</x:v>
      </x:c>
      <x:c r="C60" s="45" t="n">
        <x:v>44000000</x:v>
      </x:c>
      <x:c r="D60" s="62" t="n">
        <x:f>Japan!B60</x:f>
        <x:v>1200</x:v>
      </x:c>
      <x:c r="E60" s="68" t="n">
        <x:v>0.7</x:v>
      </x:c>
      <x:c r="F60" s="47" t="n">
        <x:f>IF(C60&gt;0,D60*1000000/C60,0)</x:f>
        <x:v>27.272727272727273</x:v>
      </x:c>
      <x:c r="G60" s="64" t="n">
        <x:f>IF(AND(E60&gt;0,F59&gt;0,B60&gt;0),MIN(conv_cap,conv_beta*jp_uplift*E60*MAX(0,LN(B60/(F59*H59)))),0)</x:f>
        <x:v>0.01708045339821474</x:v>
      </x:c>
      <x:c r="H60" s="65" t="n">
        <x:f>H59*(1+G60)</x:f>
        <x:v>1.5380450588623829</x:v>
      </x:c>
      <x:c r="I60" s="47" t="n">
        <x:f>D60*H60</x:f>
        <x:v>1845.6540706348594</x:v>
      </x:c>
      <x:c r="J60" s="67" t="n">
        <x:f>IF(C60&gt;0,I60*1000000/C60/Economy!Q60,0)</x:f>
        <x:v>0.17051497326633955</x:v>
      </x:c>
      <x:c r="K60" s="62" t="n">
        <x:f>Gulf!B60</x:f>
        <x:v>6100000</x:v>
      </x:c>
      <x:c r="L60" s="47" t="n">
        <x:f>Gulf!B60*Gulf!C60*Economy!Q60/1000000</x:f>
        <x:v>870.3479999999998</x:v>
      </x:c>
      <x:c r="M60" s="68" t="n">
        <x:v>0.5</x:v>
      </x:c>
      <x:c r="N60" s="47" t="n">
        <x:f>IF(K60&gt;0,L60*1000000/K60,0)</x:f>
        <x:v>142.67999999999998</x:v>
      </x:c>
      <x:c r="O60" s="64" t="n">
        <x:f>IF(AND(M60&gt;0,N59&gt;0,B60&gt;0),MIN(conv_cap,conv_beta*1*M60*MAX(0,LN(B60/(N59*P59)))),0)</x:f>
        <x:v>0</x:v>
      </x:c>
      <x:c r="P60" s="65" t="n">
        <x:f>P59*(1+O60)</x:f>
        <x:v>1</x:v>
      </x:c>
      <x:c r="Q60" s="47" t="n">
        <x:f>L60*P60</x:f>
        <x:v>870.3479999999998</x:v>
      </x:c>
      <x:c r="R60" s="67" t="n">
        <x:f>IF(K60&gt;0,Q60*1000000/K60/Economy!Q60,0)</x:f>
        <x:v>0.58</x:v>
      </x:c>
      <x:c r="S60" s="62" t="n">
        <x:f>People!U60</x:f>
        <x:v>7412000</x:v>
      </x:c>
      <x:c r="T60" s="45" t="n">
        <x:v>250</x:v>
      </x:c>
      <x:c r="U60" s="68" t="n">
        <x:v>0.5</x:v>
      </x:c>
      <x:c r="V60" s="47" t="n">
        <x:f>IF(S60&gt;0,T60*1000000/S60,0)</x:f>
        <x:v>33.72908796546142</x:v>
      </x:c>
      <x:c r="W60" s="64" t="n">
        <x:f>IF(AND(U60&gt;0,V59&gt;0,B60&gt;0),MIN(conv_cap,conv_beta*1*U60*MAX(0,LN(B60/(V59*X59)))),0)</x:f>
        <x:v>0.012043622686554772</x:v>
      </x:c>
      <x:c r="X60" s="65" t="n">
        <x:f>X59*(1+W60)</x:f>
        <x:v>1.2944471932943935</x:v>
      </x:c>
      <x:c r="Y60" s="47" t="n">
        <x:f>T60*X60</x:f>
        <x:v>323.61179832359835</x:v>
      </x:c>
      <x:c r="Z60" s="67" t="n">
        <x:f>IF(S60&gt;0,Y60*1000000/S60/Economy!Q60,0)</x:f>
        <x:v>0.1774818018263058</x:v>
      </x:c>
      <x:c r="AA60" s="45" t="n">
        <x:v>0</x:v>
      </x:c>
      <x:c r="AB60" s="45" t="n">
        <x:v>0</x:v>
      </x:c>
      <x:c r="AC60" s="68" t="n">
        <x:v>0</x:v>
      </x:c>
      <x:c r="AD60" s="47" t="n">
        <x:f>IF(AA60&gt;0,AB60*1000000/AA60,0)</x:f>
        <x:v>0</x:v>
      </x:c>
      <x:c r="AE60" s="64" t="n">
        <x:f>IF(AND(AC60&gt;0,AD59&gt;0,B60&gt;0),MIN(conv_cap,conv_beta*1*AC60*MAX(0,LN(B60/(AD59*AF59)))),0)</x:f>
        <x:v>0</x:v>
      </x:c>
      <x:c r="AF60" s="65" t="n">
        <x:f>AF59*(1+AE60)</x:f>
        <x:v>1</x:v>
      </x:c>
      <x:c r="AG60" s="47" t="n">
        <x:f>AB60*AF60</x:f>
        <x:v>0</x:v>
      </x:c>
      <x:c r="AH60" s="67" t="n">
        <x:f>IF(AA60&gt;0,AG60*1000000/AA60/Economy!Q60,0)</x:f>
        <x:v>0</x:v>
      </x:c>
      <x:c r="AI60" s="45" t="n">
        <x:v>400000000</x:v>
      </x:c>
      <x:c r="AJ60" s="45" t="n">
        <x:v>4000</x:v>
      </x:c>
      <x:c r="AK60" s="68" t="n">
        <x:v>0.2</x:v>
      </x:c>
      <x:c r="AL60" s="47" t="n">
        <x:f>IF(AI60&gt;0,AJ60*1000000/AI60,0)</x:f>
        <x:v>10</x:v>
      </x:c>
      <x:c r="AM60" s="64" t="n">
        <x:f>IF(AND(AK60&gt;0,AL59&gt;0,B60&gt;0),MIN(conv_cap,conv_beta*1*AK60*MAX(0,LN(B60/(AL59*AN59)))),0)</x:f>
        <x:v>0.007359858016913708</x:v>
      </x:c>
      <x:c r="AN60" s="65" t="n">
        <x:f>AN59*(1+AM60)</x:f>
        <x:v>1.1809827382342482</x:v>
      </x:c>
      <x:c r="AO60" s="47" t="n">
        <x:f>AJ60*AN60</x:f>
        <x:v>4723.930952936993</x:v>
      </x:c>
      <x:c r="AP60" s="67" t="n">
        <x:f>IF(AI60&gt;0,AO60*1000000/AI60/Economy!Q60,0)</x:f>
        <x:v>0.04800742838350602</x:v>
      </x:c>
      <x:c r="AQ60" s="45" t="n">
        <x:v>12000000</x:v>
      </x:c>
      <x:c r="AR60" s="45" t="n">
        <x:v>250</x:v>
      </x:c>
      <x:c r="AS60" s="68" t="n">
        <x:v>0.45</x:v>
      </x:c>
      <x:c r="AT60" s="47" t="n">
        <x:f>IF(AQ60&gt;0,AR60*1000000/AQ60,0)</x:f>
        <x:v>20.833333333333332</x:v>
      </x:c>
      <x:c r="AU60" s="64" t="n">
        <x:f>IF(AND(AS60&gt;0,AT59&gt;0,B60&gt;0),MIN(conv_cap,conv_beta*1*AS60*MAX(0,LN(B60/(AT59*AV59)))),0)</x:f>
        <x:v>0.013212513648588215</x:v>
      </x:c>
      <x:c r="AV60" s="65" t="n">
        <x:f>AV59*(1+AU60)</x:f>
        <x:v>1.2061759019625082</x:v>
      </x:c>
      <x:c r="AW60" s="47" t="n">
        <x:f>AR60*AV60</x:f>
        <x:v>301.5439754906271</x:v>
      </x:c>
      <x:c r="AX60" s="67" t="n">
        <x:f>IF(AQ60&gt;0,AW60*1000000/AQ60/Economy!Q60,0)</x:f>
        <x:v>0.10214904318788179</x:v>
      </x:c>
      <x:c r="AY60" s="45" t="n">
        <x:v>80000000</x:v>
      </x:c>
      <x:c r="AZ60" s="45" t="n">
        <x:v>2000</x:v>
      </x:c>
      <x:c r="BA60" s="68" t="n">
        <x:v>0.1</x:v>
      </x:c>
      <x:c r="BB60" s="47" t="n">
        <x:f>IF(AY60&gt;0,AZ60*1000000/AY60,0)</x:f>
        <x:v>25</x:v>
      </x:c>
      <x:c r="BC60" s="64" t="n">
        <x:f>IF(AND(BA60&gt;0,BB59&gt;0,B60&gt;0),MIN(conv_cap,conv_beta*1*BA60*MAX(0,LN(B60/(BB59*BD59)))),0)</x:f>
        <x:v>0.002888013152164761</x:v>
      </x:c>
      <x:c r="BD60" s="65" t="n">
        <x:f>BD59*(1+BC60)</x:f>
        <x:v>1.0437965084650618</x:v>
      </x:c>
      <x:c r="BE60" s="47" t="n">
        <x:f>AZ60*BD60</x:f>
        <x:v>2087.5930169301237</x:v>
      </x:c>
      <x:c r="BF60" s="67" t="n">
        <x:f>IF(AY60&gt;0,BE60*1000000/AY60/Economy!Q60,0)</x:f>
        <x:v>0.10607688094157132</x:v>
      </x:c>
      <x:c r="BG60" s="45" t="n">
        <x:v>30000000</x:v>
      </x:c>
      <x:c r="BH60" s="45" t="n">
        <x:v>2200</x:v>
      </x:c>
      <x:c r="BI60" s="68" t="n">
        <x:v>0.194</x:v>
      </x:c>
      <x:c r="BJ60" s="47" t="n">
        <x:f>IF(BG60&gt;0,BH60*1000000/BG60,0)</x:f>
        <x:v>73.33333333333333</x:v>
      </x:c>
      <x:c r="BK60" s="64" t="n">
        <x:f>IF(AND(BI60&gt;0,BJ59&gt;0,B60&gt;0),MIN(conv_cap,conv_beta*1*BI60*MAX(0,LN(B60/(BJ59*BL59)))),0)</x:f>
        <x:v>0.0034918210313519904</x:v>
      </x:c>
      <x:c r="BL60" s="65" t="n">
        <x:f>BL59*(1+BK60)</x:f>
        <x:v>1.0593301073103292</x:v>
      </x:c>
      <x:c r="BM60" s="47" t="n">
        <x:f>BH60*BL60</x:f>
        <x:v>2330.526236082724</x:v>
      </x:c>
      <x:c r="BN60" s="67" t="n">
        <x:f>IF(BG60&gt;0,BM60*1000000/BG60/Economy!Q60,0)</x:f>
        <x:v>0.31578946288383797</x:v>
      </x:c>
      <x:c r="BO60" s="45" t="n">
        <x:v>14000000</x:v>
      </x:c>
      <x:c r="BP60" s="45" t="n">
        <x:v>800</x:v>
      </x:c>
      <x:c r="BQ60" s="68" t="n">
        <x:v>0</x:v>
      </x:c>
      <x:c r="BR60" s="47" t="n">
        <x:f>IF(BO60&gt;0,BP60*1000000/BO60,0)</x:f>
        <x:v>57.142857142857146</x:v>
      </x:c>
      <x:c r="BS60" s="64" t="n">
        <x:f>IF(AND(BQ60&gt;0,BR59&gt;0,B60&gt;0),MIN(conv_cap,conv_beta*1*BQ60*MAX(0,LN(B60/(BR59*BT59)))),0)</x:f>
        <x:v>0</x:v>
      </x:c>
      <x:c r="BT60" s="65" t="n">
        <x:f>BT59*(1+BS60)</x:f>
        <x:v>1</x:v>
      </x:c>
      <x:c r="BU60" s="47" t="n">
        <x:f>BP60*BT60</x:f>
        <x:v>800</x:v>
      </x:c>
      <x:c r="BV60" s="67" t="n">
        <x:f>IF(BO60&gt;0,BU60*1000000/BO60/Economy!Q60,0)</x:f>
        <x:v>0.23228803716608595</x:v>
      </x:c>
      <x:c r="BW60" s="65" t="n">
        <x:f>0.25*IF(D60&gt;0,H60,1)+0.15*IF(AJ60&gt;0,AN60,1)+0.03*IF(AR60&gt;0,AV60,1)+0.08*IF(AZ60&gt;0,BD60,1)+0.12*IF(BH60&gt;0,BL60,1)+0.1*IF(L60&gt;0,P60,1)+0.07*IF(T60&gt;0,X60,1)+0.05*IF(AB60&gt;0,AF60,1)+0.05*IF(BP60&gt;0,BT60,1)+0.1</x:f>
        <x:v>1.19907858959466</x:v>
      </x:c>
      <x:c r="BX60" s="63" t="n">
        <x:f>MIN(mkt_cap,mkt_elast*MAX(0,BW60-1))</x:f>
        <x:v>0.09953929479733004</x:v>
      </x:c>
      <x:c r="BY60" s="47" t="n">
        <x:f>I60+Q60+Y60+AG60</x:f>
        <x:v>3039.6138689584577</x:v>
      </x:c>
      <x:c r="BZ60" s="47" t="n">
        <x:f>D60+L60+T60+AB60</x:f>
        <x:v>2320.348</x:v>
      </x:c>
      <x:c r="CA60" s="65" t="n">
        <x:f>IF(BZ60&gt;0,BY60/BZ60,0)</x:f>
        <x:v>1.3099818945082624</x:v>
      </x:c>
    </x:row>
    <x:row r="61">
      <x:c r="A61" s="58" t="n">
        <x:v>1901</x:v>
      </x:c>
      <x:c r="B61" s="47" t="n">
        <x:f>Economy!P60</x:f>
        <x:v>487.74671705749125</x:v>
      </x:c>
      <x:c r="C61" s="45" t="n">
        <x:v>44560000</x:v>
      </x:c>
      <x:c r="D61" s="62" t="n">
        <x:f>Japan!B61</x:f>
        <x:v>1270</x:v>
      </x:c>
      <x:c r="E61" s="68" t="n">
        <x:v>0.71</x:v>
      </x:c>
      <x:c r="F61" s="47" t="n">
        <x:f>IF(C61&gt;0,D61*1000000/C61,0)</x:f>
        <x:v>28.500897666068223</x:v>
      </x:c>
      <x:c r="G61" s="64" t="n">
        <x:f>IF(AND(E61&gt;0,F60&gt;0,B61&gt;0),MIN(conv_cap,conv_beta*jp_uplift*E61*MAX(0,LN(B61/(F60*H60)))),0)</x:f>
        <x:v>0.01741911784181885</x:v>
      </x:c>
      <x:c r="H61" s="65" t="n">
        <x:f>H60*(1+G61)</x:f>
        <x:v>1.564836446988734</x:v>
      </x:c>
      <x:c r="I61" s="47" t="n">
        <x:f>D61*H61</x:f>
        <x:v>1987.342287675692</x:v>
      </x:c>
      <x:c r="J61" s="67" t="n">
        <x:f>IF(C61&gt;0,I61*1000000/C61/Economy!Q61,0)</x:f>
        <x:v>0.17489899388141059</x:v>
      </x:c>
      <x:c r="K61" s="62" t="n">
        <x:f>Gulf!B61</x:f>
        <x:v>6290000</x:v>
      </x:c>
      <x:c r="L61" s="47" t="n">
        <x:f>Gulf!B61*Gulf!C61*Economy!Q61/1000000</x:f>
        <x:v>935.1028499999999</x:v>
      </x:c>
      <x:c r="M61" s="68" t="n">
        <x:v>0.512</x:v>
      </x:c>
      <x:c r="N61" s="47" t="n">
        <x:f>IF(K61&gt;0,L61*1000000/K61,0)</x:f>
        <x:v>148.665</x:v>
      </x:c>
      <x:c r="O61" s="64" t="n">
        <x:f>IF(AND(M61&gt;0,N60&gt;0,B61&gt;0),MIN(conv_cap,conv_beta*1*M61*MAX(0,LN(B61/(N60*P60)))),0)</x:f>
        <x:v>0.00629346246758667</x:v>
      </x:c>
      <x:c r="P61" s="65" t="n">
        <x:f>P60*(1+O61)</x:f>
        <x:v>1.0062934624675868</x:v>
      </x:c>
      <x:c r="Q61" s="47" t="n">
        <x:f>L61*P61</x:f>
        <x:v>940.9878846898083</x:v>
      </x:c>
      <x:c r="R61" s="67" t="n">
        <x:f>IF(K61&gt;0,Q61*1000000/K61/Economy!Q61,0)</x:f>
        <x:v>0.5866690886186031</x:v>
      </x:c>
      <x:c r="S61" s="62" t="n">
        <x:f>People!U61</x:f>
        <x:v>7475000</x:v>
      </x:c>
      <x:c r="T61" s="45" t="n">
        <x:v>263</x:v>
      </x:c>
      <x:c r="U61" s="68" t="n">
        <x:v>0.508</x:v>
      </x:c>
      <x:c r="V61" s="47" t="n">
        <x:f>IF(S61&gt;0,T61*1000000/S61,0)</x:f>
        <x:v>35.18394648829432</x:v>
      </x:c>
      <x:c r="W61" s="64" t="n">
        <x:f>IF(AND(U61&gt;0,V60&gt;0,B61&gt;0),MIN(conv_cap,conv_beta*1*U61*MAX(0,LN(B61/(V60*X60)))),0)</x:f>
        <x:v>0.012259827718059179</x:v>
      </x:c>
      <x:c r="X61" s="65" t="n">
        <x:f>X60*(1+W61)</x:f>
        <x:v>1.310316892874308</x:v>
      </x:c>
      <x:c r="Y61" s="47" t="n">
        <x:f>T61*X61</x:f>
        <x:v>344.61334282594305</x:v>
      </x:c>
      <x:c r="Z61" s="67" t="n">
        <x:f>IF(S61&gt;0,Y61*1000000/S61/Economy!Q61,0)</x:f>
        <x:v>0.1807926252611676</x:v>
      </x:c>
      <x:c r="AA61" s="45" t="n">
        <x:v>0</x:v>
      </x:c>
      <x:c r="AB61" s="45" t="n">
        <x:v>0</x:v>
      </x:c>
      <x:c r="AC61" s="68" t="n">
        <x:v>0</x:v>
      </x:c>
      <x:c r="AD61" s="47" t="n">
        <x:f>IF(AA61&gt;0,AB61*1000000/AA61,0)</x:f>
        <x:v>0</x:v>
      </x:c>
      <x:c r="AE61" s="64" t="n">
        <x:f>IF(AND(AC61&gt;0,AD60&gt;0,B61&gt;0),MIN(conv_cap,conv_beta*1*AC61*MAX(0,LN(B61/(AD60*AF60)))),0)</x:f>
        <x:v>0</x:v>
      </x:c>
      <x:c r="AF61" s="65" t="n">
        <x:f>AF60*(1+AE61)</x:f>
        <x:v>1</x:v>
      </x:c>
      <x:c r="AG61" s="47" t="n">
        <x:f>AB61*AF61</x:f>
        <x:v>0</x:v>
      </x:c>
      <x:c r="AH61" s="67" t="n">
        <x:f>IF(AA61&gt;0,AG61*1000000/AA61/Economy!Q61,0)</x:f>
        <x:v>0</x:v>
      </x:c>
      <x:c r="AI61" s="45" t="n">
        <x:v>402300000</x:v>
      </x:c>
      <x:c r="AJ61" s="45" t="n">
        <x:v>4077</x:v>
      </x:c>
      <x:c r="AK61" s="68" t="n">
        <x:v>0.204</x:v>
      </x:c>
      <x:c r="AL61" s="47" t="n">
        <x:f>IF(AI61&gt;0,AJ61*1000000/AI61,0)</x:f>
        <x:v>10.134228187919463</x:v>
      </x:c>
      <x:c r="AM61" s="64" t="n">
        <x:f>IF(AND(AK61&gt;0,AL60&gt;0,B61&gt;0),MIN(conv_cap,conv_beta*1*AK61*MAX(0,LN(B61/(AL60*AN60)))),0)</x:f>
        <x:v>0.007590563039027024</x:v>
      </x:c>
      <x:c r="AN61" s="65" t="n">
        <x:f>AN60*(1+AM61)</x:f>
        <x:v>1.1899470621568178</x:v>
      </x:c>
      <x:c r="AO61" s="47" t="n">
        <x:f>AJ61*AN61</x:f>
        <x:v>4851.414172413346</x:v>
      </x:c>
      <x:c r="AP61" s="67" t="n">
        <x:f>IF(AI61&gt;0,AO61*1000000/AI61/Economy!Q61,0)</x:f>
        <x:v>0.04729096101741795</x:v>
      </x:c>
      <x:c r="AQ61" s="45" t="n">
        <x:v>12230000</x:v>
      </x:c>
      <x:c r="AR61" s="45" t="n">
        <x:v>262</x:v>
      </x:c>
      <x:c r="AS61" s="68" t="n">
        <x:v>0.46</x:v>
      </x:c>
      <x:c r="AT61" s="47" t="n">
        <x:f>IF(AQ61&gt;0,AR61*1000000/AQ61,0)</x:f>
        <x:v>21.4227309893704</x:v>
      </x:c>
      <x:c r="AU61" s="64" t="n">
        <x:f>IF(AND(AS61&gt;0,AT60&gt;0,B61&gt;0),MIN(conv_cap,conv_beta*1*AS61*MAX(0,LN(B61/(AT60*AV60)))),0)</x:f>
        <x:v>0.01364262037138484</x:v>
      </x:c>
      <x:c r="AV61" s="65" t="n">
        <x:f>AV60*(1+AU61)</x:f>
        <x:v>1.2226313018940955</x:v>
      </x:c>
      <x:c r="AW61" s="47" t="n">
        <x:f>AR61*AV61</x:f>
        <x:v>320.32940109625304</x:v>
      </x:c>
      <x:c r="AX61" s="67" t="n">
        <x:f>IF(AQ61&gt;0,AW61*1000000/AQ61/Economy!Q61,0)</x:f>
        <x:v>0.10271412344965067</x:v>
      </x:c>
      <x:c r="AY61" s="45" t="n">
        <x:v>81200000</x:v>
      </x:c>
      <x:c r="AZ61" s="45" t="n">
        <x:v>2077</x:v>
      </x:c>
      <x:c r="BA61" s="68" t="n">
        <x:v>0.104</x:v>
      </x:c>
      <x:c r="BB61" s="47" t="n">
        <x:f>IF(AY61&gt;0,AZ61*1000000/AY61,0)</x:f>
        <x:v>25.57881773399015</x:v>
      </x:c>
      <x:c r="BC61" s="64" t="n">
        <x:f>IF(AND(BA61&gt;0,BB60&gt;0,B61&gt;0),MIN(conv_cap,conv_beta*1*BA61*MAX(0,LN(B61/(BB60*BD60)))),0)</x:f>
        <x:v>0.0030451781033693378</x:v>
      </x:c>
      <x:c r="BD61" s="65" t="n">
        <x:f>BD60*(1+BC61)</x:f>
        <x:v>1.046975054737013</x:v>
      </x:c>
      <x:c r="BE61" s="47" t="n">
        <x:f>AZ61*BD61</x:f>
        <x:v>2174.567188688776</x:v>
      </x:c>
      <x:c r="BF61" s="67" t="n">
        <x:f>IF(AY61&gt;0,BE61*1000000/AY61/Economy!Q61,0)</x:f>
        <x:v>0.10502111410648006</x:v>
      </x:c>
      <x:c r="BG61" s="45" t="n">
        <x:v>30500000</x:v>
      </x:c>
      <x:c r="BH61" s="45" t="n">
        <x:v>2315</x:v>
      </x:c>
      <x:c r="BI61" s="68" t="n">
        <x:v>0.2</x:v>
      </x:c>
      <x:c r="BJ61" s="47" t="n">
        <x:f>IF(BG61&gt;0,BH61*1000000/BG61,0)</x:f>
        <x:v>75.90163934426229</x:v>
      </x:c>
      <x:c r="BK61" s="64" t="n">
        <x:f>IF(AND(BI61&gt;0,BJ60&gt;0,B61&gt;0),MIN(conv_cap,conv_beta*1*BI61*MAX(0,LN(B61/(BJ60*BL60)))),0)</x:f>
        <x:v>0.00367428851379683</x:v>
      </x:c>
      <x:c r="BL61" s="65" t="n">
        <x:f>BL60*(1+BK61)</x:f>
        <x:v>1.0632223917559387</x:v>
      </x:c>
      <x:c r="BM61" s="47" t="n">
        <x:f>BH61*BL61</x:f>
        <x:v>2461.359836914998</x:v>
      </x:c>
      <x:c r="BN61" s="67" t="n">
        <x:f>IF(BG61&gt;0,BM61*1000000/BG61/Economy!Q61,0)</x:f>
        <x:v>0.3164718530266793</x:v>
      </x:c>
      <x:c r="BO61" s="45" t="n">
        <x:v>14200000</x:v>
      </x:c>
      <x:c r="BP61" s="45" t="n">
        <x:v>823</x:v>
      </x:c>
      <x:c r="BQ61" s="68" t="n">
        <x:v>0</x:v>
      </x:c>
      <x:c r="BR61" s="47" t="n">
        <x:f>IF(BO61&gt;0,BP61*1000000/BO61,0)</x:f>
        <x:v>57.95774647887324</x:v>
      </x:c>
      <x:c r="BS61" s="64" t="n">
        <x:f>IF(AND(BQ61&gt;0,BR60&gt;0,B61&gt;0),MIN(conv_cap,conv_beta*1*BQ61*MAX(0,LN(B61/(BR60*BT60)))),0)</x:f>
        <x:v>0</x:v>
      </x:c>
      <x:c r="BT61" s="65" t="n">
        <x:f>BT60*(1+BS61)</x:f>
        <x:v>1</x:v>
      </x:c>
      <x:c r="BU61" s="47" t="n">
        <x:f>BP61*BT61</x:f>
        <x:v>823</x:v>
      </x:c>
      <x:c r="BV61" s="67" t="n">
        <x:f>IF(BO61&gt;0,BU61*1000000/BO61/Economy!Q61,0)</x:f>
        <x:v>0.22728528030930684</x:v>
      </x:c>
      <x:c r="BW61" s="65" t="n">
        <x:f>0.25*IF(D61&gt;0,H61,1)+0.15*IF(AJ61&gt;0,AN61,1)+0.03*IF(AR61&gt;0,AV61,1)+0.08*IF(AZ61&gt;0,BD61,1)+0.12*IF(BH61&gt;0,BL61,1)+0.1*IF(L61&gt;0,P61,1)+0.07*IF(T61&gt;0,X61,1)+0.05*IF(AB61&gt;0,AF61,1)+0.05*IF(BP61&gt;0,BT61,1)+0.1</x:f>
        <x:v>1.2100763302651631</x:v>
      </x:c>
      <x:c r="BX61" s="63" t="n">
        <x:f>MIN(mkt_cap,mkt_elast*MAX(0,BW61-1))</x:f>
        <x:v>0.10503816513258157</x:v>
      </x:c>
      <x:c r="BY61" s="47" t="n">
        <x:f>I61+Q61+Y61+AG61</x:f>
        <x:v>3272.9435151914436</x:v>
      </x:c>
      <x:c r="BZ61" s="47" t="n">
        <x:f>D61+L61+T61+AB61</x:f>
        <x:v>2468.1028499999998</x:v>
      </x:c>
      <x:c r="CA61" s="65" t="n">
        <x:f>IF(BZ61&gt;0,BY61/BZ61,0)</x:f>
        <x:v>1.3260968906508268</x:v>
      </x:c>
    </x:row>
    <x:row r="62">
      <x:c r="A62" s="58" t="n">
        <x:v>1902</x:v>
      </x:c>
      <x:c r="B62" s="47" t="n">
        <x:f>Economy!P61</x:f>
        <x:v>507.8096516155475</x:v>
      </x:c>
      <x:c r="C62" s="45" t="n">
        <x:v>45120000</x:v>
      </x:c>
      <x:c r="D62" s="62" t="n">
        <x:f>Japan!B62</x:f>
        <x:v>1340</x:v>
      </x:c>
      <x:c r="E62" s="68" t="n">
        <x:v>0.72</x:v>
      </x:c>
      <x:c r="F62" s="47" t="n">
        <x:f>IF(C62&gt;0,D62*1000000/C62,0)</x:f>
        <x:v>29.69858156028369</x:v>
      </x:c>
      <x:c r="G62" s="64" t="n">
        <x:f>IF(AND(E62&gt;0,F61&gt;0,B62&gt;0),MIN(conv_cap,conv_beta*jp_uplift*E62*MAX(0,LN(B62/(F61*H61)))),0)</x:f>
        <x:v>0.017513206417210072</x:v>
      </x:c>
      <x:c r="H62" s="65" t="n">
        <x:f>H61*(1+G62)</x:f>
        <x:v>1.5922417506940212</x:v>
      </x:c>
      <x:c r="I62" s="47" t="n">
        <x:f>D62*H62</x:f>
        <x:v>2133.603945929988</x:v>
      </x:c>
      <x:c r="J62" s="67" t="n">
        <x:f>IF(C62&gt;0,I62*1000000/C62/Economy!Q62,0)</x:f>
        <x:v>0.17911864203286088</x:v>
      </x:c>
      <x:c r="K62" s="62" t="n">
        <x:f>Gulf!B62</x:f>
        <x:v>6480000</x:v>
      </x:c>
      <x:c r="L62" s="47" t="n">
        <x:f>Gulf!B62*Gulf!C62*Economy!Q62/1000000</x:f>
        <x:v>1002.48192</x:v>
      </x:c>
      <x:c r="M62" s="68" t="n">
        <x:v>0.523</x:v>
      </x:c>
      <x:c r="N62" s="47" t="n">
        <x:f>IF(K62&gt;0,L62*1000000/K62,0)</x:f>
        <x:v>154.704</x:v>
      </x:c>
      <x:c r="O62" s="64" t="n">
        <x:f>IF(AND(M62&gt;0,N61&gt;0,B62&gt;0),MIN(conv_cap,conv_beta*1*M62*MAX(0,LN(B62/(N61*P61)))),0)</x:f>
        <x:v>0.006391779030635631</x:v>
      </x:c>
      <x:c r="P62" s="65" t="n">
        <x:f>P61*(1+O62)</x:f>
        <x:v>1.0127254679196527</x:v>
      </x:c>
      <x:c r="Q62" s="47" t="n">
        <x:f>L62*P62</x:f>
        <x:v>1015.2389715129917</x:v>
      </x:c>
      <x:c r="R62" s="67" t="n">
        <x:f>IF(K62&gt;0,Q62*1000000/K62/Economy!Q62,0)</x:f>
        <x:v>0.5934571242009163</x:v>
      </x:c>
      <x:c r="S62" s="62" t="n">
        <x:f>People!U62</x:f>
        <x:v>7538000</x:v>
      </x:c>
      <x:c r="T62" s="45" t="n">
        <x:v>276</x:v>
      </x:c>
      <x:c r="U62" s="68" t="n">
        <x:v>0.515</x:v>
      </x:c>
      <x:c r="V62" s="47" t="n">
        <x:f>IF(S62&gt;0,T62*1000000/S62,0)</x:f>
        <x:v>36.614486601220484</x:v>
      </x:c>
      <x:c r="W62" s="64" t="n">
        <x:f>IF(AND(U62&gt;0,V61&gt;0,B62&gt;0),MIN(conv_cap,conv_beta*1*U62*MAX(0,LN(B62/(V61*X61)))),0)</x:f>
        <x:v>0.012356125922791556</x:v>
      </x:c>
      <x:c r="X62" s="65" t="n">
        <x:f>X61*(1+W62)</x:f>
        <x:v>1.326507333401424</x:v>
      </x:c>
      <x:c r="Y62" s="47" t="n">
        <x:f>T62*X62</x:f>
        <x:v>366.116024018793</x:v>
      </x:c>
      <x:c r="Z62" s="67" t="n">
        <x:f>IF(S62&gt;0,Y62*1000000/S62/Economy!Q62,0)</x:f>
        <x:v>0.18397494312593615</x:v>
      </x:c>
      <x:c r="AA62" s="45" t="n">
        <x:v>0</x:v>
      </x:c>
      <x:c r="AB62" s="45" t="n">
        <x:v>0</x:v>
      </x:c>
      <x:c r="AC62" s="68" t="n">
        <x:v>0</x:v>
      </x:c>
      <x:c r="AD62" s="47" t="n">
        <x:f>IF(AA62&gt;0,AB62*1000000/AA62,0)</x:f>
        <x:v>0</x:v>
      </x:c>
      <x:c r="AE62" s="64" t="n">
        <x:f>IF(AND(AC62&gt;0,AD61&gt;0,B62&gt;0),MIN(conv_cap,conv_beta*1*AC62*MAX(0,LN(B62/(AD61*AF61)))),0)</x:f>
        <x:v>0</x:v>
      </x:c>
      <x:c r="AF62" s="65" t="n">
        <x:f>AF61*(1+AE62)</x:f>
        <x:v>1</x:v>
      </x:c>
      <x:c r="AG62" s="47" t="n">
        <x:f>AB62*AF62</x:f>
        <x:v>0</x:v>
      </x:c>
      <x:c r="AH62" s="67" t="n">
        <x:f>IF(AA62&gt;0,AG62*1000000/AA62/Economy!Q62,0)</x:f>
        <x:v>0</x:v>
      </x:c>
      <x:c r="AI62" s="45" t="n">
        <x:v>404600000</x:v>
      </x:c>
      <x:c r="AJ62" s="45" t="n">
        <x:v>4154</x:v>
      </x:c>
      <x:c r="AK62" s="68" t="n">
        <x:v>0.208</x:v>
      </x:c>
      <x:c r="AL62" s="47" t="n">
        <x:f>IF(AI62&gt;0,AJ62*1000000/AI62,0)</x:f>
        <x:v>10.266930301532378</x:v>
      </x:c>
      <x:c r="AM62" s="64" t="n">
        <x:f>IF(AND(AK62&gt;0,AL61&gt;0,B62&gt;0),MIN(conv_cap,conv_beta*1*AK62*MAX(0,LN(B62/(AL61*AN61)))),0)</x:f>
        <x:v>0.007779780801314473</x:v>
      </x:c>
      <x:c r="AN62" s="65" t="n">
        <x:f>AN61*(1+AM62)</x:f>
        <x:v>1.1992045894655659</x:v>
      </x:c>
      <x:c r="AO62" s="47" t="n">
        <x:f>AJ62*AN62</x:f>
        <x:v>4981.495864639961</x:v>
      </x:c>
      <x:c r="AP62" s="67" t="n">
        <x:f>IF(AI62&gt;0,AO62*1000000/AI62/Economy!Q62,0)</x:f>
        <x:v>0.04663693158076029</x:v>
      </x:c>
      <x:c r="AQ62" s="45" t="n">
        <x:v>12460000</x:v>
      </x:c>
      <x:c r="AR62" s="45" t="n">
        <x:v>273</x:v>
      </x:c>
      <x:c r="AS62" s="68" t="n">
        <x:v>0.47</x:v>
      </x:c>
      <x:c r="AT62" s="47" t="n">
        <x:f>IF(AQ62&gt;0,AR62*1000000/AQ62,0)</x:f>
        <x:v>21.910112359550563</x:v>
      </x:c>
      <x:c r="AU62" s="64" t="n">
        <x:f>IF(AND(AS62&gt;0,AT61&gt;0,B62&gt;0),MIN(conv_cap,conv_beta*1*AS62*MAX(0,LN(B62/(AT61*AV61)))),0)</x:f>
        <x:v>0.01393384926948884</x:v>
      </x:c>
      <x:c r="AV62" s="65" t="n">
        <x:f>AV61*(1+AU62)</x:f>
        <x:v>1.239667262166847</x:v>
      </x:c>
      <x:c r="AW62" s="47" t="n">
        <x:f>AR62*AV62</x:f>
        <x:v>338.4291625715492</x:v>
      </x:c>
      <x:c r="AX62" s="67" t="n">
        <x:f>IF(AQ62&gt;0,AW62*1000000/AQ62/Economy!Q62,0)</x:f>
        <x:v>0.10288351894898501</x:v>
      </x:c>
      <x:c r="AY62" s="45" t="n">
        <x:v>82300000</x:v>
      </x:c>
      <x:c r="AZ62" s="45" t="n">
        <x:v>2154</x:v>
      </x:c>
      <x:c r="BA62" s="68" t="n">
        <x:v>0.108</x:v>
      </x:c>
      <x:c r="BB62" s="47" t="n">
        <x:f>IF(AY62&gt;0,AZ62*1000000/AY62,0)</x:f>
        <x:v>26.172539489671934</x:v>
      </x:c>
      <x:c r="BC62" s="64" t="n">
        <x:f>IF(AND(BA62&gt;0,BB61&gt;0,B62&gt;0),MIN(conv_cap,conv_beta*1*BA62*MAX(0,LN(B62/(BB61*BD61)))),0)</x:f>
        <x:v>0.003177831952406684</x:v>
      </x:c>
      <x:c r="BD62" s="65" t="n">
        <x:f>BD61*(1+BC62)</x:f>
        <x:v>1.050302165519329</x:v>
      </x:c>
      <x:c r="BE62" s="47" t="n">
        <x:f>AZ62*BD62</x:f>
        <x:v>2262.3508645286347</x:v>
      </x:c>
      <x:c r="BF62" s="67" t="n">
        <x:f>IF(AY62&gt;0,BE62*1000000/AY62/Economy!Q62,0)</x:f>
        <x:v>0.10412528372402494</x:v>
      </x:c>
      <x:c r="BG62" s="45" t="n">
        <x:v>31100000</x:v>
      </x:c>
      <x:c r="BH62" s="45" t="n">
        <x:v>2431</x:v>
      </x:c>
      <x:c r="BI62" s="68" t="n">
        <x:v>0.208</x:v>
      </x:c>
      <x:c r="BJ62" s="47" t="n">
        <x:f>IF(BG62&gt;0,BH62*1000000/BG62,0)</x:f>
        <x:v>78.16720257234726</x:v>
      </x:c>
      <x:c r="BK62" s="64" t="n">
        <x:f>IF(AND(BI62&gt;0,BJ61&gt;0,B62&gt;0),MIN(conv_cap,conv_beta*1*BI62*MAX(0,LN(B62/(BJ61*BL61)))),0)</x:f>
        <x:v>0.0038258773363106366</x:v>
      </x:c>
      <x:c r="BL62" s="65" t="n">
        <x:f>BL61*(1+BK62)</x:f>
        <x:v>1.0672901502080159</x:v>
      </x:c>
      <x:c r="BM62" s="47" t="n">
        <x:f>BH62*BL62</x:f>
        <x:v>2594.5823551556864</x:v>
      </x:c>
      <x:c r="BN62" s="67" t="n">
        <x:f>IF(BG62&gt;0,BM62*1000000/BG62/Economy!Q62,0)</x:f>
        <x:v>0.3160116870256853</x:v>
      </x:c>
      <x:c r="BO62" s="45" t="n">
        <x:v>14300000</x:v>
      </x:c>
      <x:c r="BP62" s="45" t="n">
        <x:v>846</x:v>
      </x:c>
      <x:c r="BQ62" s="68" t="n">
        <x:v>0</x:v>
      </x:c>
      <x:c r="BR62" s="47" t="n">
        <x:f>IF(BO62&gt;0,BP62*1000000/BO62,0)</x:f>
        <x:v>59.16083916083916</x:v>
      </x:c>
      <x:c r="BS62" s="64" t="n">
        <x:f>IF(AND(BQ62&gt;0,BR61&gt;0,B62&gt;0),MIN(conv_cap,conv_beta*1*BQ62*MAX(0,LN(B62/(BR61*BT61)))),0)</x:f>
        <x:v>0</x:v>
      </x:c>
      <x:c r="BT62" s="65" t="n">
        <x:f>BT61*(1+BS62)</x:f>
        <x:v>1</x:v>
      </x:c>
      <x:c r="BU62" s="47" t="n">
        <x:f>BP62*BT62</x:f>
        <x:v>846</x:v>
      </x:c>
      <x:c r="BV62" s="67" t="n">
        <x:f>IF(BO62&gt;0,BU62*1000000/BO62/Economy!Q62,0)</x:f>
        <x:v>0.22409408773045136</x:v>
      </x:c>
      <x:c r="BW62" s="65" t="n">
        <x:f>0.25*IF(D62&gt;0,H62,1)+0.15*IF(AJ62&gt;0,AN62,1)+0.03*IF(AR62&gt;0,AV62,1)+0.08*IF(AZ62&gt;0,BD62,1)+0.12*IF(BH62&gt;0,BL62,1)+0.1*IF(L62&gt;0,P62,1)+0.07*IF(T62&gt;0,X62,1)+0.05*IF(AB62&gt;0,AF62,1)+0.05*IF(BP62&gt;0,BT62,1)+0.1</x:f>
        <x:v>1.2213581953549189</x:v>
      </x:c>
      <x:c r="BX62" s="63" t="n">
        <x:f>MIN(mkt_cap,mkt_elast*MAX(0,BW62-1))</x:f>
        <x:v>0.11067909767745943</x:v>
      </x:c>
      <x:c r="BY62" s="47" t="n">
        <x:f>I62+Q62+Y62+AG62</x:f>
        <x:v>3514.9589414617726</x:v>
      </x:c>
      <x:c r="BZ62" s="47" t="n">
        <x:f>D62+L62+T62+AB62</x:f>
        <x:v>2618.48192</x:v>
      </x:c>
      <x:c r="CA62" s="65" t="n">
        <x:f>IF(BZ62&gt;0,BY62/BZ62,0)</x:f>
        <x:v>1.342365175262227</x:v>
      </x:c>
    </x:row>
    <x:row r="63">
      <x:c r="A63" s="58" t="n">
        <x:v>1903</x:v>
      </x:c>
      <x:c r="B63" s="47" t="n">
        <x:f>Economy!P62</x:f>
        <x:v>528.4772905331782</x:v>
      </x:c>
      <x:c r="C63" s="45" t="n">
        <x:v>45680000</x:v>
      </x:c>
      <x:c r="D63" s="62" t="n">
        <x:f>Japan!B63</x:f>
        <x:v>1410</x:v>
      </x:c>
      <x:c r="E63" s="68" t="n">
        <x:v>0.73</x:v>
      </x:c>
      <x:c r="F63" s="47" t="n">
        <x:f>IF(C63&gt;0,D63*1000000/C63,0)</x:f>
        <x:v>30.86690017513135</x:v>
      </x:c>
      <x:c r="G63" s="64" t="n">
        <x:f>IF(AND(E63&gt;0,F62&gt;0,B63&gt;0),MIN(conv_cap,conv_beta*jp_uplift*E63*MAX(0,LN(B63/(F62*H62)))),0)</x:f>
        <x:v>0.017620430623258226</x:v>
      </x:c>
      <x:c r="H63" s="65" t="n">
        <x:f>H62*(1+G63)</x:f>
        <x:v>1.6202977359975803</x:v>
      </x:c>
      <x:c r="I63" s="47" t="n">
        <x:f>D63*H63</x:f>
        <x:v>2284.619807756588</x:v>
      </x:c>
      <x:c r="J63" s="67" t="n">
        <x:f>IF(C63&gt;0,I63*1000000/C63/Economy!Q63,0)</x:f>
        <x:v>0.1838734134964288</x:v>
      </x:c>
      <x:c r="K63" s="62" t="n">
        <x:f>Gulf!B63</x:f>
        <x:v>6670000</x:v>
      </x:c>
      <x:c r="L63" s="47" t="n">
        <x:f>Gulf!B63*Gulf!C63*Economy!Q63/1000000</x:f>
        <x:v>1068.58736</x:v>
      </x:c>
      <x:c r="M63" s="68" t="n">
        <x:v>0.535</x:v>
      </x:c>
      <x:c r="N63" s="47" t="n">
        <x:f>IF(K63&gt;0,L63*1000000/K63,0)</x:f>
        <x:v>160.208</x:v>
      </x:c>
      <x:c r="O63" s="64" t="n">
        <x:f>IF(AND(M63&gt;0,N62&gt;0,B63&gt;0),MIN(conv_cap,conv_beta*1*M63*MAX(0,LN(B63/(N62*P62)))),0)</x:f>
        <x:v>0.006504749571542722</x:v>
      </x:c>
      <x:c r="P63" s="65" t="n">
        <x:f>P62*(1+O63)</x:f>
        <x:v>1.0193129934731935</x:v>
      </x:c>
      <x:c r="Q63" s="47" t="n">
        <x:f>L63*P63</x:f>
        <x:v>1089.224980709217</x:v>
      </x:c>
      <x:c r="R63" s="67" t="n">
        <x:f>IF(K63&gt;0,Q63*1000000/K63/Economy!Q63,0)</x:f>
        <x:v>0.600375353155711</x:v>
      </x:c>
      <x:c r="S63" s="62" t="n">
        <x:f>People!U63</x:f>
        <x:v>7600000</x:v>
      </x:c>
      <x:c r="T63" s="45" t="n">
        <x:v>289</x:v>
      </x:c>
      <x:c r="U63" s="68" t="n">
        <x:v>0.523</x:v>
      </x:c>
      <x:c r="V63" s="47" t="n">
        <x:f>IF(S63&gt;0,T63*1000000/S63,0)</x:f>
        <x:v>38.026315789473685</x:v>
      </x:c>
      <x:c r="W63" s="64" t="n">
        <x:f>IF(AND(U63&gt;0,V62&gt;0,B63&gt;0),MIN(conv_cap,conv_beta*1*U63*MAX(0,LN(B63/(V62*X62)))),0)</x:f>
        <x:v>0.012484043685842104</x:v>
      </x:c>
      <x:c r="X63" s="65" t="n">
        <x:f>X62*(1+W63)</x:f>
        <x:v>1.343067508901197</x:v>
      </x:c>
      <x:c r="Y63" s="47" t="n">
        <x:f>T63*X63</x:f>
        <x:v>388.14651007244595</x:v>
      </x:c>
      <x:c r="Z63" s="67" t="n">
        <x:f>IF(S63&gt;0,Y63*1000000/S63/Economy!Q63,0)</x:f>
        <x:v>0.18776437213256864</x:v>
      </x:c>
      <x:c r="AA63" s="45" t="n">
        <x:v>0</x:v>
      </x:c>
      <x:c r="AB63" s="45" t="n">
        <x:v>0</x:v>
      </x:c>
      <x:c r="AC63" s="68" t="n">
        <x:v>0</x:v>
      </x:c>
      <x:c r="AD63" s="47" t="n">
        <x:f>IF(AA63&gt;0,AB63*1000000/AA63,0)</x:f>
        <x:v>0</x:v>
      </x:c>
      <x:c r="AE63" s="64" t="n">
        <x:f>IF(AND(AC63&gt;0,AD62&gt;0,B63&gt;0),MIN(conv_cap,conv_beta*1*AC63*MAX(0,LN(B63/(AD62*AF62)))),0)</x:f>
        <x:v>0</x:v>
      </x:c>
      <x:c r="AF63" s="65" t="n">
        <x:f>AF62*(1+AE63)</x:f>
        <x:v>1</x:v>
      </x:c>
      <x:c r="AG63" s="47" t="n">
        <x:f>AB63*AF63</x:f>
        <x:v>0</x:v>
      </x:c>
      <x:c r="AH63" s="67" t="n">
        <x:f>IF(AA63&gt;0,AG63*1000000/AA63/Economy!Q63,0)</x:f>
        <x:v>0</x:v>
      </x:c>
      <x:c r="AI63" s="45" t="n">
        <x:v>406900000</x:v>
      </x:c>
      <x:c r="AJ63" s="45" t="n">
        <x:v>4231</x:v>
      </x:c>
      <x:c r="AK63" s="68" t="n">
        <x:v>0.213</x:v>
      </x:c>
      <x:c r="AL63" s="47" t="n">
        <x:f>IF(AI63&gt;0,AJ63*1000000/AI63,0)</x:f>
        <x:v>10.398132219218482</x:v>
      </x:c>
      <x:c r="AM63" s="64" t="n">
        <x:f>IF(AND(AK63&gt;0,AL62&gt;0,B63&gt;0),MIN(conv_cap,conv_beta*1*AK63*MAX(0,LN(B63/(AL62*AN62)))),0)</x:f>
        <x:v>0.008007550244048842</x:v>
      </x:c>
      <x:c r="AN63" s="65" t="n">
        <x:f>AN62*(1+AM63)</x:f>
        <x:v>1.2088072804686054</x:v>
      </x:c>
      <x:c r="AO63" s="47" t="n">
        <x:f>AJ63*AN63</x:f>
        <x:v>5114.46360366267</x:v>
      </x:c>
      <x:c r="AP63" s="67" t="n">
        <x:f>IF(AI63&gt;0,AO63*1000000/AI63/Economy!Q63,0)</x:f>
        <x:v>0.0462108012127444</x:v>
      </x:c>
      <x:c r="AQ63" s="45" t="n">
        <x:v>12690000</x:v>
      </x:c>
      <x:c r="AR63" s="45" t="n">
        <x:v>285</x:v>
      </x:c>
      <x:c r="AS63" s="68" t="n">
        <x:v>0.48</x:v>
      </x:c>
      <x:c r="AT63" s="47" t="n">
        <x:f>IF(AQ63&gt;0,AR63*1000000/AQ63,0)</x:f>
        <x:v>22.458628841607567</x:v>
      </x:c>
      <x:c r="AU63" s="64" t="n">
        <x:f>IF(AND(AS63&gt;0,AT62&gt;0,B63&gt;0),MIN(conv_cap,conv_beta*1*AS63*MAX(0,LN(B63/(AT62*AV62)))),0)</x:f>
        <x:v>0.01424740102201265</x:v>
      </x:c>
      <x:c r="AV63" s="65" t="n">
        <x:f>AV62*(1+AU63)</x:f>
        <x:v>1.2573292987847984</x:v>
      </x:c>
      <x:c r="AW63" s="47" t="n">
        <x:f>AR63*AV63</x:f>
        <x:v>358.3388501536675</x:v>
      </x:c>
      <x:c r="AX63" s="67" t="n">
        <x:f>IF(AQ63&gt;0,AW63*1000000/AQ63/Economy!Q63,0)</x:f>
        <x:v>0.10381577960693561</x:v>
      </x:c>
      <x:c r="AY63" s="45" t="n">
        <x:v>83500000</x:v>
      </x:c>
      <x:c r="AZ63" s="45" t="n">
        <x:v>2231</x:v>
      </x:c>
      <x:c r="BA63" s="68" t="n">
        <x:v>0.112</x:v>
      </x:c>
      <x:c r="BB63" s="47" t="n">
        <x:f>IF(AY63&gt;0,AZ63*1000000/AY63,0)</x:f>
        <x:v>26.718562874251496</x:v>
      </x:c>
      <x:c r="BC63" s="64" t="n">
        <x:f>IF(AND(BA63&gt;0,BB62&gt;0,B63&gt;0),MIN(conv_cap,conv_beta*1*BA63*MAX(0,LN(B63/(BB62*BD62)))),0)</x:f>
        <x:v>0.0033109565274645</x:v>
      </x:c>
      <x:c r="BD63" s="65" t="n">
        <x:f>BD62*(1+BC63)</x:f>
        <x:v>1.0537796703300653</x:v>
      </x:c>
      <x:c r="BE63" s="47" t="n">
        <x:f>AZ63*BD63</x:f>
        <x:v>2350.9824445063755</x:v>
      </x:c>
      <x:c r="BF63" s="67" t="n">
        <x:f>IF(AY63&gt;0,BE63*1000000/AY63/Economy!Q63,0)</x:f>
        <x:v>0.1035127881519186</x:v>
      </x:c>
      <x:c r="BG63" s="45" t="n">
        <x:v>31600000</x:v>
      </x:c>
      <x:c r="BH63" s="45" t="n">
        <x:v>2546</x:v>
      </x:c>
      <x:c r="BI63" s="68" t="n">
        <x:v>0.217</x:v>
      </x:c>
      <x:c r="BJ63" s="47" t="n">
        <x:f>IF(BG63&gt;0,BH63*1000000/BG63,0)</x:f>
        <x:v>80.56962025316456</x:v>
      </x:c>
      <x:c r="BK63" s="64" t="n">
        <x:f>IF(AND(BI63&gt;0,BJ62&gt;0,B63&gt;0),MIN(conv_cap,conv_beta*1*BI63*MAX(0,LN(B63/(BJ62*BL62)))),0)</x:f>
        <x:v>0.0040058781850747915</x:v>
      </x:c>
      <x:c r="BL63" s="65" t="n">
        <x:f>BL62*(1+BK63)</x:f>
        <x:v>1.0715655845378793</x:v>
      </x:c>
      <x:c r="BM63" s="47" t="n">
        <x:f>BH63*BL63</x:f>
        <x:v>2728.205978233441</x:v>
      </x:c>
      <x:c r="BN63" s="67" t="n">
        <x:f>IF(BG63&gt;0,BM63*1000000/BG63/Economy!Q63,0)</x:f>
        <x:v>0.31741041258300456</x:v>
      </x:c>
      <x:c r="BO63" s="45" t="n">
        <x:v>14500000</x:v>
      </x:c>
      <x:c r="BP63" s="45" t="n">
        <x:v>869</x:v>
      </x:c>
      <x:c r="BQ63" s="68" t="n">
        <x:v>0</x:v>
      </x:c>
      <x:c r="BR63" s="47" t="n">
        <x:f>IF(BO63&gt;0,BP63*1000000/BO63,0)</x:f>
        <x:v>59.93103448275862</x:v>
      </x:c>
      <x:c r="BS63" s="64" t="n">
        <x:f>IF(AND(BQ63&gt;0,BR62&gt;0,B63&gt;0),MIN(conv_cap,conv_beta*1*BQ63*MAX(0,LN(B63/(BR62*BT62)))),0)</x:f>
        <x:v>0</x:v>
      </x:c>
      <x:c r="BT63" s="65" t="n">
        <x:f>BT62*(1+BS63)</x:f>
        <x:v>1</x:v>
      </x:c>
      <x:c r="BU63" s="47" t="n">
        <x:f>BP63*BT63</x:f>
        <x:v>869</x:v>
      </x:c>
      <x:c r="BV63" s="67" t="n">
        <x:f>IF(BO63&gt;0,BU63*1000000/BO63/Economy!Q63,0)</x:f>
        <x:v>0.22033468559837727</x:v>
      </x:c>
      <x:c r="BW63" s="65" t="n">
        <x:f>0.25*IF(D63&gt;0,H63,1)+0.15*IF(AJ63&gt;0,AN63,1)+0.03*IF(AR63&gt;0,AV63,1)+0.08*IF(AZ63&gt;0,BD63,1)+0.12*IF(BH63&gt;0,BL63,1)+0.1*IF(L63&gt;0,P63,1)+0.07*IF(T63&gt;0,X63,1)+0.05*IF(AB63&gt;0,AF63,1)+0.05*IF(BP63&gt;0,BT63,1)+0.1</x:f>
        <x:v>1.232951673774584</x:v>
      </x:c>
      <x:c r="BX63" s="63" t="n">
        <x:f>MIN(mkt_cap,mkt_elast*MAX(0,BW63-1))</x:f>
        <x:v>0.11647583688729202</x:v>
      </x:c>
      <x:c r="BY63" s="47" t="n">
        <x:f>I63+Q63+Y63+AG63</x:f>
        <x:v>3761.991298538251</x:v>
      </x:c>
      <x:c r="BZ63" s="47" t="n">
        <x:f>D63+L63+T63+AB63</x:f>
        <x:v>2767.58736</x:v>
      </x:c>
      <x:c r="CA63" s="65" t="n">
        <x:f>IF(BZ63&gt;0,BY63/BZ63,0)</x:f>
        <x:v>1.3593035410229115</x:v>
      </x:c>
    </x:row>
    <x:row r="64">
      <x:c r="A64" s="58" t="n">
        <x:v>1904</x:v>
      </x:c>
      <x:c r="B64" s="47" t="n">
        <x:f>Economy!P63</x:f>
        <x:v>549.8285810857282</x:v>
      </x:c>
      <x:c r="C64" s="45" t="n">
        <x:v>46250000</x:v>
      </x:c>
      <x:c r="D64" s="62" t="n">
        <x:f>Japan!B64</x:f>
        <x:v>1480</x:v>
      </x:c>
      <x:c r="E64" s="68" t="n">
        <x:v>0.74</x:v>
      </x:c>
      <x:c r="F64" s="47" t="n">
        <x:f>IF(C64&gt;0,D64*1000000/C64,0)</x:f>
        <x:v>32</x:v>
      </x:c>
      <x:c r="G64" s="64" t="n">
        <x:f>IF(AND(E64&gt;0,F63&gt;0,B64&gt;0),MIN(conv_cap,conv_beta*jp_uplift*E64*MAX(0,LN(B64/(F63*H63)))),0)</x:f>
        <x:v>0.017740110434357886</x:v>
      </x:c>
      <x:c r="H64" s="65" t="n">
        <x:f>H63*(1+G64)</x:f>
        <x:v>1.6490419967707175</x:v>
      </x:c>
      <x:c r="I64" s="47" t="n">
        <x:f>D64*H64</x:f>
        <x:v>2440.582155220662</x:v>
      </x:c>
      <x:c r="J64" s="67" t="n">
        <x:f>IF(C64&gt;0,I64*1000000/C64/Economy!Q64,0)</x:f>
        <x:v>0.18779125941872943</x:v>
      </x:c>
      <x:c r="K64" s="62" t="n">
        <x:f>Gulf!B64</x:f>
        <x:v>6860000</x:v>
      </x:c>
      <x:c r="L64" s="47" t="n">
        <x:f>Gulf!B64*Gulf!C64*Economy!Q64/1000000</x:f>
        <x:v>1141.17472</x:v>
      </x:c>
      <x:c r="M64" s="68" t="n">
        <x:v>0.546</x:v>
      </x:c>
      <x:c r="N64" s="47" t="n">
        <x:f>IF(K64&gt;0,L64*1000000/K64,0)</x:f>
        <x:v>166.352</x:v>
      </x:c>
      <x:c r="O64" s="64" t="n">
        <x:f>IF(AND(M64&gt;0,N63&gt;0,B64&gt;0),MIN(conv_cap,conv_beta*1*M64*MAX(0,LN(B64/(N63*P63)))),0)</x:f>
        <x:v>0.006628465789600119</x:v>
      </x:c>
      <x:c r="P64" s="65" t="n">
        <x:f>P63*(1+O64)</x:f>
        <x:v>1.0260694747793253</x:v>
      </x:c>
      <x:c r="Q64" s="47" t="n">
        <x:f>L64*P64</x:f>
        <x:v>1170.9245455818436</x:v>
      </x:c>
      <x:c r="R64" s="67" t="n">
        <x:f>IF(K64&gt;0,Q64*1000000/K64/Economy!Q64,0)</x:f>
        <x:v>0.6074331290693606</x:v>
      </x:c>
      <x:c r="S64" s="62" t="n">
        <x:f>People!U64</x:f>
        <x:v>7780000</x:v>
      </x:c>
      <x:c r="T64" s="45" t="n">
        <x:v>302</x:v>
      </x:c>
      <x:c r="U64" s="68" t="n">
        <x:v>0.531</x:v>
      </x:c>
      <x:c r="V64" s="47" t="n">
        <x:f>IF(S64&gt;0,T64*1000000/S64,0)</x:f>
        <x:v>38.81748071979435</x:v>
      </x:c>
      <x:c r="W64" s="64" t="n">
        <x:f>IF(AND(U64&gt;0,V63&gt;0,B64&gt;0),MIN(conv_cap,conv_beta*1*U64*MAX(0,LN(B64/(V63*X63)))),0)</x:f>
        <x:v>0.012618534972500647</x:v>
      </x:c>
      <x:c r="X64" s="65" t="n">
        <x:f>X63*(1+W64)</x:f>
        <x:v>1.360015053232696</x:v>
      </x:c>
      <x:c r="Y64" s="47" t="n">
        <x:f>T64*X64</x:f>
        <x:v>410.7245460762742</x:v>
      </x:c>
      <x:c r="Z64" s="67" t="n">
        <x:f>IF(S64&gt;0,Y64*1000000/S64/Economy!Q64,0)</x:f>
        <x:v>0.18787316052487635</x:v>
      </x:c>
      <x:c r="AA64" s="45" t="n">
        <x:v>0</x:v>
      </x:c>
      <x:c r="AB64" s="45" t="n">
        <x:v>0</x:v>
      </x:c>
      <x:c r="AC64" s="68" t="n">
        <x:v>0</x:v>
      </x:c>
      <x:c r="AD64" s="47" t="n">
        <x:f>IF(AA64&gt;0,AB64*1000000/AA64,0)</x:f>
        <x:v>0</x:v>
      </x:c>
      <x:c r="AE64" s="64" t="n">
        <x:f>IF(AND(AC64&gt;0,AD63&gt;0,B64&gt;0),MIN(conv_cap,conv_beta*1*AC64*MAX(0,LN(B64/(AD63*AF63)))),0)</x:f>
        <x:v>0</x:v>
      </x:c>
      <x:c r="AF64" s="65" t="n">
        <x:f>AF63*(1+AE64)</x:f>
        <x:v>1</x:v>
      </x:c>
      <x:c r="AG64" s="47" t="n">
        <x:f>AB64*AF64</x:f>
        <x:v>0</x:v>
      </x:c>
      <x:c r="AH64" s="67" t="n">
        <x:f>IF(AA64&gt;0,AG64*1000000/AA64/Economy!Q64,0)</x:f>
        <x:v>0</x:v>
      </x:c>
      <x:c r="AI64" s="45" t="n">
        <x:v>409200000</x:v>
      </x:c>
      <x:c r="AJ64" s="45" t="n">
        <x:v>4308</x:v>
      </x:c>
      <x:c r="AK64" s="68" t="n">
        <x:v>0.217</x:v>
      </x:c>
      <x:c r="AL64" s="47" t="n">
        <x:f>IF(AI64&gt;0,AJ64*1000000/AI64,0)</x:f>
        <x:v>10.527859237536656</x:v>
      </x:c>
      <x:c r="AM64" s="64" t="n">
        <x:f>IF(AND(AK64&gt;0,AL63&gt;0,B64&gt;0),MIN(conv_cap,conv_beta*1*AK64*MAX(0,LN(B64/(AL63*AN63)))),0)</x:f>
        <x:v>0.008199011272084514</x:v>
      </x:c>
      <x:c r="AN64" s="65" t="n">
        <x:f>AN63*(1+AM64)</x:f>
        <x:v>1.2187183049869452</x:v>
      </x:c>
      <x:c r="AO64" s="47" t="n">
        <x:f>AJ64*AN64</x:f>
        <x:v>5250.23845788376</x:v>
      </x:c>
      <x:c r="AP64" s="67" t="n">
        <x:f>IF(AI64&gt;0,AO64*1000000/AI64/Economy!Q64,0)</x:f>
        <x:v>0.045660123719259184</x:v>
      </x:c>
      <x:c r="AQ64" s="45" t="n">
        <x:v>12920000</x:v>
      </x:c>
      <x:c r="AR64" s="45" t="n">
        <x:v>296</x:v>
      </x:c>
      <x:c r="AS64" s="68" t="n">
        <x:v>0.49</x:v>
      </x:c>
      <x:c r="AT64" s="47" t="n">
        <x:f>IF(AQ64&gt;0,AR64*1000000/AQ64,0)</x:f>
        <x:v>22.910216718266255</x:v>
      </x:c>
      <x:c r="AU64" s="64" t="n">
        <x:f>IF(AND(AS64&gt;0,AT63&gt;0,B64&gt;0),MIN(conv_cap,conv_beta*1*AS64*MAX(0,LN(B64/(AT63*AV63)))),0)</x:f>
        <x:v>0.014547814786030022</x:v>
      </x:c>
      <x:c r="AV64" s="65" t="n">
        <x:f>AV63*(1+AU64)</x:f>
        <x:v>1.2756206925485687</x:v>
      </x:c>
      <x:c r="AW64" s="47" t="n">
        <x:f>AR64*AV64</x:f>
        <x:v>377.5837249943763</x:v>
      </x:c>
      <x:c r="AX64" s="67" t="n">
        <x:f>IF(AQ64&gt;0,AW64*1000000/AQ64/Economy!Q64,0)</x:f>
        <x:v>0.10400265664267827</x:v>
      </x:c>
      <x:c r="AY64" s="45" t="n">
        <x:v>84600000</x:v>
      </x:c>
      <x:c r="AZ64" s="45" t="n">
        <x:v>2308</x:v>
      </x:c>
      <x:c r="BA64" s="68" t="n">
        <x:v>0.115</x:v>
      </x:c>
      <x:c r="BB64" s="47" t="n">
        <x:f>IF(AY64&gt;0,AZ64*1000000/AY64,0)</x:f>
        <x:v>27.28132387706856</x:v>
      </x:c>
      <x:c r="BC64" s="64" t="n">
        <x:f>IF(AND(BA64&gt;0,BB63&gt;0,B64&gt;0),MIN(conv_cap,conv_beta*1*BA64*MAX(0,LN(B64/(BB63*BD63)))),0)</x:f>
        <x:v>0.003417644300906324</x:v>
      </x:c>
      <x:c r="BD64" s="65" t="n">
        <x:f>BD63*(1+BC64)</x:f>
        <x:v>1.0573811144147798</x:v>
      </x:c>
      <x:c r="BE64" s="47" t="n">
        <x:f>AZ64*BD64</x:f>
        <x:v>2440.435612069312</x:v>
      </x:c>
      <x:c r="BF64" s="67" t="n">
        <x:f>IF(AY64&gt;0,BE64*1000000/AY64/Economy!Q64,0)</x:f>
        <x:v>0.10265749695318611</x:v>
      </x:c>
      <x:c r="BG64" s="45" t="n">
        <x:v>32200000</x:v>
      </x:c>
      <x:c r="BH64" s="45" t="n">
        <x:v>2662</x:v>
      </x:c>
      <x:c r="BI64" s="68" t="n">
        <x:v>0.225</x:v>
      </x:c>
      <x:c r="BJ64" s="47" t="n">
        <x:f>IF(BG64&gt;0,BH64*1000000/BG64,0)</x:f>
        <x:v>82.67080745341615</x:v>
      </x:c>
      <x:c r="BK64" s="64" t="n">
        <x:f>IF(AND(BI64&gt;0,BJ63&gt;0,B64&gt;0),MIN(conv_cap,conv_beta*1*BI64*MAX(0,LN(B64/(BJ63*BL63)))),0)</x:f>
        <x:v>0.0041655693558515046</x:v>
      </x:c>
      <x:c r="BL64" s="65" t="n">
        <x:f>BL63*(1+BK64)</x:f>
        <x:v>1.0760292652996155</x:v>
      </x:c>
      <x:c r="BM64" s="47" t="n">
        <x:f>BH64*BL64</x:f>
        <x:v>2864.3899042275766</x:v>
      </x:c>
      <x:c r="BN64" s="67" t="n">
        <x:f>IF(BG64&gt;0,BM64*1000000/BG64/Economy!Q64,0)</x:f>
        <x:v>0.3165701359637913</x:v>
      </x:c>
      <x:c r="BO64" s="45" t="n">
        <x:v>14600000</x:v>
      </x:c>
      <x:c r="BP64" s="45" t="n">
        <x:v>892</x:v>
      </x:c>
      <x:c r="BQ64" s="68" t="n">
        <x:v>0</x:v>
      </x:c>
      <x:c r="BR64" s="47" t="n">
        <x:f>IF(BO64&gt;0,BP64*1000000/BO64,0)</x:f>
        <x:v>61.0958904109589</x:v>
      </x:c>
      <x:c r="BS64" s="64" t="n">
        <x:f>IF(AND(BQ64&gt;0,BR63&gt;0,B64&gt;0),MIN(conv_cap,conv_beta*1*BQ64*MAX(0,LN(B64/(BR63*BT63)))),0)</x:f>
        <x:v>0</x:v>
      </x:c>
      <x:c r="BT64" s="65" t="n">
        <x:f>BT63*(1+BS64)</x:f>
        <x:v>1</x:v>
      </x:c>
      <x:c r="BU64" s="47" t="n">
        <x:f>BP64*BT64</x:f>
        <x:v>892</x:v>
      </x:c>
      <x:c r="BV64" s="67" t="n">
        <x:f>IF(BO64&gt;0,BU64*1000000/BO64/Economy!Q64,0)</x:f>
        <x:v>0.21742309754789646</x:v>
      </x:c>
      <x:c r="BW64" s="65" t="n">
        <x:f>0.25*IF(D64&gt;0,H64,1)+0.15*IF(AJ64&gt;0,AN64,1)+0.03*IF(AR64&gt;0,AV64,1)+0.08*IF(AZ64&gt;0,BD64,1)+0.12*IF(BH64&gt;0,BL64,1)+0.1*IF(L64&gt;0,P64,1)+0.07*IF(T64&gt;0,X64,1)+0.05*IF(AB64&gt;0,AF64,1)+0.05*IF(BP64&gt;0,BT64,1)+0.1</x:f>
        <x:v>1.244858867910536</x:v>
      </x:c>
      <x:c r="BX64" s="63" t="n">
        <x:f>MIN(mkt_cap,mkt_elast*MAX(0,BW64-1))</x:f>
        <x:v>0.12242943395526795</x:v>
      </x:c>
      <x:c r="BY64" s="47" t="n">
        <x:f>I64+Q64+Y64+AG64</x:f>
        <x:v>4022.23124687878</x:v>
      </x:c>
      <x:c r="BZ64" s="47" t="n">
        <x:f>D64+L64+T64+AB64</x:f>
        <x:v>2923.17472</x:v>
      </x:c>
      <x:c r="CA64" s="65" t="n">
        <x:f>IF(BZ64&gt;0,BY64/BZ64,0)</x:f>
        <x:v>1.375980443234943</x:v>
      </x:c>
    </x:row>
    <x:row r="65">
      <x:c r="A65" s="58" t="n">
        <x:v>1905</x:v>
      </x:c>
      <x:c r="B65" s="47" t="n">
        <x:f>Economy!P64</x:f>
        <x:v>571.5880144813622</x:v>
      </x:c>
      <x:c r="C65" s="45" t="n">
        <x:v>46810000</x:v>
      </x:c>
      <x:c r="D65" s="62" t="n">
        <x:f>Japan!B65</x:f>
        <x:v>1550</x:v>
      </x:c>
      <x:c r="E65" s="68" t="n">
        <x:v>0.75</x:v>
      </x:c>
      <x:c r="F65" s="47" t="n">
        <x:f>IF(C65&gt;0,D65*1000000/C65,0)</x:f>
        <x:v>33.11258278145695</x:v>
      </x:c>
      <x:c r="G65" s="64" t="n">
        <x:f>IF(AND(E65&gt;0,F64&gt;0,B65&gt;0),MIN(conv_cap,conv_beta*jp_uplift*E65*MAX(0,LN(B65/(F64*H64)))),0)</x:f>
        <x:v>0.017868660475443027</x:v>
      </x:c>
      <x:c r="H65" s="65" t="n">
        <x:f>H64*(1+G65)</x:f>
        <x:v>1.67850816832076</x:v>
      </x:c>
      <x:c r="I65" s="47" t="n">
        <x:f>D65*H65</x:f>
        <x:v>2601.6876608971784</x:v>
      </x:c>
      <x:c r="J65" s="67" t="n">
        <x:f>IF(C65&gt;0,I65*1000000/C65/Economy!Q65,0)</x:f>
        <x:v>0.19165427818232017</x:v>
      </x:c>
      <x:c r="K65" s="62" t="n">
        <x:f>Gulf!B65</x:f>
        <x:v>7050000</x:v>
      </x:c>
      <x:c r="L65" s="47" t="n">
        <x:f>Gulf!B65*Gulf!C65*Economy!Q65/1000000</x:f>
        <x:v>1216.4775</x:v>
      </x:c>
      <x:c r="M65" s="68" t="n">
        <x:v>0.5580000000000001</x:v>
      </x:c>
      <x:c r="N65" s="47" t="n">
        <x:f>IF(K65&gt;0,L65*1000000/K65,0)</x:f>
        <x:v>172.55</x:v>
      </x:c>
      <x:c r="O65" s="64" t="n">
        <x:f>IF(AND(M65&gt;0,N64&gt;0,B65&gt;0),MIN(conv_cap,conv_beta*1*M65*MAX(0,LN(B65/(N64*P64)))),0)</x:f>
        <x:v>0.006743859624105031</x:v>
      </x:c>
      <x:c r="P65" s="65" t="n">
        <x:f>P64*(1+O65)</x:f>
        <x:v>1.0329891432818161</x:v>
      </x:c>
      <x:c r="Q65" s="47" t="n">
        <x:f>L65*P65</x:f>
        <x:v>1256.6080505466055</x:v>
      </x:c>
      <x:c r="R65" s="67" t="n">
        <x:f>IF(K65&gt;0,Q65*1000000/K65/Economy!Q65,0)</x:f>
        <x:v>0.6146285402526805</x:v>
      </x:c>
      <x:c r="S65" s="62" t="n">
        <x:f>People!U65</x:f>
        <x:v>7960000</x:v>
      </x:c>
      <x:c r="T65" s="45" t="n">
        <x:v>315</x:v>
      </x:c>
      <x:c r="U65" s="68" t="n">
        <x:v>0.538</x:v>
      </x:c>
      <x:c r="V65" s="47" t="n">
        <x:f>IF(S65&gt;0,T65*1000000/S65,0)</x:f>
        <x:v>39.57286432160804</x:v>
      </x:c>
      <x:c r="W65" s="64" t="n">
        <x:f>IF(AND(U65&gt;0,V64&gt;0,B65&gt;0),MIN(conv_cap,conv_beta*1*U65*MAX(0,LN(B65/(V64*X64)))),0)</x:f>
        <x:v>0.012815439921636935</x:v>
      </x:c>
      <x:c r="X65" s="65" t="n">
        <x:f>X64*(1+W65)</x:f>
        <x:v>1.3774442444399215</x:v>
      </x:c>
      <x:c r="Y65" s="47" t="n">
        <x:f>T65*X65</x:f>
        <x:v>433.8949369985753</x:v>
      </x:c>
      <x:c r="Z65" s="67" t="n">
        <x:f>IF(S65&gt;0,Y65*1000000/S65/Economy!Q65,0)</x:f>
        <x:v>0.18796349722689973</x:v>
      </x:c>
      <x:c r="AA65" s="45" t="n">
        <x:v>0</x:v>
      </x:c>
      <x:c r="AB65" s="45" t="n">
        <x:v>0</x:v>
      </x:c>
      <x:c r="AC65" s="68" t="n">
        <x:v>0</x:v>
      </x:c>
      <x:c r="AD65" s="47" t="n">
        <x:f>IF(AA65&gt;0,AB65*1000000/AA65,0)</x:f>
        <x:v>0</x:v>
      </x:c>
      <x:c r="AE65" s="64" t="n">
        <x:f>IF(AND(AC65&gt;0,AD64&gt;0,B65&gt;0),MIN(conv_cap,conv_beta*1*AC65*MAX(0,LN(B65/(AD64*AF64)))),0)</x:f>
        <x:v>0</x:v>
      </x:c>
      <x:c r="AF65" s="65" t="n">
        <x:f>AF64*(1+AE65)</x:f>
        <x:v>1</x:v>
      </x:c>
      <x:c r="AG65" s="47" t="n">
        <x:f>AB65*AF65</x:f>
        <x:v>0</x:v>
      </x:c>
      <x:c r="AH65" s="67" t="n">
        <x:f>IF(AA65&gt;0,AG65*1000000/AA65/Economy!Q65,0)</x:f>
        <x:v>0</x:v>
      </x:c>
      <x:c r="AI65" s="45" t="n">
        <x:v>411500000</x:v>
      </x:c>
      <x:c r="AJ65" s="45" t="n">
        <x:v>4385</x:v>
      </x:c>
      <x:c r="AK65" s="68" t="n">
        <x:v>0.221</x:v>
      </x:c>
      <x:c r="AL65" s="47" t="n">
        <x:f>IF(AI65&gt;0,AJ65*1000000/AI65,0)</x:f>
        <x:v>10.656136087484812</x:v>
      </x:c>
      <x:c r="AM65" s="64" t="n">
        <x:f>IF(AND(AK65&gt;0,AL64&gt;0,B65&gt;0),MIN(conv_cap,conv_beta*1*AK65*MAX(0,LN(B65/(AL64*AN64)))),0)</x:f>
        <x:v>0.008390472157538508</x:v>
      </x:c>
      <x:c r="AN65" s="65" t="n">
        <x:f>AN64*(1+AM65)</x:f>
        <x:v>1.2289439269928206</x:v>
      </x:c>
      <x:c r="AO65" s="47" t="n">
        <x:f>AJ65*AN65</x:f>
        <x:v>5388.919119863518</x:v>
      </x:c>
      <x:c r="AP65" s="67" t="n">
        <x:f>IF(AI65&gt;0,AO65*1000000/AI65/Economy!Q65,0)</x:f>
        <x:v>0.04515790941352929</x:v>
      </x:c>
      <x:c r="AQ65" s="45" t="n">
        <x:v>13150000</x:v>
      </x:c>
      <x:c r="AR65" s="45" t="n">
        <x:v>308</x:v>
      </x:c>
      <x:c r="AS65" s="68" t="n">
        <x:v>0.5</x:v>
      </x:c>
      <x:c r="AT65" s="47" t="n">
        <x:f>IF(AQ65&gt;0,AR65*1000000/AQ65,0)</x:f>
        <x:v>23.422053231939163</x:v>
      </x:c>
      <x:c r="AU65" s="64" t="n">
        <x:f>IF(AND(AS65&gt;0,AT64&gt;0,B65&gt;0),MIN(conv_cap,conv_beta*1*AS65*MAX(0,LN(B65/(AT64*AV64)))),0)</x:f>
        <x:v>0.014867013218304538</x:v>
      </x:c>
      <x:c r="AV65" s="65" t="n">
        <x:f>AV64*(1+AU65)</x:f>
        <x:v>1.294585362246231</x:v>
      </x:c>
      <x:c r="AW65" s="47" t="n">
        <x:f>AR65*AV65</x:f>
        <x:v>398.7322915718392</x:v>
      </x:c>
      <x:c r="AX65" s="67" t="n">
        <x:f>IF(AQ65&gt;0,AW65*1000000/AQ65/Economy!Q65,0)</x:f>
        <x:v>0.10455809402696715</x:v>
      </x:c>
      <x:c r="AY65" s="45" t="n">
        <x:v>85800000</x:v>
      </x:c>
      <x:c r="AZ65" s="45" t="n">
        <x:v>2385</x:v>
      </x:c>
      <x:c r="BA65" s="68" t="n">
        <x:v>0.119</x:v>
      </x:c>
      <x:c r="BB65" s="47" t="n">
        <x:f>IF(AY65&gt;0,AZ65*1000000/AY65,0)</x:f>
        <x:v>27.797202797202797</x:v>
      </x:c>
      <x:c r="BC65" s="64" t="n">
        <x:f>IF(AND(BA65&gt;0,BB64&gt;0,B65&gt;0),MIN(conv_cap,conv_beta*1*BA65*MAX(0,LN(B65/(BB64*BD64)))),0)</x:f>
        <x:v>0.0035538408855079976</x:v>
      </x:c>
      <x:c r="BD65" s="65" t="n">
        <x:f>BD64*(1+BC65)</x:f>
        <x:v>1.061138878650751</x:v>
      </x:c>
      <x:c r="BE65" s="47" t="n">
        <x:f>AZ65*BD65</x:f>
        <x:v>2530.816225582041</x:v>
      </x:c>
      <x:c r="BF65" s="67" t="n">
        <x:f>IF(AY65&gt;0,BE65*1000000/AY65/Economy!Q65,0)</x:f>
        <x:v>0.10171273312362517</x:v>
      </x:c>
      <x:c r="BG65" s="45" t="n">
        <x:v>32700000</x:v>
      </x:c>
      <x:c r="BH65" s="45" t="n">
        <x:v>2777</x:v>
      </x:c>
      <x:c r="BI65" s="68" t="n">
        <x:v>0.233</x:v>
      </x:c>
      <x:c r="BJ65" s="47" t="n">
        <x:f>IF(BG65&gt;0,BH65*1000000/BG65,0)</x:f>
        <x:v>84.92354740061162</x:v>
      </x:c>
      <x:c r="BK65" s="64" t="n">
        <x:f>IF(AND(BI65&gt;0,BJ64&gt;0,B65&gt;0),MIN(conv_cap,conv_beta*1*BI65*MAX(0,LN(B65/(BJ64*BL64)))),0)</x:f>
        <x:v>0.00433443905250297</x:v>
      </x:c>
      <x:c r="BL65" s="65" t="n">
        <x:f>BL64*(1+BK65)</x:f>
        <x:v>1.0806932485687661</x:v>
      </x:c>
      <x:c r="BM65" s="47" t="n">
        <x:f>BH65*BL65</x:f>
        <x:v>3001.0851512754634</x:v>
      </x:c>
      <x:c r="BN65" s="67" t="n">
        <x:f>IF(BG65&gt;0,BM65*1000000/BG65/Economy!Q65,0)</x:f>
        <x:v>0.31647001489776055</x:v>
      </x:c>
      <x:c r="BO65" s="45" t="n">
        <x:v>14800000</x:v>
      </x:c>
      <x:c r="BP65" s="45" t="n">
        <x:v>915</x:v>
      </x:c>
      <x:c r="BQ65" s="68" t="n">
        <x:v>0.05</x:v>
      </x:c>
      <x:c r="BR65" s="47" t="n">
        <x:f>IF(BO65&gt;0,BP65*1000000/BO65,0)</x:f>
        <x:v>61.82432432432432</x:v>
      </x:c>
      <x:c r="BS65" s="64" t="n">
        <x:f>IF(AND(BQ65&gt;0,BR64&gt;0,B65&gt;0),MIN(conv_cap,conv_beta*1*BQ65*MAX(0,LN(B65/(BR64*BT64)))),0)</x:f>
        <x:v>0.0011179869368015242</x:v>
      </x:c>
      <x:c r="BT65" s="65" t="n">
        <x:f>BT64*(1+BS65)</x:f>
        <x:v>1.0011179869368014</x:v>
      </x:c>
      <x:c r="BU65" s="47" t="n">
        <x:f>BP65*BT65</x:f>
        <x:v>916.0229580471733</x:v>
      </x:c>
      <x:c r="BV65" s="67" t="n">
        <x:f>IF(BO65&gt;0,BU65*1000000/BO65/Economy!Q65,0)</x:f>
        <x:v>0.21342566590101897</x:v>
      </x:c>
      <x:c r="BW65" s="65" t="n">
        <x:f>0.25*IF(D65&gt;0,H65,1)+0.15*IF(AJ65&gt;0,AN65,1)+0.03*IF(AR65&gt;0,AV65,1)+0.08*IF(AZ65&gt;0,BD65,1)+0.12*IF(BH65&gt;0,BL65,1)+0.1*IF(L65&gt;0,P65,1)+0.07*IF(T65&gt;0,X65,1)+0.05*IF(AB65&gt;0,AF65,1)+0.05*IF(BP65&gt;0,BT65,1)+0.1</x:f>
        <x:v>1.2571564029026283</x:v>
      </x:c>
      <x:c r="BX65" s="63" t="n">
        <x:f>MIN(mkt_cap,mkt_elast*MAX(0,BW65-1))</x:f>
        <x:v>0.12857820145131416</x:v>
      </x:c>
      <x:c r="BY65" s="47" t="n">
        <x:f>I65+Q65+Y65+AG65</x:f>
        <x:v>4292.19064844236</x:v>
      </x:c>
      <x:c r="BZ65" s="47" t="n">
        <x:f>D65+L65+T65+AB65</x:f>
        <x:v>3081.4775</x:v>
      </x:c>
      <x:c r="CA65" s="65" t="n">
        <x:f>IF(BZ65&gt;0,BY65/BZ65,0)</x:f>
        <x:v>1.392900207268221</x:v>
      </x:c>
    </x:row>
    <x:row r="66">
      <x:c r="A66" s="58" t="n">
        <x:v>1906</x:v>
      </x:c>
      <x:c r="B66" s="47" t="n">
        <x:f>Economy!P65</x:f>
        <x:v>592.4952285868463</x:v>
      </x:c>
      <x:c r="C66" s="45" t="n">
        <x:v>47370000</x:v>
      </x:c>
      <x:c r="D66" s="62" t="n">
        <x:f>Japan!B66</x:f>
        <x:v>1632</x:v>
      </x:c>
      <x:c r="E66" s="68" t="n">
        <x:v>0.756</x:v>
      </x:c>
      <x:c r="F66" s="47" t="n">
        <x:f>IF(C66&gt;0,D66*1000000/C66,0)</x:f>
        <x:v>34.45218492716909</x:v>
      </x:c>
      <x:c r="G66" s="64" t="n">
        <x:f>IF(AND(E66&gt;0,F65&gt;0,B66&gt;0),MIN(conv_cap,conv_beta*jp_uplift*E66*MAX(0,LN(B66/(F65*H65)))),0)</x:f>
        <x:v>0.017890921904869905</x:v>
      </x:c>
      <x:c r="H66" s="65" t="n">
        <x:f>H65*(1+G66)</x:f>
        <x:v>1.7085382268768732</x:v>
      </x:c>
      <x:c r="I66" s="47" t="n">
        <x:f>D66*H66</x:f>
        <x:v>2788.3343862630572</x:v>
      </x:c>
      <x:c r="J66" s="67" t="n">
        <x:f>IF(C66&gt;0,I66*1000000/C66/Economy!Q66,0)</x:f>
        <x:v>0.19299303261475287</x:v>
      </x:c>
      <x:c r="K66" s="62" t="n">
        <x:f>Gulf!B66</x:f>
        <x:v>7240000</x:v>
      </x:c>
      <x:c r="L66" s="47" t="n">
        <x:f>Gulf!B66*Gulf!C66*Economy!Q66/1000000</x:f>
        <x:v>1320.5036</x:v>
      </x:c>
      <x:c r="M66" s="68" t="n">
        <x:v>0.569</x:v>
      </x:c>
      <x:c r="N66" s="47" t="n">
        <x:f>IF(K66&gt;0,L66*1000000/K66,0)</x:f>
        <x:v>182.39</x:v>
      </x:c>
      <x:c r="O66" s="64" t="n">
        <x:f>IF(AND(M66&gt;0,N65&gt;0,B66&gt;0),MIN(conv_cap,conv_beta*1*M66*MAX(0,LN(B66/(N65*P65)))),0)</x:f>
        <x:v>0.006834822823376557</x:v>
      </x:c>
      <x:c r="P66" s="65" t="n">
        <x:f>P65*(1+O66)</x:f>
        <x:v>1.0400494410546188</x:v>
      </x:c>
      <x:c r="Q66" s="47" t="n">
        <x:f>L66*P66</x:f>
        <x:v>1373.389031090612</x:v>
      </x:c>
      <x:c r="R66" s="67" t="n">
        <x:f>IF(K66&gt;0,Q66*1000000/K66/Economy!Q66,0)</x:f>
        <x:v>0.6219495657506621</x:v>
      </x:c>
      <x:c r="S66" s="62" t="n">
        <x:f>People!U66</x:f>
        <x:v>8140000</x:v>
      </x:c>
      <x:c r="T66" s="45" t="n">
        <x:v>328</x:v>
      </x:c>
      <x:c r="U66" s="68" t="n">
        <x:v>0.546</x:v>
      </x:c>
      <x:c r="V66" s="47" t="n">
        <x:f>IF(S66&gt;0,T66*1000000/S66,0)</x:f>
        <x:v>40.29484029484029</x:v>
      </x:c>
      <x:c r="W66" s="64" t="n">
        <x:f>IF(AND(U66&gt;0,V65&gt;0,B66&gt;0),MIN(conv_cap,conv_beta*1*U66*MAX(0,LN(B66/(V65*X65)))),0)</x:f>
        <x:v>0.013027392900355256</x:v>
      </x:c>
      <x:c r="X66" s="65" t="n">
        <x:f>X65*(1+W66)</x:f>
        <x:v>1.3953887518105734</x:v>
      </x:c>
      <x:c r="Y66" s="47" t="n">
        <x:f>T66*X66</x:f>
        <x:v>457.68751059386807</x:v>
      </x:c>
      <x:c r="Z66" s="67" t="n">
        <x:f>IF(S66&gt;0,Y66*1000000/S66/Economy!Q66,0)</x:f>
        <x:v>0.1843507111587659</x:v>
      </x:c>
      <x:c r="AA66" s="45" t="n">
        <x:v>0</x:v>
      </x:c>
      <x:c r="AB66" s="45" t="n">
        <x:v>0</x:v>
      </x:c>
      <x:c r="AC66" s="68" t="n">
        <x:v>0</x:v>
      </x:c>
      <x:c r="AD66" s="47" t="n">
        <x:f>IF(AA66&gt;0,AB66*1000000/AA66,0)</x:f>
        <x:v>0</x:v>
      </x:c>
      <x:c r="AE66" s="64" t="n">
        <x:f>IF(AND(AC66&gt;0,AD65&gt;0,B66&gt;0),MIN(conv_cap,conv_beta*1*AC66*MAX(0,LN(B66/(AD65*AF65)))),0)</x:f>
        <x:v>0</x:v>
      </x:c>
      <x:c r="AF66" s="65" t="n">
        <x:f>AF65*(1+AE66)</x:f>
        <x:v>1</x:v>
      </x:c>
      <x:c r="AG66" s="47" t="n">
        <x:f>AB66*AF66</x:f>
        <x:v>0</x:v>
      </x:c>
      <x:c r="AH66" s="67" t="n">
        <x:f>IF(AA66&gt;0,AG66*1000000/AA66/Economy!Q66,0)</x:f>
        <x:v>0</x:v>
      </x:c>
      <x:c r="AI66" s="45" t="n">
        <x:v>413800000</x:v>
      </x:c>
      <x:c r="AJ66" s="45" t="n">
        <x:v>4462</x:v>
      </x:c>
      <x:c r="AK66" s="68" t="n">
        <x:v>0.225</x:v>
      </x:c>
      <x:c r="AL66" s="47" t="n">
        <x:f>IF(AI66&gt;0,AJ66*1000000/AI66,0)</x:f>
        <x:v>10.782986950217497</x:v>
      </x:c>
      <x:c r="AM66" s="64" t="n">
        <x:f>IF(AND(AK66&gt;0,AL65&gt;0,B66&gt;0),MIN(conv_cap,conv_beta*1*AK66*MAX(0,LN(B66/(AL65*AN65)))),0)</x:f>
        <x:v>0.008577116393919308</x:v>
      </x:c>
      <x:c r="AN66" s="65" t="n">
        <x:f>AN65*(1+AM66)</x:f>
        <x:v>1.2394847220962382</x:v>
      </x:c>
      <x:c r="AO66" s="47" t="n">
        <x:f>AJ66*AN66</x:f>
        <x:v>5530.580829993415</x:v>
      </x:c>
      <x:c r="AP66" s="67" t="n">
        <x:f>IF(AI66&gt;0,AO66*1000000/AI66/Economy!Q66,0)</x:f>
        <x:v>0.04382081174871376</x:v>
      </x:c>
      <x:c r="AQ66" s="45" t="n">
        <x:v>13380000</x:v>
      </x:c>
      <x:c r="AR66" s="45" t="n">
        <x:v>319</x:v>
      </x:c>
      <x:c r="AS66" s="68" t="n">
        <x:v>0.504</x:v>
      </x:c>
      <x:c r="AT66" s="47" t="n">
        <x:f>IF(AQ66&gt;0,AR66*1000000/AQ66,0)</x:f>
        <x:v>23.84155455904335</x:v>
      </x:c>
      <x:c r="AU66" s="64" t="n">
        <x:f>IF(AND(AS66&gt;0,AT65&gt;0,B66&gt;0),MIN(conv_cap,conv_beta*1*AS66*MAX(0,LN(B66/(AT65*AV65)))),0)</x:f>
        <x:v>0.0149812706500175</x:v>
      </x:c>
      <x:c r="AV66" s="65" t="n">
        <x:f>AV65*(1+AU66)</x:f>
        <x:v>1.3139798959375928</x:v>
      </x:c>
      <x:c r="AW66" s="47" t="n">
        <x:f>AR66*AV66</x:f>
        <x:v>419.1595868040921</x:v>
      </x:c>
      <x:c r="AX66" s="67" t="n">
        <x:f>IF(AQ66&gt;0,AW66*1000000/AQ66/Economy!Q66,0)</x:f>
        <x:v>0.10271253566715483</x:v>
      </x:c>
      <x:c r="AY66" s="45" t="n">
        <x:v>86900000</x:v>
      </x:c>
      <x:c r="AZ66" s="45" t="n">
        <x:v>2462</x:v>
      </x:c>
      <x:c r="BA66" s="68" t="n">
        <x:v>0.123</x:v>
      </x:c>
      <x:c r="BB66" s="47" t="n">
        <x:f>IF(AY66&gt;0,AZ66*1000000/AY66,0)</x:f>
        <x:v>28.331415420023013</x:v>
      </x:c>
      <x:c r="BC66" s="64" t="n">
        <x:f>IF(AND(BA66&gt;0,BB65&gt;0,B66&gt;0),MIN(conv_cap,conv_beta*1*BA66*MAX(0,LN(B66/(BB65*BD65)))),0)</x:f>
        <x:v>0.0036900795538838587</x:v>
      </x:c>
      <x:c r="BD66" s="65" t="n">
        <x:f>BD65*(1+BC66)</x:f>
        <x:v>1.0650545655306913</x:v>
      </x:c>
      <x:c r="BE66" s="47" t="n">
        <x:f>AZ66*BD66</x:f>
        <x:v>2622.164340336562</x:v>
      </x:c>
      <x:c r="BF66" s="67" t="n">
        <x:f>IF(AY66&gt;0,BE66*1000000/AY66/Economy!Q66,0)</x:f>
        <x:v>0.09893279783948243</x:v>
      </x:c>
      <x:c r="BG66" s="45" t="n">
        <x:v>33200000</x:v>
      </x:c>
      <x:c r="BH66" s="45" t="n">
        <x:v>2892</x:v>
      </x:c>
      <x:c r="BI66" s="68" t="n">
        <x:v>0.242</x:v>
      </x:c>
      <x:c r="BJ66" s="47" t="n">
        <x:f>IF(BG66&gt;0,BH66*1000000/BG66,0)</x:f>
        <x:v>87.10843373493977</x:v>
      </x:c>
      <x:c r="BK66" s="64" t="n">
        <x:f>IF(AND(BI66&gt;0,BJ65&gt;0,B66&gt;0),MIN(conv_cap,conv_beta*1*BI66*MAX(0,LN(B66/(BJ65*BL65)))),0)</x:f>
        <x:v>0.004513272602027778</x:v>
      </x:c>
      <x:c r="BL66" s="65" t="n">
        <x:f>BL65*(1+BK66)</x:f>
        <x:v>1.085570711798728</x:v>
      </x:c>
      <x:c r="BM66" s="47" t="n">
        <x:f>BH66*BL66</x:f>
        <x:v>3139.470498521922</x:v>
      </x:c>
      <x:c r="BN66" s="67" t="n">
        <x:f>IF(BG66&gt;0,BM66*1000000/BG66/Economy!Q66,0)</x:f>
        <x:v>0.3100405390600357</x:v>
      </x:c>
      <x:c r="BO66" s="45" t="n">
        <x:v>14900000</x:v>
      </x:c>
      <x:c r="BP66" s="45" t="n">
        <x:v>938</x:v>
      </x:c>
      <x:c r="BQ66" s="68" t="n">
        <x:v>0.056</x:v>
      </x:c>
      <x:c r="BR66" s="47" t="n">
        <x:f>IF(BO66&gt;0,BP66*1000000/BO66,0)</x:f>
        <x:v>62.95302013422819</x:v>
      </x:c>
      <x:c r="BS66" s="64" t="n">
        <x:f>IF(AND(BQ66&gt;0,BR65&gt;0,B66&gt;0),MIN(conv_cap,conv_beta*1*BQ66*MAX(0,LN(B66/(BR65*BT65)))),0)</x:f>
        <x:v>0.0012650000008792293</x:v>
      </x:c>
      <x:c r="BT66" s="65" t="n">
        <x:f>BT65*(1+BS66)</x:f>
        <x:v>1.0023844011911567</x:v>
      </x:c>
      <x:c r="BU66" s="47" t="n">
        <x:f>BP66*BT66</x:f>
        <x:v>940.236568317305</x:v>
      </x:c>
      <x:c r="BV66" s="67" t="n">
        <x:f>IF(BO66&gt;0,BU66*1000000/BO66/Economy!Q66,0)</x:f>
        <x:v>0.2068954930833546</x:v>
      </x:c>
      <x:c r="BW66" s="65" t="n">
        <x:f>0.25*IF(D66&gt;0,H66,1)+0.15*IF(AJ66&gt;0,AN66,1)+0.03*IF(AR66&gt;0,AV66,1)+0.08*IF(AZ66&gt;0,BD66,1)+0.12*IF(BH66&gt;0,BL66,1)+0.1*IF(L66&gt;0,P66,1)+0.07*IF(T66&gt;0,X66,1)+0.05*IF(AB66&gt;0,AF66,1)+0.05*IF(BP66&gt;0,BT66,1)+0.1</x:f>
        <x:v>1.2697508893618445</x:v>
      </x:c>
      <x:c r="BX66" s="63" t="n">
        <x:f>MIN(mkt_cap,mkt_elast*MAX(0,BW66-1))</x:f>
        <x:v>0.13487544468092227</x:v>
      </x:c>
      <x:c r="BY66" s="47" t="n">
        <x:f>I66+Q66+Y66+AG66</x:f>
        <x:v>4619.410927947537</x:v>
      </x:c>
      <x:c r="BZ66" s="47" t="n">
        <x:f>D66+L66+T66+AB66</x:f>
        <x:v>3280.5036</x:v>
      </x:c>
      <x:c r="CA66" s="65" t="n">
        <x:f>IF(BZ66&gt;0,BY66/BZ66,0)</x:f>
        <x:v>1.4081407890994349</x:v>
      </x:c>
    </x:row>
    <x:row r="67">
      <x:c r="A67" s="58" t="n">
        <x:v>1907</x:v>
      </x:c>
      <x:c r="B67" s="47" t="n">
        <x:f>Economy!P66</x:f>
        <x:v>622.5535017598587</x:v>
      </x:c>
      <x:c r="C67" s="45" t="n">
        <x:v>47930000</x:v>
      </x:c>
      <x:c r="D67" s="62" t="n">
        <x:f>Japan!B67</x:f>
        <x:v>1714</x:v>
      </x:c>
      <x:c r="E67" s="68" t="n">
        <x:v>0.761</x:v>
      </x:c>
      <x:c r="F67" s="47" t="n">
        <x:f>IF(C67&gt;0,D67*1000000/C67,0)</x:f>
        <x:v>35.76048403922387</x:v>
      </x:c>
      <x:c r="G67" s="64" t="n">
        <x:f>IF(AND(E67&gt;0,F66&gt;0,B67&gt;0),MIN(conv_cap,conv_beta*jp_uplift*E67*MAX(0,LN(B67/(F66*H66)))),0)</x:f>
        <x:v>0.017949090482021857</x:v>
      </x:c>
      <x:c r="H67" s="65" t="n">
        <x:f>H66*(1+G67)</x:f>
        <x:v>1.7392049341030793</x:v>
      </x:c>
      <x:c r="I67" s="47" t="n">
        <x:f>D67*H67</x:f>
        <x:v>2980.997257052678</x:v>
      </x:c>
      <x:c r="J67" s="67" t="n">
        <x:f>IF(C67&gt;0,I67*1000000/C67/Economy!Q67,0)</x:f>
        <x:v>0.19496805732580744</x:v>
      </x:c>
      <x:c r="K67" s="62" t="n">
        <x:f>Gulf!B67</x:f>
        <x:v>7430000</x:v>
      </x:c>
      <x:c r="L67" s="47" t="n">
        <x:f>Gulf!B67*Gulf!C67*Economy!Q67/1000000</x:f>
        <x:v>1426.84234</x:v>
      </x:c>
      <x:c r="M67" s="68" t="n">
        <x:v>0.581</x:v>
      </x:c>
      <x:c r="N67" s="47" t="n">
        <x:f>IF(K67&gt;0,L67*1000000/K67,0)</x:f>
        <x:v>192.038</x:v>
      </x:c>
      <x:c r="O67" s="64" t="n">
        <x:f>IF(AND(M67&gt;0,N66&gt;0,B67&gt;0),MIN(conv_cap,conv_beta*1*M67*MAX(0,LN(B67/(N66*P66)))),0)</x:f>
        <x:v>0.006904685736085305</x:v>
      </x:c>
      <x:c r="P67" s="65" t="n">
        <x:f>P66*(1+O67)</x:f>
        <x:v>1.047230655595092</x:v>
      </x:c>
      <x:c r="Q67" s="47" t="n">
        <x:f>L67*P67</x:f>
        <x:v>1494.2330391490352</x:v>
      </x:c>
      <x:c r="R67" s="67" t="n">
        <x:f>IF(K67&gt;0,Q67*1000000/K67/Economy!Q67,0)</x:f>
        <x:v>0.6304328546682454</x:v>
      </x:c>
      <x:c r="S67" s="62" t="n">
        <x:f>People!U67</x:f>
        <x:v>8320000</x:v>
      </x:c>
      <x:c r="T67" s="45" t="n">
        <x:v>342</x:v>
      </x:c>
      <x:c r="U67" s="68" t="n">
        <x:v>0.554</x:v>
      </x:c>
      <x:c r="V67" s="47" t="n">
        <x:f>IF(S67&gt;0,T67*1000000/S67,0)</x:f>
        <x:v>41.10576923076923</x:v>
      </x:c>
      <x:c r="W67" s="64" t="n">
        <x:f>IF(AND(U67&gt;0,V66&gt;0,B67&gt;0),MIN(conv_cap,conv_beta*1*U67*MAX(0,LN(B67/(V66*X66)))),0)</x:f>
        <x:v>0.013320559325771527</x:v>
      </x:c>
      <x:c r="X67" s="65" t="n">
        <x:f>X66*(1+W67)</x:f>
        <x:v>1.4139761104615804</x:v>
      </x:c>
      <x:c r="Y67" s="47" t="n">
        <x:f>T67*X67</x:f>
        <x:v>483.57982977786054</x:v>
      </x:c>
      <x:c r="Z67" s="67" t="n">
        <x:f>IF(S67&gt;0,Y67*1000000/S67/Economy!Q67,0)</x:f>
        <x:v>0.18220243164405764</x:v>
      </x:c>
      <x:c r="AA67" s="45" t="n">
        <x:v>0</x:v>
      </x:c>
      <x:c r="AB67" s="45" t="n">
        <x:v>0</x:v>
      </x:c>
      <x:c r="AC67" s="68" t="n">
        <x:v>0</x:v>
      </x:c>
      <x:c r="AD67" s="47" t="n">
        <x:f>IF(AA67&gt;0,AB67*1000000/AA67,0)</x:f>
        <x:v>0</x:v>
      </x:c>
      <x:c r="AE67" s="64" t="n">
        <x:f>IF(AND(AC67&gt;0,AD66&gt;0,B67&gt;0),MIN(conv_cap,conv_beta*1*AC67*MAX(0,LN(B67/(AD66*AF66)))),0)</x:f>
        <x:v>0</x:v>
      </x:c>
      <x:c r="AF67" s="65" t="n">
        <x:f>AF66*(1+AE67)</x:f>
        <x:v>1</x:v>
      </x:c>
      <x:c r="AG67" s="47" t="n">
        <x:f>AB67*AF67</x:f>
        <x:v>0</x:v>
      </x:c>
      <x:c r="AH67" s="67" t="n">
        <x:f>IF(AA67&gt;0,AG67*1000000/AA67/Economy!Q67,0)</x:f>
        <x:v>0</x:v>
      </x:c>
      <x:c r="AI67" s="45" t="n">
        <x:v>416200000</x:v>
      </x:c>
      <x:c r="AJ67" s="45" t="n">
        <x:v>4538</x:v>
      </x:c>
      <x:c r="AK67" s="68" t="n">
        <x:v>0.229</x:v>
      </x:c>
      <x:c r="AL67" s="47" t="n">
        <x:f>IF(AI67&gt;0,AJ67*1000000/AI67,0)</x:f>
        <x:v>10.90341182123979</x:v>
      </x:c>
      <x:c r="AM67" s="64" t="n">
        <x:f>IF(AND(AK67&gt;0,AL66&gt;0,B67&gt;0),MIN(conv_cap,conv_beta*1*AK67*MAX(0,LN(B67/(AL66*AN66)))),0)</x:f>
        <x:v>0.00879626605237268</x:v>
      </x:c>
      <x:c r="AN67" s="65" t="n">
        <x:f>AN66*(1+AM67)</x:f>
        <x:v>1.2503875594796479</x:v>
      </x:c>
      <x:c r="AO67" s="47" t="n">
        <x:f>AJ67*AN67</x:f>
        <x:v>5674.258744918642</x:v>
      </x:c>
      <x:c r="AP67" s="67" t="n">
        <x:f>IF(AI67&gt;0,AO67*1000000/AI67/Economy!Q67,0)</x:f>
        <x:v>0.0427382147246444</x:v>
      </x:c>
      <x:c r="AQ67" s="45" t="n">
        <x:v>13620000</x:v>
      </x:c>
      <x:c r="AR67" s="45" t="n">
        <x:v>331</x:v>
      </x:c>
      <x:c r="AS67" s="68" t="n">
        <x:v>0.508</x:v>
      </x:c>
      <x:c r="AT67" s="47" t="n">
        <x:f>IF(AQ67&gt;0,AR67*1000000/AQ67,0)</x:f>
        <x:v>24.302496328928047</x:v>
      </x:c>
      <x:c r="AU67" s="64" t="n">
        <x:f>IF(AND(AS67&gt;0,AT66&gt;0,B67&gt;0),MIN(conv_cap,conv_beta*1*AS67*MAX(0,LN(B67/(AT66*AV66)))),0)</x:f>
        <x:v>0.015185841627814034</x:v>
      </x:c>
      <x:c r="AV67" s="65" t="n">
        <x:f>AV66*(1+AU67)</x:f>
        <x:v>1.3339337865394327</x:v>
      </x:c>
      <x:c r="AW67" s="47" t="n">
        <x:f>AR67*AV67</x:f>
        <x:v>441.53208334455223</x:v>
      </x:c>
      <x:c r="AX67" s="67" t="n">
        <x:f>IF(AQ67&gt;0,AW67*1000000/AQ67/Economy!Q67,0)</x:f>
        <x:v>0.10162357664704594</x:v>
      </x:c>
      <x:c r="AY67" s="45" t="n">
        <x:v>88100000</x:v>
      </x:c>
      <x:c r="AZ67" s="45" t="n">
        <x:v>2538</x:v>
      </x:c>
      <x:c r="BA67" s="68" t="n">
        <x:v>0.127</x:v>
      </x:c>
      <x:c r="BB67" s="47" t="n">
        <x:f>IF(AY67&gt;0,AZ67*1000000/AY67,0)</x:f>
        <x:v>28.808172531214527</x:v>
      </x:c>
      <x:c r="BC67" s="64" t="n">
        <x:f>IF(AND(BA67&gt;0,BB66&gt;0,B67&gt;0),MIN(conv_cap,conv_beta*1*BA67*MAX(0,LN(B67/(BB66*BD66)))),0)</x:f>
        <x:v>0.003844076974880968</x:v>
      </x:c>
      <x:c r="BD67" s="65" t="n">
        <x:f>BD66*(1+BC67)</x:f>
        <x:v>1.0691487172630396</x:v>
      </x:c>
      <x:c r="BE67" s="47" t="n">
        <x:f>AZ67*BD67</x:f>
        <x:v>2713.4994444135946</x:v>
      </x:c>
      <x:c r="BF67" s="67" t="n">
        <x:f>IF(AY67&gt;0,BE67*1000000/AY67/Economy!Q67,0)</x:f>
        <x:v>0.09655241601391959</x:v>
      </x:c>
      <x:c r="BG67" s="45" t="n">
        <x:v>33800000</x:v>
      </x:c>
      <x:c r="BH67" s="45" t="n">
        <x:v>3008</x:v>
      </x:c>
      <x:c r="BI67" s="68" t="n">
        <x:v>0.25</x:v>
      </x:c>
      <x:c r="BJ67" s="47" t="n">
        <x:f>IF(BG67&gt;0,BH67*1000000/BG67,0)</x:f>
        <x:v>88.99408284023669</x:v>
      </x:c>
      <x:c r="BK67" s="64" t="n">
        <x:f>IF(AND(BI67&gt;0,BJ66&gt;0,B67&gt;0),MIN(conv_cap,conv_beta*1*BI67*MAX(0,LN(B67/(BJ66*BL66)))),0)</x:f>
        <x:v>0.004711425033829447</x:v>
      </x:c>
      <x:c r="BL67" s="65" t="n">
        <x:f>BL66*(1+BK67)</x:f>
        <x:v>1.0906852968262886</x:v>
      </x:c>
      <x:c r="BM67" s="47" t="n">
        <x:f>BH67*BL67</x:f>
        <x:v>3280.781372853476</x:v>
      </x:c>
      <x:c r="BN67" s="67" t="n">
        <x:f>IF(BG67&gt;0,BM67*1000000/BG67/Economy!Q67,0)</x:f>
        <x:v>0.30427754751845415</x:v>
      </x:c>
      <x:c r="BO67" s="45" t="n">
        <x:v>15100000</x:v>
      </x:c>
      <x:c r="BP67" s="45" t="n">
        <x:v>962</x:v>
      </x:c>
      <x:c r="BQ67" s="68" t="n">
        <x:v>0.062</x:v>
      </x:c>
      <x:c r="BR67" s="47" t="n">
        <x:f>IF(BO67&gt;0,BP67*1000000/BO67,0)</x:f>
        <x:v>63.70860927152318</x:v>
      </x:c>
      <x:c r="BS67" s="64" t="n">
        <x:f>IF(AND(BQ67&gt;0,BR66&gt;0,B67&gt;0),MIN(conv_cap,conv_beta*1*BQ67*MAX(0,LN(B67/(BR66*BT66)))),0)</x:f>
        <x:v>0.0014192167487489537</x:v>
      </x:c>
      <x:c r="BT67" s="65" t="n">
        <x:f>BT66*(1+BS67)</x:f>
        <x:v>1.003807001922012</x:v>
      </x:c>
      <x:c r="BU67" s="47" t="n">
        <x:f>BP67*BT67</x:f>
        <x:v>965.6623358489755</x:v>
      </x:c>
      <x:c r="BV67" s="67" t="n">
        <x:f>IF(BO67&gt;0,BU67*1000000/BO67/Economy!Q67,0)</x:f>
        <x:v>0.20047381839958803</x:v>
      </x:c>
      <x:c r="BW67" s="65" t="n">
        <x:f>0.25*IF(D67&gt;0,H67,1)+0.15*IF(AJ67&gt;0,AN67,1)+0.03*IF(AR67&gt;0,AV67,1)+0.08*IF(AZ67&gt;0,BD67,1)+0.12*IF(BH67&gt;0,BL67,1)+0.1*IF(L67&gt;0,P67,1)+0.07*IF(T67&gt;0,X67,1)+0.05*IF(AB67&gt;0,AF67,1)+0.05*IF(BP67&gt;0,BT67,1)+0.1</x:f>
        <x:v>1.2826832574320184</x:v>
      </x:c>
      <x:c r="BX67" s="63" t="n">
        <x:f>MIN(mkt_cap,mkt_elast*MAX(0,BW67-1))</x:f>
        <x:v>0.1413416287160092</x:v>
      </x:c>
      <x:c r="BY67" s="47" t="n">
        <x:f>I67+Q67+Y67+AG67</x:f>
        <x:v>4958.810125979573</x:v>
      </x:c>
      <x:c r="BZ67" s="47" t="n">
        <x:f>D67+L67+T67+AB67</x:f>
        <x:v>3482.84234</x:v>
      </x:c>
      <x:c r="CA67" s="65" t="n">
        <x:f>IF(BZ67&gt;0,BY67/BZ67,0)</x:f>
        <x:v>1.4237825436507048</x:v>
      </x:c>
    </x:row>
    <x:row r="68">
      <x:c r="A68" s="58" t="n">
        <x:v>1908</x:v>
      </x:c>
      <x:c r="B68" s="47" t="n">
        <x:f>Economy!P67</x:f>
        <x:v>644.7328430298513</x:v>
      </x:c>
      <x:c r="C68" s="45" t="n">
        <x:v>48490000</x:v>
      </x:c>
      <x:c r="D68" s="62" t="n">
        <x:f>Japan!B68</x:f>
        <x:v>1796</x:v>
      </x:c>
      <x:c r="E68" s="68" t="n">
        <x:v>0.767</x:v>
      </x:c>
      <x:c r="F68" s="47" t="n">
        <x:f>IF(C68&gt;0,D68*1000000/C68,0)</x:f>
        <x:v>37.03856465250567</x:v>
      </x:c>
      <x:c r="G68" s="64" t="n">
        <x:f>IF(AND(E68&gt;0,F67&gt;0,B68&gt;0),MIN(conv_cap,conv_beta*jp_uplift*E68*MAX(0,LN(B68/(F67*H67)))),0)</x:f>
        <x:v>0.01793678951386851</x:v>
      </x:c>
      <x:c r="H68" s="65" t="n">
        <x:f>H67*(1+G68)</x:f>
        <x:v>1.7704006869275677</x:v>
      </x:c>
      <x:c r="I68" s="47" t="n">
        <x:f>D68*H68</x:f>
        <x:v>3179.6396337219117</x:v>
      </x:c>
      <x:c r="J68" s="67" t="n">
        <x:f>IF(C68&gt;0,I68*1000000/C68/Economy!Q68,0)</x:f>
        <x:v>0.1963266476155903</x:v>
      </x:c>
      <x:c r="K68" s="62" t="n">
        <x:f>Gulf!B68</x:f>
        <x:v>7620000</x:v>
      </x:c>
      <x:c r="L68" s="47" t="n">
        <x:f>Gulf!B68*Gulf!C68*Economy!Q68/1000000</x:f>
        <x:v>1539.7734</x:v>
      </x:c>
      <x:c r="M68" s="68" t="n">
        <x:v>0.592</x:v>
      </x:c>
      <x:c r="N68" s="47" t="n">
        <x:f>IF(K68&gt;0,L68*1000000/K68,0)</x:f>
        <x:v>202.07</x:v>
      </x:c>
      <x:c r="O68" s="64" t="n">
        <x:f>IF(AND(M68&gt;0,N67&gt;0,B68&gt;0),MIN(conv_cap,conv_beta*1*M68*MAX(0,LN(B68/(N67*P67)))),0)</x:f>
        <x:v>0.0068967618513690945</x:v>
      </x:c>
      <x:c r="P68" s="65" t="n">
        <x:f>P67*(1+O68)</x:f>
        <x:v>1.0544531560301846</x:v>
      </x:c>
      <x:c r="Q68" s="47" t="n">
        <x:f>L68*P68</x:f>
        <x:v>1623.618921201328</x:v>
      </x:c>
      <x:c r="R68" s="67" t="n">
        <x:f>IF(K68&gt;0,Q68*1000000/K68/Economy!Q68,0)</x:f>
        <x:v>0.6379441593982618</x:v>
      </x:c>
      <x:c r="S68" s="62" t="n">
        <x:f>People!U68</x:f>
        <x:v>8500000</x:v>
      </x:c>
      <x:c r="T68" s="45" t="n">
        <x:v>355</x:v>
      </x:c>
      <x:c r="U68" s="68" t="n">
        <x:v>0.5620000000000001</x:v>
      </x:c>
      <x:c r="V68" s="47" t="n">
        <x:f>IF(S68&gt;0,T68*1000000/S68,0)</x:f>
        <x:v>41.76470588235294</x:v>
      </x:c>
      <x:c r="W68" s="64" t="n">
        <x:f>IF(AND(U68&gt;0,V67&gt;0,B68&gt;0),MIN(conv_cap,conv_beta*1*U68*MAX(0,LN(B68/(V67*X67)))),0)</x:f>
        <x:v>0.01352330416326448</x:v>
      </x:c>
      <x:c r="X68" s="65" t="n">
        <x:f>X67*(1+W68)</x:f>
        <x:v>1.433097739482942</x:v>
      </x:c>
      <x:c r="Y68" s="47" t="n">
        <x:f>T68*X68</x:f>
        <x:v>508.7496975164444</x:v>
      </x:c>
      <x:c r="Z68" s="67" t="n">
        <x:f>IF(S68&gt;0,Y68*1000000/S68/Economy!Q68,0)</x:f>
        <x:v>0.17920031613823334</x:v>
      </x:c>
      <x:c r="AA68" s="45" t="n">
        <x:v>0</x:v>
      </x:c>
      <x:c r="AB68" s="45" t="n">
        <x:v>0</x:v>
      </x:c>
      <x:c r="AC68" s="68" t="n">
        <x:v>0</x:v>
      </x:c>
      <x:c r="AD68" s="47" t="n">
        <x:f>IF(AA68&gt;0,AB68*1000000/AA68,0)</x:f>
        <x:v>0</x:v>
      </x:c>
      <x:c r="AE68" s="64" t="n">
        <x:f>IF(AND(AC68&gt;0,AD67&gt;0,B68&gt;0),MIN(conv_cap,conv_beta*1*AC68*MAX(0,LN(B68/(AD67*AF67)))),0)</x:f>
        <x:v>0</x:v>
      </x:c>
      <x:c r="AF68" s="65" t="n">
        <x:f>AF67*(1+AE68)</x:f>
        <x:v>1</x:v>
      </x:c>
      <x:c r="AG68" s="47" t="n">
        <x:f>AB68*AF68</x:f>
        <x:v>0</x:v>
      </x:c>
      <x:c r="AH68" s="67" t="n">
        <x:f>IF(AA68&gt;0,AG68*1000000/AA68/Economy!Q68,0)</x:f>
        <x:v>0</x:v>
      </x:c>
      <x:c r="AI68" s="45" t="n">
        <x:v>418500000</x:v>
      </x:c>
      <x:c r="AJ68" s="45" t="n">
        <x:v>4615</x:v>
      </x:c>
      <x:c r="AK68" s="68" t="n">
        <x:v>0.233</x:v>
      </x:c>
      <x:c r="AL68" s="47" t="n">
        <x:f>IF(AI68&gt;0,AJ68*1000000/AI68,0)</x:f>
        <x:v>11.027479091995222</x:v>
      </x:c>
      <x:c r="AM68" s="64" t="n">
        <x:f>IF(AND(AK68&gt;0,AL67&gt;0,B68&gt;0),MIN(conv_cap,conv_beta*1*AK68*MAX(0,LN(B68/(AL67*AN67)))),0)</x:f>
        <x:v>0.00898519468536488</x:v>
      </x:c>
      <x:c r="AN68" s="65" t="n">
        <x:f>AN67*(1+AM68)</x:f>
        <x:v>1.261622535133731</x:v>
      </x:c>
      <x:c r="AO68" s="47" t="n">
        <x:f>AJ68*AN68</x:f>
        <x:v>5822.387999642168</x:v>
      </x:c>
      <x:c r="AP68" s="67" t="n">
        <x:f>IF(AI68&gt;0,AO68*1000000/AI68/Economy!Q68,0)</x:f>
        <x:v>0.04165423990472222</x:v>
      </x:c>
      <x:c r="AQ68" s="45" t="n">
        <x:v>13850000</x:v>
      </x:c>
      <x:c r="AR68" s="45" t="n">
        <x:v>342</x:v>
      </x:c>
      <x:c r="AS68" s="68" t="n">
        <x:v>0.512</x:v>
      </x:c>
      <x:c r="AT68" s="47" t="n">
        <x:f>IF(AQ68&gt;0,AR68*1000000/AQ68,0)</x:f>
        <x:v>24.693140794223826</x:v>
      </x:c>
      <x:c r="AU68" s="64" t="n">
        <x:f>IF(AND(AS68&gt;0,AT67&gt;0,B68&gt;0),MIN(conv_cap,conv_beta*1*AS68*MAX(0,LN(B68/(AT67*AV67)))),0)</x:f>
        <x:v>0.015309438200320756</x:v>
      </x:c>
      <x:c r="AV68" s="65" t="n">
        <x:f>AV67*(1+AU68)</x:f>
        <x:v>1.354355563407778</x:v>
      </x:c>
      <x:c r="AW68" s="47" t="n">
        <x:f>AR68*AV68</x:f>
        <x:v>463.18960268546004</x:v>
      </x:c>
      <x:c r="AX68" s="67" t="n">
        <x:f>IF(AQ68&gt;0,AW68*1000000/AQ68/Economy!Q68,0)</x:f>
        <x:v>0.10012961860080417</x:v>
      </x:c>
      <x:c r="AY68" s="45" t="n">
        <x:v>89200000</x:v>
      </x:c>
      <x:c r="AZ68" s="45" t="n">
        <x:v>2615</x:v>
      </x:c>
      <x:c r="BA68" s="68" t="n">
        <x:v>0.131</x:v>
      </x:c>
      <x:c r="BB68" s="47" t="n">
        <x:f>IF(AY68&gt;0,AZ68*1000000/AY68,0)</x:f>
        <x:v>29.316143497757846</x:v>
      </x:c>
      <x:c r="BC68" s="64" t="n">
        <x:f>IF(AND(BA68&gt;0,BB67&gt;0,B68&gt;0),MIN(conv_cap,conv_beta*1*BA68*MAX(0,LN(B68/(BB67*BD67)))),0)</x:f>
        <x:v>0.003984121573608779</x:v>
      </x:c>
      <x:c r="BD68" s="65" t="n">
        <x:f>BD67*(1+BC68)</x:f>
        <x:v>1.0734083357328834</x:v>
      </x:c>
      <x:c r="BE68" s="47" t="n">
        <x:f>AZ68*BD68</x:f>
        <x:v>2806.96279794149</x:v>
      </x:c>
      <x:c r="BF68" s="67" t="n">
        <x:f>IF(AY68&gt;0,BE68*1000000/AY68/Economy!Q68,0)</x:f>
        <x:v>0.09421614611387617</x:v>
      </x:c>
      <x:c r="BG68" s="45" t="n">
        <x:v>34300000</x:v>
      </x:c>
      <x:c r="BH68" s="45" t="n">
        <x:v>3123</x:v>
      </x:c>
      <x:c r="BI68" s="68" t="n">
        <x:v>0.258</x:v>
      </x:c>
      <x:c r="BJ68" s="47" t="n">
        <x:f>IF(BG68&gt;0,BH68*1000000/BG68,0)</x:f>
        <x:v>91.04956268221575</x:v>
      </x:c>
      <x:c r="BK68" s="64" t="n">
        <x:f>IF(AND(BI68&gt;0,BJ67&gt;0,B68&gt;0),MIN(conv_cap,conv_beta*1*BI68*MAX(0,LN(B68/(BJ67*BL67)))),0)</x:f>
        <x:v>0.004885126645690615</x:v>
      </x:c>
      <x:c r="BL68" s="65" t="n">
        <x:f>BL67*(1+BK68)</x:f>
        <x:v>1.0960134326318776</x:v>
      </x:c>
      <x:c r="BM68" s="47" t="n">
        <x:f>BH68*BL68</x:f>
        <x:v>3422.849950109354</x:v>
      </x:c>
      <x:c r="BN68" s="67" t="n">
        <x:f>IF(BG68&gt;0,BM68*1000000/BG68/Economy!Q68,0)</x:f>
        <x:v>0.2987770770507982</x:v>
      </x:c>
      <x:c r="BO68" s="45" t="n">
        <x:v>15200000</x:v>
      </x:c>
      <x:c r="BP68" s="45" t="n">
        <x:v>985</x:v>
      </x:c>
      <x:c r="BQ68" s="68" t="n">
        <x:v>0.06900000000000001</x:v>
      </x:c>
      <x:c r="BR68" s="47" t="n">
        <x:f>IF(BO68&gt;0,BP68*1000000/BO68,0)</x:f>
        <x:v>64.80263157894737</x:v>
      </x:c>
      <x:c r="BS68" s="64" t="n">
        <x:f>IF(AND(BQ68&gt;0,BR67&gt;0,B68&gt;0),MIN(conv_cap,conv_beta*1*BQ68*MAX(0,LN(B68/(BR67*BT67)))),0)</x:f>
        <x:v>0.0015943944220288427</x:v>
      </x:c>
      <x:c r="BT68" s="65" t="n">
        <x:f>BT67*(1+BS68)</x:f>
        <x:v>1.00540746620667</x:v>
      </x:c>
      <x:c r="BU68" s="47" t="n">
        <x:f>BP68*BT68</x:f>
        <x:v>990.3263542135701</x:v>
      </x:c>
      <x:c r="BV68" s="67" t="n">
        <x:f>IF(BO68&gt;0,BU68*1000000/BO68/Economy!Q68,0)</x:f>
        <x:v>0.19506901083626893</x:v>
      </x:c>
      <x:c r="BW68" s="65" t="n">
        <x:f>0.25*IF(D68&gt;0,H68,1)+0.15*IF(AJ68&gt;0,AN68,1)+0.03*IF(AR68&gt;0,AV68,1)+0.08*IF(AZ68&gt;0,BD68,1)+0.12*IF(BH68&gt;0,BL68,1)+0.1*IF(L68&gt;0,P68,1)+0.07*IF(T68&gt;0,X68,1)+0.05*IF(AB68&gt;0,AF68,1)+0.05*IF(BP68&gt;0,BT68,1)+0.1</x:f>
        <x:v>1.295901028355799</x:v>
      </x:c>
      <x:c r="BX68" s="63" t="n">
        <x:f>MIN(mkt_cap,mkt_elast*MAX(0,BW68-1))</x:f>
        <x:v>0.1479505141778995</x:v>
      </x:c>
      <x:c r="BY68" s="47" t="n">
        <x:f>I68+Q68+Y68+AG68</x:f>
        <x:v>5312.008252439684</x:v>
      </x:c>
      <x:c r="BZ68" s="47" t="n">
        <x:f>D68+L68+T68+AB68</x:f>
        <x:v>3690.7734</x:v>
      </x:c>
      <x:c r="CA68" s="65" t="n">
        <x:f>IF(BZ68&gt;0,BY68/BZ68,0)</x:f>
        <x:v>1.4392669711014185</x:v>
      </x:c>
    </x:row>
    <x:row r="69">
      <x:c r="A69" s="58" t="n">
        <x:v>1909</x:v>
      </x:c>
      <x:c r="B69" s="47" t="n">
        <x:f>Economy!P68</x:f>
        <x:v>653.2545727036854</x:v>
      </x:c>
      <x:c r="C69" s="45" t="n">
        <x:v>49050000</x:v>
      </x:c>
      <x:c r="D69" s="62" t="n">
        <x:f>Japan!B69</x:f>
        <x:v>1878</x:v>
      </x:c>
      <x:c r="E69" s="68" t="n">
        <x:v>0.772</x:v>
      </x:c>
      <x:c r="F69" s="47" t="n">
        <x:f>IF(C69&gt;0,D69*1000000/C69,0)</x:f>
        <x:v>38.28746177370031</x:v>
      </x:c>
      <x:c r="G69" s="64" t="n">
        <x:f>IF(AND(E69&gt;0,F68&gt;0,B69&gt;0),MIN(conv_cap,conv_beta*jp_uplift*E69*MAX(0,LN(B69/(F68*H68)))),0)</x:f>
        <x:v>0.01774674641272694</x:v>
      </x:c>
      <x:c r="H69" s="65" t="n">
        <x:f>H68*(1+G69)</x:f>
        <x:v>1.801819538967389</x:v>
      </x:c>
      <x:c r="I69" s="47" t="n">
        <x:f>D69*H69</x:f>
        <x:v>3383.8170941807566</x:v>
      </x:c>
      <x:c r="J69" s="67" t="n">
        <x:f>IF(C69&gt;0,I69*1000000/C69/Economy!Q69,0)</x:f>
        <x:v>0.19823878368195463</x:v>
      </x:c>
      <x:c r="K69" s="62" t="n">
        <x:f>Gulf!B69</x:f>
        <x:v>7810000</x:v>
      </x:c>
      <x:c r="L69" s="47" t="n">
        <x:f>Gulf!B69*Gulf!C69*Economy!Q69/1000000</x:f>
        <x:v>1652.47104</x:v>
      </x:c>
      <x:c r="M69" s="68" t="n">
        <x:v>0.604</x:v>
      </x:c>
      <x:c r="N69" s="47" t="n">
        <x:f>IF(K69&gt;0,L69*1000000/K69,0)</x:f>
        <x:v>211.584</x:v>
      </x:c>
      <x:c r="O69" s="64" t="n">
        <x:f>IF(AND(M69&gt;0,N68&gt;0,B69&gt;0),MIN(conv_cap,conv_beta*1*M69*MAX(0,LN(B69/(N68*P68)))),0)</x:f>
        <x:v>0.006766795828913591</x:v>
      </x:c>
      <x:c r="P69" s="65" t="n">
        <x:f>P68*(1+O69)</x:f>
        <x:v>1.0615884252481944</x:v>
      </x:c>
      <x:c r="Q69" s="47" t="n">
        <x:f>L69*P69</x:f>
        <x:v>1754.244129121846</x:v>
      </x:c>
      <x:c r="R69" s="67" t="n">
        <x:f>IF(K69&gt;0,Q69*1000000/K69/Economy!Q69,0)</x:f>
        <x:v>0.6454457625509021</x:v>
      </x:c>
      <x:c r="S69" s="62" t="n">
        <x:f>People!U69</x:f>
        <x:v>8680000</x:v>
      </x:c>
      <x:c r="T69" s="45" t="n">
        <x:v>368</x:v>
      </x:c>
      <x:c r="U69" s="68" t="n">
        <x:v>0.569</x:v>
      </x:c>
      <x:c r="V69" s="47" t="n">
        <x:f>IF(S69&gt;0,T69*1000000/S69,0)</x:f>
        <x:v>42.3963133640553</x:v>
      </x:c>
      <x:c r="W69" s="64" t="n">
        <x:f>IF(AND(U69&gt;0,V68&gt;0,B69&gt;0),MIN(conv_cap,conv_beta*1*U69*MAX(0,LN(B69/(V68*X68)))),0)</x:f>
        <x:v>0.013599537706705184</x:v>
      </x:c>
      <x:c r="X69" s="65" t="n">
        <x:f>X68*(1+W69)</x:f>
        <x:v>1.4525872062284342</x:v>
      </x:c>
      <x:c r="Y69" s="47" t="n">
        <x:f>T69*X69</x:f>
        <x:v>534.5520918920638</x:v>
      </x:c>
      <x:c r="Z69" s="67" t="n">
        <x:f>IF(S69&gt;0,Y69*1000000/S69/Economy!Q69,0)</x:f>
        <x:v>0.1769665011030986</x:v>
      </x:c>
      <x:c r="AA69" s="45" t="n">
        <x:v>0</x:v>
      </x:c>
      <x:c r="AB69" s="45" t="n">
        <x:v>0</x:v>
      </x:c>
      <x:c r="AC69" s="68" t="n">
        <x:v>0</x:v>
      </x:c>
      <x:c r="AD69" s="47" t="n">
        <x:f>IF(AA69&gt;0,AB69*1000000/AA69,0)</x:f>
        <x:v>0</x:v>
      </x:c>
      <x:c r="AE69" s="64" t="n">
        <x:f>IF(AND(AC69&gt;0,AD68&gt;0,B69&gt;0),MIN(conv_cap,conv_beta*1*AC69*MAX(0,LN(B69/(AD68*AF68)))),0)</x:f>
        <x:v>0</x:v>
      </x:c>
      <x:c r="AF69" s="65" t="n">
        <x:f>AF68*(1+AE69)</x:f>
        <x:v>1</x:v>
      </x:c>
      <x:c r="AG69" s="47" t="n">
        <x:f>AB69*AF69</x:f>
        <x:v>0</x:v>
      </x:c>
      <x:c r="AH69" s="67" t="n">
        <x:f>IF(AA69&gt;0,AG69*1000000/AA69/Economy!Q69,0)</x:f>
        <x:v>0</x:v>
      </x:c>
      <x:c r="AI69" s="45" t="n">
        <x:v>420800000</x:v>
      </x:c>
      <x:c r="AJ69" s="45" t="n">
        <x:v>4692</x:v>
      </x:c>
      <x:c r="AK69" s="68" t="n">
        <x:v>0.237</x:v>
      </x:c>
      <x:c r="AL69" s="47" t="n">
        <x:f>IF(AI69&gt;0,AJ69*1000000/AI69,0)</x:f>
        <x:v>11.15019011406844</x:v>
      </x:c>
      <x:c r="AM69" s="64" t="n">
        <x:f>IF(AND(AK69&gt;0,AL68&gt;0,B69&gt;0),MIN(conv_cap,conv_beta*1*AK69*MAX(0,LN(B69/(AL68*AN68)))),0)</x:f>
        <x:v>0.009122551927417757</x:v>
      </x:c>
      <x:c r="AN69" s="65" t="n">
        <x:f>AN68*(1+AM69)</x:f>
        <x:v>1.273131752223289</x:v>
      </x:c>
      <x:c r="AO69" s="47" t="n">
        <x:f>AJ69*AN69</x:f>
        <x:v>5973.534181431672</x:v>
      </x:c>
      <x:c r="AP69" s="67" t="n">
        <x:f>IF(AI69&gt;0,AO69*1000000/AI69/Economy!Q69,0)</x:f>
        <x:v>0.040792129533180316</x:v>
      </x:c>
      <x:c r="AQ69" s="45" t="n">
        <x:v>14080000</x:v>
      </x:c>
      <x:c r="AR69" s="45" t="n">
        <x:v>354</x:v>
      </x:c>
      <x:c r="AS69" s="68" t="n">
        <x:v>0.517</x:v>
      </x:c>
      <x:c r="AT69" s="47" t="n">
        <x:f>IF(AQ69&gt;0,AR69*1000000/AQ69,0)</x:f>
        <x:v>25.142045454545453</x:v>
      </x:c>
      <x:c r="AU69" s="64" t="n">
        <x:f>IF(AND(AS69&gt;0,AT68&gt;0,B69&gt;0),MIN(conv_cap,conv_beta*1*AS69*MAX(0,LN(B69/(AT68*AV68)))),0)</x:f>
        <x:v>0.015365837949991095</x:v>
      </x:c>
      <x:c r="AV69" s="65" t="n">
        <x:f>AV68*(1+AU69)</x:f>
        <x:v>1.3751663715217706</x:v>
      </x:c>
      <x:c r="AW69" s="47" t="n">
        <x:f>AR69*AV69</x:f>
        <x:v>486.8088955187068</x:v>
      </x:c>
      <x:c r="AX69" s="67" t="n">
        <x:f>IF(AQ69&gt;0,AW69*1000000/AQ69/Economy!Q69,0)</x:f>
        <x:v>0.09935199833437558</x:v>
      </x:c>
      <x:c r="AY69" s="45" t="n">
        <x:v>90400000</x:v>
      </x:c>
      <x:c r="AZ69" s="45" t="n">
        <x:v>2692</x:v>
      </x:c>
      <x:c r="BA69" s="68" t="n">
        <x:v>0.135</x:v>
      </x:c>
      <x:c r="BB69" s="47" t="n">
        <x:f>IF(AY69&gt;0,AZ69*1000000/AY69,0)</x:f>
        <x:v>29.778761061946902</x:v>
      </x:c>
      <x:c r="BC69" s="64" t="n">
        <x:f>IF(AND(BA69&gt;0,BB68&gt;0,B69&gt;0),MIN(conv_cap,conv_beta*1*BA69*MAX(0,LN(B69/(BB68*BD68)))),0)</x:f>
        <x:v>0.004094535988260101</x:v>
      </x:c>
      <x:c r="BD69" s="65" t="n">
        <x:f>BD68*(1+BC69)</x:f>
        <x:v>1.07780344479364</x:v>
      </x:c>
      <x:c r="BE69" s="47" t="n">
        <x:f>AZ69*BD69</x:f>
        <x:v>2901.4468733844787</x:v>
      </x:c>
      <x:c r="BF69" s="67" t="n">
        <x:f>IF(AY69&gt;0,BE69*1000000/AY69/Economy!Q69,0)</x:f>
        <x:v>0.09222888291452036</x:v>
      </x:c>
      <x:c r="BG69" s="45" t="n">
        <x:v>34800000</x:v>
      </x:c>
      <x:c r="BH69" s="45" t="n">
        <x:v>3238</x:v>
      </x:c>
      <x:c r="BI69" s="68" t="n">
        <x:v>0.267</x:v>
      </x:c>
      <x:c r="BJ69" s="47" t="n">
        <x:f>IF(BG69&gt;0,BH69*1000000/BG69,0)</x:f>
        <x:v>93.04597701149426</x:v>
      </x:c>
      <x:c r="BK69" s="64" t="n">
        <x:f>IF(AND(BI69&gt;0,BJ68&gt;0,B69&gt;0),MIN(conv_cap,conv_beta*1*BI69*MAX(0,LN(B69/(BJ68*BL68)))),0)</x:f>
        <x:v>0.005016618829368808</x:v>
      </x:c>
      <x:c r="BL69" s="65" t="n">
        <x:f>BL68*(1+BK69)</x:f>
        <x:v>1.1015117142552597</x:v>
      </x:c>
      <x:c r="BM69" s="47" t="n">
        <x:f>BH69*BL69</x:f>
        <x:v>3566.694930758531</x:v>
      </x:c>
      <x:c r="BN69" s="67" t="n">
        <x:f>IF(BG69&gt;0,BM69*1000000/BG69/Economy!Q69,0)</x:f>
        <x:v>0.29451503920254746</x:v>
      </x:c>
      <x:c r="BO69" s="45" t="n">
        <x:v>15400000</x:v>
      </x:c>
      <x:c r="BP69" s="45" t="n">
        <x:v>1008</x:v>
      </x:c>
      <x:c r="BQ69" s="68" t="n">
        <x:v>0.075</x:v>
      </x:c>
      <x:c r="BR69" s="47" t="n">
        <x:f>IF(BO69&gt;0,BP69*1000000/BO69,0)</x:f>
        <x:v>65.45454545454545</x:v>
      </x:c>
      <x:c r="BS69" s="64" t="n">
        <x:f>IF(AND(BQ69&gt;0,BR68&gt;0,B69&gt;0),MIN(conv_cap,conv_beta*1*BQ69*MAX(0,LN(B69/(BR68*BT68)))),0)</x:f>
        <x:v>0.0017289208444732516</x:v>
      </x:c>
      <x:c r="BT69" s="65" t="n">
        <x:f>BT68*(1+BS69)</x:f>
        <x:v>1.0071457361321838</x:v>
      </x:c>
      <x:c r="BU69" s="47" t="n">
        <x:f>BP69*BT69</x:f>
        <x:v>1015.2029020212414</x:v>
      </x:c>
      <x:c r="BV69" s="67" t="n">
        <x:f>IF(BO69&gt;0,BU69*1000000/BO69/Economy!Q69,0)</x:f>
        <x:v>0.18943179989947032</x:v>
      </x:c>
      <x:c r="BW69" s="65" t="n">
        <x:f>0.25*IF(D69&gt;0,H69,1)+0.15*IF(AJ69&gt;0,AN69,1)+0.03*IF(AR69&gt;0,AV69,1)+0.08*IF(AZ69&gt;0,BD69,1)+0.12*IF(BH69&gt;0,BL69,1)+0.1*IF(L69&gt;0,P69,1)+0.07*IF(T69&gt;0,X69,1)+0.05*IF(AB69&gt;0,AF69,1)+0.05*IF(BP69&gt;0,BT69,1)+0.1</x:f>
        <x:v>1.3092825537825352</x:v>
      </x:c>
      <x:c r="BX69" s="63" t="n">
        <x:f>MIN(mkt_cap,mkt_elast*MAX(0,BW69-1))</x:f>
        <x:v>0.1546412768912676</x:v>
      </x:c>
      <x:c r="BY69" s="47" t="n">
        <x:f>I69+Q69+Y69+AG69</x:f>
        <x:v>5672.613315194666</x:v>
      </x:c>
      <x:c r="BZ69" s="47" t="n">
        <x:f>D69+L69+T69+AB69</x:f>
        <x:v>3898.47104</x:v>
      </x:c>
      <x:c r="CA69" s="65" t="n">
        <x:f>IF(BZ69&gt;0,BY69/BZ69,0)</x:f>
        <x:v>1.4550866883429936</x:v>
      </x:c>
    </x:row>
    <x:row r="70">
      <x:c r="A70" s="58" t="n">
        <x:v>1910</x:v>
      </x:c>
      <x:c r="B70" s="47" t="n">
        <x:f>Economy!P69</x:f>
        <x:v>719.6145544749918</x:v>
      </x:c>
      <x:c r="C70" s="45" t="n">
        <x:v>49620000</x:v>
      </x:c>
      <x:c r="D70" s="62" t="n">
        <x:f>Japan!B70</x:f>
        <x:v>1960</x:v>
      </x:c>
      <x:c r="E70" s="68" t="n">
        <x:v>0.778</x:v>
      </x:c>
      <x:c r="F70" s="47" t="n">
        <x:f>IF(C70&gt;0,D70*1000000/C70,0)</x:f>
        <x:v>39.50020153164047</x:v>
      </x:c>
      <x:c r="G70" s="64" t="n">
        <x:f>IF(AND(E70&gt;0,F69&gt;0,B70&gt;0),MIN(conv_cap,conv_beta*jp_uplift*E70*MAX(0,LN(B70/(F69*H69)))),0)</x:f>
        <x:v>0.018242514782879082</x:v>
      </x:c>
      <x:c r="H70" s="65" t="n">
        <x:f>H69*(1+G70)</x:f>
        <x:v>1.834689258543082</x:v>
      </x:c>
      <x:c r="I70" s="47" t="n">
        <x:f>D70*H70</x:f>
        <x:v>3595.990946744441</x:v>
      </x:c>
      <x:c r="J70" s="67" t="n">
        <x:f>IF(C70&gt;0,I70*1000000/C70/Economy!Q70,0)</x:f>
        <x:v>0.1996435136649801</x:v>
      </x:c>
      <x:c r="K70" s="62" t="n">
        <x:f>Gulf!B70</x:f>
        <x:v>8000000</x:v>
      </x:c>
      <x:c r="L70" s="47" t="n">
        <x:f>Gulf!B70*Gulf!C70*Economy!Q70/1000000</x:f>
        <x:v>1774.344</x:v>
      </x:c>
      <x:c r="M70" s="68" t="n">
        <x:v>0.615</x:v>
      </x:c>
      <x:c r="N70" s="47" t="n">
        <x:f>IF(K70&gt;0,L70*1000000/K70,0)</x:f>
        <x:v>221.793</x:v>
      </x:c>
      <x:c r="O70" s="64" t="n">
        <x:f>IF(AND(M70&gt;0,N69&gt;0,B70&gt;0),MIN(conv_cap,conv_beta*1*M70*MAX(0,LN(B70/(N69*P69)))),0)</x:f>
        <x:v>0.007160613165856437</x:v>
      </x:c>
      <x:c r="P70" s="65" t="n">
        <x:f>P69*(1+O70)</x:f>
        <x:v>1.0691900493027473</x:v>
      </x:c>
      <x:c r="Q70" s="47" t="n">
        <x:f>L70*P70</x:f>
        <x:v>1897.1109488400339</x:v>
      </x:c>
      <x:c r="R70" s="67" t="n">
        <x:f>IF(K70&gt;0,Q70*1000000/K70/Economy!Q70,0)</x:f>
        <x:v>0.6532751201239786</x:v>
      </x:c>
      <x:c r="S70" s="62" t="n">
        <x:f>People!U70</x:f>
        <x:v>8860000</x:v>
      </x:c>
      <x:c r="T70" s="45" t="n">
        <x:v>381</x:v>
      </x:c>
      <x:c r="U70" s="68" t="n">
        <x:v>0.577</x:v>
      </x:c>
      <x:c r="V70" s="47" t="n">
        <x:f>IF(S70&gt;0,T70*1000000/S70,0)</x:f>
        <x:v>43.00225733634311</x:v>
      </x:c>
      <x:c r="W70" s="64" t="n">
        <x:f>IF(AND(U70&gt;0,V69&gt;0,B70&gt;0),MIN(conv_cap,conv_beta*1*U70*MAX(0,LN(B70/(V69*X69)))),0)</x:f>
        <x:v>0.014184437572596256</x:v>
      </x:c>
      <x:c r="X70" s="65" t="n">
        <x:f>X69*(1+W70)</x:f>
        <x:v>1.4731913387739335</x:v>
      </x:c>
      <x:c r="Y70" s="47" t="n">
        <x:f>T70*X70</x:f>
        <x:v>561.2859000728687</x:v>
      </x:c>
      <x:c r="Z70" s="67" t="n">
        <x:f>IF(S70&gt;0,Y70*1000000/S70/Economy!Q70,0)</x:f>
        <x:v>0.17451942990531275</x:v>
      </x:c>
      <x:c r="AA70" s="45" t="n">
        <x:v>0</x:v>
      </x:c>
      <x:c r="AB70" s="45" t="n">
        <x:v>0</x:v>
      </x:c>
      <x:c r="AC70" s="68" t="n">
        <x:v>0</x:v>
      </x:c>
      <x:c r="AD70" s="47" t="n">
        <x:f>IF(AA70&gt;0,AB70*1000000/AA70,0)</x:f>
        <x:v>0</x:v>
      </x:c>
      <x:c r="AE70" s="64" t="n">
        <x:f>IF(AND(AC70&gt;0,AD69&gt;0,B70&gt;0),MIN(conv_cap,conv_beta*1*AC70*MAX(0,LN(B70/(AD69*AF69)))),0)</x:f>
        <x:v>0</x:v>
      </x:c>
      <x:c r="AF70" s="65" t="n">
        <x:f>AF69*(1+AE70)</x:f>
        <x:v>1</x:v>
      </x:c>
      <x:c r="AG70" s="47" t="n">
        <x:f>AB70*AF70</x:f>
        <x:v>0</x:v>
      </x:c>
      <x:c r="AH70" s="67" t="n">
        <x:f>IF(AA70&gt;0,AG70*1000000/AA70/Economy!Q70,0)</x:f>
        <x:v>0</x:v>
      </x:c>
      <x:c r="AI70" s="45" t="n">
        <x:v>423100000</x:v>
      </x:c>
      <x:c r="AJ70" s="45" t="n">
        <x:v>4769</x:v>
      </x:c>
      <x:c r="AK70" s="68" t="n">
        <x:v>0.242</x:v>
      </x:c>
      <x:c r="AL70" s="47" t="n">
        <x:f>IF(AI70&gt;0,AJ70*1000000/AI70,0)</x:f>
        <x:v>11.271567005436067</x:v>
      </x:c>
      <x:c r="AM70" s="64" t="n">
        <x:f>IF(AND(AK70&gt;0,AL69&gt;0,B70&gt;0),MIN(conv_cap,conv_beta*1*AK70*MAX(0,LN(B70/(AL69*AN69)))),0)</x:f>
        <x:v>0.00950038606974046</x:v>
      </x:c>
      <x:c r="AN70" s="65" t="n">
        <x:f>AN69*(1+AM70)</x:f>
        <x:v>1.2852269953870554</x:v>
      </x:c>
      <x:c r="AO70" s="47" t="n">
        <x:f>AJ70*AN70</x:f>
        <x:v>6129.247541000867</x:v>
      </x:c>
      <x:c r="AP70" s="67" t="n">
        <x:f>IF(AI70&gt;0,AO70*1000000/AI70/Economy!Q70,0)</x:f>
        <x:v>0.03990777464380294</x:v>
      </x:c>
      <x:c r="AQ70" s="45" t="n">
        <x:v>14310000</x:v>
      </x:c>
      <x:c r="AR70" s="45" t="n">
        <x:v>365</x:v>
      </x:c>
      <x:c r="AS70" s="68" t="n">
        <x:v>0.521</x:v>
      </x:c>
      <x:c r="AT70" s="47" t="n">
        <x:f>IF(AQ70&gt;0,AR70*1000000/AQ70,0)</x:f>
        <x:v>25.506638714185883</x:v>
      </x:c>
      <x:c r="AU70" s="64" t="n">
        <x:f>IF(AND(AS70&gt;0,AT69&gt;0,B70&gt;0),MIN(conv_cap,conv_beta*1*AS70*MAX(0,LN(B70/(AT69*AV69)))),0)</x:f>
        <x:v>0.015815473103155592</x:v>
      </x:c>
      <x:c r="AV70" s="65" t="n">
        <x:f>AV69*(1+AU70)</x:f>
        <x:v>1.3969152782829373</x:v>
      </x:c>
      <x:c r="AW70" s="47" t="n">
        <x:f>AR70*AV70</x:f>
        <x:v>509.8740765732721</x:v>
      </x:c>
      <x:c r="AX70" s="67" t="n">
        <x:f>IF(AQ70&gt;0,AW70*1000000/AQ70/Economy!Q70,0)</x:f>
        <x:v>0.09815595955231216</x:v>
      </x:c>
      <x:c r="AY70" s="45" t="n">
        <x:v>91500000</x:v>
      </x:c>
      <x:c r="AZ70" s="45" t="n">
        <x:v>2769</x:v>
      </x:c>
      <x:c r="BA70" s="68" t="n">
        <x:v>0.138</x:v>
      </x:c>
      <x:c r="BB70" s="47" t="n">
        <x:f>IF(AY70&gt;0,AZ70*1000000/AY70,0)</x:f>
        <x:v>30.262295081967213</x:v>
      </x:c>
      <x:c r="BC70" s="64" t="n">
        <x:f>IF(AND(BA70&gt;0,BB69&gt;0,B70&gt;0),MIN(conv_cap,conv_beta*1*BA70*MAX(0,LN(B70/(BB69*BD69)))),0)</x:f>
        <x:v>0.004291793350668669</x:v>
      </x:c>
      <x:c r="BD70" s="65" t="n">
        <x:f>BD69*(1+BC70)</x:f>
        <x:v>1.0824291544513331</x:v>
      </x:c>
      <x:c r="BE70" s="47" t="n">
        <x:f>AZ70*BD70</x:f>
        <x:v>2997.2463286757416</x:v>
      </x:c>
      <x:c r="BF70" s="67" t="n">
        <x:f>IF(AY70&gt;0,BE70*1000000/AY70/Economy!Q70,0)</x:f>
        <x:v>0.09023909222405099</x:v>
      </x:c>
      <x:c r="BG70" s="45" t="n">
        <x:v>35400000</x:v>
      </x:c>
      <x:c r="BH70" s="45" t="n">
        <x:v>3354</x:v>
      </x:c>
      <x:c r="BI70" s="68" t="n">
        <x:v>0.275</x:v>
      </x:c>
      <x:c r="BJ70" s="47" t="n">
        <x:f>IF(BG70&gt;0,BH70*1000000/BG70,0)</x:f>
        <x:v>94.7457627118644</x:v>
      </x:c>
      <x:c r="BK70" s="64" t="n">
        <x:f>IF(AND(BI70&gt;0,BJ69&gt;0,B70&gt;0),MIN(conv_cap,conv_beta*1*BI70*MAX(0,LN(B70/(BJ69*BL69)))),0)</x:f>
        <x:v>0.0053595807599817686</x:v>
      </x:c>
      <x:c r="BL70" s="65" t="n">
        <x:f>BL69*(1+BK70)</x:f>
        <x:v>1.1074153552458768</x:v>
      </x:c>
      <x:c r="BM70" s="47" t="n">
        <x:f>BH70*BL70</x:f>
        <x:v>3714.271101494671</x:v>
      </x:c>
      <x:c r="BN70" s="67" t="n">
        <x:f>IF(BG70&gt;0,BM70*1000000/BG70/Economy!Q70,0)</x:f>
        <x:v>0.28904383600991973</x:v>
      </x:c>
      <x:c r="BO70" s="45" t="n">
        <x:v>15500000</x:v>
      </x:c>
      <x:c r="BP70" s="45" t="n">
        <x:v>1031</x:v>
      </x:c>
      <x:c r="BQ70" s="68" t="n">
        <x:v>0.081</x:v>
      </x:c>
      <x:c r="BR70" s="47" t="n">
        <x:f>IF(BO70&gt;0,BP70*1000000/BO70,0)</x:f>
        <x:v>66.51612903225806</x:v>
      </x:c>
      <x:c r="BS70" s="64" t="n">
        <x:f>IF(AND(BQ70&gt;0,BR69&gt;0,B70&gt;0),MIN(conv_cap,conv_beta*1*BQ70*MAX(0,LN(B70/(BR69*BT69)))),0)</x:f>
        <x:v>0.0019360939643087076</x:v>
      </x:c>
      <x:c r="BT70" s="65" t="n">
        <x:f>BT69*(1+BS70)</x:f>
        <x:v>1.0090956649130887</x:v>
      </x:c>
      <x:c r="BU70" s="47" t="n">
        <x:f>BP70*BT70</x:f>
        <x:v>1040.3776305253944</x:v>
      </x:c>
      <x:c r="BV70" s="67" t="n">
        <x:f>IF(BO70&gt;0,BU70*1000000/BO70/Economy!Q70,0)</x:f>
        <x:v>0.18490671474724862</x:v>
      </x:c>
      <x:c r="BW70" s="65" t="n">
        <x:f>0.25*IF(D70&gt;0,H70,1)+0.15*IF(AJ70&gt;0,AN70,1)+0.03*IF(AR70&gt;0,AV70,1)+0.08*IF(AZ70&gt;0,BD70,1)+0.12*IF(BH70&gt;0,BL70,1)+0.1*IF(L70&gt;0,P70,1)+0.07*IF(T70&gt;0,X70,1)+0.05*IF(AB70&gt;0,AF70,1)+0.05*IF(BP70&gt;0,BT70,1)+0.1</x:f>
        <x:v>1.3233451791680335</x:v>
      </x:c>
      <x:c r="BX70" s="63" t="n">
        <x:f>MIN(mkt_cap,mkt_elast*MAX(0,BW70-1))</x:f>
        <x:v>0.16167258958401676</x:v>
      </x:c>
      <x:c r="BY70" s="47" t="n">
        <x:f>I70+Q70+Y70+AG70</x:f>
        <x:v>6054.387795657343</x:v>
      </x:c>
      <x:c r="BZ70" s="47" t="n">
        <x:f>D70+L70+T70+AB70</x:f>
        <x:v>4115.344</x:v>
      </x:c>
      <x:c r="CA70" s="65" t="n">
        <x:f>IF(BZ70&gt;0,BY70/BZ70,0)</x:f>
        <x:v>1.4711741705328505</x:v>
      </x:c>
    </x:row>
    <x:row r="71">
      <x:c r="A71" s="58" t="n">
        <x:v>1911</x:v>
      </x:c>
      <x:c r="B71" s="47" t="n">
        <x:f>Economy!P70</x:f>
        <x:v>754.5325143851627</x:v>
      </x:c>
      <x:c r="C71" s="45" t="n">
        <x:v>50180000</x:v>
      </x:c>
      <x:c r="D71" s="62" t="n">
        <x:f>Japan!B71</x:f>
        <x:v>2140</x:v>
      </x:c>
      <x:c r="E71" s="68" t="n">
        <x:v>0.783</x:v>
      </x:c>
      <x:c r="F71" s="47" t="n">
        <x:f>IF(C71&gt;0,D71*1000000/C71,0)</x:f>
        <x:v>42.64647269828617</x:v>
      </x:c>
      <x:c r="G71" s="64" t="n">
        <x:f>IF(AND(E71&gt;0,F70&gt;0,B71&gt;0),MIN(conv_cap,conv_beta*jp_uplift*E71*MAX(0,LN(B71/(F70*H70)))),0)</x:f>
        <x:v>0.018345043801806505</x:v>
      </x:c>
      <x:c r="H71" s="65" t="n">
        <x:f>H70*(1+G71)</x:f>
        <x:v>1.8683467133537588</x:v>
      </x:c>
      <x:c r="I71" s="47" t="n">
        <x:f>D71*H71</x:f>
        <x:v>3998.261966577044</x:v>
      </x:c>
      <x:c r="J71" s="67" t="n">
        <x:f>IF(C71&gt;0,I71*1000000/C71/Economy!Q71,0)</x:f>
        <x:v>0.21191063059035578</x:v>
      </x:c>
      <x:c r="K71" s="62" t="n">
        <x:f>Gulf!B71</x:f>
        <x:v>8140000</x:v>
      </x:c>
      <x:c r="L71" s="47" t="n">
        <x:f>Gulf!B71*Gulf!C71*Economy!Q71/1000000</x:f>
        <x:v>1879.23296</x:v>
      </x:c>
      <x:c r="M71" s="68" t="n">
        <x:v>0.627</x:v>
      </x:c>
      <x:c r="N71" s="47" t="n">
        <x:f>IF(K71&gt;0,L71*1000000/K71,0)</x:f>
        <x:v>230.864</x:v>
      </x:c>
      <x:c r="O71" s="64" t="n">
        <x:f>IF(AND(M71&gt;0,N70&gt;0,B71&gt;0),MIN(conv_cap,conv_beta*1*M71*MAX(0,LN(B71/(N70*P70)))),0)</x:f>
        <x:v>0.007257226912982526</x:v>
      </x:c>
      <x:c r="P71" s="65" t="n">
        <x:f>P70*(1+O71)</x:f>
        <x:v>1.0769494041036403</x:v>
      </x:c>
      <x:c r="Q71" s="47" t="n">
        <x:f>L71*P71</x:f>
        <x:v>2023.83881644392</x:v>
      </x:c>
      <x:c r="R71" s="67" t="n">
        <x:f>IF(K71&gt;0,Q71*1000000/K71/Economy!Q71,0)</x:f>
        <x:v>0.6612469341196351</x:v>
      </x:c>
      <x:c r="S71" s="62" t="n">
        <x:f>People!U71</x:f>
        <x:v>9040000</x:v>
      </x:c>
      <x:c r="T71" s="45" t="n">
        <x:v>394</x:v>
      </x:c>
      <x:c r="U71" s="68" t="n">
        <x:v>0.585</x:v>
      </x:c>
      <x:c r="V71" s="47" t="n">
        <x:f>IF(S71&gt;0,T71*1000000/S71,0)</x:f>
        <x:v>43.584070796460175</x:v>
      </x:c>
      <x:c r="W71" s="64" t="n">
        <x:f>IF(AND(U71&gt;0,V70&gt;0,B71&gt;0),MIN(conv_cap,conv_beta*1*U71*MAX(0,LN(B71/(V70*X70)))),0)</x:f>
        <x:v>0.014492876195890842</x:v>
      </x:c>
      <x:c r="X71" s="65" t="n">
        <x:f>X70*(1+W71)</x:f>
        <x:v>1.4945421184596428</x:v>
      </x:c>
      <x:c r="Y71" s="47" t="n">
        <x:f>T71*X71</x:f>
        <x:v>588.8495946730993</x:v>
      </x:c>
      <x:c r="Z71" s="67" t="n">
        <x:f>IF(S71&gt;0,Y71*1000000/S71/Economy!Q71,0)</x:f>
        <x:v>0.17323997207243788</x:v>
      </x:c>
      <x:c r="AA71" s="45" t="n">
        <x:v>0</x:v>
      </x:c>
      <x:c r="AB71" s="45" t="n">
        <x:v>0</x:v>
      </x:c>
      <x:c r="AC71" s="68" t="n">
        <x:v>0</x:v>
      </x:c>
      <x:c r="AD71" s="47" t="n">
        <x:f>IF(AA71&gt;0,AB71*1000000/AA71,0)</x:f>
        <x:v>0</x:v>
      </x:c>
      <x:c r="AE71" s="64" t="n">
        <x:f>IF(AND(AC71&gt;0,AD70&gt;0,B71&gt;0),MIN(conv_cap,conv_beta*1*AC71*MAX(0,LN(B71/(AD70*AF70)))),0)</x:f>
        <x:v>0</x:v>
      </x:c>
      <x:c r="AF71" s="65" t="n">
        <x:f>AF70*(1+AE71)</x:f>
        <x:v>1</x:v>
      </x:c>
      <x:c r="AG71" s="47" t="n">
        <x:f>AB71*AF71</x:f>
        <x:v>0</x:v>
      </x:c>
      <x:c r="AH71" s="67" t="n">
        <x:f>IF(AA71&gt;0,AG71*1000000/AA71/Economy!Q71,0)</x:f>
        <x:v>0</x:v>
      </x:c>
      <x:c r="AI71" s="45" t="n">
        <x:v>425400000</x:v>
      </x:c>
      <x:c r="AJ71" s="45" t="n">
        <x:v>4846</x:v>
      </x:c>
      <x:c r="AK71" s="68" t="n">
        <x:v>0.246</x:v>
      </x:c>
      <x:c r="AL71" s="47" t="n">
        <x:f>IF(AI71&gt;0,AJ71*1000000/AI71,0)</x:f>
        <x:v>11.391631405735778</x:v>
      </x:c>
      <x:c r="AM71" s="64" t="n">
        <x:f>IF(AND(AK71&gt;0,AL70&gt;0,B71&gt;0),MIN(conv_cap,conv_beta*1*AK71*MAX(0,LN(B71/(AL70*AN70)))),0)</x:f>
        <x:v>0.009724083958197807</x:v>
      </x:c>
      <x:c r="AN71" s="65" t="n">
        <x:f>AN70*(1+AM71)</x:f>
        <x:v>1.2977246505955415</x:v>
      </x:c>
      <x:c r="AO71" s="47" t="n">
        <x:f>AJ71*AN71</x:f>
        <x:v>6288.773656785995</x:v>
      </x:c>
      <x:c r="AP71" s="67" t="n">
        <x:f>IF(AI71&gt;0,AO71*1000000/AI71/Economy!Q71,0)</x:f>
        <x:v>0.039317023632238456</x:v>
      </x:c>
      <x:c r="AQ71" s="45" t="n">
        <x:v>14540000</x:v>
      </x:c>
      <x:c r="AR71" s="45" t="n">
        <x:v>377</x:v>
      </x:c>
      <x:c r="AS71" s="68" t="n">
        <x:v>0.525</x:v>
      </x:c>
      <x:c r="AT71" s="47" t="n">
        <x:f>IF(AQ71&gt;0,AR71*1000000/AQ71,0)</x:f>
        <x:v>25.92847317744154</x:v>
      </x:c>
      <x:c r="AU71" s="64" t="n">
        <x:f>IF(AND(AS71&gt;0,AT70&gt;0,B71&gt;0),MIN(conv_cap,conv_beta*1*AS71*MAX(0,LN(B71/(AT70*AV70)))),0)</x:f>
        <x:v>0.016027689185791765</x:v>
      </x:c>
      <x:c r="AV71" s="65" t="n">
        <x:f>AV70*(1+AU71)</x:f>
        <x:v>1.41930460218214</x:v>
      </x:c>
      <x:c r="AW71" s="47" t="n">
        <x:f>AR71*AV71</x:f>
        <x:v>535.0778350226668</x:v>
      </x:c>
      <x:c r="AX71" s="67" t="n">
        <x:f>IF(AQ71&gt;0,AW71*1000000/AQ71/Economy!Q71,0)</x:f>
        <x:v>0.09787340773483766</x:v>
      </x:c>
      <x:c r="AY71" s="45" t="n">
        <x:v>92700000</x:v>
      </x:c>
      <x:c r="AZ71" s="45" t="n">
        <x:v>2846</x:v>
      </x:c>
      <x:c r="BA71" s="68" t="n">
        <x:v>0.142</x:v>
      </x:c>
      <x:c r="BB71" s="47" t="n">
        <x:f>IF(AY71&gt;0,AZ71*1000000/AY71,0)</x:f>
        <x:v>30.70118662351672</x:v>
      </x:c>
      <x:c r="BC71" s="64" t="n">
        <x:f>IF(AND(BA71&gt;0,BB70&gt;0,B71&gt;0),MIN(conv_cap,conv_beta*1*BA71*MAX(0,LN(B71/(BB70*BD70)))),0)</x:f>
        <x:v>0.00445452308470621</x:v>
      </x:c>
      <x:c r="BD71" s="65" t="n">
        <x:f>BD70*(1+BC71)</x:f>
        <x:v>1.0872508601073956</x:v>
      </x:c>
      <x:c r="BE71" s="47" t="n">
        <x:f>AZ71*BD71</x:f>
        <x:v>3094.315947865648</x:v>
      </x:c>
      <x:c r="BF71" s="67" t="n">
        <x:f>IF(AY71&gt;0,BE71*1000000/AY71/Economy!Q71,0)</x:f>
        <x:v>0.08877630734770271</x:v>
      </x:c>
      <x:c r="BG71" s="45" t="n">
        <x:v>35900000</x:v>
      </x:c>
      <x:c r="BH71" s="45" t="n">
        <x:v>3469</x:v>
      </x:c>
      <x:c r="BI71" s="68" t="n">
        <x:v>0.283</x:v>
      </x:c>
      <x:c r="BJ71" s="47" t="n">
        <x:f>IF(BG71&gt;0,BH71*1000000/BG71,0)</x:f>
        <x:v>96.62952646239555</x:v>
      </x:c>
      <x:c r="BK71" s="64" t="n">
        <x:f>IF(AND(BI71&gt;0,BJ70&gt;0,B71&gt;0),MIN(conv_cap,conv_beta*1*BI71*MAX(0,LN(B71/(BJ70*BL70)))),0)</x:f>
        <x:v>0.005583229055125084</x:v>
      </x:c>
      <x:c r="BL71" s="65" t="n">
        <x:f>BL70*(1+BK71)</x:f>
        <x:v>1.1135983088333772</x:v>
      </x:c>
      <x:c r="BM71" s="47" t="n">
        <x:f>BH71*BL71</x:f>
        <x:v>3863.0725333429855</x:v>
      </x:c>
      <x:c r="BN71" s="67" t="n">
        <x:f>IF(BG71&gt;0,BM71*1000000/BG71/Economy!Q71,0)</x:f>
        <x:v>0.2861874394997174</x:v>
      </x:c>
      <x:c r="BO71" s="45" t="n">
        <x:v>15700000</x:v>
      </x:c>
      <x:c r="BP71" s="45" t="n">
        <x:v>1054</x:v>
      </x:c>
      <x:c r="BQ71" s="68" t="n">
        <x:v>0.08799999999999999</x:v>
      </x:c>
      <x:c r="BR71" s="47" t="n">
        <x:f>IF(BO71&gt;0,BP71*1000000/BO71,0)</x:f>
        <x:v>67.13375796178345</x:v>
      </x:c>
      <x:c r="BS71" s="64" t="n">
        <x:f>IF(AND(BQ71&gt;0,BR70&gt;0,B71&gt;0),MIN(conv_cap,conv_beta*1*BQ71*MAX(0,LN(B71/(BR70*BT70)))),0)</x:f>
        <x:v>0.0021292474391335237</x:v>
      </x:c>
      <x:c r="BT71" s="65" t="n">
        <x:f>BT70*(1+BS71)</x:f>
        <x:v>1.0112442792734455</x:v>
      </x:c>
      <x:c r="BU71" s="47" t="n">
        <x:f>BP71*BT71</x:f>
        <x:v>1065.8514703542116</x:v>
      </x:c>
      <x:c r="BV71" s="67" t="n">
        <x:f>IF(BO71&gt;0,BU71*1000000/BO71/Economy!Q71,0)</x:f>
        <x:v>0.18055486352388733</x:v>
      </x:c>
      <x:c r="BW71" s="65" t="n">
        <x:f>0.25*IF(D71&gt;0,H71,1)+0.15*IF(AJ71&gt;0,AN71,1)+0.03*IF(AR71&gt;0,AV71,1)+0.08*IF(AZ71&gt;0,BD71,1)+0.12*IF(BH71&gt;0,BL71,1)+0.1*IF(L71&gt;0,P71,1)+0.07*IF(T71&gt;0,X71,1)+0.05*IF(AB71&gt;0,AF71,1)+0.05*IF(BP71&gt;0,BT71,1)+0.1</x:f>
        <x:v>1.3378114825280436</x:v>
      </x:c>
      <x:c r="BX71" s="63" t="n">
        <x:f>MIN(mkt_cap,mkt_elast*MAX(0,BW71-1))</x:f>
        <x:v>0.1689057412640218</x:v>
      </x:c>
      <x:c r="BY71" s="47" t="n">
        <x:f>I71+Q71+Y71+AG71</x:f>
        <x:v>6610.950377694063</x:v>
      </x:c>
      <x:c r="BZ71" s="47" t="n">
        <x:f>D71+L71+T71+AB71</x:f>
        <x:v>4413.23296</x:v>
      </x:c>
      <x:c r="CA71" s="65" t="n">
        <x:f>IF(BZ71&gt;0,BY71/BZ71,0)</x:f>
        <x:v>1.49798355029372</x:v>
      </x:c>
    </x:row>
    <x:row r="72">
      <x:c r="A72" s="58" t="n">
        <x:v>1912</x:v>
      </x:c>
      <x:c r="B72" s="47" t="n">
        <x:f>Economy!P71</x:f>
        <x:v>787.0199199325132</x:v>
      </x:c>
      <x:c r="C72" s="45" t="n">
        <x:v>50740000</x:v>
      </x:c>
      <x:c r="D72" s="62" t="n">
        <x:f>Japan!B72</x:f>
        <x:v>2320</x:v>
      </x:c>
      <x:c r="E72" s="68" t="n">
        <x:v>0.789</x:v>
      </x:c>
      <x:c r="F72" s="47" t="n">
        <x:f>IF(C72&gt;0,D72*1000000/C72,0)</x:f>
        <x:v>45.72329523058731</x:v>
      </x:c>
      <x:c r="G72" s="64" t="n">
        <x:f>IF(AND(E72&gt;0,F71&gt;0,B72&gt;0),MIN(conv_cap,conv_beta*jp_uplift*E72*MAX(0,LN(B72/(F71*H71)))),0)</x:f>
        <x:v>0.018070112446582336</x:v>
      </x:c>
      <x:c r="H72" s="65" t="n">
        <x:f>H71*(1+G72)</x:f>
        <x:v>1.9021079485532637</x:v>
      </x:c>
      <x:c r="I72" s="47" t="n">
        <x:f>D72*H72</x:f>
        <x:v>4412.890440643572</x:v>
      </x:c>
      <x:c r="J72" s="67" t="n">
        <x:f>IF(C72&gt;0,I72*1000000/C72/Economy!Q72,0)</x:f>
        <x:v>0.22300164946704526</x:v>
      </x:c>
      <x:c r="K72" s="62" t="n">
        <x:f>Gulf!B72</x:f>
        <x:v>8280000</x:v>
      </x:c>
      <x:c r="L72" s="47" t="n">
        <x:f>Gulf!B72*Gulf!C72*Economy!Q72/1000000</x:f>
        <x:v>1992.4164</x:v>
      </x:c>
      <x:c r="M72" s="68" t="n">
        <x:v>0.638</x:v>
      </x:c>
      <x:c r="N72" s="47" t="n">
        <x:f>IF(K72&gt;0,L72*1000000/K72,0)</x:f>
        <x:v>240.63</x:v>
      </x:c>
      <x:c r="O72" s="64" t="n">
        <x:f>IF(AND(M72&gt;0,N71&gt;0,B72&gt;0),MIN(conv_cap,conv_beta*1*M72*MAX(0,LN(B72/(N71*P71)))),0)</x:f>
        <x:v>0.00735162518178793</x:v>
      </x:c>
      <x:c r="P72" s="65" t="n">
        <x:f>P71*(1+O72)</x:f>
        <x:v>1.0848667324623602</x:v>
      </x:c>
      <x:c r="Q72" s="47" t="n">
        <x:f>L72*P72</x:f>
        <x:v>2161.506269572419</x:v>
      </x:c>
      <x:c r="R72" s="67" t="n">
        <x:f>IF(K72&gt;0,Q72*1000000/K72/Economy!Q72,0)</x:f>
        <x:v>0.6693627739292763</x:v>
      </x:c>
      <x:c r="S72" s="62" t="n">
        <x:f>People!U72</x:f>
        <x:v>9220000</x:v>
      </x:c>
      <x:c r="T72" s="45" t="n">
        <x:v>407</x:v>
      </x:c>
      <x:c r="U72" s="68" t="n">
        <x:v>0.592</x:v>
      </x:c>
      <x:c r="V72" s="47" t="n">
        <x:f>IF(S72&gt;0,T72*1000000/S72,0)</x:f>
        <x:v>44.143167028199564</x:v>
      </x:c>
      <x:c r="W72" s="64" t="n">
        <x:f>IF(AND(U72&gt;0,V71&gt;0,B72&gt;0),MIN(conv_cap,conv_beta*1*U72*MAX(0,LN(B72/(V71*X71)))),0)</x:f>
        <x:v>0.014751112283457813</x:v>
      </x:c>
      <x:c r="X72" s="65" t="n">
        <x:f>X71*(1+W72)</x:f>
        <x:v>1.5165882770613979</x:v>
      </x:c>
      <x:c r="Y72" s="47" t="n">
        <x:f>T72*X72</x:f>
        <x:v>617.2514287639889</x:v>
      </x:c>
      <x:c r="Z72" s="67" t="n">
        <x:f>IF(S72&gt;0,Y72*1000000/S72/Economy!Q72,0)</x:f>
        <x:v>0.17165899904443763</x:v>
      </x:c>
      <x:c r="AA72" s="45" t="n">
        <x:v>0</x:v>
      </x:c>
      <x:c r="AB72" s="45" t="n">
        <x:v>0</x:v>
      </x:c>
      <x:c r="AC72" s="68" t="n">
        <x:v>0</x:v>
      </x:c>
      <x:c r="AD72" s="47" t="n">
        <x:f>IF(AA72&gt;0,AB72*1000000/AA72,0)</x:f>
        <x:v>0</x:v>
      </x:c>
      <x:c r="AE72" s="64" t="n">
        <x:f>IF(AND(AC72&gt;0,AD71&gt;0,B72&gt;0),MIN(conv_cap,conv_beta*1*AC72*MAX(0,LN(B72/(AD71*AF71)))),0)</x:f>
        <x:v>0</x:v>
      </x:c>
      <x:c r="AF72" s="65" t="n">
        <x:f>AF71*(1+AE72)</x:f>
        <x:v>1</x:v>
      </x:c>
      <x:c r="AG72" s="47" t="n">
        <x:f>AB72*AF72</x:f>
        <x:v>0</x:v>
      </x:c>
      <x:c r="AH72" s="67" t="n">
        <x:f>IF(AA72&gt;0,AG72*1000000/AA72/Economy!Q72,0)</x:f>
        <x:v>0</x:v>
      </x:c>
      <x:c r="AI72" s="45" t="n">
        <x:v>427700000</x:v>
      </x:c>
      <x:c r="AJ72" s="45" t="n">
        <x:v>4923</x:v>
      </x:c>
      <x:c r="AK72" s="68" t="n">
        <x:v>0.25</x:v>
      </x:c>
      <x:c r="AL72" s="47" t="n">
        <x:f>IF(AI72&gt;0,AJ72*1000000/AI72,0)</x:f>
        <x:v>11.510404489127893</x:v>
      </x:c>
      <x:c r="AM72" s="64" t="n">
        <x:f>IF(AND(AK72&gt;0,AL71&gt;0,B72&gt;0),MIN(conv_cap,conv_beta*1*AK72*MAX(0,LN(B72/(AL71*AN71)))),0)</x:f>
        <x:v>0.009936905246312374</x:v>
      </x:c>
      <x:c r="AN72" s="65" t="n">
        <x:f>AN71*(1+AM72)</x:f>
        <x:v>1.3106200174843132</x:v>
      </x:c>
      <x:c r="AO72" s="47" t="n">
        <x:f>AJ72*AN72</x:f>
        <x:v>6452.182346075274</x:v>
      </x:c>
      <x:c r="AP72" s="67" t="n">
        <x:f>IF(AI72&gt;0,AO72*1000000/AI72/Economy!Q72,0)</x:f>
        <x:v>0.03868145264818543</x:v>
      </x:c>
      <x:c r="AQ72" s="45" t="n">
        <x:v>14770000</x:v>
      </x:c>
      <x:c r="AR72" s="45" t="n">
        <x:v>388</x:v>
      </x:c>
      <x:c r="AS72" s="68" t="n">
        <x:v>0.529</x:v>
      </x:c>
      <x:c r="AT72" s="47" t="n">
        <x:f>IF(AQ72&gt;0,AR72*1000000/AQ72,0)</x:f>
        <x:v>26.269465132024372</x:v>
      </x:c>
      <x:c r="AU72" s="64" t="n">
        <x:f>IF(AND(AS72&gt;0,AT71&gt;0,B72&gt;0),MIN(conv_cap,conv_beta*1*AS72*MAX(0,LN(B72/(AT71*AV71)))),0)</x:f>
        <x:v>0.016201920040074733</x:v>
      </x:c>
      <x:c r="AV72" s="65" t="n">
        <x:f>AV71*(1+AU72)</x:f>
        <x:v>1.4423000618592052</x:v>
      </x:c>
      <x:c r="AW72" s="47" t="n">
        <x:f>AR72*AV72</x:f>
        <x:v>559.6124240013717</x:v>
      </x:c>
      <x:c r="AX72" s="67" t="n">
        <x:f>IF(AQ72&gt;0,AW72*1000000/AQ72/Economy!Q72,0)</x:f>
        <x:v>0.09714987483314612</x:v>
      </x:c>
      <x:c r="AY72" s="45" t="n">
        <x:v>93800000</x:v>
      </x:c>
      <x:c r="AZ72" s="45" t="n">
        <x:v>2923</x:v>
      </x:c>
      <x:c r="BA72" s="68" t="n">
        <x:v>0.146</x:v>
      </x:c>
      <x:c r="BB72" s="47" t="n">
        <x:f>IF(AY72&gt;0,AZ72*1000000/AY72,0)</x:f>
        <x:v>31.162046908315563</x:v>
      </x:c>
      <x:c r="BC72" s="64" t="n">
        <x:f>IF(AND(BA72&gt;0,BB71&gt;0,B72&gt;0),MIN(conv_cap,conv_beta*1*BA72*MAX(0,LN(B72/(BB71*BD71)))),0)</x:f>
        <x:v>0.004614037838905933</x:v>
      </x:c>
      <x:c r="BD72" s="65" t="n">
        <x:f>BD71*(1+BC72)</x:f>
        <x:v>1.092267476716314</x:v>
      </x:c>
      <x:c r="BE72" s="47" t="n">
        <x:f>AZ72*BD72</x:f>
        <x:v>3192.697834441786</x:v>
      </x:c>
      <x:c r="BF72" s="67" t="n">
        <x:f>IF(AY72&gt;0,BE72*1000000/AY72/Economy!Q72,0)</x:f>
        <x:v>0.0872751034509263</x:v>
      </x:c>
      <x:c r="BG72" s="45" t="n">
        <x:v>36500000</x:v>
      </x:c>
      <x:c r="BH72" s="45" t="n">
        <x:v>3585</x:v>
      </x:c>
      <x:c r="BI72" s="68" t="n">
        <x:v>0.292</x:v>
      </x:c>
      <x:c r="BJ72" s="47" t="n">
        <x:f>IF(BG72&gt;0,BH72*1000000/BG72,0)</x:f>
        <x:v>98.21917808219177</x:v>
      </x:c>
      <x:c r="BK72" s="64" t="n">
        <x:f>IF(AND(BI72&gt;0,BJ71&gt;0,B72&gt;0),MIN(conv_cap,conv_beta*1*BI72*MAX(0,LN(B72/(BJ71*BL71)))),0)</x:f>
        <x:v>0.005810136330416034</x:v>
      </x:c>
      <x:c r="BL72" s="65" t="n">
        <x:f>BL71*(1+BK72)</x:f>
        <x:v>1.1200684668250198</x:v>
      </x:c>
      <x:c r="BM72" s="47" t="n">
        <x:f>BH72*BL72</x:f>
        <x:v>4015.445453567696</x:v>
      </x:c>
      <x:c r="BN72" s="67" t="n">
        <x:f>IF(BG72&gt;0,BM72*1000000/BG72/Economy!Q72,0)</x:f>
        <x:v>0.28208257489060035</x:v>
      </x:c>
      <x:c r="BO72" s="45" t="n">
        <x:v>15800000</x:v>
      </x:c>
      <x:c r="BP72" s="45" t="n">
        <x:v>1077</x:v>
      </x:c>
      <x:c r="BQ72" s="68" t="n">
        <x:v>0.094</x:v>
      </x:c>
      <x:c r="BR72" s="47" t="n">
        <x:f>IF(BO72&gt;0,BP72*1000000/BO72,0)</x:f>
        <x:v>68.16455696202532</x:v>
      </x:c>
      <x:c r="BS72" s="64" t="n">
        <x:f>IF(AND(BQ72&gt;0,BR71&gt;0,B72&gt;0),MIN(conv_cap,conv_beta*1*BQ72*MAX(0,LN(B72/(BR71*BT71)))),0)</x:f>
        <x:v>0.0023033619096658716</x:v>
      </x:c>
      <x:c r="BT72" s="65" t="n">
        <x:f>BT71*(1+BS72)</x:f>
        <x:v>1.0135735408276916</x:v>
      </x:c>
      <x:c r="BU72" s="47" t="n">
        <x:f>BP72*BT72</x:f>
        <x:v>1091.618703471424</x:v>
      </x:c>
      <x:c r="BV72" s="67" t="n">
        <x:f>IF(BO72&gt;0,BU72*1000000/BO72/Economy!Q72,0)</x:f>
        <x:v>0.1771533111767971</x:v>
      </x:c>
      <x:c r="BW72" s="65" t="n">
        <x:f>0.25*IF(D72&gt;0,H72,1)+0.15*IF(AJ72&gt;0,AN72,1)+0.03*IF(AR72&gt;0,AV72,1)+0.08*IF(AZ72&gt;0,BD72,1)+0.12*IF(BH72&gt;0,BL72,1)+0.1*IF(L72&gt;0,P72,1)+0.07*IF(T72&gt;0,X72,1)+0.05*IF(AB72&gt;0,AF72,1)+0.05*IF(BP72&gt;0,BT72,1)+0.1</x:f>
        <x:v>1.352505135454965</x:v>
      </x:c>
      <x:c r="BX72" s="63" t="n">
        <x:f>MIN(mkt_cap,mkt_elast*MAX(0,BW72-1))</x:f>
        <x:v>0.17625256772748255</x:v>
      </x:c>
      <x:c r="BY72" s="47" t="n">
        <x:f>I72+Q72+Y72+AG72</x:f>
        <x:v>7191.64813897998</x:v>
      </x:c>
      <x:c r="BZ72" s="47" t="n">
        <x:f>D72+L72+T72+AB72</x:f>
        <x:v>4719.4164</x:v>
      </x:c>
      <x:c r="CA72" s="65" t="n">
        <x:f>IF(BZ72&gt;0,BY72/BZ72,0)</x:f>
        <x:v>1.5238426808407879</x:v>
      </x:c>
    </x:row>
    <x:row r="73">
      <x:c r="A73" s="58" t="n">
        <x:v>1913</x:v>
      </x:c>
      <x:c r="B73" s="47" t="n">
        <x:f>Economy!P72</x:f>
        <x:v>821.3913726792179</x:v>
      </x:c>
      <x:c r="C73" s="45" t="n">
        <x:v>51300000</x:v>
      </x:c>
      <x:c r="D73" s="62" t="n">
        <x:f>Japan!B73</x:f>
        <x:v>2500</x:v>
      </x:c>
      <x:c r="E73" s="68" t="n">
        <x:v>0.794</x:v>
      </x:c>
      <x:c r="F73" s="47" t="n">
        <x:f>IF(C73&gt;0,D73*1000000/C73,0)</x:f>
        <x:v>48.732943469785575</x:v>
      </x:c>
      <x:c r="G73" s="64" t="n">
        <x:f>IF(AND(E73&gt;0,F72&gt;0,B73&gt;0),MIN(conv_cap,conv_beta*jp_uplift*E73*MAX(0,LN(B73/(F72*H72)))),0)</x:f>
        <x:v>0.017828706815713816</x:v>
      </x:c>
      <x:c r="H73" s="65" t="n">
        <x:f>H72*(1+G73)</x:f>
        <x:v>1.936020073499859</x:v>
      </x:c>
      <x:c r="I73" s="47" t="n">
        <x:f>D73*H73</x:f>
        <x:v>4840.050183749648</x:v>
      </x:c>
      <x:c r="J73" s="67" t="n">
        <x:f>IF(C73&gt;0,I73*1000000/C73/Economy!Q73,0)</x:f>
        <x:v>0.23411403672019543</x:v>
      </x:c>
      <x:c r="K73" s="62" t="n">
        <x:f>Gulf!B73</x:f>
        <x:v>8420000</x:v>
      </x:c>
      <x:c r="L73" s="47" t="n">
        <x:f>Gulf!B73*Gulf!C73*Economy!Q73/1000000</x:f>
        <x:v>2103.8212</x:v>
      </x:c>
      <x:c r="M73" s="68" t="n">
        <x:v>0.65</x:v>
      </x:c>
      <x:c r="N73" s="47" t="n">
        <x:f>IF(K73&gt;0,L73*1000000/K73,0)</x:f>
        <x:v>249.85999999999999</x:v>
      </x:c>
      <x:c r="O73" s="64" t="n">
        <x:f>IF(AND(M73&gt;0,N72&gt;0,B73&gt;0),MIN(conv_cap,conv_beta*1*M73*MAX(0,LN(B73/(N72*P72)))),0)</x:f>
        <x:v>0.0074508334030313145</x:v>
      </x:c>
      <x:c r="P73" s="65" t="n">
        <x:f>P72*(1+O73)</x:f>
        <x:v>1.092949893750428</x:v>
      </x:c>
      <x:c r="Q73" s="47" t="n">
        <x:f>L73*P73</x:f>
        <x:v>2299.371157009898</x:v>
      </x:c>
      <x:c r="R73" s="67" t="n">
        <x:f>IF(K73&gt;0,Q73*1000000/K73/Economy!Q73,0)</x:f>
        <x:v>0.6776289341252654</x:v>
      </x:c>
      <x:c r="S73" s="62" t="n">
        <x:f>People!U73</x:f>
        <x:v>9400000</x:v>
      </x:c>
      <x:c r="T73" s="45" t="n">
        <x:v>420</x:v>
      </x:c>
      <x:c r="U73" s="68" t="n">
        <x:v>0.6</x:v>
      </x:c>
      <x:c r="V73" s="47" t="n">
        <x:f>IF(S73&gt;0,T73*1000000/S73,0)</x:f>
        <x:v>44.680851063829785</x:v>
      </x:c>
      <x:c r="W73" s="64" t="n">
        <x:f>IF(AND(U73&gt;0,V72&gt;0,B73&gt;0),MIN(conv_cap,conv_beta*1*U73*MAX(0,LN(B73/(V72*X72)))),0)</x:f>
        <x:v>0.01504258975738555</x:v>
      </x:c>
      <x:c r="X73" s="65" t="n">
        <x:f>X72*(1+W73)</x:f>
        <x:v>1.5394016923440927</x:v>
      </x:c>
      <x:c r="Y73" s="47" t="n">
        <x:f>T73*X73</x:f>
        <x:v>646.5487107845189</x:v>
      </x:c>
      <x:c r="Z73" s="67" t="n">
        <x:f>IF(S73&gt;0,Y73*1000000/S73/Economy!Q73,0)</x:f>
        <x:v>0.17067438645914126</x:v>
      </x:c>
      <x:c r="AA73" s="45" t="n">
        <x:v>0</x:v>
      </x:c>
      <x:c r="AB73" s="45" t="n">
        <x:v>0</x:v>
      </x:c>
      <x:c r="AC73" s="68" t="n">
        <x:v>0</x:v>
      </x:c>
      <x:c r="AD73" s="47" t="n">
        <x:f>IF(AA73&gt;0,AB73*1000000/AA73,0)</x:f>
        <x:v>0</x:v>
      </x:c>
      <x:c r="AE73" s="64" t="n">
        <x:f>IF(AND(AC73&gt;0,AD72&gt;0,B73&gt;0),MIN(conv_cap,conv_beta*1*AC73*MAX(0,LN(B73/(AD72*AF72)))),0)</x:f>
        <x:v>0</x:v>
      </x:c>
      <x:c r="AF73" s="65" t="n">
        <x:f>AF72*(1+AE73)</x:f>
        <x:v>1</x:v>
      </x:c>
      <x:c r="AG73" s="47" t="n">
        <x:f>AB73*AF73</x:f>
        <x:v>0</x:v>
      </x:c>
      <x:c r="AH73" s="67" t="n">
        <x:f>IF(AA73&gt;0,AG73*1000000/AA73/Economy!Q73,0)</x:f>
        <x:v>0</x:v>
      </x:c>
      <x:c r="AI73" s="45" t="n">
        <x:v>430000000</x:v>
      </x:c>
      <x:c r="AJ73" s="45" t="n">
        <x:v>5000</x:v>
      </x:c>
      <x:c r="AK73" s="68" t="n">
        <x:v>0.255</x:v>
      </x:c>
      <x:c r="AL73" s="47" t="n">
        <x:f>IF(AI73&gt;0,AJ73*1000000/AI73,0)</x:f>
        <x:v>11.627906976744185</x:v>
      </x:c>
      <x:c r="AM73" s="64" t="n">
        <x:f>IF(AND(AK73&gt;0,AL72&gt;0,B73&gt;0),MIN(conv_cap,conv_beta*1*AK73*MAX(0,LN(B73/(AL72*AN72)))),0)</x:f>
        <x:v>0.010192982432430506</x:v>
      </x:c>
      <x:c r="AN73" s="65" t="n">
        <x:f>AN72*(1+AM73)</x:f>
        <x:v>1.3239791442981226</x:v>
      </x:c>
      <x:c r="AO73" s="47" t="n">
        <x:f>AJ73*AN73</x:f>
        <x:v>6619.895721490613</x:v>
      </x:c>
      <x:c r="AP73" s="67" t="n">
        <x:f>IF(AI73&gt;0,AO73*1000000/AI73/Economy!Q73,0)</x:f>
        <x:v>0.03820125639962267</x:v>
      </x:c>
      <x:c r="AQ73" s="45" t="n">
        <x:v>15000000</x:v>
      </x:c>
      <x:c r="AR73" s="45" t="n">
        <x:v>400</x:v>
      </x:c>
      <x:c r="AS73" s="68" t="n">
        <x:v>0.533</x:v>
      </x:c>
      <x:c r="AT73" s="47" t="n">
        <x:f>IF(AQ73&gt;0,AR73*1000000/AQ73,0)</x:f>
        <x:v>26.666666666666668</x:v>
      </x:c>
      <x:c r="AU73" s="64" t="n">
        <x:f>IF(AND(AS73&gt;0,AT72&gt;0,B73&gt;0),MIN(conv_cap,conv_beta*1*AS73*MAX(0,LN(B73/(AT72*AV72)))),0)</x:f>
        <x:v>0.016396963359231437</x:v>
      </x:c>
      <x:c r="AV73" s="65" t="n">
        <x:f>AV72*(1+AU73)</x:f>
        <x:v>1.4659494031265277</x:v>
      </x:c>
      <x:c r="AW73" s="47" t="n">
        <x:f>AR73*AV73</x:f>
        <x:v>586.3797612506111</x:v>
      </x:c>
      <x:c r="AX73" s="67" t="n">
        <x:f>IF(AQ73&gt;0,AW73*1000000/AQ73/Economy!Q73,0)</x:f>
        <x:v>0.09700244189422846</x:v>
      </x:c>
      <x:c r="AY73" s="45" t="n">
        <x:v>95000000</x:v>
      </x:c>
      <x:c r="AZ73" s="45" t="n">
        <x:v>3000</x:v>
      </x:c>
      <x:c r="BA73" s="68" t="n">
        <x:v>0.15</x:v>
      </x:c>
      <x:c r="BB73" s="47" t="n">
        <x:f>IF(AY73&gt;0,AZ73*1000000/AY73,0)</x:f>
        <x:v>31.57894736842105</x:v>
      </x:c>
      <x:c r="BC73" s="64" t="n">
        <x:f>IF(AND(BA73&gt;0,BB72&gt;0,B73&gt;0),MIN(conv_cap,conv_beta*1*BA73*MAX(0,LN(B73/(BB72*BD72)))),0)</x:f>
        <x:v>0.004775314499700585</x:v>
      </x:c>
      <x:c r="BD73" s="65" t="n">
        <x:f>BD72*(1+BC73)</x:f>
        <x:v>1.0974833974354288</x:v>
      </x:c>
      <x:c r="BE73" s="47" t="n">
        <x:f>AZ73*BD73</x:f>
        <x:v>3292.450192306286</x:v>
      </x:c>
      <x:c r="BF73" s="67" t="n">
        <x:f>IF(AY73&gt;0,BE73*1000000/AY73/Economy!Q73,0)</x:f>
        <x:v>0.08599843782960132</x:v>
      </x:c>
      <x:c r="BG73" s="45" t="n">
        <x:v>37000000</x:v>
      </x:c>
      <x:c r="BH73" s="45" t="n">
        <x:v>3700</x:v>
      </x:c>
      <x:c r="BI73" s="68" t="n">
        <x:v>0.3</x:v>
      </x:c>
      <x:c r="BJ73" s="47" t="n">
        <x:f>IF(BG73&gt;0,BH73*1000000/BG73,0)</x:f>
        <x:v>100</x:v>
      </x:c>
      <x:c r="BK73" s="64" t="n">
        <x:f>IF(AND(BI73&gt;0,BJ72&gt;0,B73&gt;0),MIN(conv_cap,conv_beta*1*BI73*MAX(0,LN(B73/(BJ72*BL72)))),0)</x:f>
        <x:v>0.0060312251738971635</x:v>
      </x:c>
      <x:c r="BL73" s="65" t="n">
        <x:f>BL72*(1+BK73)</x:f>
        <x:v>1.1268238519586233</x:v>
      </x:c>
      <x:c r="BM73" s="47" t="n">
        <x:f>BH73*BL73</x:f>
        <x:v>4169.248252246906</x:v>
      </x:c>
      <x:c r="BN73" s="67" t="n">
        <x:f>IF(BG73&gt;0,BM73*1000000/BG73/Economy!Q73,0)</x:f>
        <x:v>0.27960889626764845</x:v>
      </x:c>
      <x:c r="BO73" s="45" t="n">
        <x:v>16000000</x:v>
      </x:c>
      <x:c r="BP73" s="45" t="n">
        <x:v>1100</x:v>
      </x:c>
      <x:c r="BQ73" s="68" t="n">
        <x:v>0.1</x:v>
      </x:c>
      <x:c r="BR73" s="47" t="n">
        <x:f>IF(BO73&gt;0,BP73*1000000/BO73,0)</x:f>
        <x:v>68.75</x:v>
      </x:c>
      <x:c r="BS73" s="64" t="n">
        <x:f>IF(AND(BQ73&gt;0,BR72&gt;0,B73&gt;0),MIN(conv_cap,conv_beta*1*BQ73*MAX(0,LN(B73/(BR72*BT72)))),0)</x:f>
        <x:v>0.0024755927156249204</x:v>
      </x:c>
      <x:c r="BT73" s="65" t="n">
        <x:f>BT72*(1+BS73)</x:f>
        <x:v>1.016082736102115</x:v>
      </x:c>
      <x:c r="BU73" s="47" t="n">
        <x:f>BP73*BT73</x:f>
        <x:v>1117.6910097123264</x:v>
      </x:c>
      <x:c r="BV73" s="67" t="n">
        <x:f>IF(BO73&gt;0,BU73*1000000/BO73/Economy!Q73,0)</x:f>
        <x:v>0.17333917644421934</x:v>
      </x:c>
      <x:c r="BW73" s="65" t="n">
        <x:f>0.25*IF(D73&gt;0,H73,1)+0.15*IF(AJ73&gt;0,AN73,1)+0.03*IF(AR73&gt;0,AV73,1)+0.08*IF(AZ73&gt;0,BD73,1)+0.12*IF(BH73&gt;0,BL73,1)+0.1*IF(L73&gt;0,P73,1)+0.07*IF(T73&gt;0,X73,1)+0.05*IF(AB73&gt;0,AF73,1)+0.05*IF(BP73&gt;0,BT73,1)+0.1</x:f>
        <x:v>1.3674551507875832</x:v>
      </x:c>
      <x:c r="BX73" s="63" t="n">
        <x:f>MIN(mkt_cap,mkt_elast*MAX(0,BW73-1))</x:f>
        <x:v>0.1837275753937916</x:v>
      </x:c>
      <x:c r="BY73" s="47" t="n">
        <x:f>I73+Q73+Y73+AG73</x:f>
        <x:v>7785.9700515440645</x:v>
      </x:c>
      <x:c r="BZ73" s="47" t="n">
        <x:f>D73+L73+T73+AB73</x:f>
        <x:v>5023.8212</x:v>
      </x:c>
      <x:c r="CA73" s="65" t="n">
        <x:f>IF(BZ73&gt;0,BY73/BZ73,0)</x:f>
        <x:v>1.5498103418855877</x:v>
      </x:c>
    </x:row>
    <x:row r="74">
      <x:c r="A74" s="61" t="n">
        <x:v>1914</x:v>
      </x:c>
      <x:c r="B74" s="47" t="n">
        <x:f>Economy!P73</x:f>
        <x:v>856.2317655072635</x:v>
      </x:c>
      <x:c r="C74" s="45" t="n">
        <x:v>51970000</x:v>
      </x:c>
      <x:c r="D74" s="62" t="n">
        <x:f>Japan!B74</x:f>
        <x:v>2495</x:v>
      </x:c>
      <x:c r="E74" s="68" t="n">
        <x:v>0.8</x:v>
      </x:c>
      <x:c r="F74" s="47" t="n">
        <x:f>IF(C74&gt;0,D74*1000000/C74,0)</x:f>
        <x:v>48.00846642293631</x:v>
      </x:c>
      <x:c r="G74" s="64" t="n">
        <x:f>IF(AND(E74&gt;0,F73&gt;0,B74&gt;0),MIN(conv_cap,conv_beta*jp_uplift*E74*MAX(0,LN(B74/(F73*H73)))),0)</x:f>
        <x:v>0.017644411820545765</x:v>
      </x:c>
      <x:c r="H74" s="65" t="n">
        <x:f>H73*(1+G74)</x:f>
        <x:v>1.9701800089695336</x:v>
      </x:c>
      <x:c r="I74" s="47" t="n">
        <x:f>D74*H74</x:f>
        <x:v>4915.599122378986</x:v>
      </x:c>
      <x:c r="J74" s="67" t="n">
        <x:f>IF(C74&gt;0,I74*1000000/C74/Economy!Q74,0)</x:f>
        <x:v>0.24890873896777424</x:v>
      </x:c>
      <x:c r="K74" s="62" t="n">
        <x:f>Gulf!B74</x:f>
        <x:v>8560000</x:v>
      </x:c>
      <x:c r="L74" s="47" t="n">
        <x:f>Gulf!B74*Gulf!C74*Economy!Q74/1000000</x:f>
        <x:v>2046.0112</x:v>
      </x:c>
      <x:c r="M74" s="68" t="n">
        <x:v>0.664</x:v>
      </x:c>
      <x:c r="N74" s="47" t="n">
        <x:f>IF(K74&gt;0,L74*1000000/K74,0)</x:f>
        <x:v>239.02</x:v>
      </x:c>
      <x:c r="O74" s="64" t="n">
        <x:f>IF(AND(M74&gt;0,N73&gt;0,B74&gt;0),MIN(conv_cap,conv_beta*1*M74*MAX(0,LN(B74/(N73*P73)))),0)</x:f>
        <x:v>0.007587926182923491</x:v>
      </x:c>
      <x:c r="P74" s="65" t="n">
        <x:f>P73*(1+O74)</x:f>
        <x:v>1.1012431168658403</x:v>
      </x:c>
      <x:c r="Q74" s="47" t="n">
        <x:f>L74*P74</x:f>
        <x:v>2253.1557510304183</x:v>
      </x:c>
      <x:c r="R74" s="67" t="n">
        <x:f>IF(K74&gt;0,Q74*1000000/K74/Economy!Q74,0)</x:f>
        <x:v>0.6926819205086135</x:v>
      </x:c>
      <x:c r="S74" s="62" t="n">
        <x:f>People!U74</x:f>
        <x:v>9580000</x:v>
      </x:c>
      <x:c r="T74" s="45" t="n">
        <x:v>489</x:v>
      </x:c>
      <x:c r="U74" s="68" t="n">
        <x:v>0.614</x:v>
      </x:c>
      <x:c r="V74" s="47" t="n">
        <x:f>IF(S74&gt;0,T74*1000000/S74,0)</x:f>
        <x:v>51.04384133611691</x:v>
      </x:c>
      <x:c r="W74" s="64" t="n">
        <x:f>IF(AND(U74&gt;0,V73&gt;0,B74&gt;0),MIN(conv_cap,conv_beta*1*U74*MAX(0,LN(B74/(V73*X73)))),0)</x:f>
        <x:v>0.015482637766615268</x:v>
      </x:c>
      <x:c r="X74" s="65" t="n">
        <x:f>X73*(1+W74)</x:f>
        <x:v>1.5632356911239709</x:v>
      </x:c>
      <x:c r="Y74" s="47" t="n">
        <x:f>T74*X74</x:f>
        <x:v>764.4222529596218</x:v>
      </x:c>
      <x:c r="Z74" s="67" t="n">
        <x:f>IF(S74&gt;0,Y74*1000000/S74/Economy!Q74,0)</x:f>
        <x:v>0.20998303839128166</x:v>
      </x:c>
      <x:c r="AA74" s="45" t="n">
        <x:v>0</x:v>
      </x:c>
      <x:c r="AB74" s="45" t="n">
        <x:v>0</x:v>
      </x:c>
      <x:c r="AC74" s="68" t="n">
        <x:v>0</x:v>
      </x:c>
      <x:c r="AD74" s="47" t="n">
        <x:f>IF(AA74&gt;0,AB74*1000000/AA74,0)</x:f>
        <x:v>0</x:v>
      </x:c>
      <x:c r="AE74" s="64" t="n">
        <x:f>IF(AND(AC74&gt;0,AD73&gt;0,B74&gt;0),MIN(conv_cap,conv_beta*1*AC74*MAX(0,LN(B74/(AD73*AF73)))),0)</x:f>
        <x:v>0</x:v>
      </x:c>
      <x:c r="AF74" s="65" t="n">
        <x:f>AF73*(1+AE74)</x:f>
        <x:v>1</x:v>
      </x:c>
      <x:c r="AG74" s="47" t="n">
        <x:f>AB74*AF74</x:f>
        <x:v>0</x:v>
      </x:c>
      <x:c r="AH74" s="67" t="n">
        <x:f>IF(AA74&gt;0,AG74*1000000/AA74/Economy!Q74,0)</x:f>
        <x:v>0</x:v>
      </x:c>
      <x:c r="AI74" s="45" t="n">
        <x:v>433800000</x:v>
      </x:c>
      <x:c r="AJ74" s="45" t="n">
        <x:v>5188</x:v>
      </x:c>
      <x:c r="AK74" s="68" t="n">
        <x:v>0.26</x:v>
      </x:c>
      <x:c r="AL74" s="47" t="n">
        <x:f>IF(AI74&gt;0,AJ74*1000000/AI74,0)</x:f>
        <x:v>11.959428307976026</x:v>
      </x:c>
      <x:c r="AM74" s="64" t="n">
        <x:f>IF(AND(AK74&gt;0,AL73&gt;0,B74&gt;0),MIN(conv_cap,conv_beta*1*AK74*MAX(0,LN(B74/(AL73*AN73)))),0)</x:f>
        <x:v>0.010448077654333929</x:v>
      </x:c>
      <x:c r="AN74" s="65" t="n">
        <x:f>AN73*(1+AM74)</x:f>
        <x:v>1.337812181210468</x:v>
      </x:c>
      <x:c r="AO74" s="47" t="n">
        <x:f>AJ74*AN74</x:f>
        <x:v>6940.569596119908</x:v>
      </x:c>
      <x:c r="AP74" s="67" t="n">
        <x:f>IF(AI74&gt;0,AO74*1000000/AI74/Economy!Q74,0)</x:f>
        <x:v>0.0421038654492727</x:v>
      </x:c>
      <x:c r="AQ74" s="45" t="n">
        <x:v>15310000</x:v>
      </x:c>
      <x:c r="AR74" s="45" t="n">
        <x:v>438</x:v>
      </x:c>
      <x:c r="AS74" s="68" t="n">
        <x:v>0.537</x:v>
      </x:c>
      <x:c r="AT74" s="47" t="n">
        <x:f>IF(AQ74&gt;0,AR74*1000000/AQ74,0)</x:f>
        <x:v>28.60875244937949</x:v>
      </x:c>
      <x:c r="AU74" s="64" t="n">
        <x:f>IF(AND(AS74&gt;0,AT73&gt;0,B74&gt;0),MIN(conv_cap,conv_beta*1*AS74*MAX(0,LN(B74/(AT73*AV73)))),0)</x:f>
        <x:v>0.01657516904492799</x:v>
      </x:c>
      <x:c r="AV74" s="65" t="n">
        <x:f>AV73*(1+AU74)</x:f>
        <x:v>1.4902477622946613</x:v>
      </x:c>
      <x:c r="AW74" s="47" t="n">
        <x:f>AR74*AV74</x:f>
        <x:v>652.7285198850616</x:v>
      </x:c>
      <x:c r="AX74" s="67" t="n">
        <x:f>IF(AQ74&gt;0,AW74*1000000/AQ74/Economy!Q74,0)</x:f>
        <x:v>0.11219507715718341</x:v>
      </x:c>
      <x:c r="AY74" s="45" t="n">
        <x:v>96900000</x:v>
      </x:c>
      <x:c r="AZ74" s="45" t="n">
        <x:v>3214</x:v>
      </x:c>
      <x:c r="BA74" s="68" t="n">
        <x:v>0.156</x:v>
      </x:c>
      <x:c r="BB74" s="47" t="n">
        <x:f>IF(AY74&gt;0,AZ74*1000000/AY74,0)</x:f>
        <x:v>33.168214654282764</x:v>
      </x:c>
      <x:c r="BC74" s="64" t="n">
        <x:f>IF(AND(BA74&gt;0,BB73&gt;0,B74&gt;0),MIN(conv_cap,conv_beta*1*BA74*MAX(0,LN(B74/(BB73*BD73)))),0)</x:f>
        <x:v>0.005002967859724758</x:v>
      </x:c>
      <x:c r="BD74" s="65" t="n">
        <x:f>BD73*(1+BC74)</x:f>
        <x:v>1.1029740715993797</x:v>
      </x:c>
      <x:c r="BE74" s="47" t="n">
        <x:f>AZ74*BD74</x:f>
        <x:v>3544.958666120406</x:v>
      </x:c>
      <x:c r="BF74" s="67" t="n">
        <x:f>IF(AY74&gt;0,BE74*1000000/AY74/Economy!Q74,0)</x:f>
        <x:v>0.09627284411820124</x:v>
      </x:c>
      <x:c r="BG74" s="45" t="n">
        <x:v>37600000</x:v>
      </x:c>
      <x:c r="BH74" s="45" t="n">
        <x:v>3886</x:v>
      </x:c>
      <x:c r="BI74" s="68" t="n">
        <x:v>0.306</x:v>
      </x:c>
      <x:c r="BJ74" s="47" t="n">
        <x:f>IF(BG74&gt;0,BH74*1000000/BG74,0)</x:f>
        <x:v>103.35106382978724</x:v>
      </x:c>
      <x:c r="BK74" s="64" t="n">
        <x:f>IF(AND(BI74&gt;0,BJ73&gt;0,B74&gt;0),MIN(conv_cap,conv_beta*1*BI74*MAX(0,LN(B74/(BJ73*BL73)))),0)</x:f>
        <x:v>0.006205582027781708</x:v>
      </x:c>
      <x:c r="BL74" s="65" t="n">
        <x:f>BL73*(1+BK74)</x:f>
        <x:v>1.1338164498028136</x:v>
      </x:c>
      <x:c r="BM74" s="47" t="n">
        <x:f>BH74*BL74</x:f>
        <x:v>4406.010723933734</x:v>
      </x:c>
      <x:c r="BN74" s="67" t="n">
        <x:f>IF(BG74&gt;0,BM74*1000000/BG74/Economy!Q74,0)</x:f>
        <x:v>0.30837141124956147</x:v>
      </x:c>
      <x:c r="BO74" s="45" t="n">
        <x:v>16200000</x:v>
      </x:c>
      <x:c r="BP74" s="45" t="n">
        <x:v>1144</x:v>
      </x:c>
      <x:c r="BQ74" s="68" t="n">
        <x:v>0.106</x:v>
      </x:c>
      <x:c r="BR74" s="47" t="n">
        <x:f>IF(BO74&gt;0,BP74*1000000/BO74,0)</x:f>
        <x:v>70.61728395061728</x:v>
      </x:c>
      <x:c r="BS74" s="64" t="n">
        <x:f>IF(AND(BQ74&gt;0,BR73&gt;0,B74&gt;0),MIN(conv_cap,conv_beta*1*BQ74*MAX(0,LN(B74/(BR73*BT73)))),0)</x:f>
        <x:v>0.0026564761527148673</x:v>
      </x:c>
      <x:c r="BT74" s="65" t="n">
        <x:f>BT73*(1+BS74)</x:f>
        <x:v>1.0187819356597554</x:v>
      </x:c>
      <x:c r="BU74" s="47" t="n">
        <x:f>BP74*BT74</x:f>
        <x:v>1165.4865343947602</x:v>
      </x:c>
      <x:c r="BV74" s="67" t="n">
        <x:f>IF(BO74&gt;0,BU74*1000000/BO74/Economy!Q74,0)</x:f>
        <x:v>0.1893252979848538</x:v>
      </x:c>
      <x:c r="BW74" s="65" t="n">
        <x:f>0.25*IF(D74&gt;0,H74,1)+0.15*IF(AJ74&gt;0,AN74,1)+0.03*IF(AR74&gt;0,AV74,1)+0.08*IF(AZ74&gt;0,BD74,1)+0.12*IF(BH74&gt;0,BL74,1)+0.1*IF(L74&gt;0,P74,1)+0.07*IF(T74&gt;0,X74,1)+0.05*IF(AB74&gt;0,AF74,1)+0.05*IF(BP74&gt;0,BT74,1)+0.1</x:f>
        <x:v>1.382710068845331</x:v>
      </x:c>
      <x:c r="BX74" s="63" t="n">
        <x:f>MIN(mkt_cap,mkt_elast*MAX(0,BW74-1))</x:f>
        <x:v>0.19135503442266555</x:v>
      </x:c>
      <x:c r="BY74" s="47" t="n">
        <x:f>I74+Q74+Y74+AG74</x:f>
        <x:v>7933.177126369026</x:v>
      </x:c>
      <x:c r="BZ74" s="47" t="n">
        <x:f>D74+L74+T74+AB74</x:f>
        <x:v>5030.0112</x:v>
      </x:c>
      <x:c r="CA74" s="65" t="n">
        <x:f>IF(BZ74&gt;0,BY74/BZ74,0)</x:f>
        <x:v>1.577168879140672</x:v>
      </x:c>
    </x:row>
    <x:row r="75">
      <x:c r="A75" s="61" t="n">
        <x:v>1915</x:v>
      </x:c>
      <x:c r="B75" s="47" t="n">
        <x:f>Economy!P74</x:f>
        <x:v>859.3251361396352</x:v>
      </x:c>
      <x:c r="C75" s="45" t="n">
        <x:v>52640000</x:v>
      </x:c>
      <x:c r="D75" s="62" t="n">
        <x:f>Japan!B75</x:f>
        <x:v>2490</x:v>
      </x:c>
      <x:c r="E75" s="68" t="n">
        <x:v>0.8100000000000001</x:v>
      </x:c>
      <x:c r="F75" s="47" t="n">
        <x:f>IF(C75&gt;0,D75*1000000/C75,0)</x:f>
        <x:v>47.30243161094225</x:v>
      </x:c>
      <x:c r="G75" s="64" t="n">
        <x:f>IF(AND(E75&gt;0,F74&gt;0,B75&gt;0),MIN(conv_cap,conv_beta*jp_uplift*E75*MAX(0,LN(B75/(F74*H74)))),0)</x:f>
        <x:v>0.017873825009637495</x:v>
      </x:c>
      <x:c r="H75" s="65" t="n">
        <x:f>H74*(1+G75)</x:f>
        <x:v>2.0053946616873413</x:v>
      </x:c>
      <x:c r="I75" s="47" t="n">
        <x:f>D75*H75</x:f>
        <x:v>4993.43270760148</x:v>
      </x:c>
      <x:c r="J75" s="67" t="n">
        <x:f>IF(C75&gt;0,I75*1000000/C75/Economy!Q75,0)</x:f>
        <x:v>0.2206047531102654</x:v>
      </x:c>
      <x:c r="K75" s="62" t="n">
        <x:f>Gulf!B75</x:f>
        <x:v>8700000</x:v>
      </x:c>
      <x:c r="L75" s="47" t="n">
        <x:f>Gulf!B75*Gulf!C75*Economy!Q75/1000000</x:f>
        <x:v>2383.017</x:v>
      </x:c>
      <x:c r="M75" s="68" t="n">
        <x:v>0.679</x:v>
      </x:c>
      <x:c r="N75" s="47" t="n">
        <x:f>IF(K75&gt;0,L75*1000000/K75,0)</x:f>
        <x:v>273.91</x:v>
      </x:c>
      <x:c r="O75" s="64" t="n">
        <x:f>IF(AND(M75&gt;0,N74&gt;0,B75&gt;0),MIN(conv_cap,conv_beta*1*M75*MAX(0,LN(B75/(N74*P74)))),0)</x:f>
        <x:v>0.00803365964137621</x:v>
      </x:c>
      <x:c r="P75" s="65" t="n">
        <x:f>P74*(1+O75)</x:f>
        <x:v>1.1100901292491487</x:v>
      </x:c>
      <x:c r="Q75" s="47" t="n">
        <x:f>L75*P75</x:f>
        <x:v>2645.3636495329183</x:v>
      </x:c>
      <x:c r="R75" s="67" t="n">
        <x:f>IF(K75&gt;0,Q75*1000000/K75/Economy!Q75,0)</x:f>
        <x:v>0.7071274123317077</x:v>
      </x:c>
      <x:c r="S75" s="62" t="n">
        <x:f>People!U75</x:f>
        <x:v>9760000</x:v>
      </x:c>
      <x:c r="T75" s="45" t="n">
        <x:v>557</x:v>
      </x:c>
      <x:c r="U75" s="68" t="n">
        <x:v>0.629</x:v>
      </x:c>
      <x:c r="V75" s="47" t="n">
        <x:f>IF(S75&gt;0,T75*1000000/S75,0)</x:f>
        <x:v>57.06967213114754</x:v>
      </x:c>
      <x:c r="W75" s="64" t="n">
        <x:f>IF(AND(U75&gt;0,V74&gt;0,B75&gt;0),MIN(conv_cap,conv_beta*1*U75*MAX(0,LN(B75/(V74*X74)))),0)</x:f>
        <x:v>0.014949472085852938</x:v>
      </x:c>
      <x:c r="X75" s="65" t="n">
        <x:f>X74*(1+W75)</x:f>
        <x:v>1.5866052394520378</x:v>
      </x:c>
      <x:c r="Y75" s="47" t="n">
        <x:f>T75*X75</x:f>
        <x:v>883.7391183747851</x:v>
      </x:c>
      <x:c r="Z75" s="67" t="n">
        <x:f>IF(S75&gt;0,Y75*1000000/S75/Economy!Q75,0)</x:f>
        <x:v>0.2105745135281131</x:v>
      </x:c>
      <x:c r="AA75" s="45" t="n">
        <x:v>0</x:v>
      </x:c>
      <x:c r="AB75" s="45" t="n">
        <x:v>0</x:v>
      </x:c>
      <x:c r="AC75" s="68" t="n">
        <x:v>0</x:v>
      </x:c>
      <x:c r="AD75" s="47" t="n">
        <x:f>IF(AA75&gt;0,AB75*1000000/AA75,0)</x:f>
        <x:v>0</x:v>
      </x:c>
      <x:c r="AE75" s="64" t="n">
        <x:f>IF(AND(AC75&gt;0,AD74&gt;0,B75&gt;0),MIN(conv_cap,conv_beta*1*AC75*MAX(0,LN(B75/(AD74*AF74)))),0)</x:f>
        <x:v>0</x:v>
      </x:c>
      <x:c r="AF75" s="65" t="n">
        <x:f>AF74*(1+AE75)</x:f>
        <x:v>1</x:v>
      </x:c>
      <x:c r="AG75" s="47" t="n">
        <x:f>AB75*AF75</x:f>
        <x:v>0</x:v>
      </x:c>
      <x:c r="AH75" s="67" t="n">
        <x:f>IF(AA75&gt;0,AG75*1000000/AA75/Economy!Q75,0)</x:f>
        <x:v>0</x:v>
      </x:c>
      <x:c r="AI75" s="45" t="n">
        <x:v>437500000</x:v>
      </x:c>
      <x:c r="AJ75" s="45" t="n">
        <x:v>5375</x:v>
      </x:c>
      <x:c r="AK75" s="68" t="n">
        <x:v>0.265</x:v>
      </x:c>
      <x:c r="AL75" s="47" t="n">
        <x:f>IF(AI75&gt;0,AJ75*1000000/AI75,0)</x:f>
        <x:v>12.285714285714286</x:v>
      </x:c>
      <x:c r="AM75" s="64" t="n">
        <x:f>IF(AND(AK75&gt;0,AL74&gt;0,B75&gt;0),MIN(conv_cap,conv_beta*1*AK75*MAX(0,LN(B75/(AL74*AN74)))),0)</x:f>
        <x:v>0.010556518348602549</x:v>
      </x:c>
      <x:c r="AN75" s="65" t="n">
        <x:f>AN74*(1+AM75)</x:f>
        <x:v>1.3519348200484003</x:v>
      </x:c>
      <x:c r="AO75" s="47" t="n">
        <x:f>AJ75*AN75</x:f>
        <x:v>7266.649657760151</x:v>
      </x:c>
      <x:c r="AP75" s="67" t="n">
        <x:f>IF(AI75&gt;0,AO75*1000000/AI75/Economy!Q75,0)</x:f>
        <x:v>0.03862670914424001</x:v>
      </x:c>
      <x:c r="AQ75" s="45" t="n">
        <x:v>15620000</x:v>
      </x:c>
      <x:c r="AR75" s="45" t="n">
        <x:v>475</x:v>
      </x:c>
      <x:c r="AS75" s="68" t="n">
        <x:v>0.542</x:v>
      </x:c>
      <x:c r="AT75" s="47" t="n">
        <x:f>IF(AQ75&gt;0,AR75*1000000/AQ75,0)</x:f>
        <x:v>30.409731113956465</x:v>
      </x:c>
      <x:c r="AU75" s="64" t="n">
        <x:f>IF(AND(AS75&gt;0,AT74&gt;0,B75&gt;0),MIN(conv_cap,conv_beta*1*AS75*MAX(0,LN(B75/(AT74*AV74)))),0)</x:f>
        <x:v>0.016278928079066692</x:v>
      </x:c>
      <x:c r="AV75" s="65" t="n">
        <x:f>AV74*(1+AU75)</x:f>
        <x:v>1.5145073984370463</x:v>
      </x:c>
      <x:c r="AW75" s="47" t="n">
        <x:f>AR75*AV75</x:f>
        <x:v>719.391014257597</x:v>
      </x:c>
      <x:c r="AX75" s="67" t="n">
        <x:f>IF(AQ75&gt;0,AW75*1000000/AQ75/Economy!Q75,0)</x:f>
        <x:v>0.10710642501527513</x:v>
      </x:c>
      <x:c r="AY75" s="45" t="n">
        <x:v>98800000</x:v>
      </x:c>
      <x:c r="AZ75" s="45" t="n">
        <x:v>3429</x:v>
      </x:c>
      <x:c r="BA75" s="68" t="n">
        <x:v>0.163</x:v>
      </x:c>
      <x:c r="BB75" s="47" t="n">
        <x:f>IF(AY75&gt;0,AZ75*1000000/AY75,0)</x:f>
        <x:v>34.70647773279352</x:v>
      </x:c>
      <x:c r="BC75" s="64" t="n">
        <x:f>IF(AND(BA75&gt;0,BB74&gt;0,B75&gt;0),MIN(conv_cap,conv_beta*1*BA75*MAX(0,LN(B75/(BB74*BD74)))),0)</x:f>
        <x:v>0.005145168505725968</x:v>
      </x:c>
      <x:c r="BD75" s="65" t="n">
        <x:f>BD74*(1+BC75)</x:f>
        <x:v>1.1086490590552052</x:v>
      </x:c>
      <x:c r="BE75" s="47" t="n">
        <x:f>AZ75*BD75</x:f>
        <x:v>3801.5576235002986</x:v>
      </x:c>
      <x:c r="BF75" s="67" t="n">
        <x:f>IF(AY75&gt;0,BE75*1000000/AY75/Economy!Q75,0)</x:f>
        <x:v>0.08948210205019062</x:v>
      </x:c>
      <x:c r="BG75" s="45" t="n">
        <x:v>38100000</x:v>
      </x:c>
      <x:c r="BH75" s="45" t="n">
        <x:v>4071</x:v>
      </x:c>
      <x:c r="BI75" s="68" t="n">
        <x:v>0.312</x:v>
      </x:c>
      <x:c r="BJ75" s="47" t="n">
        <x:f>IF(BG75&gt;0,BH75*1000000/BG75,0)</x:f>
        <x:v>106.85039370078741</x:v>
      </x:c>
      <x:c r="BK75" s="64" t="n">
        <x:f>IF(AND(BI75&gt;0,BJ74&gt;0,B75&gt;0),MIN(conv_cap,conv_beta*1*BI75*MAX(0,LN(B75/(BJ74*BL74)))),0)</x:f>
        <x:v>0.006216370507988861</x:v>
      </x:c>
      <x:c r="BL75" s="65" t="n">
        <x:f>BL74*(1+BK75)</x:f>
        <x:v>1.1408646729428404</x:v>
      </x:c>
      <x:c r="BM75" s="47" t="n">
        <x:f>BH75*BL75</x:f>
        <x:v>4644.460083550303</x:v>
      </x:c>
      <x:c r="BN75" s="67" t="n">
        <x:f>IF(BG75&gt;0,BM75*1000000/BG75/Economy!Q75,0)</x:f>
        <x:v>0.2834926499145641</x:v>
      </x:c>
      <x:c r="BO75" s="45" t="n">
        <x:v>16400000</x:v>
      </x:c>
      <x:c r="BP75" s="45" t="n">
        <x:v>1188</x:v>
      </x:c>
      <x:c r="BQ75" s="68" t="n">
        <x:v>0.113</x:v>
      </x:c>
      <x:c r="BR75" s="47" t="n">
        <x:f>IF(BO75&gt;0,BP75*1000000/BO75,0)</x:f>
        <x:v>72.4390243902439</x:v>
      </x:c>
      <x:c r="BS75" s="64" t="n">
        <x:f>IF(AND(BQ75&gt;0,BR74&gt;0,B75&gt;0),MIN(conv_cap,conv_beta*1*BQ75*MAX(0,LN(B75/(BR74*BT74)))),0)</x:f>
        <x:v>0.0028026991032035426</x:v>
      </x:c>
      <x:c r="BT75" s="65" t="n">
        <x:f>BT74*(1+BS75)</x:f>
        <x:v>1.021637274877189</x:v>
      </x:c>
      <x:c r="BU75" s="47" t="n">
        <x:f>BP75*BT75</x:f>
        <x:v>1213.7050825541005</x:v>
      </x:c>
      <x:c r="BV75" s="67" t="n">
        <x:f>IF(BO75&gt;0,BU75*1000000/BO75/Economy!Q75,0)</x:f>
        <x:v>0.17210792435537442</x:v>
      </x:c>
      <x:c r="BW75" s="65" t="n">
        <x:f>0.25*IF(D75&gt;0,H75,1)+0.15*IF(AJ75&gt;0,AN75,1)+0.03*IF(AR75&gt;0,AV75,1)+0.08*IF(AZ75&gt;0,BD75,1)+0.12*IF(BH75&gt;0,BL75,1)+0.1*IF(L75&gt;0,P75,1)+0.07*IF(T75&gt;0,X75,1)+0.05*IF(AB75&gt;0,AF75,1)+0.05*IF(BP75&gt;0,BT75,1)+0.1</x:f>
        <x:v>1.398323039290181</x:v>
      </x:c>
      <x:c r="BX75" s="63" t="n">
        <x:f>MIN(mkt_cap,mkt_elast*MAX(0,BW75-1))</x:f>
        <x:v>0.19916151964509055</x:v>
      </x:c>
      <x:c r="BY75" s="47" t="n">
        <x:f>I75+Q75+Y75+AG75</x:f>
        <x:v>8522.535475509183</x:v>
      </x:c>
      <x:c r="BZ75" s="47" t="n">
        <x:f>D75+L75+T75+AB75</x:f>
        <x:v>5430.017</x:v>
      </x:c>
      <x:c r="CA75" s="65" t="n">
        <x:f>IF(BZ75&gt;0,BY75/BZ75,0)</x:f>
        <x:v>1.5695227980886954</x:v>
      </x:c>
    </x:row>
    <x:row r="76">
      <x:c r="A76" s="61" t="n">
        <x:v>1916</x:v>
      </x:c>
      <x:c r="B76" s="47" t="n">
        <x:f>Economy!P75</x:f>
        <x:v>926.7275733399624</x:v>
      </x:c>
      <x:c r="C76" s="45" t="n">
        <x:v>53310000</x:v>
      </x:c>
      <x:c r="D76" s="62" t="n">
        <x:f>Japan!B76</x:f>
        <x:v>3390</x:v>
      </x:c>
      <x:c r="E76" s="68" t="n">
        <x:v>0.82</x:v>
      </x:c>
      <x:c r="F76" s="47" t="n">
        <x:f>IF(C76&gt;0,D76*1000000/C76,0)</x:f>
        <x:v>63.59032076533484</x:v>
      </x:c>
      <x:c r="G76" s="64" t="n">
        <x:f>IF(AND(E76&gt;0,F75&gt;0,B76&gt;0),MIN(conv_cap,conv_beta*jp_uplift*E76*MAX(0,LN(B76/(F75*H75)))),0)</x:f>
        <x:v>0.018689907891226806</x:v>
      </x:c>
      <x:c r="H76" s="65" t="n">
        <x:f>H75*(1+G76)</x:f>
        <x:v>2.0428753031998355</x:v>
      </x:c>
      <x:c r="I76" s="47" t="n">
        <x:f>D76*H76</x:f>
        <x:v>6925.3472778474425</x:v>
      </x:c>
      <x:c r="J76" s="67" t="n">
        <x:f>IF(C76&gt;0,I76*1000000/C76/Economy!Q76,0)</x:f>
        <x:v>0.2706397829459546</x:v>
      </x:c>
      <x:c r="K76" s="62" t="n">
        <x:f>Gulf!B76</x:f>
        <x:v>8840000</x:v>
      </x:c>
      <x:c r="L76" s="47" t="n">
        <x:f>Gulf!B76*Gulf!C76*Economy!Q76/1000000</x:f>
        <x:v>2741.1072</x:v>
      </x:c>
      <x:c r="M76" s="68" t="n">
        <x:v>0.6929999999999999</x:v>
      </x:c>
      <x:c r="N76" s="47" t="n">
        <x:f>IF(K76&gt;0,L76*1000000/K76,0)</x:f>
        <x:v>310.08</x:v>
      </x:c>
      <x:c r="O76" s="64" t="n">
        <x:f>IF(AND(M76&gt;0,N75&gt;0,B76&gt;0),MIN(conv_cap,conv_beta*1*M76*MAX(0,LN(B76/(N75*P75)))),0)</x:f>
        <x:v>0.0077229226142508075</x:v>
      </x:c>
      <x:c r="P76" s="65" t="n">
        <x:f>P75*(1+O76)</x:f>
        <x:v>1.1186632694121836</x:v>
      </x:c>
      <x:c r="Q76" s="47" t="n">
        <x:f>L76*P76</x:f>
        <x:v>3066.3759421612763</x:v>
      </x:c>
      <x:c r="R76" s="67" t="n">
        <x:f>IF(K76&gt;0,Q76*1000000/K76/Economy!Q76,0)</x:f>
        <x:v>0.7226564720402706</x:v>
      </x:c>
      <x:c r="S76" s="62" t="n">
        <x:f>People!U76</x:f>
        <x:v>9940000</x:v>
      </x:c>
      <x:c r="T76" s="45" t="n">
        <x:v>626</x:v>
      </x:c>
      <x:c r="U76" s="68" t="n">
        <x:v>0.643</x:v>
      </x:c>
      <x:c r="V76" s="47" t="n">
        <x:f>IF(S76&gt;0,T76*1000000/S76,0)</x:f>
        <x:v>62.97786720321932</x:v>
      </x:c>
      <x:c r="W76" s="64" t="n">
        <x:f>IF(AND(U76&gt;0,V75&gt;0,B76&gt;0),MIN(conv_cap,conv_beta*1*U76*MAX(0,LN(B76/(V75*X75)))),0)</x:f>
        <x:v>0.014954830592390953</x:v>
      </x:c>
      <x:c r="X76" s="65" t="n">
        <x:f>X75*(1+W76)</x:f>
        <x:v>1.610332652025043</x:v>
      </x:c>
      <x:c r="Y76" s="47" t="n">
        <x:f>T76*X76</x:f>
        <x:v>1008.0682401676769</x:v>
      </x:c>
      <x:c r="Z76" s="67" t="n">
        <x:f>IF(S76&gt;0,Y76*1000000/S76/Economy!Q76,0)</x:f>
        <x:v>0.21128190815050238</x:v>
      </x:c>
      <x:c r="AA76" s="45" t="n">
        <x:v>0</x:v>
      </x:c>
      <x:c r="AB76" s="45" t="n">
        <x:v>0</x:v>
      </x:c>
      <x:c r="AC76" s="68" t="n">
        <x:v>0</x:v>
      </x:c>
      <x:c r="AD76" s="47" t="n">
        <x:f>IF(AA76&gt;0,AB76*1000000/AA76,0)</x:f>
        <x:v>0</x:v>
      </x:c>
      <x:c r="AE76" s="64" t="n">
        <x:f>IF(AND(AC76&gt;0,AD75&gt;0,B76&gt;0),MIN(conv_cap,conv_beta*1*AC76*MAX(0,LN(B76/(AD75*AF75)))),0)</x:f>
        <x:v>0</x:v>
      </x:c>
      <x:c r="AF76" s="65" t="n">
        <x:f>AF75*(1+AE76)</x:f>
        <x:v>1</x:v>
      </x:c>
      <x:c r="AG76" s="47" t="n">
        <x:f>AB76*AF76</x:f>
        <x:v>0</x:v>
      </x:c>
      <x:c r="AH76" s="67" t="n">
        <x:f>IF(AA76&gt;0,AG76*1000000/AA76/Economy!Q76,0)</x:f>
        <x:v>0</x:v>
      </x:c>
      <x:c r="AI76" s="45" t="n">
        <x:v>441200000</x:v>
      </x:c>
      <x:c r="AJ76" s="45" t="n">
        <x:v>5562</x:v>
      </x:c>
      <x:c r="AK76" s="68" t="n">
        <x:v>0.27</x:v>
      </x:c>
      <x:c r="AL76" s="47" t="n">
        <x:f>IF(AI76&gt;0,AJ76*1000000/AI76,0)</x:f>
        <x:v>12.606527651858567</x:v>
      </x:c>
      <x:c r="AM76" s="64" t="n">
        <x:f>IF(AND(AK76&gt;0,AL75&gt;0,B76&gt;0),MIN(conv_cap,conv_beta*1*AK76*MAX(0,LN(B76/(AL75*AN75)))),0)</x:f>
        <x:v>0.01085855146789251</x:v>
      </x:c>
      <x:c r="AN76" s="65" t="n">
        <x:f>AN75*(1+AM76)</x:f>
        <x:v>1.3666148738731319</x:v>
      </x:c>
      <x:c r="AO76" s="47" t="n">
        <x:f>AJ76*AN76</x:f>
        <x:v>7601.111928482359</x:v>
      </x:c>
      <x:c r="AP76" s="67" t="n">
        <x:f>IF(AI76&gt;0,AO76*1000000/AI76/Economy!Q76,0)</x:f>
        <x:v>0.035892225410255926</x:v>
      </x:c>
      <x:c r="AQ76" s="45" t="n">
        <x:v>15940000</x:v>
      </x:c>
      <x:c r="AR76" s="45" t="n">
        <x:v>512</x:v>
      </x:c>
      <x:c r="AS76" s="68" t="n">
        <x:v>0.546</x:v>
      </x:c>
      <x:c r="AT76" s="47" t="n">
        <x:f>IF(AQ76&gt;0,AR76*1000000/AQ76,0)</x:f>
        <x:v>32.12045169385195</x:v>
      </x:c>
      <x:c r="AU76" s="64" t="n">
        <x:f>IF(AND(AS76&gt;0,AT75&gt;0,B76&gt;0),MIN(conv_cap,conv_beta*1*AS76*MAX(0,LN(B76/(AT75*AV75)))),0)</x:f>
        <x:v>0.016389864834891788</x:v>
      </x:c>
      <x:c r="AV76" s="65" t="n">
        <x:f>AV75*(1+AU76)</x:f>
        <x:v>1.539329969988873</x:v>
      </x:c>
      <x:c r="AW76" s="47" t="n">
        <x:f>AR76*AV76</x:f>
        <x:v>788.136944634303</x:v>
      </x:c>
      <x:c r="AX76" s="67" t="n">
        <x:f>IF(AQ76&gt;0,AW76*1000000/AQ76/Economy!Q76,0)</x:f>
        <x:v>0.1030082790456795</x:v>
      </x:c>
      <x:c r="AY76" s="45" t="n">
        <x:v>100600000</x:v>
      </x:c>
      <x:c r="AZ76" s="45" t="n">
        <x:v>3643</x:v>
      </x:c>
      <x:c r="BA76" s="68" t="n">
        <x:v>0.169</x:v>
      </x:c>
      <x:c r="BB76" s="47" t="n">
        <x:f>IF(AY76&gt;0,AZ76*1000000/AY76,0)</x:f>
        <x:v>36.21272365805169</x:v>
      </x:c>
      <x:c r="BC76" s="64" t="n">
        <x:f>IF(AND(BA76&gt;0,BB75&gt;0,B76&gt;0),MIN(conv_cap,conv_beta*1*BA76*MAX(0,LN(B76/(BB75*BD75)))),0)</x:f>
        <x:v>0.0053768889329523315</x:v>
      </x:c>
      <x:c r="BD76" s="65" t="n">
        <x:f>BD75*(1+BC76)</x:f>
        <x:v>1.1146101419113672</x:v>
      </x:c>
      <x:c r="BE76" s="47" t="n">
        <x:f>AZ76*BD76</x:f>
        <x:v>4060.5247469831106</x:v>
      </x:c>
      <x:c r="BF76" s="67" t="n">
        <x:f>IF(AY76&gt;0,BE76*1000000/AY76/Economy!Q76,0)</x:f>
        <x:v>0.08408972719895441</x:v>
      </x:c>
      <x:c r="BG76" s="45" t="n">
        <x:v>38700000</x:v>
      </x:c>
      <x:c r="BH76" s="45" t="n">
        <x:v>4257</x:v>
      </x:c>
      <x:c r="BI76" s="68" t="n">
        <x:v>0.319</x:v>
      </x:c>
      <x:c r="BJ76" s="47" t="n">
        <x:f>IF(BG76&gt;0,BH76*1000000/BG76,0)</x:f>
        <x:v>110</x:v>
      </x:c>
      <x:c r="BK76" s="64" t="n">
        <x:f>IF(AND(BI76&gt;0,BJ75&gt;0,B76&gt;0),MIN(conv_cap,conv_beta*1*BI76*MAX(0,LN(B76/(BJ75*BL75)))),0)</x:f>
        <x:v>0.006470734816590695</x:v>
      </x:c>
      <x:c r="BL76" s="65" t="n">
        <x:f>BL75*(1+BK76)</x:f>
        <x:v>1.14824690570307</x:v>
      </x:c>
      <x:c r="BM76" s="47" t="n">
        <x:f>BH76*BL76</x:f>
        <x:v>4888.087077577969</x:v>
      </x:c>
      <x:c r="BN76" s="67" t="n">
        <x:f>IF(BG76&gt;0,BM76*1000000/BG76/Economy!Q76,0)</x:f>
        <x:v>0.26313991589028685</x:v>
      </x:c>
      <x:c r="BO76" s="45" t="n">
        <x:v>16600000</x:v>
      </x:c>
      <x:c r="BP76" s="45" t="n">
        <x:v>1231</x:v>
      </x:c>
      <x:c r="BQ76" s="68" t="n">
        <x:v>0.119</x:v>
      </x:c>
      <x:c r="BR76" s="47" t="n">
        <x:f>IF(BO76&gt;0,BP76*1000000/BO76,0)</x:f>
        <x:v>74.1566265060241</x:v>
      </x:c>
      <x:c r="BS76" s="64" t="n">
        <x:f>IF(AND(BQ76&gt;0,BR75&gt;0,B76&gt;0),MIN(conv_cap,conv_beta*1*BQ76*MAX(0,LN(B76/(BR75*BT75)))),0)</x:f>
        <x:v>0.0030077344790121413</x:v>
      </x:c>
      <x:c r="BT76" s="65" t="n">
        <x:f>BT75*(1+BS76)</x:f>
        <x:v>1.024710088533881</x:v>
      </x:c>
      <x:c r="BU76" s="47" t="n">
        <x:f>BP76*BT76</x:f>
        <x:v>1261.4181189852075</x:v>
      </x:c>
      <x:c r="BV76" s="67" t="n">
        <x:f>IF(BO76&gt;0,BU76*1000000/BO76/Economy!Q76,0)</x:f>
        <x:v>0.15831050690075396</x:v>
      </x:c>
      <x:c r="BW76" s="65" t="n">
        <x:f>0.25*IF(D76&gt;0,H76,1)+0.15*IF(AJ76&gt;0,AN76,1)+0.03*IF(AR76&gt;0,AV76,1)+0.08*IF(AZ76&gt;0,BD76,1)+0.12*IF(BH76&gt;0,BL76,1)+0.1*IF(L76&gt;0,P76,1)+0.07*IF(T76&gt;0,X76,1)+0.05*IF(AB76&gt;0,AF76,1)+0.05*IF(BP76&gt;0,BT76,1)+0.1</x:f>
        <x:v>1.4146745130275384</x:v>
      </x:c>
      <x:c r="BX76" s="63" t="n">
        <x:f>MIN(mkt_cap,mkt_elast*MAX(0,BW76-1))</x:f>
        <x:v>0.20733725651376922</x:v>
      </x:c>
      <x:c r="BY76" s="47" t="n">
        <x:f>I76+Q76+Y76+AG76</x:f>
        <x:v>10999.791460176395</x:v>
      </x:c>
      <x:c r="BZ76" s="47" t="n">
        <x:f>D76+L76+T76+AB76</x:f>
        <x:v>6757.1072</x:v>
      </x:c>
      <x:c r="CA76" s="65" t="n">
        <x:f>IF(BZ76&gt;0,BY76/BZ76,0)</x:f>
        <x:v>1.6278847048891565</x:v>
      </x:c>
    </x:row>
    <x:row r="77">
      <x:c r="A77" s="61" t="n">
        <x:v>1917</x:v>
      </x:c>
      <x:c r="B77" s="47" t="n">
        <x:f>Economy!P76</x:f>
        <x:v>1062.3552346728081</x:v>
      </x:c>
      <x:c r="C77" s="45" t="n">
        <x:v>53990000</x:v>
      </x:c>
      <x:c r="D77" s="62" t="n">
        <x:f>Japan!B77</x:f>
        <x:v>4290</x:v>
      </x:c>
      <x:c r="E77" s="68" t="n">
        <x:v>0.83</x:v>
      </x:c>
      <x:c r="F77" s="47" t="n">
        <x:f>IF(C77&gt;0,D77*1000000/C77,0)</x:f>
        <x:v>79.45915910353769</x:v>
      </x:c>
      <x:c r="G77" s="64" t="n">
        <x:f>IF(AND(E77&gt;0,F76&gt;0,B77&gt;0),MIN(conv_cap,conv_beta*jp_uplift*E77*MAX(0,LN(B77/(F76*H76)))),0)</x:f>
        <x:v>0.01744181998357746</x:v>
      </x:c>
      <x:c r="H77" s="65" t="n">
        <x:f>H76*(1+G77)</x:f>
        <x:v>2.0785067664871435</x:v>
      </x:c>
      <x:c r="I77" s="47" t="n">
        <x:f>D77*H77</x:f>
        <x:v>8916.794028229846</x:v>
      </x:c>
      <x:c r="J77" s="67" t="n">
        <x:f>IF(C77&gt;0,I77*1000000/C77/Economy!Q77,0)</x:f>
        <x:v>0.2847524135449682</x:v>
      </x:c>
      <x:c r="K77" s="62" t="n">
        <x:f>Gulf!B77</x:f>
        <x:v>8980000</x:v>
      </x:c>
      <x:c r="L77" s="47" t="n">
        <x:f>Gulf!B77*Gulf!C77*Economy!Q77/1000000</x:f>
        <x:v>3406.2936</x:v>
      </x:c>
      <x:c r="M77" s="68" t="n">
        <x:v>0.707</x:v>
      </x:c>
      <x:c r="N77" s="47" t="n">
        <x:f>IF(K77&gt;0,L77*1000000/K77,0)</x:f>
        <x:v>379.32</x:v>
      </x:c>
      <x:c r="O77" s="64" t="n">
        <x:f>IF(AND(M77&gt;0,N76&gt;0,B77&gt;0),MIN(conv_cap,conv_beta*1*M77*MAX(0,LN(B77/(N76*P76)))),0)</x:f>
        <x:v>0.007913301469780311</x:v>
      </x:c>
      <x:c r="P77" s="65" t="n">
        <x:f>P76*(1+O77)</x:f>
        <x:v>1.1275155891062123</x:v>
      </x:c>
      <x:c r="Q77" s="47" t="n">
        <x:f>L77*P77</x:f>
        <x:v>3840.6491350727206</x:v>
      </x:c>
      <x:c r="R77" s="67" t="n">
        <x:f>IF(K77&gt;0,Q77*1000000/K77/Economy!Q77,0)</x:f>
        <x:v>0.7373951952754628</x:v>
      </x:c>
      <x:c r="S77" s="62" t="n">
        <x:f>People!U77</x:f>
        <x:v>10120000</x:v>
      </x:c>
      <x:c r="T77" s="45" t="n">
        <x:v>694</x:v>
      </x:c>
      <x:c r="U77" s="68" t="n">
        <x:v>0.657</x:v>
      </x:c>
      <x:c r="V77" s="47" t="n">
        <x:f>IF(S77&gt;0,T77*1000000/S77,0)</x:f>
        <x:v>68.57707509881423</x:v>
      </x:c>
      <x:c r="W77" s="64" t="n">
        <x:f>IF(AND(U77&gt;0,V76&gt;0,B77&gt;0),MIN(conv_cap,conv_beta*1*U77*MAX(0,LN(B77/(V76*X76)))),0)</x:f>
        <x:v>0.01543305823027456</x:v>
      </x:c>
      <x:c r="X77" s="65" t="n">
        <x:f>X76*(1+W77)</x:f>
        <x:v>1.635185009613858</x:v>
      </x:c>
      <x:c r="Y77" s="47" t="n">
        <x:f>T77*X77</x:f>
        <x:v>1134.8183966720176</x:v>
      </x:c>
      <x:c r="Z77" s="67" t="n">
        <x:f>IF(S77&gt;0,Y77*1000000/S77/Economy!Q77,0)</x:f>
        <x:v>0.19333828483576695</x:v>
      </x:c>
      <x:c r="AA77" s="45" t="n">
        <x:v>0</x:v>
      </x:c>
      <x:c r="AB77" s="45" t="n">
        <x:v>0</x:v>
      </x:c>
      <x:c r="AC77" s="68" t="n">
        <x:v>0</x:v>
      </x:c>
      <x:c r="AD77" s="47" t="n">
        <x:f>IF(AA77&gt;0,AB77*1000000/AA77,0)</x:f>
        <x:v>0</x:v>
      </x:c>
      <x:c r="AE77" s="64" t="n">
        <x:f>IF(AND(AC77&gt;0,AD76&gt;0,B77&gt;0),MIN(conv_cap,conv_beta*1*AC77*MAX(0,LN(B77/(AD76*AF76)))),0)</x:f>
        <x:v>0</x:v>
      </x:c>
      <x:c r="AF77" s="65" t="n">
        <x:f>AF76*(1+AE77)</x:f>
        <x:v>1</x:v>
      </x:c>
      <x:c r="AG77" s="47" t="n">
        <x:f>AB77*AF77</x:f>
        <x:v>0</x:v>
      </x:c>
      <x:c r="AH77" s="67" t="n">
        <x:f>IF(AA77&gt;0,AG77*1000000/AA77/Economy!Q77,0)</x:f>
        <x:v>0</x:v>
      </x:c>
      <x:c r="AI77" s="45" t="n">
        <x:v>445000000</x:v>
      </x:c>
      <x:c r="AJ77" s="45" t="n">
        <x:v>5750</x:v>
      </x:c>
      <x:c r="AK77" s="68" t="n">
        <x:v>0.275</x:v>
      </x:c>
      <x:c r="AL77" s="47" t="n">
        <x:f>IF(AI77&gt;0,AJ77*1000000/AI77,0)</x:f>
        <x:v>12.92134831460674</x:v>
      </x:c>
      <x:c r="AM77" s="64" t="n">
        <x:f>IF(AND(AK77&gt;0,AL76&gt;0,B77&gt;0),MIN(conv_cap,conv_beta*1*AK77*MAX(0,LN(B77/(AL76*AN76)))),0)</x:f>
        <x:v>0.011334653294864425</x:v>
      </x:c>
      <x:c r="AN77" s="65" t="n">
        <x:f>AN76*(1+AM77)</x:f>
        <x:v>1.3821049796560887</x:v>
      </x:c>
      <x:c r="AO77" s="47" t="n">
        <x:f>AJ77*AN77</x:f>
        <x:v>7947.10363302251</x:v>
      </x:c>
      <x:c r="AP77" s="67" t="n">
        <x:f>IF(AI77&gt;0,AO77*1000000/AI77/Economy!Q77,0)</x:f>
        <x:v>0.03079079284394618</x:v>
      </x:c>
      <x:c r="AQ77" s="45" t="n">
        <x:v>16250000</x:v>
      </x:c>
      <x:c r="AR77" s="45" t="n">
        <x:v>550</x:v>
      </x:c>
      <x:c r="AS77" s="68" t="n">
        <x:v>0.55</x:v>
      </x:c>
      <x:c r="AT77" s="47" t="n">
        <x:f>IF(AQ77&gt;0,AR77*1000000/AQ77,0)</x:f>
        <x:v>33.84615384615385</x:v>
      </x:c>
      <x:c r="AU77" s="64" t="n">
        <x:f>IF(AND(AS77&gt;0,AT76&gt;0,B77&gt;0),MIN(conv_cap,conv_beta*1*AS77*MAX(0,LN(B77/(AT76*AV76)))),0)</x:f>
        <x:v>0.01687071899035902</x:v>
      </x:c>
      <x:c r="AV77" s="65" t="n">
        <x:f>AV76*(1+AU77)</x:f>
        <x:v>1.565299573345993</x:v>
      </x:c>
      <x:c r="AW77" s="47" t="n">
        <x:f>AR77*AV77</x:f>
        <x:v>860.9147653402961</x:v>
      </x:c>
      <x:c r="AX77" s="67" t="n">
        <x:f>IF(AQ77&gt;0,AW77*1000000/AQ77/Economy!Q77,0)</x:f>
        <x:v>0.09134374168066801</x:v>
      </x:c>
      <x:c r="AY77" s="45" t="n">
        <x:v>102500000</x:v>
      </x:c>
      <x:c r="AZ77" s="45" t="n">
        <x:v>3857</x:v>
      </x:c>
      <x:c r="BA77" s="68" t="n">
        <x:v>0.175</x:v>
      </x:c>
      <x:c r="BB77" s="47" t="n">
        <x:f>IF(AY77&gt;0,AZ77*1000000/AY77,0)</x:f>
        <x:v>37.62926829268293</x:v>
      </x:c>
      <x:c r="BC77" s="64" t="n">
        <x:f>IF(AND(BA77&gt;0,BB76&gt;0,B77&gt;0),MIN(conv_cap,conv_beta*1*BA77*MAX(0,LN(B77/(BB76*BD76)))),0)</x:f>
        <x:v>0.0057230747125865174</x:v>
      </x:c>
      <x:c r="BD77" s="65" t="n">
        <x:f>BD76*(1+BC77)</x:f>
        <x:v>1.1209891390289326</x:v>
      </x:c>
      <x:c r="BE77" s="47" t="n">
        <x:f>AZ77*BD77</x:f>
        <x:v>4323.655109234593</x:v>
      </x:c>
      <x:c r="BF77" s="67" t="n">
        <x:f>IF(AY77&gt;0,BE77*1000000/AY77/Economy!Q77,0)</x:f>
        <x:v>0.0727275880443161</x:v>
      </x:c>
      <x:c r="BG77" s="45" t="n">
        <x:v>39200000</x:v>
      </x:c>
      <x:c r="BH77" s="45" t="n">
        <x:v>4443</x:v>
      </x:c>
      <x:c r="BI77" s="68" t="n">
        <x:v>0.325</x:v>
      </x:c>
      <x:c r="BJ77" s="47" t="n">
        <x:f>IF(BG77&gt;0,BH77*1000000/BG77,0)</x:f>
        <x:v>113.34183673469387</x:v>
      </x:c>
      <x:c r="BK77" s="64" t="n">
        <x:f>IF(AND(BI77&gt;0,BJ76&gt;0,B77&gt;0),MIN(conv_cap,conv_beta*1*BI77*MAX(0,LN(B77/(BJ76*BL76)))),0)</x:f>
        <x:v>0.006920962511375999</x:v>
      </x:c>
      <x:c r="BL77" s="65" t="n">
        <x:f>BL76*(1+BK77)</x:f>
        <x:v>1.1561938794912443</x:v>
      </x:c>
      <x:c r="BM77" s="47" t="n">
        <x:f>BH77*BL77</x:f>
        <x:v>5136.969406579598</x:v>
      </x:c>
      <x:c r="BN77" s="67" t="n">
        <x:f>IF(BG77&gt;0,BM77*1000000/BG77/Economy!Q77,0)</x:f>
        <x:v>0.22593989297060163</x:v>
      </x:c>
      <x:c r="BO77" s="45" t="n">
        <x:v>16800000</x:v>
      </x:c>
      <x:c r="BP77" s="45" t="n">
        <x:v>1275</x:v>
      </x:c>
      <x:c r="BQ77" s="68" t="n">
        <x:v>0.125</x:v>
      </x:c>
      <x:c r="BR77" s="47" t="n">
        <x:f>IF(BO77&gt;0,BP77*1000000/BO77,0)</x:f>
        <x:v>75.89285714285714</x:v>
      </x:c>
      <x:c r="BS77" s="64" t="n">
        <x:f>IF(AND(BQ77&gt;0,BR76&gt;0,B77&gt;0),MIN(conv_cap,conv_beta*1*BQ77*MAX(0,LN(B77/(BR76*BT76)))),0)</x:f>
        <x:v>0.0032970680985566925</x:v>
      </x:c>
      <x:c r="BT77" s="65" t="n">
        <x:f>BT76*(1+BS77)</x:f>
        <x:v>1.028088627477055</x:v>
      </x:c>
      <x:c r="BU77" s="47" t="n">
        <x:f>BP77*BT77</x:f>
        <x:v>1310.8130000332453</x:v>
      </x:c>
      <x:c r="BV77" s="67" t="n">
        <x:f>IF(BO77&gt;0,BU77*1000000/BO77/Economy!Q77,0)</x:f>
        <x:v>0.13452514368157278</x:v>
      </x:c>
      <x:c r="BW77" s="65" t="n">
        <x:f>0.25*IF(D77&gt;0,H77,1)+0.15*IF(AJ77&gt;0,AN77,1)+0.03*IF(AR77&gt;0,AV77,1)+0.08*IF(AZ77&gt;0,BD77,1)+0.12*IF(BH77&gt;0,BL77,1)+0.1*IF(L77&gt;0,P77,1)+0.07*IF(T77&gt;0,X77,1)+0.05*IF(AB77&gt;0,AF77,1)+0.05*IF(BP77&gt;0,BT77,1)+0.1</x:f>
        <x:v>1.4309427633892868</x:v>
      </x:c>
      <x:c r="BX77" s="63" t="n">
        <x:f>MIN(mkt_cap,mkt_elast*MAX(0,BW77-1))</x:f>
        <x:v>0.21547138169464342</x:v>
      </x:c>
      <x:c r="BY77" s="47" t="n">
        <x:f>I77+Q77+Y77+AG77</x:f>
        <x:v>13892.261559974584</x:v>
      </x:c>
      <x:c r="BZ77" s="47" t="n">
        <x:f>D77+L77+T77+AB77</x:f>
        <x:v>8390.2936</x:v>
      </x:c>
      <x:c r="CA77" s="65" t="n">
        <x:f>IF(BZ77&gt;0,BY77/BZ77,0)</x:f>
        <x:v>1.6557539249847684</x:v>
      </x:c>
    </x:row>
    <x:row r="78">
      <x:c r="A78" s="61" t="n">
        <x:v>1918</x:v>
      </x:c>
      <x:c r="B78" s="47" t="n">
        <x:f>Economy!P77</x:f>
        <x:v>1295.7722853931289</x:v>
      </x:c>
      <x:c r="C78" s="45" t="n">
        <x:v>54660000</x:v>
      </x:c>
      <x:c r="D78" s="62" t="n">
        <x:f>Japan!B78</x:f>
        <x:v>6010</x:v>
      </x:c>
      <x:c r="E78" s="68" t="n">
        <x:v>0.84</x:v>
      </x:c>
      <x:c r="F78" s="47" t="n">
        <x:f>IF(C78&gt;0,D78*1000000/C78,0)</x:f>
        <x:v>109.95243322356384</x:v>
      </x:c>
      <x:c r="G78" s="64" t="n">
        <x:f>IF(AND(E78&gt;0,F77&gt;0,B78&gt;0),MIN(conv_cap,conv_beta*jp_uplift*E78*MAX(0,LN(B78/(F77*H77)))),0)</x:f>
        <x:v>0.01730374172432094</x:v>
      </x:c>
      <x:c r="H78" s="65" t="n">
        <x:f>H77*(1+G78)</x:f>
        <x:v>2.1144727107466905</x:v>
      </x:c>
      <x:c r="I78" s="47" t="n">
        <x:f>D78*H78</x:f>
        <x:v>12707.98099158761</x:v>
      </x:c>
      <x:c r="J78" s="67" t="n">
        <x:f>IF(C78&gt;0,I78*1000000/C78/Economy!Q78,0)</x:f>
        <x:v>0.31502902375531644</x:v>
      </x:c>
      <x:c r="K78" s="62" t="n">
        <x:f>Gulf!B78</x:f>
        <x:v>9120000</x:v>
      </x:c>
      <x:c r="L78" s="47" t="n">
        <x:f>Gulf!B78*Gulf!C78*Economy!Q78/1000000</x:f>
        <x:v>4462.36128</x:v>
      </x:c>
      <x:c r="M78" s="68" t="n">
        <x:v>0.721</x:v>
      </x:c>
      <x:c r="N78" s="47" t="n">
        <x:f>IF(K78&gt;0,L78*1000000/K78,0)</x:f>
        <x:v>489.294</x:v>
      </x:c>
      <x:c r="O78" s="64" t="n">
        <x:f>IF(AND(M78&gt;0,N77&gt;0,B78&gt;0),MIN(conv_cap,conv_beta*1*M78*MAX(0,LN(B78/(N77*P77)))),0)</x:f>
        <x:v>0.007992035254151503</x:v>
      </x:c>
      <x:c r="P78" s="65" t="n">
        <x:f>P77*(1+O78)</x:f>
        <x:v>1.1365267334439546</x:v>
      </x:c>
      <x:c r="Q78" s="47" t="n">
        <x:f>L78*P78</x:f>
        <x:v>5071.592889005185</x:v>
      </x:c>
      <x:c r="R78" s="67" t="n">
        <x:f>IF(K78&gt;0,Q78*1000000/K78/Economy!Q78,0)</x:f>
        <x:v>0.7535172242733419</x:v>
      </x:c>
      <x:c r="S78" s="62" t="n">
        <x:f>People!U78</x:f>
        <x:v>10300000</x:v>
      </x:c>
      <x:c r="T78" s="45" t="n">
        <x:v>763</x:v>
      </x:c>
      <x:c r="U78" s="68" t="n">
        <x:v>0.671</x:v>
      </x:c>
      <x:c r="V78" s="47" t="n">
        <x:f>IF(S78&gt;0,T78*1000000/S78,0)</x:f>
        <x:v>74.07766990291262</x:v>
      </x:c>
      <x:c r="W78" s="64" t="n">
        <x:f>IF(AND(U78&gt;0,V77&gt;0,B78&gt;0),MIN(conv_cap,conv_beta*1*U78*MAX(0,LN(B78/(V77*X77)))),0)</x:f>
        <x:v>0.01642036244548078</x:v>
      </x:c>
      <x:c r="X78" s="65" t="n">
        <x:f>X77*(1+W78)</x:f>
        <x:v>1.6620353401371346</x:v>
      </x:c>
      <x:c r="Y78" s="47" t="n">
        <x:f>T78*X78</x:f>
        <x:v>1268.1329645246337</x:v>
      </x:c>
      <x:c r="Z78" s="67" t="n">
        <x:f>IF(S78&gt;0,Y78*1000000/S78/Economy!Q78,0)</x:f>
        <x:v>0.16682886896159044</x:v>
      </x:c>
      <x:c r="AA78" s="45" t="n">
        <x:v>0</x:v>
      </x:c>
      <x:c r="AB78" s="45" t="n">
        <x:v>0</x:v>
      </x:c>
      <x:c r="AC78" s="68" t="n">
        <x:v>0</x:v>
      </x:c>
      <x:c r="AD78" s="47" t="n">
        <x:f>IF(AA78&gt;0,AB78*1000000/AA78,0)</x:f>
        <x:v>0</x:v>
      </x:c>
      <x:c r="AE78" s="64" t="n">
        <x:f>IF(AND(AC78&gt;0,AD77&gt;0,B78&gt;0),MIN(conv_cap,conv_beta*1*AC78*MAX(0,LN(B78/(AD77*AF77)))),0)</x:f>
        <x:v>0</x:v>
      </x:c>
      <x:c r="AF78" s="65" t="n">
        <x:f>AF77*(1+AE78)</x:f>
        <x:v>1</x:v>
      </x:c>
      <x:c r="AG78" s="47" t="n">
        <x:f>AB78*AF78</x:f>
        <x:v>0</x:v>
      </x:c>
      <x:c r="AH78" s="67" t="n">
        <x:f>IF(AA78&gt;0,AG78*1000000/AA78/Economy!Q78,0)</x:f>
        <x:v>0</x:v>
      </x:c>
      <x:c r="AI78" s="45" t="n">
        <x:v>448800000</x:v>
      </x:c>
      <x:c r="AJ78" s="45" t="n">
        <x:v>5938</x:v>
      </x:c>
      <x:c r="AK78" s="68" t="n">
        <x:v>0.28</x:v>
      </x:c>
      <x:c r="AL78" s="47" t="n">
        <x:f>IF(AI78&gt;0,AJ78*1000000/AI78,0)</x:f>
        <x:v>13.230837789661319</x:v>
      </x:c>
      <x:c r="AM78" s="64" t="n">
        <x:f>IF(AND(AK78&gt;0,AL77&gt;0,B78&gt;0),MIN(conv_cap,conv_beta*1*AK78*MAX(0,LN(B78/(AL77*AN77)))),0)</x:f>
        <x:v>0.011996246134736654</x:v>
      </x:c>
      <x:c r="AN78" s="65" t="n">
        <x:f>AN77*(1+AM78)</x:f>
        <x:v>1.3986850511760884</x:v>
      </x:c>
      <x:c r="AO78" s="47" t="n">
        <x:f>AJ78*AN78</x:f>
        <x:v>8305.391833883614</x:v>
      </x:c>
      <x:c r="AP78" s="67" t="n">
        <x:f>IF(AI78&gt;0,AO78*1000000/AI78/Economy!Q78,0)</x:f>
        <x:v>0.025075575922676105</x:v>
      </x:c>
      <x:c r="AQ78" s="45" t="n">
        <x:v>16560000</x:v>
      </x:c>
      <x:c r="AR78" s="45" t="n">
        <x:v>588</x:v>
      </x:c>
      <x:c r="AS78" s="68" t="n">
        <x:v>0.554</x:v>
      </x:c>
      <x:c r="AT78" s="47" t="n">
        <x:f>IF(AQ78&gt;0,AR78*1000000/AQ78,0)</x:f>
        <x:v>35.507246376811594</x:v>
      </x:c>
      <x:c r="AU78" s="64" t="n">
        <x:f>IF(AND(AS78&gt;0,AT77&gt;0,B78&gt;0),MIN(conv_cap,conv_beta*1*AS78*MAX(0,LN(B78/(AT77*AV77)))),0)</x:f>
        <x:v>0.017711155962213468</x:v>
      </x:c>
      <x:c r="AV78" s="65" t="n">
        <x:f>AV77*(1+AU78)</x:f>
        <x:v>1.5930228382171099</x:v>
      </x:c>
      <x:c r="AW78" s="47" t="n">
        <x:f>AR78*AV78</x:f>
        <x:v>936.6974288716606</x:v>
      </x:c>
      <x:c r="AX78" s="67" t="n">
        <x:f>IF(AQ78&gt;0,AW78*1000000/AQ78/Economy!Q78,0)</x:f>
        <x:v>0.07664478916051842</x:v>
      </x:c>
      <x:c r="AY78" s="45" t="n">
        <x:v>104400000</x:v>
      </x:c>
      <x:c r="AZ78" s="45" t="n">
        <x:v>4071</x:v>
      </x:c>
      <x:c r="BA78" s="68" t="n">
        <x:v>0.181</x:v>
      </x:c>
      <x:c r="BB78" s="47" t="n">
        <x:f>IF(AY78&gt;0,AZ78*1000000/AY78,0)</x:f>
        <x:v>38.99425287356322</x:v>
      </x:c>
      <x:c r="BC78" s="64" t="n">
        <x:f>IF(AND(BA78&gt;0,BB77&gt;0,B78&gt;0),MIN(conv_cap,conv_beta*1*BA78*MAX(0,LN(B78/(BB77*BD77)))),0)</x:f>
        <x:v>0.006199012058723384</x:v>
      </x:c>
      <x:c r="BD78" s="65" t="n">
        <x:f>BD77*(1+BC78)</x:f>
        <x:v>1.127938164219471</x:v>
      </x:c>
      <x:c r="BE78" s="47" t="n">
        <x:f>AZ78*BD78</x:f>
        <x:v>4591.836266537466</x:v>
      </x:c>
      <x:c r="BF78" s="67" t="n">
        <x:f>IF(AY78&gt;0,BE78*1000000/AY78/Economy!Q78,0)</x:f>
        <x:v>0.05959770460883025</x:v>
      </x:c>
      <x:c r="BG78" s="45" t="n">
        <x:v>39800000</x:v>
      </x:c>
      <x:c r="BH78" s="45" t="n">
        <x:v>4629</x:v>
      </x:c>
      <x:c r="BI78" s="68" t="n">
        <x:v>0.331</x:v>
      </x:c>
      <x:c r="BJ78" s="47" t="n">
        <x:f>IF(BG78&gt;0,BH78*1000000/BG78,0)</x:f>
        <x:v>116.30653266331659</x:v>
      </x:c>
      <x:c r="BK78" s="64" t="n">
        <x:f>IF(AND(BI78&gt;0,BJ77&gt;0,B78&gt;0),MIN(conv_cap,conv_beta*1*BI78*MAX(0,LN(B78/(BJ77*BL77)))),0)</x:f>
        <x:v>0.007584270284386312</x:v>
      </x:c>
      <x:c r="BL78" s="65" t="n">
        <x:f>BL77*(1+BK78)</x:f>
        <x:v>1.164962766374459</x:v>
      </x:c>
      <x:c r="BM78" s="47" t="n">
        <x:f>BH78*BL78</x:f>
        <x:v>5392.612645547371</x:v>
      </x:c>
      <x:c r="BN78" s="67" t="n">
        <x:f>IF(BG78&gt;0,BM78*1000000/BG78/Economy!Q78,0)</x:f>
        <x:v>0.18359455289820958</x:v>
      </x:c>
      <x:c r="BO78" s="45" t="n">
        <x:v>16900000</x:v>
      </x:c>
      <x:c r="BP78" s="45" t="n">
        <x:v>1319</x:v>
      </x:c>
      <x:c r="BQ78" s="68" t="n">
        <x:v>0.131</x:v>
      </x:c>
      <x:c r="BR78" s="47" t="n">
        <x:f>IF(BO78&gt;0,BP78*1000000/BO78,0)</x:f>
        <x:v>78.04733727810651</x:v>
      </x:c>
      <x:c r="BS78" s="64" t="n">
        <x:f>IF(AND(BQ78&gt;0,BR77&gt;0,B78&gt;0),MIN(conv_cap,conv_beta*1*BQ78*MAX(0,LN(B78/(BR77*BT77)))),0)</x:f>
        <x:v>0.0036808880521653213</x:v>
      </x:c>
      <x:c r="BT78" s="65" t="n">
        <x:f>BT77*(1+BS78)</x:f>
        <x:v>1.0318729066225023</x:v>
      </x:c>
      <x:c r="BU78" s="47" t="n">
        <x:f>BP78*BT78</x:f>
        <x:v>1361.0403638350806</x:v>
      </x:c>
      <x:c r="BV78" s="67" t="n">
        <x:f>IF(BO78&gt;0,BU78*1000000/BO78/Economy!Q78,0)</x:f>
        <x:v>0.10912592516437201</x:v>
      </x:c>
      <x:c r="BW78" s="65" t="n">
        <x:f>0.25*IF(D78&gt;0,H78,1)+0.15*IF(AJ78&gt;0,AN78,1)+0.03*IF(AR78&gt;0,AV78,1)+0.08*IF(AZ78&gt;0,BD78,1)+0.12*IF(BH78&gt;0,BL78,1)+0.1*IF(L78&gt;0,P78,1)+0.07*IF(T78&gt;0,X78,1)+0.05*IF(AB78&gt;0,AF78,1)+0.05*IF(BP78&gt;0,BT78,1)+0.1</x:f>
        <x:v>1.4478309980972122</x:v>
      </x:c>
      <x:c r="BX78" s="63" t="n">
        <x:f>MIN(mkt_cap,mkt_elast*MAX(0,BW78-1))</x:f>
        <x:v>0.22391549904860608</x:v>
      </x:c>
      <x:c r="BY78" s="47" t="n">
        <x:f>I78+Q78+Y78+AG78</x:f>
        <x:v>19047.706845117427</x:v>
      </x:c>
      <x:c r="BZ78" s="47" t="n">
        <x:f>D78+L78+T78+AB78</x:f>
        <x:v>11235.361280000001</x:v>
      </x:c>
      <x:c r="CA78" s="65" t="n">
        <x:f>IF(BZ78&gt;0,BY78/BZ78,0)</x:f>
        <x:v>1.6953355010509663</x:v>
      </x:c>
    </x:row>
    <x:row r="79">
      <x:c r="A79" s="61" t="n">
        <x:v>1919</x:v>
      </x:c>
      <x:c r="B79" s="47" t="n">
        <x:f>Economy!P78</x:f>
        <x:v>1524.946132516673</x:v>
      </x:c>
      <x:c r="C79" s="45" t="n">
        <x:v>55330000</x:v>
      </x:c>
      <x:c r="D79" s="62" t="n">
        <x:f>Japan!B79</x:f>
        <x:v>7730</x:v>
      </x:c>
      <x:c r="E79" s="68" t="n">
        <x:v>0.85</x:v>
      </x:c>
      <x:c r="F79" s="47" t="n">
        <x:f>IF(C79&gt;0,D79*1000000/C79,0)</x:f>
        <x:v>139.70721127778782</x:v>
      </x:c>
      <x:c r="G79" s="64" t="n">
        <x:f>IF(AND(E79&gt;0,F78&gt;0,B79&gt;0),MIN(conv_cap,conv_beta*jp_uplift*E79*MAX(0,LN(B79/(F78*H78)))),0)</x:f>
        <x:v>0.015987318894166668</x:v>
      </x:c>
      <x:c r="H79" s="65" t="n">
        <x:f>H78*(1+G79)</x:f>
        <x:v>2.148277460266411</x:v>
      </x:c>
      <x:c r="I79" s="47" t="n">
        <x:f>D79*H79</x:f>
        <x:v>16606.18476785936</x:v>
      </x:c>
      <x:c r="J79" s="67" t="n">
        <x:f>IF(C79&gt;0,I79*1000000/C79/Economy!Q79,0)</x:f>
        <x:v>0.37516231628093616</x:v>
      </x:c>
      <x:c r="K79" s="62" t="n">
        <x:f>Gulf!B79</x:f>
        <x:v>9260000</x:v>
      </x:c>
      <x:c r="L79" s="47" t="n">
        <x:f>Gulf!B79*Gulf!C79*Economy!Q79/1000000</x:f>
        <x:v>4970.768</x:v>
      </x:c>
      <x:c r="M79" s="68" t="n">
        <x:v>0.736</x:v>
      </x:c>
      <x:c r="N79" s="47" t="n">
        <x:f>IF(K79&gt;0,L79*1000000/K79,0)</x:f>
        <x:v>536.8</x:v>
      </x:c>
      <x:c r="O79" s="64" t="n">
        <x:f>IF(AND(M79&gt;0,N78&gt;0,B79&gt;0),MIN(conv_cap,conv_beta*1*M79*MAX(0,LN(B79/(N78*P78)))),0)</x:f>
        <x:v>0.007424576220713916</x:v>
      </x:c>
      <x:c r="P79" s="65" t="n">
        <x:f>P78*(1+O79)</x:f>
        <x:v>1.1449649628032883</x:v>
      </x:c>
      <x:c r="Q79" s="47" t="n">
        <x:f>L79*P79</x:f>
        <x:v>5691.355198223776</x:v>
      </x:c>
      <x:c r="R79" s="67" t="n">
        <x:f>IF(K79&gt;0,Q79*1000000/K79/Economy!Q79,0)</x:f>
        <x:v>0.7682714900410065</x:v>
      </x:c>
      <x:c r="S79" s="62" t="n">
        <x:f>People!U79</x:f>
        <x:v>10493000</x:v>
      </x:c>
      <x:c r="T79" s="45" t="n">
        <x:v>831</x:v>
      </x:c>
      <x:c r="U79" s="68" t="n">
        <x:v>0.6860000000000001</x:v>
      </x:c>
      <x:c r="V79" s="47" t="n">
        <x:f>IF(S79&gt;0,T79*1000000/S79,0)</x:f>
        <x:v>79.1956542456876</x:v>
      </x:c>
      <x:c r="W79" s="64" t="n">
        <x:f>IF(AND(U79&gt;0,V78&gt;0,B79&gt;0),MIN(conv_cap,conv_beta*1*U79*MAX(0,LN(B79/(V78*X78)))),0)</x:f>
        <x:v>0.017263582869464795</x:v>
      </x:c>
      <x:c r="X79" s="65" t="n">
        <x:f>X78*(1+W79)</x:f>
        <x:v>1.690728024963571</x:v>
      </x:c>
      <x:c r="Y79" s="47" t="n">
        <x:f>T79*X79</x:f>
        <x:v>1404.9949887447276</x:v>
      </x:c>
      <x:c r="Z79" s="67" t="n">
        <x:f>IF(S79&gt;0,Y79*1000000/S79/Economy!Q79,0)</x:f>
        <x:v>0.16737289011063655</x:v>
      </x:c>
      <x:c r="AA79" s="45" t="n">
        <x:v>0</x:v>
      </x:c>
      <x:c r="AB79" s="45" t="n">
        <x:v>0</x:v>
      </x:c>
      <x:c r="AC79" s="68" t="n">
        <x:v>0</x:v>
      </x:c>
      <x:c r="AD79" s="47" t="n">
        <x:f>IF(AA79&gt;0,AB79*1000000/AA79,0)</x:f>
        <x:v>0</x:v>
      </x:c>
      <x:c r="AE79" s="64" t="n">
        <x:f>IF(AND(AC79&gt;0,AD78&gt;0,B79&gt;0),MIN(conv_cap,conv_beta*1*AC79*MAX(0,LN(B79/(AD78*AF78)))),0)</x:f>
        <x:v>0</x:v>
      </x:c>
      <x:c r="AF79" s="65" t="n">
        <x:f>AF78*(1+AE79)</x:f>
        <x:v>1</x:v>
      </x:c>
      <x:c r="AG79" s="47" t="n">
        <x:f>AB79*AF79</x:f>
        <x:v>0</x:v>
      </x:c>
      <x:c r="AH79" s="67" t="n">
        <x:f>IF(AA79&gt;0,AG79*1000000/AA79/Economy!Q79,0)</x:f>
        <x:v>0</x:v>
      </x:c>
      <x:c r="AI79" s="45" t="n">
        <x:v>452500000</x:v>
      </x:c>
      <x:c r="AJ79" s="45" t="n">
        <x:v>6125</x:v>
      </x:c>
      <x:c r="AK79" s="68" t="n">
        <x:v>0.285</x:v>
      </x:c>
      <x:c r="AL79" s="47" t="n">
        <x:f>IF(AI79&gt;0,AJ79*1000000/AI79,0)</x:f>
        <x:v>13.535911602209945</x:v>
      </x:c>
      <x:c r="AM79" s="64" t="n">
        <x:f>IF(AND(AK79&gt;0,AL78&gt;0,B79&gt;0),MIN(conv_cap,conv_beta*1*AK79*MAX(0,LN(B79/(AL78*AN78)))),0)</x:f>
        <x:v>0.012573149827075617</x:v>
      </x:c>
      <x:c r="AN79" s="65" t="n">
        <x:f>AN78*(1+AM79)</x:f>
        <x:v>1.4162709278854162</x:v>
      </x:c>
      <x:c r="AO79" s="47" t="n">
        <x:f>AJ79*AN79</x:f>
        <x:v>8674.659433298175</x:v>
      </x:c>
      <x:c r="AP79" s="67" t="n">
        <x:f>IF(AI79&gt;0,AO79*1000000/AI79/Economy!Q79,0)</x:f>
        <x:v>0.023963147605796067</x:v>
      </x:c>
      <x:c r="AQ79" s="45" t="n">
        <x:v>16880000</x:v>
      </x:c>
      <x:c r="AR79" s="45" t="n">
        <x:v>625</x:v>
      </x:c>
      <x:c r="AS79" s="68" t="n">
        <x:v>0.5580000000000001</x:v>
      </x:c>
      <x:c r="AT79" s="47" t="n">
        <x:f>IF(AQ79&gt;0,AR79*1000000/AQ79,0)</x:f>
        <x:v>37.0260663507109</x:v>
      </x:c>
      <x:c r="AU79" s="64" t="n">
        <x:f>IF(AND(AS79&gt;0,AT78&gt;0,B79&gt;0),MIN(conv_cap,conv_beta*1*AS79*MAX(0,LN(B79/(AT78*AV78)))),0)</x:f>
        <x:v>0.018382440630993313</x:v>
      </x:c>
      <x:c r="AV79" s="65" t="n">
        <x:f>AV78*(1+AU79)</x:f>
        <x:v>1.6223064859644525</x:v>
      </x:c>
      <x:c r="AW79" s="47" t="n">
        <x:f>AR79*AV79</x:f>
        <x:v>1013.9415537277828</x:v>
      </x:c>
      <x:c r="AX79" s="67" t="n">
        <x:f>IF(AQ79&gt;0,AW79*1000000/AQ79/Economy!Q79,0)</x:f>
        <x:v>0.07508453448813557</x:v>
      </x:c>
      <x:c r="AY79" s="45" t="n">
        <x:v>106200000</x:v>
      </x:c>
      <x:c r="AZ79" s="45" t="n">
        <x:v>4286</x:v>
      </x:c>
      <x:c r="BA79" s="68" t="n">
        <x:v>0.188</x:v>
      </x:c>
      <x:c r="BB79" s="47" t="n">
        <x:f>IF(AY79&gt;0,AZ79*1000000/AY79,0)</x:f>
        <x:v>40.357815442561204</x:v>
      </x:c>
      <x:c r="BC79" s="64" t="n">
        <x:f>IF(AND(BA79&gt;0,BB78&gt;0,B79&gt;0),MIN(conv_cap,conv_beta*1*BA79*MAX(0,LN(B79/(BB78*BD78)))),0)</x:f>
        <x:v>0.006666308468432331</x:v>
      </x:c>
      <x:c r="BD79" s="65" t="n">
        <x:f>BD78*(1+BC79)</x:f>
        <x:v>1.1354573479554755</x:v>
      </x:c>
      <x:c r="BE79" s="47" t="n">
        <x:f>AZ79*BD79</x:f>
        <x:v>4866.570193337168</x:v>
      </x:c>
      <x:c r="BF79" s="67" t="n">
        <x:f>IF(AY79&gt;0,BE79*1000000/AY79/Economy!Q79,0)</x:f>
        <x:v>0.057280722614608856</x:v>
      </x:c>
      <x:c r="BG79" s="45" t="n">
        <x:v>40400000</x:v>
      </x:c>
      <x:c r="BH79" s="45" t="n">
        <x:v>4814</x:v>
      </x:c>
      <x:c r="BI79" s="68" t="n">
        <x:v>0.338</x:v>
      </x:c>
      <x:c r="BJ79" s="47" t="n">
        <x:f>IF(BG79&gt;0,BH79*1000000/BG79,0)</x:f>
        <x:v>119.15841584158416</x:v>
      </x:c>
      <x:c r="BK79" s="64" t="n">
        <x:f>IF(AND(BI79&gt;0,BJ78&gt;0,B79&gt;0),MIN(conv_cap,conv_beta*1*BI79*MAX(0,LN(B79/(BJ78*BL78)))),0)</x:f>
        <x:v>0.008182290515231594</x:v>
      </x:c>
      <x:c r="BL79" s="65" t="n">
        <x:f>BL78*(1+BK79)</x:f>
        <x:v>1.1744948301683626</x:v>
      </x:c>
      <x:c r="BM79" s="47" t="n">
        <x:f>BH79*BL79</x:f>
        <x:v>5654.018112430498</x:v>
      </x:c>
      <x:c r="BN79" s="67" t="n">
        <x:f>IF(BG79&gt;0,BM79*1000000/BG79/Economy!Q79,0)</x:f>
        <x:v>0.17493867922124068</x:v>
      </x:c>
      <x:c r="BO79" s="45" t="n">
        <x:v>17100000</x:v>
      </x:c>
      <x:c r="BP79" s="45" t="n">
        <x:v>1362</x:v>
      </x:c>
      <x:c r="BQ79" s="68" t="n">
        <x:v>0.138</x:v>
      </x:c>
      <x:c r="BR79" s="47" t="n">
        <x:f>IF(BO79&gt;0,BP79*1000000/BO79,0)</x:f>
        <x:v>79.64912280701755</x:v>
      </x:c>
      <x:c r="BS79" s="64" t="n">
        <x:f>IF(AND(BQ79&gt;0,BR78&gt;0,B79&gt;0),MIN(conv_cap,conv_beta*1*BQ79*MAX(0,LN(B79/(BR78*BT78)))),0)</x:f>
        <x:v>0.00405861219224196</x:v>
      </x:c>
      <x:c r="BT79" s="65" t="n">
        <x:f>BT78*(1+BS79)</x:f>
        <x:v>1.0360608785821646</x:v>
      </x:c>
      <x:c r="BU79" s="47" t="n">
        <x:f>BP79*BT79</x:f>
        <x:v>1411.114916628908</x:v>
      </x:c>
      <x:c r="BV79" s="67" t="n">
        <x:f>IF(BO79&gt;0,BU79*1000000/BO79/Economy!Q79,0)</x:f>
        <x:v>0.10315167519217164</x:v>
      </x:c>
      <x:c r="BW79" s="65" t="n">
        <x:f>0.25*IF(D79&gt;0,H79,1)+0.15*IF(AJ79&gt;0,AN79,1)+0.03*IF(AR79&gt;0,AV79,1)+0.08*IF(AZ79&gt;0,BD79,1)+0.12*IF(BH79&gt;0,BL79,1)+0.1*IF(L79&gt;0,P79,1)+0.07*IF(T79&gt;0,X79,1)+0.05*IF(AB79&gt;0,AF79,1)+0.05*IF(BP79&gt;0,BT79,1)+0.1</x:f>
        <x:v>1.4646056682418773</x:v>
      </x:c>
      <x:c r="BX79" s="63" t="n">
        <x:f>MIN(mkt_cap,mkt_elast*MAX(0,BW79-1))</x:f>
        <x:v>0.23230283412093866</x:v>
      </x:c>
      <x:c r="BY79" s="47" t="n">
        <x:f>I79+Q79+Y79+AG79</x:f>
        <x:v>23702.534954827865</x:v>
      </x:c>
      <x:c r="BZ79" s="47" t="n">
        <x:f>D79+L79+T79+AB79</x:f>
        <x:v>13531.768</x:v>
      </x:c>
      <x:c r="CA79" s="65" t="n">
        <x:f>IF(BZ79&gt;0,BY79/BZ79,0)</x:f>
        <x:v>1.7516214403637325</x:v>
      </x:c>
    </x:row>
    <x:row r="80">
      <x:c r="A80" s="61" t="n">
        <x:v>1920</x:v>
      </x:c>
      <x:c r="B80" s="47" t="n">
        <x:f>Economy!P79</x:f>
        <x:v>1690.4043225142414</x:v>
      </x:c>
      <x:c r="C80" s="45" t="n">
        <x:v>56000000</x:v>
      </x:c>
      <x:c r="D80" s="62" t="n">
        <x:f>Japan!B80</x:f>
        <x:v>7930</x:v>
      </x:c>
      <x:c r="E80" s="68" t="n">
        <x:v>0.869</x:v>
      </x:c>
      <x:c r="F80" s="47" t="n">
        <x:f>IF(C80&gt;0,D80*1000000/C80,0)</x:f>
        <x:v>141.60714285714286</x:v>
      </x:c>
      <x:c r="G80" s="64" t="n">
        <x:f>IF(AND(E80&gt;0,F79&gt;0,B80&gt;0),MIN(conv_cap,conv_beta*jp_uplift*E80*MAX(0,LN(B80/(F79*H79)))),0)</x:f>
        <x:v>0.015020732773064422</x:v>
      </x:c>
      <x:c r="H80" s="65" t="n">
        <x:f>H79*(1+G80)</x:f>
        <x:v>2.1805461619194704</x:v>
      </x:c>
      <x:c r="I80" s="47" t="n">
        <x:f>D80*H80</x:f>
        <x:v>17291.731064021402</x:v>
      </x:c>
      <x:c r="J80" s="67" t="n">
        <x:f>IF(C80&gt;0,I80*1000000/C80/Economy!Q80,0)</x:f>
        <x:v>0.35904757192735465</x:v>
      </x:c>
      <x:c r="K80" s="62" t="n">
        <x:f>Gulf!B80</x:f>
        <x:v>9400000</x:v>
      </x:c>
      <x:c r="L80" s="47" t="n">
        <x:f>Gulf!B80*Gulf!C80*Economy!Q80/1000000</x:f>
        <x:v>5497.12</x:v>
      </x:c>
      <x:c r="M80" s="68" t="n">
        <x:v>0.75</x:v>
      </x:c>
      <x:c r="N80" s="47" t="n">
        <x:f>IF(K80&gt;0,L80*1000000/K80,0)</x:f>
        <x:v>584.8</x:v>
      </x:c>
      <x:c r="O80" s="64" t="n">
        <x:f>IF(AND(M80&gt;0,N79&gt;0,B80&gt;0),MIN(conv_cap,conv_beta*1*M80*MAX(0,LN(B80/(N79*P79)))),0)</x:f>
        <x:v>0.007587925510278023</x:v>
      </x:c>
      <x:c r="P80" s="65" t="n">
        <x:f>P79*(1+O80)</x:f>
        <x:v>1.1536528716529177</x:v>
      </x:c>
      <x:c r="Q80" s="47" t="n">
        <x:f>L80*P80</x:f>
        <x:v>6341.768273820687</x:v>
      </x:c>
      <x:c r="R80" s="67" t="n">
        <x:f>IF(K80&gt;0,Q80*1000000/K80/Economy!Q80,0)</x:f>
        <x:v>0.784483952723984</x:v>
      </x:c>
      <x:c r="S80" s="62" t="n">
        <x:f>People!U80</x:f>
        <x:v>10686000</x:v>
      </x:c>
      <x:c r="T80" s="45" t="n">
        <x:v>900</x:v>
      </x:c>
      <x:c r="U80" s="68" t="n">
        <x:v>0.7</x:v>
      </x:c>
      <x:c r="V80" s="47" t="n">
        <x:f>IF(S80&gt;0,T80*1000000/S80,0)</x:f>
        <x:v>84.22234699606962</x:v>
      </x:c>
      <x:c r="W80" s="64" t="n">
        <x:f>IF(AND(U80&gt;0,V79&gt;0,B80&gt;0),MIN(conv_cap,conv_beta*1*U80*MAX(0,LN(B80/(V79*X79)))),0)</x:f>
        <x:v>0.017749496635766714</x:v>
      </x:c>
      <x:c r="X80" s="65" t="n">
        <x:f>X79*(1+W80)</x:f>
        <x:v>1.7207375963546585</x:v>
      </x:c>
      <x:c r="Y80" s="47" t="n">
        <x:f>T80*X80</x:f>
        <x:v>1548.6638367191927</x:v>
      </x:c>
      <x:c r="Z80" s="67" t="n">
        <x:f>IF(S80&gt;0,Y80*1000000/S80/Economy!Q80,0)</x:f>
        <x:v>0.16851692898763354</x:v>
      </x:c>
      <x:c r="AA80" s="45" t="n">
        <x:v>0</x:v>
      </x:c>
      <x:c r="AB80" s="45" t="n">
        <x:v>0</x:v>
      </x:c>
      <x:c r="AC80" s="68" t="n">
        <x:v>0</x:v>
      </x:c>
      <x:c r="AD80" s="47" t="n">
        <x:f>IF(AA80&gt;0,AB80*1000000/AA80,0)</x:f>
        <x:v>0</x:v>
      </x:c>
      <x:c r="AE80" s="64" t="n">
        <x:f>IF(AND(AC80&gt;0,AD79&gt;0,B80&gt;0),MIN(conv_cap,conv_beta*1*AC80*MAX(0,LN(B80/(AD79*AF79)))),0)</x:f>
        <x:v>0</x:v>
      </x:c>
      <x:c r="AF80" s="65" t="n">
        <x:f>AF79*(1+AE80)</x:f>
        <x:v>1</x:v>
      </x:c>
      <x:c r="AG80" s="47" t="n">
        <x:f>AB80*AF80</x:f>
        <x:v>0</x:v>
      </x:c>
      <x:c r="AH80" s="67" t="n">
        <x:f>IF(AA80&gt;0,AG80*1000000/AA80/Economy!Q80,0)</x:f>
        <x:v>0</x:v>
      </x:c>
      <x:c r="AI80" s="45" t="n">
        <x:v>456200000</x:v>
      </x:c>
      <x:c r="AJ80" s="45" t="n">
        <x:v>6312</x:v>
      </x:c>
      <x:c r="AK80" s="68" t="n">
        <x:v>0.29</x:v>
      </x:c>
      <x:c r="AL80" s="47" t="n">
        <x:f>IF(AI80&gt;0,AJ80*1000000/AI80,0)</x:f>
        <x:v>13.83603682595353</x:v>
      </x:c>
      <x:c r="AM80" s="64" t="n">
        <x:f>IF(AND(AK80&gt;0,AL79&gt;0,B80&gt;0),MIN(conv_cap,conv_beta*1*AK80*MAX(0,LN(B80/(AL79*AN79)))),0)</x:f>
        <x:v>0.012990113378607294</x:v>
      </x:c>
      <x:c r="AN80" s="65" t="n">
        <x:f>AN79*(1+AM80)</x:f>
        <x:v>1.434668447813473</x:v>
      </x:c>
      <x:c r="AO80" s="47" t="n">
        <x:f>AJ80*AN80</x:f>
        <x:v>9055.627242598643</x:v>
      </x:c>
      <x:c r="AP80" s="67" t="n">
        <x:f>IF(AI80&gt;0,AO80*1000000/AI80/Economy!Q80,0)</x:f>
        <x:v>0.02308154125230326</x:v>
      </x:c>
      <x:c r="AQ80" s="45" t="n">
        <x:v>17190000</x:v>
      </x:c>
      <x:c r="AR80" s="45" t="n">
        <x:v>662</x:v>
      </x:c>
      <x:c r="AS80" s="68" t="n">
        <x:v>0.5620000000000001</x:v>
      </x:c>
      <x:c r="AT80" s="47" t="n">
        <x:f>IF(AQ80&gt;0,AR80*1000000/AQ80,0)</x:f>
        <x:v>38.510762070971495</x:v>
      </x:c>
      <x:c r="AU80" s="64" t="n">
        <x:f>IF(AND(AS80&gt;0,AT79&gt;0,B80&gt;0),MIN(conv_cap,conv_beta*1*AS80*MAX(0,LN(B80/(AT79*AV79)))),0)</x:f>
        <x:v>0.01875535606799253</x:v>
      </x:c>
      <x:c r="AV80" s="65" t="n">
        <x:f>AV79*(1+AU80)</x:f>
        <x:v>1.6527334217601295</x:v>
      </x:c>
      <x:c r="AW80" s="47" t="n">
        <x:f>AR80*AV80</x:f>
        <x:v>1094.1095252052057</x:v>
      </x:c>
      <x:c r="AX80" s="67" t="n">
        <x:f>IF(AQ80&gt;0,AW80*1000000/AQ80/Economy!Q80,0)</x:f>
        <x:v>0.07400932973505457</x:v>
      </x:c>
      <x:c r="AY80" s="45" t="n">
        <x:v>108100000</x:v>
      </x:c>
      <x:c r="AZ80" s="45" t="n">
        <x:v>4500</x:v>
      </x:c>
      <x:c r="BA80" s="68" t="n">
        <x:v>0.194</x:v>
      </x:c>
      <x:c r="BB80" s="47" t="n">
        <x:f>IF(AY80&gt;0,AZ80*1000000/AY80,0)</x:f>
        <x:v>41.628122109158184</x:v>
      </x:c>
      <x:c r="BC80" s="64" t="n">
        <x:f>IF(AND(BA80&gt;0,BB79&gt;0,B80&gt;0),MIN(conv_cap,conv_beta*1*BA80*MAX(0,LN(B80/(BB79*BD79)))),0)</x:f>
        <x:v>0.006999330727114522</x:v>
      </x:c>
      <x:c r="BD80" s="65" t="n">
        <x:f>BD79*(1+BC80)</x:f>
        <x:v>1.1434047894603483</x:v>
      </x:c>
      <x:c r="BE80" s="47" t="n">
        <x:f>AZ80*BD80</x:f>
        <x:v>5145.321552571568</x:v>
      </x:c>
      <x:c r="BF80" s="67" t="n">
        <x:f>IF(AY80&gt;0,BE80*1000000/AY80/Economy!Q80,0)</x:f>
        <x:v>0.05534627232075778</x:v>
      </x:c>
      <x:c r="BG80" s="45" t="n">
        <x:v>40900000</x:v>
      </x:c>
      <x:c r="BH80" s="45" t="n">
        <x:v>5000</x:v>
      </x:c>
      <x:c r="BI80" s="68" t="n">
        <x:v>0.344</x:v>
      </x:c>
      <x:c r="BJ80" s="47" t="n">
        <x:f>IF(BG80&gt;0,BH80*1000000/BG80,0)</x:f>
        <x:v>122.24938875305624</x:v>
      </x:c>
      <x:c r="BK80" s="64" t="n">
        <x:f>IF(AND(BI80&gt;0,BJ79&gt;0,B80&gt;0),MIN(conv_cap,conv_beta*1*BI80*MAX(0,LN(B80/(BJ79*BL79)))),0)</x:f>
        <x:v>0.008570522869244406</x:v>
      </x:c>
      <x:c r="BL80" s="65" t="n">
        <x:f>BL79*(1+BK80)</x:f>
        <x:v>1.1845608649701298</x:v>
      </x:c>
      <x:c r="BM80" s="47" t="n">
        <x:f>BH80*BL80</x:f>
        <x:v>5922.804324850649</x:v>
      </x:c>
      <x:c r="BN80" s="67" t="n">
        <x:f>IF(BG80&gt;0,BM80*1000000/BG80/Economy!Q80,0)</x:f>
        <x:v>0.16838586242254647</x:v>
      </x:c>
      <x:c r="BO80" s="45" t="n">
        <x:v>17300000</x:v>
      </x:c>
      <x:c r="BP80" s="45" t="n">
        <x:v>1406</x:v>
      </x:c>
      <x:c r="BQ80" s="68" t="n">
        <x:v>0.144</x:v>
      </x:c>
      <x:c r="BR80" s="47" t="n">
        <x:f>IF(BO80&gt;0,BP80*1000000/BO80,0)</x:f>
        <x:v>81.27167630057804</x:v>
      </x:c>
      <x:c r="BS80" s="64" t="n">
        <x:f>IF(AND(BQ80&gt;0,BR79&gt;0,B80&gt;0),MIN(conv_cap,conv_beta*1*BQ80*MAX(0,LN(B80/(BR79*BT79)))),0)</x:f>
        <x:v>0.004348319176760017</x:v>
      </x:c>
      <x:c r="BT80" s="65" t="n">
        <x:f>BT79*(1+BS80)</x:f>
        <x:v>1.0405660019687941</x:v>
      </x:c>
      <x:c r="BU80" s="47" t="n">
        <x:f>BP80*BT80</x:f>
        <x:v>1463.0357987681246</x:v>
      </x:c>
      <x:c r="BV80" s="67" t="n">
        <x:f>IF(BO80&gt;0,BU80*1000000/BO80/Economy!Q80,0)</x:f>
        <x:v>0.09833551544348196</x:v>
      </x:c>
      <x:c r="BW80" s="65" t="n">
        <x:f>0.25*IF(D80&gt;0,H80,1)+0.15*IF(AJ80&gt;0,AN80,1)+0.03*IF(AR80&gt;0,AV80,1)+0.08*IF(AZ80&gt;0,BD80,1)+0.12*IF(BH80&gt;0,BL80,1)+0.1*IF(L80&gt;0,P80,1)+0.07*IF(T80&gt;0,X80,1)+0.05*IF(AB80&gt;0,AF80,1)+0.05*IF(BP80&gt;0,BT80,1)+0.1</x:f>
        <x:v>1.4813837162664933</x:v>
      </x:c>
      <x:c r="BX80" s="63" t="n">
        <x:f>MIN(mkt_cap,mkt_elast*MAX(0,BW80-1))</x:f>
        <x:v>0.24069185813324667</x:v>
      </x:c>
      <x:c r="BY80" s="47" t="n">
        <x:f>I80+Q80+Y80+AG80</x:f>
        <x:v>25182.16317456128</x:v>
      </x:c>
      <x:c r="BZ80" s="47" t="n">
        <x:f>D80+L80+T80+AB80</x:f>
        <x:v>14327.119999999999</x:v>
      </x:c>
      <x:c r="CA80" s="65" t="n">
        <x:f>IF(BZ80&gt;0,BY80/BZ80,0)</x:f>
        <x:v>1.7576570290861864</x:v>
      </x:c>
    </x:row>
    <x:row r="81">
      <x:c r="A81" s="61" t="n">
        <x:v>1921</x:v>
      </x:c>
      <x:c r="B81" s="47" t="n">
        <x:f>Economy!P80</x:f>
        <x:v>1920.7320463335222</x:v>
      </x:c>
      <x:c r="C81" s="45" t="n">
        <x:v>56830000</x:v>
      </x:c>
      <x:c r="D81" s="62" t="n">
        <x:f>Japan!B81</x:f>
        <x:v>7430</x:v>
      </x:c>
      <x:c r="E81" s="68" t="n">
        <x:v>0.887</x:v>
      </x:c>
      <x:c r="F81" s="47" t="n">
        <x:f>IF(C81&gt;0,D81*1000000/C81,0)</x:f>
        <x:v>130.74080591237023</x:v>
      </x:c>
      <x:c r="G81" s="64" t="n">
        <x:f>IF(AND(E81&gt;0,F80&gt;0,B81&gt;0),MIN(conv_cap,conv_beta*jp_uplift*E81*MAX(0,LN(B81/(F80*H80)))),0)</x:f>
        <x:v>0.016212849121278218</x:v>
      </x:c>
      <x:c r="H81" s="65" t="n">
        <x:f>H80*(1+G81)</x:f>
        <x:v>2.215899027844653</x:v>
      </x:c>
      <x:c r="I81" s="47" t="n">
        <x:f>D81*H81</x:f>
        <x:v>16464.129776885773</x:v>
      </x:c>
      <x:c r="J81" s="67" t="n">
        <x:f>IF(C81&gt;0,I81*1000000/C81/Economy!Q81,0)</x:f>
        <x:v>0.44985780236156475</x:v>
      </x:c>
      <x:c r="K81" s="62" t="n">
        <x:f>Gulf!B81</x:f>
        <x:v>9560000</x:v>
      </x:c>
      <x:c r="L81" s="47" t="n">
        <x:f>Gulf!B81*Gulf!C81*Economy!Q81/1000000</x:f>
        <x:v>4168.04528</x:v>
      </x:c>
      <x:c r="M81" s="68" t="n">
        <x:v>0.761</x:v>
      </x:c>
      <x:c r="N81" s="47" t="n">
        <x:f>IF(K81&gt;0,L81*1000000/K81,0)</x:f>
        <x:v>435.98800000000006</x:v>
      </x:c>
      <x:c r="O81" s="64" t="n">
        <x:f>IF(AND(M81&gt;0,N80&gt;0,B81&gt;0),MIN(conv_cap,conv_beta*1*M81*MAX(0,LN(B81/(N80*P80)))),0)</x:f>
        <x:v>0.00796202672594066</x:v>
      </x:c>
      <x:c r="P81" s="65" t="n">
        <x:f>P80*(1+O81)</x:f>
        <x:v>1.1628382866494764</x:v>
      </x:c>
      <x:c r="Q81" s="47" t="n">
        <x:f>L81*P81</x:f>
        <x:v>4846.762632072638</x:v>
      </x:c>
      <x:c r="R81" s="67" t="n">
        <x:f>IF(K81&gt;0,Q81*1000000/K81/Economy!Q81,0)</x:f>
        <x:v>0.7872415200616957</x:v>
      </x:c>
      <x:c r="S81" s="62" t="n">
        <x:f>People!U81</x:f>
        <x:v>10879000</x:v>
      </x:c>
      <x:c r="T81" s="45" t="n">
        <x:v>939</x:v>
      </x:c>
      <x:c r="U81" s="68" t="n">
        <x:v>0.704</x:v>
      </x:c>
      <x:c r="V81" s="47" t="n">
        <x:f>IF(S81&gt;0,T81*1000000/S81,0)</x:f>
        <x:v>86.31308024634617</x:v>
      </x:c>
      <x:c r="W81" s="64" t="n">
        <x:f>IF(AND(U81&gt;0,V80&gt;0,B81&gt;0),MIN(conv_cap,conv_beta*1*U81*MAX(0,LN(B81/(V80*X80)))),0)</x:f>
        <x:v>0.018193108332656124</x:v>
      </x:c>
      <x:c r="X81" s="65" t="n">
        <x:f>X80*(1+W81)</x:f>
        <x:v>1.752043161857213</x:v>
      </x:c>
      <x:c r="Y81" s="47" t="n">
        <x:f>T81*X81</x:f>
        <x:v>1645.168528983923</x:v>
      </x:c>
      <x:c r="Z81" s="67" t="n">
        <x:f>IF(S81&gt;0,Y81*1000000/S81/Economy!Q81,0)</x:f>
        <x:v>0.2348202515907511</x:v>
      </x:c>
      <x:c r="AA81" s="45" t="n">
        <x:v>10000000</x:v>
      </x:c>
      <x:c r="AB81" s="45" t="n">
        <x:v>1000</x:v>
      </x:c>
      <x:c r="AC81" s="68" t="n">
        <x:v>0.4</x:v>
      </x:c>
      <x:c r="AD81" s="47" t="n">
        <x:f>IF(AA81&gt;0,AB81*1000000/AA81,0)</x:f>
        <x:v>100</x:v>
      </x:c>
      <x:c r="AE81" s="64" t="n">
        <x:f>IF(AND(AC81&gt;0,AD80&gt;0,B81&gt;0),MIN(conv_cap,conv_beta*1*AC81*MAX(0,LN(B81/(AD80*AF80)))),0)</x:f>
        <x:v>0</x:v>
      </x:c>
      <x:c r="AF81" s="65" t="n">
        <x:f>AF80*(1+AE81)</x:f>
        <x:v>1</x:v>
      </x:c>
      <x:c r="AG81" s="47" t="n">
        <x:f>AB81*AF81</x:f>
        <x:v>1000</x:v>
      </x:c>
      <x:c r="AH81" s="67" t="n">
        <x:f>IF(AA81&gt;0,AG81*1000000/AA81/Economy!Q81,0)</x:f>
        <x:v>0.15527950310559005</x:v>
      </x:c>
      <x:c r="AI81" s="45" t="n">
        <x:v>460000000</x:v>
      </x:c>
      <x:c r="AJ81" s="45" t="n">
        <x:v>6500</x:v>
      </x:c>
      <x:c r="AK81" s="68" t="n">
        <x:v>0.295</x:v>
      </x:c>
      <x:c r="AL81" s="47" t="n">
        <x:f>IF(AI81&gt;0,AJ81*1000000/AI81,0)</x:f>
        <x:v>14.130434782608695</x:v>
      </x:c>
      <x:c r="AM81" s="64" t="n">
        <x:f>IF(AND(AK81&gt;0,AL80&gt;0,B81&gt;0),MIN(conv_cap,conv_beta*1*AK81*MAX(0,LN(B81/(AL80*AN80)))),0)</x:f>
        <x:v>0.013488141447441192</x:v>
      </x:c>
      <x:c r="AN81" s="65" t="n">
        <x:f>AN80*(1+AM81)</x:f>
        <x:v>1.4540194587677622</x:v>
      </x:c>
      <x:c r="AO81" s="47" t="n">
        <x:f>AJ81*AN81</x:f>
        <x:v>9451.126481990454</x:v>
      </x:c>
      <x:c r="AP81" s="67" t="n">
        <x:f>IF(AI81&gt;0,AO81*1000000/AI81/Economy!Q81,0)</x:f>
        <x:v>0.03190361356329481</x:v>
      </x:c>
      <x:c r="AQ81" s="45" t="n">
        <x:v>17500000</x:v>
      </x:c>
      <x:c r="AR81" s="45" t="n">
        <x:v>700</x:v>
      </x:c>
      <x:c r="AS81" s="68" t="n">
        <x:v>0.5669999999999999</x:v>
      </x:c>
      <x:c r="AT81" s="47" t="n">
        <x:f>IF(AQ81&gt;0,AR81*1000000/AQ81,0)</x:f>
        <x:v>40</x:v>
      </x:c>
      <x:c r="AU81" s="64" t="n">
        <x:f>IF(AND(AS81&gt;0,AT80&gt;0,B81&gt;0),MIN(conv_cap,conv_beta*1*AS81*MAX(0,LN(B81/(AT80*AV80)))),0)</x:f>
        <x:v>0.019318219540941643</x:v>
      </x:c>
      <x:c r="AV81" s="65" t="n">
        <x:f>AV80*(1+AU81)</x:f>
        <x:v>1.6846612888443433</x:v>
      </x:c>
      <x:c r="AW81" s="47" t="n">
        <x:f>AR81*AV81</x:f>
        <x:v>1179.2629021910402</x:v>
      </x:c>
      <x:c r="AX81" s="67" t="n">
        <x:f>IF(AQ81&gt;0,AW81*1000000/AQ81/Economy!Q81,0)</x:f>
        <x:v>0.10463734713318901</x:v>
      </x:c>
      <x:c r="AY81" s="45" t="n">
        <x:v>110000000</x:v>
      </x:c>
      <x:c r="AZ81" s="45" t="n">
        <x:v>4667</x:v>
      </x:c>
      <x:c r="BA81" s="68" t="n">
        <x:v>0.2</x:v>
      </x:c>
      <x:c r="BB81" s="47" t="n">
        <x:f>IF(AY81&gt;0,AZ81*1000000/AY81,0)</x:f>
        <x:v>42.42727272727273</x:v>
      </x:c>
      <x:c r="BC81" s="64" t="n">
        <x:f>IF(AND(BA81&gt;0,BB80&gt;0,B81&gt;0),MIN(conv_cap,conv_beta*1*BA81*MAX(0,LN(B81/(BB80*BD80)))),0)</x:f>
        <x:v>0.0073953504934940375</x:v>
      </x:c>
      <x:c r="BD81" s="65" t="n">
        <x:f>BD80*(1+BC81)</x:f>
        <x:v>1.1518606686343473</x:v>
      </x:c>
      <x:c r="BE81" s="47" t="n">
        <x:f>AZ81*BD81</x:f>
        <x:v>5375.733740516499</x:v>
      </x:c>
      <x:c r="BF81" s="67" t="n">
        <x:f>IF(AY81&gt;0,BE81*1000000/AY81/Economy!Q81,0)</x:f>
        <x:v>0.0758855694595779</x:v>
      </x:c>
      <x:c r="BG81" s="45" t="n">
        <x:v>41500000</x:v>
      </x:c>
      <x:c r="BH81" s="45" t="n">
        <x:v>5222</x:v>
      </x:c>
      <x:c r="BI81" s="68" t="n">
        <x:v>0.35</x:v>
      </x:c>
      <x:c r="BJ81" s="47" t="n">
        <x:f>IF(BG81&gt;0,BH81*1000000/BG81,0)</x:f>
        <x:v>125.83132530120481</x:v>
      </x:c>
      <x:c r="BK81" s="64" t="n">
        <x:f>IF(AND(BI81&gt;0,BJ80&gt;0,B81&gt;0),MIN(conv_cap,conv_beta*1*BI81*MAX(0,LN(B81/(BJ80*BL80)))),0)</x:f>
        <x:v>0.009047592436043306</x:v>
      </x:c>
      <x:c r="BL81" s="65" t="n">
        <x:f>BL80*(1+BK81)</x:f>
        <x:v>1.1952782888920666</x:v>
      </x:c>
      <x:c r="BM81" s="47" t="n">
        <x:f>BH81*BL81</x:f>
        <x:v>6241.743224594372</x:v>
      </x:c>
      <x:c r="BN81" s="67" t="n">
        <x:f>IF(BG81&gt;0,BM81*1000000/BG81/Economy!Q81,0)</x:f>
        <x:v>0.2335457316693247</x:v>
      </x:c>
      <x:c r="BO81" s="45" t="n">
        <x:v>17500000</x:v>
      </x:c>
      <x:c r="BP81" s="45" t="n">
        <x:v>1450</x:v>
      </x:c>
      <x:c r="BQ81" s="68" t="n">
        <x:v>0.15</x:v>
      </x:c>
      <x:c r="BR81" s="47" t="n">
        <x:f>IF(BO81&gt;0,BP81*1000000/BO81,0)</x:f>
        <x:v>82.85714285714286</x:v>
      </x:c>
      <x:c r="BS81" s="64" t="n">
        <x:f>IF(AND(BQ81&gt;0,BR80&gt;0,B81&gt;0),MIN(conv_cap,conv_beta*1*BQ81*MAX(0,LN(B81/(BR80*BT80)))),0)</x:f>
        <x:v>0.004684348946768674</x:v>
      </x:c>
      <x:c r="BT81" s="65" t="n">
        <x:f>BT80*(1+BS81)</x:f>
        <x:v>1.04544037622416</x:v>
      </x:c>
      <x:c r="BU81" s="47" t="n">
        <x:f>BP81*BT81</x:f>
        <x:v>1515.888545525032</x:v>
      </x:c>
      <x:c r="BV81" s="67" t="n">
        <x:f>IF(BO81&gt;0,BU81*1000000/BO81/Economy!Q81,0)</x:f>
        <x:v>0.13450652577861863</x:v>
      </x:c>
      <x:c r="BW81" s="65" t="n">
        <x:f>0.25*IF(D81&gt;0,H81,1)+0.15*IF(AJ81&gt;0,AN81,1)+0.03*IF(AR81&gt;0,AV81,1)+0.08*IF(AZ81&gt;0,BD81,1)+0.12*IF(BH81&gt;0,BL81,1)+0.1*IF(L81&gt;0,P81,1)+0.07*IF(T81&gt;0,X81,1)+0.05*IF(AB81&gt;0,AF81,1)+0.05*IF(BP81&gt;0,BT81,1)+0.1</x:f>
        <x:v>1.4993986314056145</x:v>
      </x:c>
      <x:c r="BX81" s="63" t="n">
        <x:f>MIN(mkt_cap,mkt_elast*MAX(0,BW81-1))</x:f>
        <x:v>0.24969931570280723</x:v>
      </x:c>
      <x:c r="BY81" s="47" t="n">
        <x:f>I81+Q81+Y81+AG81</x:f>
        <x:v>23956.060937942333</x:v>
      </x:c>
      <x:c r="BZ81" s="47" t="n">
        <x:f>D81+L81+T81+AB81</x:f>
        <x:v>13537.04528</x:v>
      </x:c>
      <x:c r="CA81" s="65" t="n">
        <x:f>IF(BZ81&gt;0,BY81/BZ81,0)</x:f>
        <x:v>1.7696668986795567</x:v>
      </x:c>
    </x:row>
    <x:row r="82">
      <x:c r="A82" s="61" t="n">
        <x:v>1922</x:v>
      </x:c>
      <x:c r="B82" s="47" t="n">
        <x:f>Economy!P81</x:f>
        <x:v>1526.3874067917714</x:v>
      </x:c>
      <x:c r="C82" s="45" t="n">
        <x:v>57670000</x:v>
      </x:c>
      <x:c r="D82" s="62" t="n">
        <x:f>Japan!B82</x:f>
        <x:v>7700</x:v>
      </x:c>
      <x:c r="E82" s="68" t="n">
        <x:v>0.906</x:v>
      </x:c>
      <x:c r="F82" s="47" t="n">
        <x:f>IF(C82&gt;0,D82*1000000/C82,0)</x:f>
        <x:v>133.51829374024624</x:v>
      </x:c>
      <x:c r="G82" s="64" t="n">
        <x:f>IF(AND(E82&gt;0,F81&gt;0,B82&gt;0),MIN(conv_cap,conv_beta*jp_uplift*E82*MAX(0,LN(B82/(F81*H81)))),0)</x:f>
        <x:v>0.015055763630665806</x:v>
      </x:c>
      <x:c r="H82" s="65" t="n">
        <x:f>H81*(1+G82)</x:f>
        <x:v>2.2492610798373045</x:v>
      </x:c>
      <x:c r="I82" s="47" t="n">
        <x:f>D82*H82</x:f>
        <x:v>17319.310314747243</x:v>
      </x:c>
      <x:c r="J82" s="67" t="n">
        <x:f>IF(C82&gt;0,I82*1000000/C82/Economy!Q82,0)</x:f>
        <x:v>0.4416433846415008</x:v>
      </x:c>
      <x:c r="K82" s="62" t="n">
        <x:f>Gulf!B82</x:f>
        <x:v>9710000</x:v>
      </x:c>
      <x:c r="L82" s="47" t="n">
        <x:f>Gulf!B82*Gulf!C82*Economy!Q82/1000000</x:f>
        <x:v>4443.6844</x:v>
      </x:c>
      <x:c r="M82" s="68" t="n">
        <x:v>0.772</x:v>
      </x:c>
      <x:c r="N82" s="47" t="n">
        <x:f>IF(K82&gt;0,L82*1000000/K82,0)</x:f>
        <x:v>457.64</x:v>
      </x:c>
      <x:c r="O82" s="64" t="n">
        <x:f>IF(AND(M82&gt;0,N81&gt;0,B82&gt;0),MIN(conv_cap,conv_beta*1*M82*MAX(0,LN(B82/(N81*P81)))),0)</x:f>
        <x:v>0.008508833575355213</x:v>
      </x:c>
      <x:c r="P82" s="65" t="n">
        <x:f>P81*(1+O82)</x:f>
        <x:v>1.172732684105628</x:v>
      </x:c>
      <x:c r="Q82" s="47" t="n">
        <x:f>L82*P82</x:f>
        <x:v>5211.253933730307</x:v>
      </x:c>
      <x:c r="R82" s="67" t="n">
        <x:f>IF(K82&gt;0,Q82*1000000/K82/Economy!Q82,0)</x:f>
        <x:v>0.7892490964030876</x:v>
      </x:c>
      <x:c r="S82" s="62" t="n">
        <x:f>People!U82</x:f>
        <x:v>11071000</x:v>
      </x:c>
      <x:c r="T82" s="45" t="n">
        <x:v>978</x:v>
      </x:c>
      <x:c r="U82" s="68" t="n">
        <x:v>0.708</x:v>
      </x:c>
      <x:c r="V82" s="47" t="n">
        <x:f>IF(S82&gt;0,T82*1000000/S82,0)</x:f>
        <x:v>88.33890344142354</x:v>
      </x:c>
      <x:c r="W82" s="64" t="n">
        <x:f>IF(AND(U82&gt;0,V81&gt;0,B82&gt;0),MIN(conv_cap,conv_beta*1*U82*MAX(0,LN(B82/(V81*X81)))),0)</x:f>
        <x:v>0.016368218502036562</x:v>
      </x:c>
      <x:c r="X82" s="65" t="n">
        <x:f>X81*(1+W82)</x:f>
        <x:v>1.780720987155491</x:v>
      </x:c>
      <x:c r="Y82" s="47" t="n">
        <x:f>T82*X82</x:f>
        <x:v>1741.5451254380703</x:v>
      </x:c>
      <x:c r="Z82" s="67" t="n">
        <x:f>IF(S82&gt;0,Y82*1000000/S82/Economy!Q82,0)</x:f>
        <x:v>0.2313337343241843</x:v>
      </x:c>
      <x:c r="AA82" s="45" t="n">
        <x:v>10250000</x:v>
      </x:c>
      <x:c r="AB82" s="45" t="n">
        <x:v>1075</x:v>
      </x:c>
      <x:c r="AC82" s="68" t="n">
        <x:v>0.438</x:v>
      </x:c>
      <x:c r="AD82" s="47" t="n">
        <x:f>IF(AA82&gt;0,AB82*1000000/AA82,0)</x:f>
        <x:v>104.8780487804878</x:v>
      </x:c>
      <x:c r="AE82" s="64" t="n">
        <x:f>IF(AND(AC82&gt;0,AD81&gt;0,B82&gt;0),MIN(conv_cap,conv_beta*1*AC82*MAX(0,LN(B82/(AD81*AF81)))),0)</x:f>
        <x:v>0.011937641226091499</x:v>
      </x:c>
      <x:c r="AF82" s="65" t="n">
        <x:f>AF81*(1+AE82)</x:f>
        <x:v>1.0119376412260914</x:v>
      </x:c>
      <x:c r="AG82" s="47" t="n">
        <x:f>AB82*AF82</x:f>
        <x:v>1087.8329643180482</x:v>
      </x:c>
      <x:c r="AH82" s="67" t="n">
        <x:f>IF(AA82&gt;0,AG82*1000000/AA82/Economy!Q82,0)</x:f>
        <x:v>0.1560735960284144</x:v>
      </x:c>
      <x:c r="AI82" s="45" t="n">
        <x:v>463800000</x:v>
      </x:c>
      <x:c r="AJ82" s="45" t="n">
        <x:v>6688</x:v>
      </x:c>
      <x:c r="AK82" s="68" t="n">
        <x:v>0.3</x:v>
      </x:c>
      <x:c r="AL82" s="47" t="n">
        <x:f>IF(AI82&gt;0,AJ82*1000000/AI82,0)</x:f>
        <x:v>14.420008624407073</x:v>
      </x:c>
      <x:c r="AM82" s="64" t="n">
        <x:f>IF(AND(AK82&gt;0,AL81&gt;0,B82&gt;0),MIN(conv_cap,conv_beta*1*AK82*MAX(0,LN(B82/(AL81*AN81)))),0)</x:f>
        <x:v>0.012923988966146239</x:v>
      </x:c>
      <x:c r="AN82" s="65" t="n">
        <x:f>AN81*(1+AM82)</x:f>
        <x:v>1.4728111902094387</x:v>
      </x:c>
      <x:c r="AO82" s="47" t="n">
        <x:f>AJ82*AN82</x:f>
        <x:v>9850.161240120726</x:v>
      </x:c>
      <x:c r="AP82" s="67" t="n">
        <x:f>IF(AI82&gt;0,AO82*1000000/AI82/Economy!Q82,0)</x:f>
        <x:v>0.03123227950726963</x:v>
      </x:c>
      <x:c r="AQ82" s="45" t="n">
        <x:v>17810000</x:v>
      </x:c>
      <x:c r="AR82" s="45" t="n">
        <x:v>738</x:v>
      </x:c>
      <x:c r="AS82" s="68" t="n">
        <x:v>0.571</x:v>
      </x:c>
      <x:c r="AT82" s="47" t="n">
        <x:f>IF(AQ82&gt;0,AR82*1000000/AQ82,0)</x:f>
        <x:v>41.43739472206625</x:v>
      </x:c>
      <x:c r="AU82" s="64" t="n">
        <x:f>IF(AND(AS82&gt;0,AT81&gt;0,B82&gt;0),MIN(conv_cap,conv_beta*1*AS82*MAX(0,LN(B82/(AT81*AV81)))),0)</x:f>
        <x:v>0.017816428039440585</x:v>
      </x:c>
      <x:c r="AV82" s="65" t="n">
        <x:f>AV81*(1+AU82)</x:f>
        <x:v>1.7146759354678698</x:v>
      </x:c>
      <x:c r="AW82" s="47" t="n">
        <x:f>AR82*AV82</x:f>
        <x:v>1265.430840375288</x:v>
      </x:c>
      <x:c r="AX82" s="67" t="n">
        <x:f>IF(AQ82&gt;0,AW82*1000000/AQ82/Economy!Q82,0)</x:f>
        <x:v>0.10448779935060344</x:v>
      </x:c>
      <x:c r="AY82" s="45" t="n">
        <x:v>111900000</x:v>
      </x:c>
      <x:c r="AZ82" s="45" t="n">
        <x:v>4833</x:v>
      </x:c>
      <x:c r="BA82" s="68" t="n">
        <x:v>0.206</x:v>
      </x:c>
      <x:c r="BB82" s="47" t="n">
        <x:f>IF(AY82&gt;0,AZ82*1000000/AY82,0)</x:f>
        <x:v>43.19034852546917</x:v>
      </x:c>
      <x:c r="BC82" s="64" t="n">
        <x:f>IF(AND(BA82&gt;0,BB81&gt;0,B82&gt;0),MIN(conv_cap,conv_beta*1*BA82*MAX(0,LN(B82/(BB81*BD81)))),0)</x:f>
        <x:v>0.0070894674690428995</x:v>
      </x:c>
      <x:c r="BD82" s="65" t="n">
        <x:f>BD81*(1+BC82)</x:f>
        <x:v>1.1600267473735006</x:v>
      </x:c>
      <x:c r="BE82" s="47" t="n">
        <x:f>AZ82*BD82</x:f>
        <x:v>5606.409270056129</x:v>
      </x:c>
      <x:c r="BF82" s="67" t="n">
        <x:f>IF(AY82&gt;0,BE82*1000000/AY82/Economy!Q82,0)</x:f>
        <x:v>0.07367935223224686</x:v>
      </x:c>
      <x:c r="BG82" s="45" t="n">
        <x:v>42100000</x:v>
      </x:c>
      <x:c r="BH82" s="45" t="n">
        <x:v>5444</x:v>
      </x:c>
      <x:c r="BI82" s="68" t="n">
        <x:v>0.356</x:v>
      </x:c>
      <x:c r="BJ82" s="47" t="n">
        <x:f>IF(BG82&gt;0,BH82*1000000/BG82,0)</x:f>
        <x:v>129.31116389548694</x:v>
      </x:c>
      <x:c r="BK82" s="64" t="n">
        <x:f>IF(AND(BI82&gt;0,BJ81&gt;0,B82&gt;0),MIN(conv_cap,conv_beta*1*BI82*MAX(0,LN(B82/(BJ81*BL81)))),0)</x:f>
        <x:v>0.00824972218481766</x:v>
      </x:c>
      <x:c r="BL82" s="65" t="n">
        <x:f>BL81*(1+BK82)</x:f>
        <x:v>1.2051390027089703</x:v>
      </x:c>
      <x:c r="BM82" s="47" t="n">
        <x:f>BH82*BL82</x:f>
        <x:v>6560.776730747634</x:v>
      </x:c>
      <x:c r="BN82" s="67" t="n">
        <x:f>IF(BG82&gt;0,BM82*1000000/BG82/Economy!Q82,0)</x:f>
        <x:v>0.22917342220021075</x:v>
      </x:c>
      <x:c r="BO82" s="45" t="n">
        <x:v>17700000</x:v>
      </x:c>
      <x:c r="BP82" s="45" t="n">
        <x:v>1494</x:v>
      </x:c>
      <x:c r="BQ82" s="68" t="n">
        <x:v>0.156</x:v>
      </x:c>
      <x:c r="BR82" s="47" t="n">
        <x:f>IF(BO82&gt;0,BP82*1000000/BO82,0)</x:f>
        <x:v>84.40677966101696</x:v>
      </x:c>
      <x:c r="BS82" s="64" t="n">
        <x:f>IF(AND(BQ82&gt;0,BR81&gt;0,B82&gt;0),MIN(conv_cap,conv_beta*1*BQ82*MAX(0,LN(B82/(BR81*BT81)))),0)</x:f>
        <x:v>0.004475800503104257</x:v>
      </x:c>
      <x:c r="BT82" s="65" t="n">
        <x:f>BT81*(1+BS82)</x:f>
        <x:v>1.0501195587860295</x:v>
      </x:c>
      <x:c r="BU82" s="47" t="n">
        <x:f>BP82*BT82</x:f>
        <x:v>1568.878620826328</x:v>
      </x:c>
      <x:c r="BV82" s="67" t="n">
        <x:f>IF(BO82&gt;0,BU82*1000000/BO82/Economy!Q82,0)</x:f>
        <x:v>0.13034883855320106</x:v>
      </x:c>
      <x:c r="BW82" s="65" t="n">
        <x:f>0.25*IF(D82&gt;0,H82,1)+0.15*IF(AJ82&gt;0,AN82,1)+0.03*IF(AR82&gt;0,AV82,1)+0.08*IF(AZ82&gt;0,BD82,1)+0.12*IF(BH82&gt;0,BL82,1)+0.1*IF(L82&gt;0,P82,1)+0.07*IF(T82&gt;0,X82,1)+0.05*IF(AB82&gt;0,AF82,1)+0.05*IF(BP82&gt;0,BT82,1)+0.1</x:f>
        <x:v>1.5171226441817878</x:v>
      </x:c>
      <x:c r="BX82" s="63" t="n">
        <x:f>MIN(mkt_cap,mkt_elast*MAX(0,BW82-1))</x:f>
        <x:v>0.2585613220908939</x:v>
      </x:c>
      <x:c r="BY82" s="47" t="n">
        <x:f>I82+Q82+Y82+AG82</x:f>
        <x:v>25359.942338233668</x:v>
      </x:c>
      <x:c r="BZ82" s="47" t="n">
        <x:f>D82+L82+T82+AB82</x:f>
        <x:v>14196.6844</x:v>
      </x:c>
      <x:c r="CA82" s="65" t="n">
        <x:f>IF(BZ82&gt;0,BY82/BZ82,0)</x:f>
        <x:v>1.7863285274013465</x:v>
      </x:c>
    </x:row>
    <x:row r="83">
      <x:c r="A83" s="58" t="n">
        <x:v>1923</x:v>
      </x:c>
      <x:c r="B83" s="47" t="n">
        <x:f>Economy!P82</x:f>
        <x:v>1527.275290061677</x:v>
      </x:c>
      <x:c r="C83" s="45" t="n">
        <x:v>58500000</x:v>
      </x:c>
      <x:c r="D83" s="62" t="n">
        <x:f>Japan!B83</x:f>
        <x:v>7430</x:v>
      </x:c>
      <x:c r="E83" s="68" t="n">
        <x:v>0.925</x:v>
      </x:c>
      <x:c r="F83" s="47" t="n">
        <x:f>IF(C83&gt;0,D83*1000000/C83,0)</x:f>
        <x:v>127.00854700854701</x:v>
      </x:c>
      <x:c r="G83" s="64" t="n">
        <x:f>IF(AND(E83&gt;0,F82&gt;0,B83&gt;0),MIN(conv_cap,conv_beta*jp_uplift*E83*MAX(0,LN(B83/(F82*H82)))),0)</x:f>
        <x:v>0.015044202932958495</x:v>
      </x:c>
      <x:c r="H83" s="65" t="n">
        <x:f>H82*(1+G83)</x:f>
        <x:v>2.2830994199715824</x:v>
      </x:c>
      <x:c r="I83" s="47" t="n">
        <x:f>D83*H83</x:f>
        <x:v>16963.428690388857</x:v>
      </x:c>
      <x:c r="J83" s="67" t="n">
        <x:f>IF(C83&gt;0,I83*1000000/C83/Economy!Q83,0)</x:f>
        <x:v>0.3765884935151261</x:v>
      </x:c>
      <x:c r="K83" s="62" t="n">
        <x:f>Gulf!B83</x:f>
        <x:v>9870000</x:v>
      </x:c>
      <x:c r="L83" s="47" t="n">
        <x:f>Gulf!B83*Gulf!C83*Economy!Q83/1000000</x:f>
        <x:v>5091.933</x:v>
      </x:c>
      <x:c r="M83" s="68" t="n">
        <x:v>0.783</x:v>
      </x:c>
      <x:c r="N83" s="47" t="n">
        <x:f>IF(K83&gt;0,L83*1000000/K83,0)</x:f>
        <x:v>515.9</x:v>
      </x:c>
      <x:c r="O83" s="64" t="n">
        <x:f>IF(AND(M83&gt;0,N82&gt;0,B83&gt;0),MIN(conv_cap,conv_beta*1*M83*MAX(0,LN(B83/(N82*P82)))),0)</x:f>
        <x:v>0.00818877896919852</x:v>
      </x:c>
      <x:c r="P83" s="65" t="n">
        <x:f>P82*(1+O83)</x:f>
        <x:v>1.182335932845724</x:v>
      </x:c>
      <x:c r="Q83" s="47" t="n">
        <x:f>L83*P83</x:f>
        <x:v>6020.375353542926</x:v>
      </x:c>
      <x:c r="R83" s="67" t="n">
        <x:f>IF(K83&gt;0,Q83*1000000/K83/Economy!Q83,0)</x:f>
        <x:v>0.7921650750066351</x:v>
      </x:c>
      <x:c r="S83" s="62" t="n">
        <x:f>People!U83</x:f>
        <x:v>11264000</x:v>
      </x:c>
      <x:c r="T83" s="45" t="n">
        <x:v>1017</x:v>
      </x:c>
      <x:c r="U83" s="68" t="n">
        <x:v>0.712</x:v>
      </x:c>
      <x:c r="V83" s="47" t="n">
        <x:f>IF(S83&gt;0,T83*1000000/S83,0)</x:f>
        <x:v>90.28764204545455</x:v>
      </x:c>
      <x:c r="W83" s="64" t="n">
        <x:f>IF(AND(U83&gt;0,V82&gt;0,B83&gt;0),MIN(conv_cap,conv_beta*1*U83*MAX(0,LN(B83/(V82*X82)))),0)</x:f>
        <x:v>0.01618405652089482</x:v>
      </x:c>
      <x:c r="X83" s="65" t="n">
        <x:f>X82*(1+W83)</x:f>
        <x:v>1.8095402762595592</x:v>
      </x:c>
      <x:c r="Y83" s="47" t="n">
        <x:f>T83*X83</x:f>
        <x:v>1840.3024609559716</x:v>
      </x:c>
      <x:c r="Z83" s="67" t="n">
        <x:f>IF(S83&gt;0,Y83*1000000/S83/Economy!Q83,0)</x:f>
        <x:v>0.21218068146721558</x:v>
      </x:c>
      <x:c r="AA83" s="45" t="n">
        <x:v>10500000</x:v>
      </x:c>
      <x:c r="AB83" s="45" t="n">
        <x:v>1150</x:v>
      </x:c>
      <x:c r="AC83" s="68" t="n">
        <x:v>0.475</x:v>
      </x:c>
      <x:c r="AD83" s="47" t="n">
        <x:f>IF(AA83&gt;0,AB83*1000000/AA83,0)</x:f>
        <x:v>109.52380952380952</x:v>
      </x:c>
      <x:c r="AE83" s="64" t="n">
        <x:f>IF(AND(AC83&gt;0,AD82&gt;0,B83&gt;0),MIN(conv_cap,conv_beta*1*AC83*MAX(0,LN(B83/(AD82*AF82)))),0)</x:f>
        <x:v>0.012666233083527942</x:v>
      </x:c>
      <x:c r="AF83" s="65" t="n">
        <x:f>AF82*(1+AE83)</x:f>
        <x:v>1.0247550792558564</x:v>
      </x:c>
      <x:c r="AG83" s="47" t="n">
        <x:f>AB83*AF83</x:f>
        <x:v>1178.468341144235</x:v>
      </x:c>
      <x:c r="AH83" s="67" t="n">
        <x:f>IF(AA83&gt;0,AG83*1000000/AA83/Economy!Q83,0)</x:f>
        <x:v>0.14575984429736982</x:v>
      </x:c>
      <x:c r="AI83" s="45" t="n">
        <x:v>467500000</x:v>
      </x:c>
      <x:c r="AJ83" s="45" t="n">
        <x:v>6875</x:v>
      </x:c>
      <x:c r="AK83" s="68" t="n">
        <x:v>0.307</x:v>
      </x:c>
      <x:c r="AL83" s="47" t="n">
        <x:f>IF(AI83&gt;0,AJ83*1000000/AI83,0)</x:f>
        <x:v>14.705882352941176</x:v>
      </x:c>
      <x:c r="AM83" s="64" t="n">
        <x:f>IF(AND(AK83&gt;0,AL82&gt;0,B83&gt;0),MIN(conv_cap,conv_beta*1*AK83*MAX(0,LN(B83/(AL82*AN82)))),0)</x:f>
        <x:v>0.013125634237954998</x:v>
      </x:c>
      <x:c r="AN83" s="65" t="n">
        <x:f>AN82*(1+AM83)</x:f>
        <x:v>1.4921427711936952</x:v>
      </x:c>
      <x:c r="AO83" s="47" t="n">
        <x:f>AJ83*AN83</x:f>
        <x:v>10258.481551956655</x:v>
      </x:c>
      <x:c r="AP83" s="67" t="n">
        <x:f>IF(AI83&gt;0,AO83*1000000/AI83/Economy!Q83,0)</x:f>
        <x:v>0.028497761099955984</x:v>
      </x:c>
      <x:c r="AQ83" s="45" t="n">
        <x:v>18120000</x:v>
      </x:c>
      <x:c r="AR83" s="45" t="n">
        <x:v>775</x:v>
      </x:c>
      <x:c r="AS83" s="68" t="n">
        <x:v>0.575</x:v>
      </x:c>
      <x:c r="AT83" s="47" t="n">
        <x:f>IF(AQ83&gt;0,AR83*1000000/AQ83,0)</x:f>
        <x:v>42.77041942604856</x:v>
      </x:c>
      <x:c r="AU83" s="64" t="n">
        <x:f>IF(AND(AS83&gt;0,AT82&gt;0,B83&gt;0),MIN(conv_cap,conv_beta*1*AS83*MAX(0,LN(B83/(AT82*AV82)))),0)</x:f>
        <x:v>0.01764003825187883</x:v>
      </x:c>
      <x:c r="AV83" s="65" t="n">
        <x:f>AV82*(1+AU83)</x:f>
        <x:v>1.7449228845590992</x:v>
      </x:c>
      <x:c r="AW83" s="47" t="n">
        <x:f>AR83*AV83</x:f>
        <x:v>1352.3152355333018</x:v>
      </x:c>
      <x:c r="AX83" s="67" t="n">
        <x:f>IF(AQ83&gt;0,AW83*1000000/AQ83/Economy!Q83,0)</x:f>
        <x:v>0.09692348524506908</x:v>
      </x:c>
      <x:c r="AY83" s="45" t="n">
        <x:v>113800000</x:v>
      </x:c>
      <x:c r="AZ83" s="45" t="n">
        <x:v>5000</x:v>
      </x:c>
      <x:c r="BA83" s="68" t="n">
        <x:v>0.212</x:v>
      </x:c>
      <x:c r="BB83" s="47" t="n">
        <x:f>IF(AY83&gt;0,AZ83*1000000/AY83,0)</x:f>
        <x:v>43.936731107205624</x:v>
      </x:c>
      <x:c r="BC83" s="64" t="n">
        <x:f>IF(AND(BA83&gt;0,BB82&gt;0,B83&gt;0),MIN(conv_cap,conv_beta*1*BA83*MAX(0,LN(B83/(BB82*BD82)))),0)</x:f>
        <x:v>0.007244422556433543</x:v>
      </x:c>
      <x:c r="BD83" s="65" t="n">
        <x:f>BD82*(1+BC83)</x:f>
        <x:v>1.1684304713082396</x:v>
      </x:c>
      <x:c r="BE83" s="47" t="n">
        <x:f>AZ83*BD83</x:f>
        <x:v>5842.152356541198</x:v>
      </x:c>
      <x:c r="BF83" s="67" t="n">
        <x:f>IF(AY83&gt;0,BE83*1000000/AY83/Economy!Q83,0)</x:f>
        <x:v>0.06667144861731904</x:v>
      </x:c>
      <x:c r="BG83" s="45" t="n">
        <x:v>42600000</x:v>
      </x:c>
      <x:c r="BH83" s="45" t="n">
        <x:v>5667</x:v>
      </x:c>
      <x:c r="BI83" s="68" t="n">
        <x:v>0.363</x:v>
      </x:c>
      <x:c r="BJ83" s="47" t="n">
        <x:f>IF(BG83&gt;0,BH83*1000000/BG83,0)</x:f>
        <x:v>133.0281690140845</x:v>
      </x:c>
      <x:c r="BK83" s="64" t="n">
        <x:f>IF(AND(BI83&gt;0,BJ82&gt;0,B83&gt;0),MIN(conv_cap,conv_beta*1*BI83*MAX(0,LN(B83/(BJ82*BL82)))),0)</x:f>
        <x:v>0.008285199237213327</x:v>
      </x:c>
      <x:c r="BL83" s="65" t="n">
        <x:f>BL82*(1+BK83)</x:f>
        <x:v>1.2151238194549507</x:v>
      </x:c>
      <x:c r="BM83" s="47" t="n">
        <x:f>BH83*BL83</x:f>
        <x:v>6886.1066848512055</x:v>
      </x:c>
      <x:c r="BN83" s="67" t="n">
        <x:f>IF(BG83&gt;0,BM83*1000000/BG83/Economy!Q83,0)</x:f>
        <x:v>0.20992947639934167</x:v>
      </x:c>
      <x:c r="BO83" s="45" t="n">
        <x:v>17900000</x:v>
      </x:c>
      <x:c r="BP83" s="45" t="n">
        <x:v>1538</x:v>
      </x:c>
      <x:c r="BQ83" s="68" t="n">
        <x:v>0.163</x:v>
      </x:c>
      <x:c r="BR83" s="47" t="n">
        <x:f>IF(BO83&gt;0,BP83*1000000/BO83,0)</x:f>
        <x:v>85.92178770949721</x:v>
      </x:c>
      <x:c r="BS83" s="64" t="n">
        <x:f>IF(AND(BQ83&gt;0,BR82&gt;0,B83&gt;0),MIN(conv_cap,conv_beta*1*BQ83*MAX(0,LN(B83/(BR82*BT82)))),0)</x:f>
        <x:v>0.004640102778714788</x:v>
      </x:c>
      <x:c r="BT83" s="65" t="n">
        <x:f>BT82*(1+BS83)</x:f>
        <x:v>1.0549922214687353</x:v>
      </x:c>
      <x:c r="BU83" s="47" t="n">
        <x:f>BP83*BT83</x:f>
        <x:v>1622.578036618915</x:v>
      </x:c>
      <x:c r="BV83" s="67" t="n">
        <x:f>IF(BO83&gt;0,BU83*1000000/BO83/Economy!Q83,0)</x:f>
        <x:v>0.11772313985481497</x:v>
      </x:c>
      <x:c r="BW83" s="65" t="n">
        <x:f>0.25*IF(D83&gt;0,H83,1)+0.15*IF(AJ83&gt;0,AN83,1)+0.03*IF(AR83&gt;0,AV83,1)+0.08*IF(AZ83&gt;0,BD83,1)+0.12*IF(BH83&gt;0,BL83,1)+0.1*IF(L83&gt;0,P83,1)+0.07*IF(T83&gt;0,X83,1)+0.05*IF(AB83&gt;0,AF83,1)+0.05*IF(BP83&gt;0,BT83,1)+0.1</x:f>
        <x:v>1.5351220309069473</x:v>
      </x:c>
      <x:c r="BX83" s="63" t="n">
        <x:f>MIN(mkt_cap,mkt_elast*MAX(0,BW83-1))</x:f>
        <x:v>0.26756101545347366</x:v>
      </x:c>
      <x:c r="BY83" s="47" t="n">
        <x:f>I83+Q83+Y83+AG83</x:f>
        <x:v>26002.574846031992</x:v>
      </x:c>
      <x:c r="BZ83" s="47" t="n">
        <x:f>D83+L83+T83+AB83</x:f>
        <x:v>14688.933</x:v>
      </x:c>
      <x:c r="CA83" s="65" t="n">
        <x:f>IF(BZ83&gt;0,BY83/BZ83,0)</x:f>
        <x:v>1.770215361866787</x:v>
      </x:c>
    </x:row>
    <x:row r="84">
      <x:c r="A84" s="58" t="n">
        <x:v>1924</x:v>
      </x:c>
      <x:c r="B84" s="47" t="n">
        <x:f>Economy!P83</x:f>
        <x:v>1660.6890265695317</x:v>
      </x:c>
      <x:c r="C84" s="45" t="n">
        <x:v>59330000</x:v>
      </x:c>
      <x:c r="D84" s="62" t="n">
        <x:f>Japan!B84</x:f>
        <x:v>7900</x:v>
      </x:c>
      <x:c r="E84" s="68" t="n">
        <x:v>0.944</x:v>
      </x:c>
      <x:c r="F84" s="47" t="n">
        <x:f>IF(C84&gt;0,D84*1000000/C84,0)</x:f>
        <x:v>133.15354795213213</x:v>
      </x:c>
      <x:c r="G84" s="64" t="n">
        <x:f>IF(AND(E84&gt;0,F83&gt;0,B84&gt;0),MIN(conv_cap,conv_beta*jp_uplift*E84*MAX(0,LN(B84/(F83*H83)))),0)</x:f>
        <x:v>0.016474683973393987</x:v>
      </x:c>
      <x:c r="H84" s="65" t="n">
        <x:f>H83*(1+G84)</x:f>
        <x:v>2.3207127613954532</x:v>
      </x:c>
      <x:c r="I84" s="47" t="n">
        <x:f>D84*H84</x:f>
        <x:v>18333.63081502408</x:v>
      </x:c>
      <x:c r="J84" s="67" t="n">
        <x:f>IF(C84&gt;0,I84*1000000/C84/Economy!Q84,0)</x:f>
        <x:v>0.40659360257578214</x:v>
      </x:c>
      <x:c r="K84" s="62" t="n">
        <x:f>Gulf!B84</x:f>
        <x:v>10020000</x:v>
      </x:c>
      <x:c r="L84" s="47" t="n">
        <x:f>Gulf!B84*Gulf!C84*Economy!Q84/1000000</x:f>
        <x:v>5079.3384</x:v>
      </x:c>
      <x:c r="M84" s="68" t="n">
        <x:v>0.794</x:v>
      </x:c>
      <x:c r="N84" s="47" t="n">
        <x:f>IF(K84&gt;0,L84*1000000/K84,0)</x:f>
        <x:v>506.92</x:v>
      </x:c>
      <x:c r="O84" s="64" t="n">
        <x:f>IF(AND(M84&gt;0,N83&gt;0,B84&gt;0),MIN(conv_cap,conv_beta*1*M84*MAX(0,LN(B84/(N83*P83)))),0)</x:f>
        <x:v>0.007952567729562512</x:v>
      </x:c>
      <x:c r="P84" s="65" t="n">
        <x:f>P83*(1+O84)</x:f>
        <x:v>1.191738539430775</x:v>
      </x:c>
      <x:c r="Q84" s="47" t="n">
        <x:f>L84*P84</x:f>
        <x:v>6053.243326090648</x:v>
      </x:c>
      <x:c r="R84" s="67" t="n">
        <x:f>IF(K84&gt;0,Q84*1000000/K84/Economy!Q84,0)</x:f>
        <x:v>0.7948896058003269</x:v>
      </x:c>
      <x:c r="S84" s="62" t="n">
        <x:f>People!U84</x:f>
        <x:v>11457000</x:v>
      </x:c>
      <x:c r="T84" s="45" t="n">
        <x:v>1056</x:v>
      </x:c>
      <x:c r="U84" s="68" t="n">
        <x:v>0.717</x:v>
      </x:c>
      <x:c r="V84" s="47" t="n">
        <x:f>IF(S84&gt;0,T84*1000000/S84,0)</x:f>
        <x:v>92.1707253207646</x:v>
      </x:c>
      <x:c r="W84" s="64" t="n">
        <x:f>IF(AND(U84&gt;0,V83&gt;0,B84&gt;0),MIN(conv_cap,conv_beta*1*U84*MAX(0,LN(B84/(V83*X83)))),0)</x:f>
        <x:v>0.01662661662689414</x:v>
      </x:c>
      <x:c r="X84" s="65" t="n">
        <x:f>X83*(1+W84)</x:f>
        <x:v>1.8396268087038512</x:v>
      </x:c>
      <x:c r="Y84" s="47" t="n">
        <x:f>T84*X84</x:f>
        <x:v>1942.6459099912668</x:v>
      </x:c>
      <x:c r="Z84" s="67" t="n">
        <x:f>IF(S84&gt;0,Y84*1000000/S84/Economy!Q84,0)</x:f>
        <x:v>0.22310491747073344</x:v>
      </x:c>
      <x:c r="AA84" s="45" t="n">
        <x:v>10750000</x:v>
      </x:c>
      <x:c r="AB84" s="45" t="n">
        <x:v>1225</x:v>
      </x:c>
      <x:c r="AC84" s="68" t="n">
        <x:v>0.513</x:v>
      </x:c>
      <x:c r="AD84" s="47" t="n">
        <x:f>IF(AA84&gt;0,AB84*1000000/AA84,0)</x:f>
        <x:v>113.95348837209302</x:v>
      </x:c>
      <x:c r="AE84" s="64" t="n">
        <x:f>IF(AND(AC84&gt;0,AD83&gt;0,B84&gt;0),MIN(conv_cap,conv_beta*1*AC84*MAX(0,LN(B84/(AD83*AF83)))),0)</x:f>
        <x:v>0.013822232346703874</x:v>
      </x:c>
      <x:c r="AF84" s="65" t="n">
        <x:f>AF83*(1+AE84)</x:f>
        <x:v>1.0389194820597958</x:v>
      </x:c>
      <x:c r="AG84" s="47" t="n">
        <x:f>AB84*AF84</x:f>
        <x:v>1272.6763655232498</x:v>
      </x:c>
      <x:c r="AH84" s="67" t="n">
        <x:f>IF(AA84&gt;0,AG84*1000000/AA84/Economy!Q84,0)</x:f>
        <x:v>0.15577434094531822</x:v>
      </x:c>
      <x:c r="AI84" s="45" t="n">
        <x:v>471200000</x:v>
      </x:c>
      <x:c r="AJ84" s="45" t="n">
        <x:v>7062</x:v>
      </x:c>
      <x:c r="AK84" s="68" t="n">
        <x:v>0.314</x:v>
      </x:c>
      <x:c r="AL84" s="47" t="n">
        <x:f>IF(AI84&gt;0,AJ84*1000000/AI84,0)</x:f>
        <x:v>14.987266553480476</x:v>
      </x:c>
      <x:c r="AM84" s="64" t="n">
        <x:f>IF(AND(AK84&gt;0,AL83&gt;0,B84&gt;0),MIN(conv_cap,conv_beta*1*AK84*MAX(0,LN(B84/(AL83*AN83)))),0)</x:f>
        <x:v>0.013585295123261336</x:v>
      </x:c>
      <x:c r="AN84" s="65" t="n">
        <x:f>AN83*(1+AM84)</x:f>
        <x:v>1.5124139711064026</x:v>
      </x:c>
      <x:c r="AO84" s="47" t="n">
        <x:f>AJ84*AN84</x:f>
        <x:v>10680.667463953416</x:v>
      </x:c>
      <x:c r="AP84" s="67" t="n">
        <x:f>IF(AI84&gt;0,AO84*1000000/AI84/Economy!Q84,0)</x:f>
        <x:v>0.02982493595286786</x:v>
      </x:c>
      <x:c r="AQ84" s="45" t="n">
        <x:v>18440000</x:v>
      </x:c>
      <x:c r="AR84" s="45" t="n">
        <x:v>812</x:v>
      </x:c>
      <x:c r="AS84" s="68" t="n">
        <x:v>0.579</x:v>
      </x:c>
      <x:c r="AT84" s="47" t="n">
        <x:f>IF(AQ84&gt;0,AR84*1000000/AQ84,0)</x:f>
        <x:v>44.03470715835141</x:v>
      </x:c>
      <x:c r="AU84" s="64" t="n">
        <x:f>IF(AND(AS84&gt;0,AT83&gt;0,B84&gt;0),MIN(conv_cap,conv_beta*1*AS84*MAX(0,LN(B84/(AT83*AV83)))),0)</x:f>
        <x:v>0.017963074217880973</x:v>
      </x:c>
      <x:c r="AV84" s="65" t="n">
        <x:f>AV83*(1+AU84)</x:f>
        <x:v>1.776267063838913</x:v>
      </x:c>
      <x:c r="AW84" s="47" t="n">
        <x:f>AR84*AV84</x:f>
        <x:v>1442.3288558371974</x:v>
      </x:c>
      <x:c r="AX84" s="67" t="n">
        <x:f>IF(AQ84&gt;0,AW84*1000000/AQ84/Economy!Q84,0)</x:f>
        <x:v>0.10291763156733055</x:v>
      </x:c>
      <x:c r="AY84" s="45" t="n">
        <x:v>115600000</x:v>
      </x:c>
      <x:c r="AZ84" s="45" t="n">
        <x:v>5167</x:v>
      </x:c>
      <x:c r="BA84" s="68" t="n">
        <x:v>0.219</x:v>
      </x:c>
      <x:c r="BB84" s="47" t="n">
        <x:f>IF(AY84&gt;0,AZ84*1000000/AY84,0)</x:f>
        <x:v>44.69723183391003</x:v>
      </x:c>
      <x:c r="BC84" s="64" t="n">
        <x:f>IF(AND(BA84&gt;0,BB83&gt;0,B84&gt;0),MIN(conv_cap,conv_beta*1*BA84*MAX(0,LN(B84/(BB83*BD83)))),0)</x:f>
        <x:v>0.007613701069986568</x:v>
      </x:c>
      <x:c r="BD84" s="65" t="n">
        <x:f>BD83*(1+BC84)</x:f>
        <x:v>1.1773265516378442</x:v>
      </x:c>
      <x:c r="BE84" s="47" t="n">
        <x:f>AZ84*BD84</x:f>
        <x:v>6083.2462923127405</x:v>
      </x:c>
      <x:c r="BF84" s="67" t="n">
        <x:f>IF(AY84&gt;0,BE84*1000000/AY84/Economy!Q84,0)</x:f>
        <x:v>0.06924110239838759</x:v>
      </x:c>
      <x:c r="BG84" s="45" t="n">
        <x:v>43200000</x:v>
      </x:c>
      <x:c r="BH84" s="45" t="n">
        <x:v>5889</x:v>
      </x:c>
      <x:c r="BI84" s="68" t="n">
        <x:v>0.369</x:v>
      </x:c>
      <x:c r="BJ84" s="47" t="n">
        <x:f>IF(BG84&gt;0,BH84*1000000/BG84,0)</x:f>
        <x:v>136.31944444444446</x:v>
      </x:c>
      <x:c r="BK84" s="64" t="n">
        <x:f>IF(AND(BI84&gt;0,BJ83&gt;0,B84&gt;0),MIN(conv_cap,conv_beta*1*BI84*MAX(0,LN(B84/(BJ83*BL83)))),0)</x:f>
        <x:v>0.008596153845594997</x:v>
      </x:c>
      <x:c r="BL84" s="65" t="n">
        <x:f>BL83*(1+BK84)</x:f>
        <x:v>1.2255692107484324</x:v>
      </x:c>
      <x:c r="BM84" s="47" t="n">
        <x:f>BH84*BL84</x:f>
        <x:v>7217.377082097519</x:v>
      </x:c>
      <x:c r="BN84" s="67" t="n">
        <x:f>IF(BG84&gt;0,BM84*1000000/BG84/Economy!Q84,0)</x:f>
        <x:v>0.21982751833874023</x:v>
      </x:c>
      <x:c r="BO84" s="45" t="n">
        <x:v>18100000</x:v>
      </x:c>
      <x:c r="BP84" s="45" t="n">
        <x:v>1581</x:v>
      </x:c>
      <x:c r="BQ84" s="68" t="n">
        <x:v>0.169</x:v>
      </x:c>
      <x:c r="BR84" s="47" t="n">
        <x:f>IF(BO84&gt;0,BP84*1000000/BO84,0)</x:f>
        <x:v>87.34806629834254</x:v>
      </x:c>
      <x:c r="BS84" s="64" t="n">
        <x:f>IF(AND(BQ84&gt;0,BR83&gt;0,B84&gt;0),MIN(conv_cap,conv_beta*1*BQ84*MAX(0,LN(B84/(BR83*BT83)))),0)</x:f>
        <x:v>0.004914548798229808</x:v>
      </x:c>
      <x:c r="BT84" s="65" t="n">
        <x:f>BT83*(1+BS84)</x:f>
        <x:v>1.0601770322228963</x:v>
      </x:c>
      <x:c r="BU84" s="47" t="n">
        <x:f>BP84*BT84</x:f>
        <x:v>1676.139887944399</x:v>
      </x:c>
      <x:c r="BV84" s="67" t="n">
        <x:f>IF(BO84&gt;0,BU84*1000000/BO84/Economy!Q84,0)</x:f>
        <x:v>0.12184791276129683</x:v>
      </x:c>
      <x:c r="BW84" s="65" t="n">
        <x:f>0.25*IF(D84&gt;0,H84,1)+0.15*IF(AJ84&gt;0,AN84,1)+0.03*IF(AR84&gt;0,AV84,1)+0.08*IF(AZ84&gt;0,BD84,1)+0.12*IF(BH84&gt;0,BL84,1)+0.1*IF(L84&gt;0,P84,1)+0.07*IF(T84&gt;0,X84,1)+0.05*IF(AB84&gt;0,AF84,1)+0.05*IF(BP84&gt;0,BT84,1)+0.1</x:f>
        <x:v>1.5544852836173124</x:v>
      </x:c>
      <x:c r="BX84" s="63" t="n">
        <x:f>MIN(mkt_cap,mkt_elast*MAX(0,BW84-1))</x:f>
        <x:v>0.2772426418086562</x:v>
      </x:c>
      <x:c r="BY84" s="47" t="n">
        <x:f>I84+Q84+Y84+AG84</x:f>
        <x:v>27602.196416629246</x:v>
      </x:c>
      <x:c r="BZ84" s="47" t="n">
        <x:f>D84+L84+T84+AB84</x:f>
        <x:v>15260.3384</x:v>
      </x:c>
      <x:c r="CA84" s="65" t="n">
        <x:f>IF(BZ84&gt;0,BY84/BZ84,0)</x:f>
        <x:v>1.808753888224998</x:v>
      </x:c>
    </x:row>
    <x:row r="85">
      <x:c r="A85" s="58" t="n">
        <x:v>1925</x:v>
      </x:c>
      <x:c r="B85" s="47" t="n">
        <x:f>Economy!P84</x:f>
        <x:v>1710.3232252067035</x:v>
      </x:c>
      <x:c r="C85" s="45" t="n">
        <x:v>60170000</x:v>
      </x:c>
      <x:c r="D85" s="62" t="n">
        <x:f>Japan!B85</x:f>
        <x:v>8130</x:v>
      </x:c>
      <x:c r="E85" s="68" t="n">
        <x:v>0.963</x:v>
      </x:c>
      <x:c r="F85" s="47" t="n">
        <x:f>IF(C85&gt;0,D85*1000000/C85,0)</x:f>
        <x:v>135.11716802393218</x:v>
      </x:c>
      <x:c r="G85" s="64" t="n">
        <x:f>IF(AND(E85&gt;0,F84&gt;0,B85&gt;0),MIN(conv_cap,conv_beta*jp_uplift*E85*MAX(0,LN(B85/(F84*H84)))),0)</x:f>
        <x:v>0.01647751098565155</x:v>
      </x:c>
      <x:c r="H85" s="65" t="n">
        <x:f>H84*(1+G85)</x:f>
        <x:v>2.358952331415889</x:v>
      </x:c>
      <x:c r="I85" s="47" t="n">
        <x:f>D85*H85</x:f>
        <x:v>19178.282454411175</x:v>
      </x:c>
      <x:c r="J85" s="67" t="n">
        <x:f>IF(C85&gt;0,I85*1000000/C85/Economy!Q85,0)</x:f>
        <x:v>0.40499994729906885</x:v>
      </x:c>
      <x:c r="K85" s="62" t="n">
        <x:f>Gulf!B85</x:f>
        <x:v>10180000</x:v>
      </x:c>
      <x:c r="L85" s="47" t="n">
        <x:f>Gulf!B85*Gulf!C85*Economy!Q85/1000000</x:f>
        <x:v>5311.73058</x:v>
      </x:c>
      <x:c r="M85" s="68" t="n">
        <x:v>0.806</x:v>
      </x:c>
      <x:c r="N85" s="47" t="n">
        <x:f>IF(K85&gt;0,L85*1000000/K85,0)</x:f>
        <x:v>521.781</x:v>
      </x:c>
      <x:c r="O85" s="64" t="n">
        <x:f>IF(AND(M85&gt;0,N84&gt;0,B85&gt;0),MIN(conv_cap,conv_beta*1*M85*MAX(0,LN(B85/(N84*P84)))),0)</x:f>
        <x:v>0.008387810303542539</x:v>
      </x:c>
      <x:c r="P85" s="65" t="n">
        <x:f>P84*(1+O85)</x:f>
        <x:v>1.2017346162309412</x:v>
      </x:c>
      <x:c r="Q85" s="47" t="n">
        <x:f>L85*P85</x:f>
        <x:v>6383.290510078456</x:v>
      </x:c>
      <x:c r="R85" s="67" t="n">
        <x:f>IF(K85&gt;0,Q85*1000000/K85/Economy!Q85,0)</x:f>
        <x:v>0.7967500505611143</x:v>
      </x:c>
      <x:c r="S85" s="62" t="n">
        <x:f>People!U85</x:f>
        <x:v>11650000</x:v>
      </x:c>
      <x:c r="T85" s="45" t="n">
        <x:v>1094</x:v>
      </x:c>
      <x:c r="U85" s="68" t="n">
        <x:v>0.721</x:v>
      </x:c>
      <x:c r="V85" s="47" t="n">
        <x:f>IF(S85&gt;0,T85*1000000/S85,0)</x:f>
        <x:v>93.90557939914163</x:v>
      </x:c>
      <x:c r="W85" s="64" t="n">
        <x:f>IF(AND(U85&gt;0,V84&gt;0,B85&gt;0),MIN(conv_cap,conv_beta*1*U85*MAX(0,LN(B85/(V84*X84)))),0)</x:f>
        <x:v>0.016663985280813937</x:v>
      </x:c>
      <x:c r="X85" s="65" t="n">
        <x:f>X84*(1+W85)</x:f>
        <x:v>1.8702823227662828</x:v>
      </x:c>
      <x:c r="Y85" s="47" t="n">
        <x:f>T85*X85</x:f>
        <x:v>2046.0888611063133</x:v>
      </x:c>
      <x:c r="Z85" s="67" t="n">
        <x:f>IF(S85&gt;0,Y85*1000000/S85/Economy!Q85,0)</x:f>
        <x:v>0.22316384391275756</x:v>
      </x:c>
      <x:c r="AA85" s="45" t="n">
        <x:v>11000000</x:v>
      </x:c>
      <x:c r="AB85" s="45" t="n">
        <x:v>1300</x:v>
      </x:c>
      <x:c r="AC85" s="68" t="n">
        <x:v>0.55</x:v>
      </x:c>
      <x:c r="AD85" s="47" t="n">
        <x:f>IF(AA85&gt;0,AB85*1000000/AA85,0)</x:f>
        <x:v>118.18181818181819</x:v>
      </x:c>
      <x:c r="AE85" s="64" t="n">
        <x:f>IF(AND(AC85&gt;0,AD84&gt;0,B85&gt;0),MIN(conv_cap,conv_beta*1*AC85*MAX(0,LN(B85/(AD84*AF84)))),0)</x:f>
        <x:v>0.014687563386734347</x:v>
      </x:c>
      <x:c r="AF85" s="65" t="n">
        <x:f>AF84*(1+AE85)</x:f>
        <x:v>1.054178677806262</x:v>
      </x:c>
      <x:c r="AG85" s="47" t="n">
        <x:f>AB85*AF85</x:f>
        <x:v>1370.4322811481406</x:v>
      </x:c>
      <x:c r="AH85" s="67" t="n">
        <x:f>IF(AA85&gt;0,AG85*1000000/AA85/Economy!Q85,0)</x:f>
        <x:v>0.15830337081531023</x:v>
      </x:c>
      <x:c r="AI85" s="45" t="n">
        <x:v>475000000</x:v>
      </x:c>
      <x:c r="AJ85" s="45" t="n">
        <x:v>7250</x:v>
      </x:c>
      <x:c r="AK85" s="68" t="n">
        <x:v>0.321</x:v>
      </x:c>
      <x:c r="AL85" s="47" t="n">
        <x:f>IF(AI85&gt;0,AJ85*1000000/AI85,0)</x:f>
        <x:v>15.263157894736842</x:v>
      </x:c>
      <x:c r="AM85" s="64" t="n">
        <x:f>IF(AND(AK85&gt;0,AL84&gt;0,B85&gt;0),MIN(conv_cap,conv_beta*1*AK85*MAX(0,LN(B85/(AL84*AN84)))),0)</x:f>
        <x:v>0.013878530264371993</x:v>
      </x:c>
      <x:c r="AN85" s="65" t="n">
        <x:f>AN84*(1+AM85)</x:f>
        <x:v>1.5334040541766618</x:v>
      </x:c>
      <x:c r="AO85" s="47" t="n">
        <x:f>AJ85*AN85</x:f>
        <x:v>11117.179392780798</x:v>
      </x:c>
      <x:c r="AP85" s="67" t="n">
        <x:f>IF(AI85&gt;0,AO85*1000000/AI85/Economy!Q85,0)</x:f>
        <x:v>0.02973899389495298</x:v>
      </x:c>
      <x:c r="AQ85" s="45" t="n">
        <x:v>18750000</x:v>
      </x:c>
      <x:c r="AR85" s="45" t="n">
        <x:v>850</x:v>
      </x:c>
      <x:c r="AS85" s="68" t="n">
        <x:v>0.583</x:v>
      </x:c>
      <x:c r="AT85" s="47" t="n">
        <x:f>IF(AQ85&gt;0,AR85*1000000/AQ85,0)</x:f>
        <x:v>45.333333333333336</x:v>
      </x:c>
      <x:c r="AU85" s="64" t="n">
        <x:f>IF(AND(AS85&gt;0,AT84&gt;0,B85&gt;0),MIN(conv_cap,conv_beta*1*AS85*MAX(0,LN(B85/(AT84*AV84)))),0)</x:f>
        <x:v>0.0179852323999173</x:v>
      </x:c>
      <x:c r="AV85" s="65" t="n">
        <x:f>AV84*(1+AU85)</x:f>
        <x:v>1.8082136397863746</x:v>
      </x:c>
      <x:c r="AW85" s="47" t="n">
        <x:f>AR85*AV85</x:f>
        <x:v>1536.9815938184183</x:v>
      </x:c>
      <x:c r="AX85" s="67" t="n">
        <x:f>IF(AQ85&gt;0,AW85*1000000/AQ85/Economy!Q85,0)</x:f>
        <x:v>0.10415800720497541</x:v>
      </x:c>
      <x:c r="AY85" s="45" t="n">
        <x:v>117500000</x:v>
      </x:c>
      <x:c r="AZ85" s="45" t="n">
        <x:v>5333</x:v>
      </x:c>
      <x:c r="BA85" s="68" t="n">
        <x:v>0.225</x:v>
      </x:c>
      <x:c r="BB85" s="47" t="n">
        <x:f>IF(AY85&gt;0,AZ85*1000000/AY85,0)</x:f>
        <x:v>45.38723404255319</x:v>
      </x:c>
      <x:c r="BC85" s="64" t="n">
        <x:f>IF(AND(BA85&gt;0,BB84&gt;0,B85&gt;0),MIN(conv_cap,conv_beta*1*BA85*MAX(0,LN(B85/(BB84*BD84)))),0)</x:f>
        <x:v>0.007832879654252325</x:v>
      </x:c>
      <x:c r="BD85" s="65" t="n">
        <x:f>BD84*(1+BC85)</x:f>
        <x:v>1.1865484088305793</x:v>
      </x:c>
      <x:c r="BE85" s="47" t="n">
        <x:f>AZ85*BD85</x:f>
        <x:v>6327.86266429348</x:v>
      </x:c>
      <x:c r="BF85" s="67" t="n">
        <x:f>IF(AY85&gt;0,BE85*1000000/AY85/Economy!Q85,0)</x:f>
        <x:v>0.06842967005643277</x:v>
      </x:c>
      <x:c r="BG85" s="45" t="n">
        <x:v>43800000</x:v>
      </x:c>
      <x:c r="BH85" s="45" t="n">
        <x:v>6111</x:v>
      </x:c>
      <x:c r="BI85" s="68" t="n">
        <x:v>0.375</x:v>
      </x:c>
      <x:c r="BJ85" s="47" t="n">
        <x:f>IF(BG85&gt;0,BH85*1000000/BG85,0)</x:f>
        <x:v>139.5205479452055</x:v>
      </x:c>
      <x:c r="BK85" s="64" t="n">
        <x:f>IF(AND(BI85&gt;0,BJ84&gt;0,B85&gt;0),MIN(conv_cap,conv_beta*1*BI85*MAX(0,LN(B85/(BJ84*BL84)))),0)</x:f>
        <x:v>0.00872261724981941</x:v>
      </x:c>
      <x:c r="BL85" s="65" t="n">
        <x:f>BL84*(1+BK85)</x:f>
        <x:v>1.2362593818869543</x:v>
      </x:c>
      <x:c r="BM85" s="47" t="n">
        <x:f>BH85*BL85</x:f>
        <x:v>7554.781082711178</x:v>
      </x:c>
      <x:c r="BN85" s="67" t="n">
        <x:f>IF(BG85&gt;0,BM85*1000000/BG85/Economy!Q85,0)</x:f>
        <x:v>0.2191659293052972</x:v>
      </x:c>
      <x:c r="BO85" s="45" t="n">
        <x:v>18200000</x:v>
      </x:c>
      <x:c r="BP85" s="45" t="n">
        <x:v>1625</x:v>
      </x:c>
      <x:c r="BQ85" s="68" t="n">
        <x:v>0.175</x:v>
      </x:c>
      <x:c r="BR85" s="47" t="n">
        <x:f>IF(BO85&gt;0,BP85*1000000/BO85,0)</x:f>
        <x:v>89.28571428571429</x:v>
      </x:c>
      <x:c r="BS85" s="64" t="n">
        <x:f>IF(AND(BQ85&gt;0,BR84&gt;0,B85&gt;0),MIN(conv_cap,conv_beta*1*BQ85*MAX(0,LN(B85/(BR84*BT84)))),0)</x:f>
        <x:v>0.00510317648325704</x:v>
      </x:c>
      <x:c r="BT85" s="65" t="n">
        <x:f>BT84*(1+BS85)</x:f>
        <x:v>1.0655873027218252</x:v>
      </x:c>
      <x:c r="BU85" s="47" t="n">
        <x:f>BP85*BT85</x:f>
        <x:v>1731.579366922966</x:v>
      </x:c>
      <x:c r="BV85" s="67" t="n">
        <x:f>IF(BO85&gt;0,BU85*1000000/BO85/Economy!Q85,0)</x:f>
        <x:v>0.12089164352897819</x:v>
      </x:c>
      <x:c r="BW85" s="65" t="n">
        <x:f>0.25*IF(D85&gt;0,H85,1)+0.15*IF(AJ85&gt;0,AN85,1)+0.03*IF(AR85&gt;0,AV85,1)+0.08*IF(AZ85&gt;0,BD85,1)+0.12*IF(BH85&gt;0,BL85,1)+0.1*IF(L85&gt;0,P85,1)+0.07*IF(T85&gt;0,X85,1)+0.05*IF(AB85&gt;0,AF85,1)+0.05*IF(BP85&gt;0,BT85,1)+0.1</x:f>
        <x:v>1.5743516219500817</x:v>
      </x:c>
      <x:c r="BX85" s="63" t="n">
        <x:f>MIN(mkt_cap,mkt_elast*MAX(0,BW85-1))</x:f>
        <x:v>0.28717581097504086</x:v>
      </x:c>
      <x:c r="BY85" s="47" t="n">
        <x:f>I85+Q85+Y85+AG85</x:f>
        <x:v>28978.094106744084</x:v>
      </x:c>
      <x:c r="BZ85" s="47" t="n">
        <x:f>D85+L85+T85+AB85</x:f>
        <x:v>15835.73058</x:v>
      </x:c>
      <x:c r="CA85" s="65" t="n">
        <x:f>IF(BZ85&gt;0,BY85/BZ85,0)</x:f>
        <x:v>1.829918358382685</x:v>
      </x:c>
    </x:row>
    <x:row r="86">
      <x:c r="A86" s="58" t="n">
        <x:v>1926</x:v>
      </x:c>
      <x:c r="B86" s="47" t="n">
        <x:f>Economy!P85</x:f>
        <x:v>1785.6534400118944</x:v>
      </x:c>
      <x:c r="C86" s="45" t="n">
        <x:v>61000000</x:v>
      </x:c>
      <x:c r="D86" s="62" t="n">
        <x:f>Japan!B86</x:f>
        <x:v>7980</x:v>
      </x:c>
      <x:c r="E86" s="68" t="n">
        <x:v>0.981</x:v>
      </x:c>
      <x:c r="F86" s="47" t="n">
        <x:f>IF(C86&gt;0,D86*1000000/C86,0)</x:f>
        <x:v>130.81967213114754</x:v>
      </x:c>
      <x:c r="G86" s="64" t="n">
        <x:f>IF(AND(E86&gt;0,F85&gt;0,B86&gt;0),MIN(conv_cap,conv_beta*jp_uplift*E86*MAX(0,LN(B86/(F85*H85)))),0)</x:f>
        <x:v>0.016904393775659225</x:v>
      </x:c>
      <x:c r="H86" s="65" t="n">
        <x:f>H85*(1+G86)</x:f>
        <x:v>2.3988289905241524</x:v>
      </x:c>
      <x:c r="I86" s="47" t="n">
        <x:f>D86*H86</x:f>
        <x:v>19142.655344382736</x:v>
      </x:c>
      <x:c r="J86" s="67" t="n">
        <x:f>IF(C86&gt;0,I86*1000000/C86/Economy!Q86,0)</x:f>
        <x:v>0.38270002687690396</x:v>
      </x:c>
      <x:c r="K86" s="62" t="n">
        <x:f>Gulf!B86</x:f>
        <x:v>10330000</x:v>
      </x:c>
      <x:c r="L86" s="47" t="n">
        <x:f>Gulf!B86*Gulf!C86*Economy!Q86/1000000</x:f>
        <x:v>5590.596</x:v>
      </x:c>
      <x:c r="M86" s="68" t="n">
        <x:v>0.8169999999999999</x:v>
      </x:c>
      <x:c r="N86" s="47" t="n">
        <x:f>IF(K86&gt;0,L86*1000000/K86,0)</x:f>
        <x:v>541.2</x:v>
      </x:c>
      <x:c r="O86" s="64" t="n">
        <x:f>IF(AND(M86&gt;0,N85&gt;0,B86&gt;0),MIN(conv_cap,conv_beta*1*M86*MAX(0,LN(B86/(N85*P85)))),0)</x:f>
        <x:v>0.008550115082312317</x:v>
      </x:c>
      <x:c r="P86" s="65" t="n">
        <x:f>P85*(1+O86)</x:f>
        <x:v>1.2120095854981143</x:v>
      </x:c>
      <x:c r="Q86" s="47" t="n">
        <x:f>L86*P86</x:f>
        <x:v>6775.855940647415</x:v>
      </x:c>
      <x:c r="R86" s="67" t="n">
        <x:f>IF(K86&gt;0,Q86*1000000/K86/Economy!Q86,0)</x:f>
        <x:v>0.7999263264287554</x:v>
      </x:c>
      <x:c r="S86" s="62" t="n">
        <x:f>People!U86</x:f>
        <x:v>11843000</x:v>
      </x:c>
      <x:c r="T86" s="45" t="n">
        <x:v>1133</x:v>
      </x:c>
      <x:c r="U86" s="68" t="n">
        <x:v>0.725</x:v>
      </x:c>
      <x:c r="V86" s="47" t="n">
        <x:f>IF(S86&gt;0,T86*1000000/S86,0)</x:f>
        <x:v>95.6683272819387</x:v>
      </x:c>
      <x:c r="W86" s="64" t="n">
        <x:f>IF(AND(U86&gt;0,V85&gt;0,B86&gt;0),MIN(conv_cap,conv_beta*1*U86*MAX(0,LN(B86/(V85*X85)))),0)</x:f>
        <x:v>0.016813913645870728</x:v>
      </x:c>
      <x:c r="X86" s="65" t="n">
        <x:f>X85*(1+W86)</x:f>
        <x:v>1.9017290882346736</x:v>
      </x:c>
      <x:c r="Y86" s="47" t="n">
        <x:f>T86*X86</x:f>
        <x:v>2154.659056969885</x:v>
      </x:c>
      <x:c r="Z86" s="67" t="n">
        <x:f>IF(S86&gt;0,Y86*1000000/S86/Economy!Q86,0)</x:f>
        <x:v>0.22187224489611906</x:v>
      </x:c>
      <x:c r="AA86" s="45" t="n">
        <x:v>11250000</x:v>
      </x:c>
      <x:c r="AB86" s="45" t="n">
        <x:v>1350</x:v>
      </x:c>
      <x:c r="AC86" s="68" t="n">
        <x:v>0.5639999999999999</x:v>
      </x:c>
      <x:c r="AD86" s="47" t="n">
        <x:f>IF(AA86&gt;0,AB86*1000000/AA86,0)</x:f>
        <x:v>120</x:v>
      </x:c>
      <x:c r="AE86" s="64" t="n">
        <x:f>IF(AND(AC86&gt;0,AD85&gt;0,B86&gt;0),MIN(conv_cap,conv_beta*1*AC86*MAX(0,LN(B86/(AD85*AF85)))),0)</x:f>
        <x:v>0.015016801571493332</x:v>
      </x:c>
      <x:c r="AF86" s="65" t="n">
        <x:f>AF85*(1+AE86)</x:f>
        <x:v>1.070009069831778</x:v>
      </x:c>
      <x:c r="AG86" s="47" t="n">
        <x:f>AB86*AF86</x:f>
        <x:v>1444.5122442729003</x:v>
      </x:c>
      <x:c r="AH86" s="67" t="n">
        <x:f>IF(AA86&gt;0,AG86*1000000/AA86/Economy!Q86,0)</x:f>
        <x:v>0.15658669314611384</x:v>
      </x:c>
      <x:c r="AI86" s="45" t="n">
        <x:v>478800000</x:v>
      </x:c>
      <x:c r="AJ86" s="45" t="n">
        <x:v>7438</x:v>
      </x:c>
      <x:c r="AK86" s="68" t="n">
        <x:v>0.329</x:v>
      </x:c>
      <x:c r="AL86" s="47" t="n">
        <x:f>IF(AI86&gt;0,AJ86*1000000/AI86,0)</x:f>
        <x:v>15.534670008354219</x:v>
      </x:c>
      <x:c r="AM86" s="64" t="n">
        <x:f>IF(AND(AK86&gt;0,AL85&gt;0,B86&gt;0),MIN(conv_cap,conv_beta*1*AK86*MAX(0,LN(B86/(AL85*AN85)))),0)</x:f>
        <x:v>0.014260859070440486</x:v>
      </x:c>
      <x:c r="AN86" s="65" t="n">
        <x:f>AN85*(1+AM86)</x:f>
        <x:v>1.5552717132913172</x:v>
      </x:c>
      <x:c r="AO86" s="47" t="n">
        <x:f>AJ86*AN86</x:f>
        <x:v>11568.111003460817</x:v>
      </x:c>
      <x:c r="AP86" s="67" t="n">
        <x:f>IF(AI86&gt;0,AO86*1000000/AI86/Economy!Q86,0)</x:f>
        <x:v>0.029464186389400373</x:v>
      </x:c>
      <x:c r="AQ86" s="45" t="n">
        <x:v>19060000</x:v>
      </x:c>
      <x:c r="AR86" s="45" t="n">
        <x:v>888</x:v>
      </x:c>
      <x:c r="AS86" s="68" t="n">
        <x:v>0.588</x:v>
      </x:c>
      <x:c r="AT86" s="47" t="n">
        <x:f>IF(AQ86&gt;0,AR86*1000000/AQ86,0)</x:f>
        <x:v>46.5897166841553</x:v>
      </x:c>
      <x:c r="AU86" s="64" t="n">
        <x:f>IF(AND(AS86&gt;0,AT85&gt;0,B86&gt;0),MIN(conv_cap,conv_beta*1*AS86*MAX(0,LN(B86/(AT85*AV85)))),0)</x:f>
        <x:v>0.018117207184303777</x:v>
      </x:c>
      <x:c r="AV86" s="65" t="n">
        <x:f>AV85*(1+AU86)</x:f>
        <x:v>1.8409734209318687</x:v>
      </x:c>
      <x:c r="AW86" s="47" t="n">
        <x:f>AR86*AV86</x:f>
        <x:v>1634.7843977874993</x:v>
      </x:c>
      <x:c r="AX86" s="67" t="n">
        <x:f>IF(AQ86&gt;0,AW86*1000000/AQ86/Economy!Q86,0)</x:f>
        <x:v>0.10459808549301942</x:v>
      </x:c>
      <x:c r="AY86" s="45" t="n">
        <x:v>119400000</x:v>
      </x:c>
      <x:c r="AZ86" s="45" t="n">
        <x:v>5500</x:v>
      </x:c>
      <x:c r="BA86" s="68" t="n">
        <x:v>0.231</x:v>
      </x:c>
      <x:c r="BB86" s="47" t="n">
        <x:f>IF(AY86&gt;0,AZ86*1000000/AY86,0)</x:f>
        <x:v>46.06365159128978</x:v>
      </x:c>
      <x:c r="BC86" s="64" t="n">
        <x:f>IF(AND(BA86&gt;0,BB85&gt;0,B86&gt;0),MIN(conv_cap,conv_beta*1*BA86*MAX(0,LN(B86/(BB85*BD85)))),0)</x:f>
        <x:v>0.008087911125050966</x:v>
      </x:c>
      <x:c r="BD86" s="65" t="n">
        <x:f>BD85*(1+BC86)</x:f>
        <x:v>1.1961451069067717</x:v>
      </x:c>
      <x:c r="BE86" s="47" t="n">
        <x:f>AZ86*BD86</x:f>
        <x:v>6578.798087987244</x:v>
      </x:c>
      <x:c r="BF86" s="67" t="n">
        <x:f>IF(AY86&gt;0,BE86*1000000/AY86/Economy!Q86,0)</x:f>
        <x:v>0.0671936725087556</x:v>
      </x:c>
      <x:c r="BG86" s="45" t="n">
        <x:v>44300000</x:v>
      </x:c>
      <x:c r="BH86" s="45" t="n">
        <x:v>6333</x:v>
      </x:c>
      <x:c r="BI86" s="68" t="n">
        <x:v>0.381</x:v>
      </x:c>
      <x:c r="BJ86" s="47" t="n">
        <x:f>IF(BG86&gt;0,BH86*1000000/BG86,0)</x:f>
        <x:v>142.95711060948082</x:v>
      </x:c>
      <x:c r="BK86" s="64" t="n">
        <x:f>IF(AND(BI86&gt;0,BJ85&gt;0,B86&gt;0),MIN(conv_cap,conv_beta*1*BI86*MAX(0,LN(B86/(BJ85*BL85)))),0)</x:f>
        <x:v>0.008904875330806614</x:v>
      </x:c>
      <x:c r="BL86" s="65" t="n">
        <x:f>BL85*(1+BK86)</x:f>
        <x:v>1.2472681175591975</x:v>
      </x:c>
      <x:c r="BM86" s="47" t="n">
        <x:f>BH86*BL86</x:f>
        <x:v>7898.948988502398</x:v>
      </x:c>
      <x:c r="BN86" s="67" t="n">
        <x:f>IF(BG86&gt;0,BM86*1000000/BG86/Economy!Q86,0)</x:f>
        <x:v>0.21744615395315744</x:v>
      </x:c>
      <x:c r="BO86" s="45" t="n">
        <x:v>18400000</x:v>
      </x:c>
      <x:c r="BP86" s="45" t="n">
        <x:v>1669</x:v>
      </x:c>
      <x:c r="BQ86" s="68" t="n">
        <x:v>0.181</x:v>
      </x:c>
      <x:c r="BR86" s="47" t="n">
        <x:f>IF(BO86&gt;0,BP86*1000000/BO86,0)</x:f>
        <x:v>90.70652173913044</x:v>
      </x:c>
      <x:c r="BS86" s="64" t="n">
        <x:f>IF(AND(BQ86&gt;0,BR85&gt;0,B86&gt;0),MIN(conv_cap,conv_beta*1*BQ86*MAX(0,LN(B86/(BR85*BT85)))),0)</x:f>
        <x:v>0.005307231490612483</x:v>
      </x:c>
      <x:c r="BT86" s="65" t="n">
        <x:f>BT85*(1+BS86)</x:f>
        <x:v>1.0712426212108273</x:v>
      </x:c>
      <x:c r="BU86" s="47" t="n">
        <x:f>BP86*BT86</x:f>
        <x:v>1787.9039348008707</x:v>
      </x:c>
      <x:c r="BV86" s="67" t="n">
        <x:f>IF(BO86&gt;0,BU86*1000000/BO86/Economy!Q86,0)</x:f>
        <x:v>0.11849840501066217</x:v>
      </x:c>
      <x:c r="BW86" s="65" t="n">
        <x:f>0.25*IF(D86&gt;0,H86,1)+0.15*IF(AJ86&gt;0,AN86,1)+0.03*IF(AR86&gt;0,AV86,1)+0.08*IF(AZ86&gt;0,BD86,1)+0.12*IF(BH86&gt;0,BL86,1)+0.1*IF(L86&gt;0,P86,1)+0.07*IF(T86&gt;0,X86,1)+0.05*IF(AB86&gt;0,AF86,1)+0.05*IF(BP86&gt;0,BT86,1)+0.1</x:f>
        <x:v>1.5949755691907062</x:v>
      </x:c>
      <x:c r="BX86" s="63" t="n">
        <x:f>MIN(mkt_cap,mkt_elast*MAX(0,BW86-1))</x:f>
        <x:v>0.2974877845953531</x:v>
      </x:c>
      <x:c r="BY86" s="47" t="n">
        <x:f>I86+Q86+Y86+AG86</x:f>
        <x:v>29517.68258627294</x:v>
      </x:c>
      <x:c r="BZ86" s="47" t="n">
        <x:f>D86+L86+T86+AB86</x:f>
        <x:v>16053.596</x:v>
      </x:c>
      <x:c r="CA86" s="65" t="n">
        <x:f>IF(BZ86&gt;0,BY86/BZ86,0)</x:f>
        <x:v>1.8386959897503923</x:v>
      </x:c>
    </x:row>
    <x:row r="87">
      <x:c r="A87" s="58" t="n">
        <x:v>1927</x:v>
      </x:c>
      <x:c r="B87" s="47" t="n">
        <x:f>Economy!P86</x:f>
        <x:v>1802.2731846360714</x:v>
      </x:c>
      <x:c r="C87" s="45" t="n">
        <x:v>61830000</x:v>
      </x:c>
      <x:c r="D87" s="62" t="n">
        <x:f>Japan!B87</x:f>
        <x:v>8130</x:v>
      </x:c>
      <x:c r="E87" s="68" t="n">
        <x:v>1</x:v>
      </x:c>
      <x:c r="F87" s="47" t="n">
        <x:f>IF(C87&gt;0,D87*1000000/C87,0)</x:f>
        <x:v>131.48956817079088</x:v>
      </x:c>
      <x:c r="G87" s="64" t="n">
        <x:f>IF(AND(E87&gt;0,F86&gt;0,B87&gt;0),MIN(conv_cap,conv_beta*jp_uplift*E87*MAX(0,LN(B87/(F86*H86)))),0)</x:f>
        <x:v>0.017480035035374656</x:v>
      </x:c>
      <x:c r="H87" s="65" t="n">
        <x:f>H86*(1+G87)</x:f>
        <x:v>2.4407606053223874</x:v>
      </x:c>
      <x:c r="I87" s="47" t="n">
        <x:f>D87*H87</x:f>
        <x:v>19843.38372127101</x:v>
      </x:c>
      <x:c r="J87" s="67" t="n">
        <x:f>IF(C87&gt;0,I87*1000000/C87/Economy!Q87,0)</x:f>
        <x:v>0.3986764695678495</x:v>
      </x:c>
      <x:c r="K87" s="62" t="n">
        <x:f>Gulf!B87</x:f>
        <x:v>10490000</x:v>
      </x:c>
      <x:c r="L87" s="47" t="n">
        <x:f>Gulf!B87*Gulf!C87*Economy!Q87/1000000</x:f>
        <x:v>5548.00365</x:v>
      </x:c>
      <x:c r="M87" s="68" t="n">
        <x:v>0.828</x:v>
      </x:c>
      <x:c r="N87" s="47" t="n">
        <x:f>IF(K87&gt;0,L87*1000000/K87,0)</x:f>
        <x:v>528.885</x:v>
      </x:c>
      <x:c r="O87" s="64" t="n">
        <x:f>IF(AND(M87&gt;0,N86&gt;0,B87&gt;0),MIN(conv_cap,conv_beta*1*M87*MAX(0,LN(B87/(N86*P86)))),0)</x:f>
        <x:v>0.008368888571611327</x:v>
      </x:c>
      <x:c r="P87" s="65" t="n">
        <x:f>P86*(1+O87)</x:f>
        <x:v>1.2221527586668728</x:v>
      </x:c>
      <x:c r="Q87" s="47" t="n">
        <x:f>L87*P87</x:f>
        <x:v>6780.507965941379</x:v>
      </x:c>
      <x:c r="R87" s="67" t="n">
        <x:f>IF(K87&gt;0,Q87*1000000/K87/Economy!Q87,0)</x:f>
        <x:v>0.8029543624441353</x:v>
      </x:c>
      <x:c r="S87" s="62" t="n">
        <x:f>People!U87</x:f>
        <x:v>12036000</x:v>
      </x:c>
      <x:c r="T87" s="45" t="n">
        <x:v>1172</x:v>
      </x:c>
      <x:c r="U87" s="68" t="n">
        <x:v>0.729</x:v>
      </x:c>
      <x:c r="V87" s="47" t="n">
        <x:f>IF(S87&gt;0,T87*1000000/S87,0)</x:f>
        <x:v>97.374543037554</x:v>
      </x:c>
      <x:c r="W87" s="64" t="n">
        <x:f>IF(AND(U87&gt;0,V86&gt;0,B87&gt;0),MIN(conv_cap,conv_beta*1*U87*MAX(0,LN(B87/(V86*X86)))),0)</x:f>
        <x:v>0.01671708699870143</x:v>
      </x:c>
      <x:c r="X87" s="65" t="n">
        <x:f>X86*(1+W87)</x:f>
        <x:v>1.9335204588506538</x:v>
      </x:c>
      <x:c r="Y87" s="47" t="n">
        <x:f>T87*X87</x:f>
        <x:v>2266.085977772966</x:v>
      </x:c>
      <x:c r="Z87" s="67" t="n">
        <x:f>IF(S87&gt;0,Y87*1000000/S87/Economy!Q87,0)</x:f>
        <x:v>0.23388282128489954</x:v>
      </x:c>
      <x:c r="AA87" s="45" t="n">
        <x:v>11500000</x:v>
      </x:c>
      <x:c r="AB87" s="45" t="n">
        <x:v>1400</x:v>
      </x:c>
      <x:c r="AC87" s="68" t="n">
        <x:v>0.579</x:v>
      </x:c>
      <x:c r="AD87" s="47" t="n">
        <x:f>IF(AA87&gt;0,AB87*1000000/AA87,0)</x:f>
        <x:v>121.73913043478261</x:v>
      </x:c>
      <x:c r="AE87" s="64" t="n">
        <x:f>IF(AND(AC87&gt;0,AD86&gt;0,B87&gt;0),MIN(conv_cap,conv_beta*1*AC87*MAX(0,LN(B87/(AD86*AF86)))),0)</x:f>
        <x:v>0.015295125475107342</x:v>
      </x:c>
      <x:c r="AF87" s="65" t="n">
        <x:f>AF86*(1+AE87)</x:f>
        <x:v>1.0863749928143578</x:v>
      </x:c>
      <x:c r="AG87" s="47" t="n">
        <x:f>AB87*AF87</x:f>
        <x:v>1520.9249899401009</x:v>
      </x:c>
      <x:c r="AH87" s="67" t="n">
        <x:f>IF(AA87&gt;0,AG87*1000000/AA87/Economy!Q87,0)</x:f>
        <x:v>0.16429111422523368</x:v>
      </x:c>
      <x:c r="AI87" s="45" t="n">
        <x:v>482500000</x:v>
      </x:c>
      <x:c r="AJ87" s="45" t="n">
        <x:v>7625</x:v>
      </x:c>
      <x:c r="AK87" s="68" t="n">
        <x:v>0.336</x:v>
      </x:c>
      <x:c r="AL87" s="47" t="n">
        <x:f>IF(AI87&gt;0,AJ87*1000000/AI87,0)</x:f>
        <x:v>15.803108808290155</x:v>
      </x:c>
      <x:c r="AM87" s="64" t="n">
        <x:f>IF(AND(AK87&gt;0,AL86&gt;0,B87&gt;0),MIN(conv_cap,conv_beta*1*AK87*MAX(0,LN(B87/(AL86*AN86)))),0)</x:f>
        <x:v>0.014488586989200008</x:v>
      </x:c>
      <x:c r="AN87" s="65" t="n">
        <x:f>AN86*(1+AM87)</x:f>
        <x:v>1.5778054028011805</x:v>
      </x:c>
      <x:c r="AO87" s="47" t="n">
        <x:f>AJ87*AN87</x:f>
        <x:v>12030.766196359002</x:v>
      </x:c>
      <x:c r="AP87" s="67" t="n">
        <x:f>IF(AI87&gt;0,AO87*1000000/AI87/Economy!Q87,0)</x:f>
        <x:v>0.03097419932767097</x:v>
      </x:c>
      <x:c r="AQ87" s="45" t="n">
        <x:v>19380000</x:v>
      </x:c>
      <x:c r="AR87" s="45" t="n">
        <x:v>925</x:v>
      </x:c>
      <x:c r="AS87" s="68" t="n">
        <x:v>0.592</x:v>
      </x:c>
      <x:c r="AT87" s="47" t="n">
        <x:f>IF(AQ87&gt;0,AR87*1000000/AQ87,0)</x:f>
        <x:v>47.729618163054695</x:v>
      </x:c>
      <x:c r="AU87" s="64" t="n">
        <x:f>IF(AND(AS87&gt;0,AT86&gt;0,B87&gt;0),MIN(conv_cap,conv_beta*1*AS87*MAX(0,LN(B87/(AT86*AV86)))),0)</x:f>
        <x:v>0.01802716792974011</x:v>
      </x:c>
      <x:c r="AV87" s="65" t="n">
        <x:f>AV86*(1+AU87)</x:f>
        <x:v>1.8741609579451957</x:v>
      </x:c>
      <x:c r="AW87" s="47" t="n">
        <x:f>AR87*AV87</x:f>
        <x:v>1733.598886099306</x:v>
      </x:c>
      <x:c r="AX87" s="67" t="n">
        <x:f>IF(AQ87&gt;0,AW87*1000000/AQ87/Economy!Q87,0)</x:f>
        <x:v>0.1111217228556882</x:v>
      </x:c>
      <x:c r="AY87" s="45" t="n">
        <x:v>121200000</x:v>
      </x:c>
      <x:c r="AZ87" s="45" t="n">
        <x:v>5667</x:v>
      </x:c>
      <x:c r="BA87" s="68" t="n">
        <x:v>0.237</x:v>
      </x:c>
      <x:c r="BB87" s="47" t="n">
        <x:f>IF(AY87&gt;0,AZ87*1000000/AY87,0)</x:f>
        <x:v>46.757425742574256</x:v>
      </x:c>
      <x:c r="BC87" s="64" t="n">
        <x:f>IF(AND(BA87&gt;0,BB86&gt;0,B87&gt;0),MIN(conv_cap,conv_beta*1*BA87*MAX(0,LN(B87/(BB86*BD86)))),0)</x:f>
        <x:v>0.008265791840811287</x:v>
      </x:c>
      <x:c r="BD87" s="65" t="n">
        <x:f>BD86*(1+BC87)</x:f>
        <x:v>1.206032193371868</x:v>
      </x:c>
      <x:c r="BE87" s="47" t="n">
        <x:f>AZ87*BD87</x:f>
        <x:v>6834.584439838376</x:v>
      </x:c>
      <x:c r="BF87" s="67" t="n">
        <x:f>IF(AY87&gt;0,BE87*1000000/AY87/Economy!Q87,0)</x:f>
        <x:v>0.07005088288787463</x:v>
      </x:c>
      <x:c r="BG87" s="45" t="n">
        <x:v>44900000</x:v>
      </x:c>
      <x:c r="BH87" s="45" t="n">
        <x:v>6556</x:v>
      </x:c>
      <x:c r="BI87" s="68" t="n">
        <x:v>0.388</x:v>
      </x:c>
      <x:c r="BJ87" s="47" t="n">
        <x:f>IF(BG87&gt;0,BH87*1000000/BG87,0)</x:f>
        <x:v>146.01336302895322</x:v>
      </x:c>
      <x:c r="BK87" s="64" t="n">
        <x:f>IF(AND(BI87&gt;0,BJ86&gt;0,B87&gt;0),MIN(conv_cap,conv_beta*1*BI87*MAX(0,LN(B87/(BJ86*BL86)))),0)</x:f>
        <x:v>0.008975618411684047</x:v>
      </x:c>
      <x:c r="BL87" s="65" t="n">
        <x:f>BL86*(1+BK87)</x:f>
        <x:v>1.2584631202394683</x:v>
      </x:c>
      <x:c r="BM87" s="47" t="n">
        <x:f>BH87*BL87</x:f>
        <x:v>8250.484216289953</x:v>
      </x:c>
      <x:c r="BN87" s="67" t="n">
        <x:f>IF(BG87&gt;0,BM87*1000000/BG87/Economy!Q87,0)</x:f>
        <x:v>0.22826389122245302</x:v>
      </x:c>
      <x:c r="BO87" s="45" t="n">
        <x:v>18600000</x:v>
      </x:c>
      <x:c r="BP87" s="45" t="n">
        <x:v>1712</x:v>
      </x:c>
      <x:c r="BQ87" s="68" t="n">
        <x:v>0.188</x:v>
      </x:c>
      <x:c r="BR87" s="47" t="n">
        <x:f>IF(BO87&gt;0,BP87*1000000/BO87,0)</x:f>
        <x:v>92.04301075268818</x:v>
      </x:c>
      <x:c r="BS87" s="64" t="n">
        <x:f>IF(AND(BQ87&gt;0,BR86&gt;0,B87&gt;0),MIN(conv_cap,conv_beta*1*BQ87*MAX(0,LN(B87/(BR86*BT86)))),0)</x:f>
        <x:v>0.005490268275214914</x:v>
      </x:c>
      <x:c r="BT87" s="65" t="n">
        <x:f>BT86*(1+BS87)</x:f>
        <x:v>1.0771240305891192</x:v>
      </x:c>
      <x:c r="BU87" s="47" t="n">
        <x:f>BP87*BT87</x:f>
        <x:v>1844.0363403685722</x:v>
      </x:c>
      <x:c r="BV87" s="67" t="n">
        <x:f>IF(BO87&gt;0,BU87*1000000/BO87/Economy!Q87,0)</x:f>
        <x:v>0.12315743941551942</x:v>
      </x:c>
      <x:c r="BW87" s="65" t="n">
        <x:f>0.25*IF(D87&gt;0,H87,1)+0.15*IF(AJ87&gt;0,AN87,1)+0.03*IF(AR87&gt;0,AV87,1)+0.08*IF(AZ87&gt;0,BD87,1)+0.12*IF(BH87&gt;0,BL87,1)+0.1*IF(L87&gt;0,P87,1)+0.07*IF(T87&gt;0,X87,1)+0.05*IF(AB87&gt;0,AF87,1)+0.05*IF(BP87&gt;0,BT87,1)+0.1</x:f>
        <x:v>1.6163205995440224</x:v>
      </x:c>
      <x:c r="BX87" s="63" t="n">
        <x:f>MIN(mkt_cap,mkt_elast*MAX(0,BW87-1))</x:f>
        <x:v>0.3081602997720112</x:v>
      </x:c>
      <x:c r="BY87" s="47" t="n">
        <x:f>I87+Q87+Y87+AG87</x:f>
        <x:v>30410.902654925456</x:v>
      </x:c>
      <x:c r="BZ87" s="47" t="n">
        <x:f>D87+L87+T87+AB87</x:f>
        <x:v>16250.003649999999</x:v>
      </x:c>
      <x:c r="CA87" s="65" t="n">
        <x:f>IF(BZ87&gt;0,BY87/BZ87,0)</x:f>
        <x:v>1.8714397430258705</x:v>
      </x:c>
    </x:row>
    <x:row r="88">
      <x:c r="A88" s="58" t="n">
        <x:v>1928</x:v>
      </x:c>
      <x:c r="B88" s="47" t="n">
        <x:f>Economy!P87</x:f>
        <x:v>1808.9210550279065</x:v>
      </x:c>
      <x:c r="C88" s="45" t="n">
        <x:v>62670000</x:v>
      </x:c>
      <x:c r="D88" s="62" t="n">
        <x:f>Japan!B88</x:f>
        <x:v>8180</x:v>
      </x:c>
      <x:c r="E88" s="68" t="n">
        <x:v>1</x:v>
      </x:c>
      <x:c r="F88" s="47" t="n">
        <x:f>IF(C88&gt;0,D88*1000000/C88,0)</x:f>
        <x:v>130.5249720759534</x:v>
      </x:c>
      <x:c r="G88" s="64" t="n">
        <x:f>IF(AND(E88&gt;0,F87&gt;0,B88&gt;0),MIN(conv_cap,conv_beta*jp_uplift*E88*MAX(0,LN(B88/(F87*H87)))),0)</x:f>
        <x:v>0.017292486111321965</x:v>
      </x:c>
      <x:c r="H88" s="65" t="n">
        <x:f>H87*(1+G88)</x:f>
        <x:v>2.4829674241909867</x:v>
      </x:c>
      <x:c r="I88" s="47" t="n">
        <x:f>D88*H88</x:f>
        <x:v>20310.67352988227</x:v>
      </x:c>
      <x:c r="J88" s="67" t="n">
        <x:f>IF(C88&gt;0,I88*1000000/C88/Economy!Q88,0)</x:f>
        <x:v>0.3976555260221233</x:v>
      </x:c>
      <x:c r="K88" s="62" t="n">
        <x:f>Gulf!B88</x:f>
        <x:v>10640000</x:v>
      </x:c>
      <x:c r="L88" s="47" t="n">
        <x:f>Gulf!B88*Gulf!C88*Economy!Q88/1000000</x:f>
        <x:v>5662.5548</x:v>
      </x:c>
      <x:c r="M88" s="68" t="n">
        <x:v>0.839</x:v>
      </x:c>
      <x:c r="N88" s="47" t="n">
        <x:f>IF(K88&gt;0,L88*1000000/K88,0)</x:f>
        <x:v>532.195</x:v>
      </x:c>
      <x:c r="O88" s="64" t="n">
        <x:f>IF(AND(M88&gt;0,N87&gt;0,B88&gt;0),MIN(conv_cap,conv_beta*1*M88*MAX(0,LN(B88/(N87*P87)))),0)</x:f>
        <x:v>0.008634157116282307</x:v>
      </x:c>
      <x:c r="P88" s="65" t="n">
        <x:f>P87*(1+O88)</x:f>
        <x:v>1.2327050176053003</x:v>
      </x:c>
      <x:c r="Q88" s="47" t="n">
        <x:f>L88*P88</x:f>
        <x:v>6980.259714424978</x:v>
      </x:c>
      <x:c r="R88" s="67" t="n">
        <x:f>IF(K88&gt;0,Q88*1000000/K88/Economy!Q88,0)</x:f>
        <x:v>0.8049563764962611</x:v>
      </x:c>
      <x:c r="S88" s="62" t="n">
        <x:f>People!U88</x:f>
        <x:v>12229000</x:v>
      </x:c>
      <x:c r="T88" s="45" t="n">
        <x:v>1211</x:v>
      </x:c>
      <x:c r="U88" s="68" t="n">
        <x:v>0.733</x:v>
      </x:c>
      <x:c r="V88" s="47" t="n">
        <x:f>IF(S88&gt;0,T88*1000000/S88,0)</x:f>
        <x:v>99.02690326273611</x:v>
      </x:c>
      <x:c r="W88" s="64" t="n">
        <x:f>IF(AND(U88&gt;0,V87&gt;0,B88&gt;0),MIN(conv_cap,conv_beta*1*U88*MAX(0,LN(B88/(V87*X87)))),0)</x:f>
        <x:v>0.016584701282367626</x:v>
      </x:c>
      <x:c r="X88" s="65" t="n">
        <x:f>X87*(1+W88)</x:f>
        <x:v>1.9655873180840384</x:v>
      </x:c>
      <x:c r="Y88" s="47" t="n">
        <x:f>T88*X88</x:f>
        <x:v>2380.3262421997706</x:v>
      </x:c>
      <x:c r="Z88" s="67" t="n">
        <x:f>IF(S88&gt;0,Y88*1000000/S88/Economy!Q88,0)</x:f>
        <x:v>0.2388294787759129</x:v>
      </x:c>
      <x:c r="AA88" s="45" t="n">
        <x:v>11750000</x:v>
      </x:c>
      <x:c r="AB88" s="45" t="n">
        <x:v>1450</x:v>
      </x:c>
      <x:c r="AC88" s="68" t="n">
        <x:v>0.593</x:v>
      </x:c>
      <x:c r="AD88" s="47" t="n">
        <x:f>IF(AA88&gt;0,AB88*1000000/AA88,0)</x:f>
        <x:v>123.40425531914893</x:v>
      </x:c>
      <x:c r="AE88" s="64" t="n">
        <x:f>IF(AND(AC88&gt;0,AD87&gt;0,B88&gt;0),MIN(conv_cap,conv_beta*1*AC88*MAX(0,LN(B88/(AD87*AF87)))),0)</x:f>
        <x:v>0.01551145030623781</x:v>
      </x:c>
      <x:c r="AF88" s="65" t="n">
        <x:f>AF87*(1+AE88)</x:f>
        <x:v>1.1032262445293373</x:v>
      </x:c>
      <x:c r="AG88" s="47" t="n">
        <x:f>AB88*AF88</x:f>
        <x:v>1599.678054567539</x:v>
      </x:c>
      <x:c r="AH88" s="67" t="n">
        <x:f>IF(AA88&gt;0,AG88*1000000/AA88/Economy!Q88,0)</x:f>
        <x:v>0.16704639650881495</x:v>
      </x:c>
      <x:c r="AI88" s="45" t="n">
        <x:v>486200000</x:v>
      </x:c>
      <x:c r="AJ88" s="45" t="n">
        <x:v>7812</x:v>
      </x:c>
      <x:c r="AK88" s="68" t="n">
        <x:v>0.343</x:v>
      </x:c>
      <x:c r="AL88" s="47" t="n">
        <x:f>IF(AI88&gt;0,AJ88*1000000/AI88,0)</x:f>
        <x:v>16.06746194981489</x:v>
      </x:c>
      <x:c r="AM88" s="64" t="n">
        <x:f>IF(AND(AK88&gt;0,AL87&gt;0,B88&gt;0),MIN(conv_cap,conv_beta*1*AK88*MAX(0,LN(B88/(AL87*AN87)))),0)</x:f>
        <x:v>0.014694957838189924</x:v>
      </x:c>
      <x:c r="AN88" s="65" t="n">
        <x:f>AN87*(1+AM88)</x:f>
        <x:v>1.600991186672212</x:v>
      </x:c>
      <x:c r="AO88" s="47" t="n">
        <x:f>AJ88*AN88</x:f>
        <x:v>12506.94315028332</x:v>
      </x:c>
      <x:c r="AP88" s="67" t="n">
        <x:f>IF(AI88&gt;0,AO88*1000000/AI88/Economy!Q88,0)</x:f>
        <x:v>0.031563024507784976</x:v>
      </x:c>
      <x:c r="AQ88" s="45" t="n">
        <x:v>19690000</x:v>
      </x:c>
      <x:c r="AR88" s="45" t="n">
        <x:v>962</x:v>
      </x:c>
      <x:c r="AS88" s="68" t="n">
        <x:v>0.596</x:v>
      </x:c>
      <x:c r="AT88" s="47" t="n">
        <x:f>IF(AQ88&gt;0,AR88*1000000/AQ88,0)</x:f>
        <x:v>48.857287963433215</x:v>
      </x:c>
      <x:c r="AU88" s="64" t="n">
        <x:f>IF(AND(AS88&gt;0,AT87&gt;0,B88&gt;0),MIN(conv_cap,conv_beta*1*AS88*MAX(0,LN(B88/(AT87*AV87)))),0)</x:f>
        <x:v>0.017920364952891708</x:v>
      </x:c>
      <x:c r="AV88" s="65" t="n">
        <x:f>AV87*(1+AU88)</x:f>
        <x:v>1.9077466062920345</x:v>
      </x:c>
      <x:c r="AW88" s="47" t="n">
        <x:f>AR88*AV88</x:f>
        <x:v>1835.2522352529372</x:v>
      </x:c>
      <x:c r="AX88" s="67" t="n">
        <x:f>IF(AQ88&gt;0,AW88*1000000/AQ88/Economy!Q88,0)</x:f>
        <x:v>0.11436481632499679</x:v>
      </x:c>
      <x:c r="AY88" s="45" t="n">
        <x:v>123100000</x:v>
      </x:c>
      <x:c r="AZ88" s="45" t="n">
        <x:v>5833</x:v>
      </x:c>
      <x:c r="BA88" s="68" t="n">
        <x:v>0.244</x:v>
      </x:c>
      <x:c r="BB88" s="47" t="n">
        <x:f>IF(AY88&gt;0,AZ88*1000000/AY88,0)</x:f>
        <x:v>47.3842404549147</x:v>
      </x:c>
      <x:c r="BC88" s="64" t="n">
        <x:f>IF(AND(BA88&gt;0,BB87&gt;0,B88&gt;0),MIN(conv_cap,conv_beta*1*BA88*MAX(0,LN(B88/(BB87*BD87)))),0)</x:f>
        <x:v>0.00846235180559094</x:v>
      </x:c>
      <x:c r="BD88" s="65" t="n">
        <x:f>BD87*(1+BC88)</x:f>
        <x:v>1.2162380620810491</x:v>
      </x:c>
      <x:c r="BE88" s="47" t="n">
        <x:f>AZ88*BD88</x:f>
        <x:v>7094.316616118759</x:v>
      </x:c>
      <x:c r="BF88" s="67" t="n">
        <x:f>IF(AY88&gt;0,BE88*1000000/AY88/Economy!Q88,0)</x:f>
        <x:v>0.07071229053259866</x:v>
      </x:c>
      <x:c r="BG88" s="45" t="n">
        <x:v>45400000</x:v>
      </x:c>
      <x:c r="BH88" s="45" t="n">
        <x:v>6778</x:v>
      </x:c>
      <x:c r="BI88" s="68" t="n">
        <x:v>0.394</x:v>
      </x:c>
      <x:c r="BJ88" s="47" t="n">
        <x:f>IF(BG88&gt;0,BH88*1000000/BG88,0)</x:f>
        <x:v>149.29515418502203</x:v>
      </x:c>
      <x:c r="BK88" s="64" t="n">
        <x:f>IF(AND(BI88&gt;0,BJ87&gt;0,B88&gt;0),MIN(conv_cap,conv_beta*1*BI88*MAX(0,LN(B88/(BJ87*BL87)))),0)</x:f>
        <x:v>0.00901037208622098</x:v>
      </x:c>
      <x:c r="BL88" s="65" t="n">
        <x:f>BL87*(1+BK88)</x:f>
        <x:v>1.2698023412096124</x:v>
      </x:c>
      <x:c r="BM88" s="47" t="n">
        <x:f>BH88*BL88</x:f>
        <x:v>8606.720268718753</x:v>
      </x:c>
      <x:c r="BN88" s="67" t="n">
        <x:f>IF(BG88&gt;0,BM88*1000000/BG88/Economy!Q88,0)</x:f>
        <x:v>0.23260777462011167</x:v>
      </x:c>
      <x:c r="BO88" s="45" t="n">
        <x:v>18800000</x:v>
      </x:c>
      <x:c r="BP88" s="45" t="n">
        <x:v>1756</x:v>
      </x:c>
      <x:c r="BQ88" s="68" t="n">
        <x:v>0.194</x:v>
      </x:c>
      <x:c r="BR88" s="47" t="n">
        <x:f>IF(BO88&gt;0,BP88*1000000/BO88,0)</x:f>
        <x:v>93.40425531914893</x:v>
      </x:c>
      <x:c r="BS88" s="64" t="n">
        <x:f>IF(AND(BQ88&gt;0,BR87&gt;0,B88&gt;0),MIN(conv_cap,conv_beta*1*BQ88*MAX(0,LN(B88/(BR87*BT87)))),0)</x:f>
        <x:v>0.005633634508702879</x:v>
      </x:c>
      <x:c r="BT88" s="65" t="n">
        <x:f>BT87*(1+BS88)</x:f>
        <x:v>1.0831921536979991</x:v>
      </x:c>
      <x:c r="BU88" s="47" t="n">
        <x:f>BP88*BT88</x:f>
        <x:v>1902.0854218936865</x:v>
      </x:c>
      <x:c r="BV88" s="67" t="n">
        <x:f>IF(BO88&gt;0,BU88*1000000/BO88/Economy!Q88,0)</x:f>
        <x:v>0.12414080550148066</x:v>
      </x:c>
      <x:c r="BW88" s="65" t="n">
        <x:f>0.25*IF(D88&gt;0,H88,1)+0.15*IF(AJ88&gt;0,AN88,1)+0.03*IF(AR88&gt;0,AV88,1)+0.08*IF(AZ88&gt;0,BD88,1)+0.12*IF(BH88&gt;0,BL88,1)+0.1*IF(L88&gt;0,P88,1)+0.07*IF(T88&gt;0,X88,1)+0.05*IF(AB88&gt;0,AF88,1)+0.05*IF(BP88&gt;0,BT88,1)+0.1</x:f>
        <x:v>1.6379807920867564</x:v>
      </x:c>
      <x:c r="BX88" s="63" t="n">
        <x:f>MIN(mkt_cap,mkt_elast*MAX(0,BW88-1))</x:f>
        <x:v>0.3189903960433782</x:v>
      </x:c>
      <x:c r="BY88" s="47" t="n">
        <x:f>I88+Q88+Y88+AG88</x:f>
        <x:v>31270.93754107456</x:v>
      </x:c>
      <x:c r="BZ88" s="47" t="n">
        <x:f>D88+L88+T88+AB88</x:f>
        <x:v>16503.554799999998</x:v>
      </x:c>
      <x:c r="CA88" s="65" t="n">
        <x:f>IF(BZ88&gt;0,BY88/BZ88,0)</x:f>
        <x:v>1.8948001154923644</x:v>
      </x:c>
    </x:row>
    <x:row r="89">
      <x:c r="A89" s="58" t="n">
        <x:v>1929</x:v>
      </x:c>
      <x:c r="B89" s="47" t="n">
        <x:f>Economy!P88</x:f>
        <x:v>1877.9757009212221</x:v>
      </x:c>
      <x:c r="C89" s="45" t="n">
        <x:v>63500000</x:v>
      </x:c>
      <x:c r="D89" s="62" t="n">
        <x:f>Japan!B89</x:f>
        <x:v>8130</x:v>
      </x:c>
      <x:c r="E89" s="68" t="n">
        <x:v>1</x:v>
      </x:c>
      <x:c r="F89" s="47" t="n">
        <x:f>IF(C89&gt;0,D89*1000000/C89,0)</x:f>
        <x:v>128.03149606299212</x:v>
      </x:c>
      <x:c r="G89" s="64" t="n">
        <x:f>IF(AND(E89&gt;0,F88&gt;0,B89&gt;0),MIN(conv_cap,conv_beta*jp_uplift*E89*MAX(0,LN(B89/(F88*H88)))),0)</x:f>
        <x:v>0.017569307686141872</x:v>
      </x:c>
      <x:c r="H89" s="65" t="n">
        <x:f>H88*(1+G89)</x:f>
        <x:v>2.5265914428412652</x:v>
      </x:c>
      <x:c r="I89" s="47" t="n">
        <x:f>D89*H89</x:f>
        <x:v>20541.188430299488</x:v>
      </x:c>
      <x:c r="J89" s="67" t="n">
        <x:f>IF(C89&gt;0,I89*1000000/C89/Economy!Q89,0)</x:f>
        <x:v>0.3765812367484529</x:v>
      </x:c>
      <x:c r="K89" s="62" t="n">
        <x:f>Gulf!B89</x:f>
        <x:v>10800000</x:v>
      </x:c>
      <x:c r="L89" s="47" t="n">
        <x:f>Gulf!B89*Gulf!C89*Economy!Q89/1000000</x:f>
        <x:v>6030.18</x:v>
      </x:c>
      <x:c r="M89" s="68" t="n">
        <x:v>0.85</x:v>
      </x:c>
      <x:c r="N89" s="47" t="n">
        <x:f>IF(K89&gt;0,L89*1000000/K89,0)</x:f>
        <x:v>558.35</x:v>
      </x:c>
      <x:c r="O89" s="64" t="n">
        <x:f>IF(AND(M89&gt;0,N88&gt;0,B89&gt;0),MIN(conv_cap,conv_beta*1*M89*MAX(0,LN(B89/(N88*P88)))),0)</x:f>
        <x:v>0.008939694811533342</x:v>
      </x:c>
      <x:c r="P89" s="65" t="n">
        <x:f>P88*(1+O89)</x:f>
        <x:v>1.2437250242553377</x:v>
      </x:c>
      <x:c r="Q89" s="47" t="n">
        <x:f>L89*P89</x:f>
        <x:v>7499.885766764052</x:v>
      </x:c>
      <x:c r="R89" s="67" t="n">
        <x:f>IF(K89&gt;0,Q89*1000000/K89/Economy!Q89,0)</x:f>
        <x:v>0.8084212657659694</x:v>
      </x:c>
      <x:c r="S89" s="62" t="n">
        <x:f>People!U89</x:f>
        <x:v>12421000</x:v>
      </x:c>
      <x:c r="T89" s="45" t="n">
        <x:v>1250</x:v>
      </x:c>
      <x:c r="U89" s="68" t="n">
        <x:v>0.738</x:v>
      </x:c>
      <x:c r="V89" s="47" t="n">
        <x:f>IF(S89&gt;0,T89*1000000/S89,0)</x:f>
        <x:v>100.63601964415103</x:v>
      </x:c>
      <x:c r="W89" s="64" t="n">
        <x:f>IF(AND(U89&gt;0,V88&gt;0,B89&gt;0),MIN(conv_cap,conv_beta*1*U89*MAX(0,LN(B89/(V88*X88)))),0)</x:f>
        <x:v>0.016728740956373115</x:v>
      </x:c>
      <x:c r="X89" s="65" t="n">
        <x:f>X88*(1+W89)</x:f>
        <x:v>1.9984691191553987</x:v>
      </x:c>
      <x:c r="Y89" s="47" t="n">
        <x:f>T89*X89</x:f>
        <x:v>2498.0863989442482</x:v>
      </x:c>
      <x:c r="Z89" s="67" t="n">
        <x:f>IF(S89&gt;0,Y89*1000000/S89/Economy!Q89,0)</x:f>
        <x:v>0.2341303580134481</x:v>
      </x:c>
      <x:c r="AA89" s="45" t="n">
        <x:v>12000000</x:v>
      </x:c>
      <x:c r="AB89" s="45" t="n">
        <x:v>1500</x:v>
      </x:c>
      <x:c r="AC89" s="68" t="n">
        <x:v>0.607</x:v>
      </x:c>
      <x:c r="AD89" s="47" t="n">
        <x:f>IF(AA89&gt;0,AB89*1000000/AA89,0)</x:f>
        <x:v>125</x:v>
      </x:c>
      <x:c r="AE89" s="64" t="n">
        <x:f>IF(AND(AC89&gt;0,AD88&gt;0,B89&gt;0),MIN(conv_cap,conv_beta*1*AC89*MAX(0,LN(B89/(AD88*AF88)))),0)</x:f>
        <x:v>0.015929168906549517</x:v>
      </x:c>
      <x:c r="AF89" s="65" t="n">
        <x:f>AF88*(1+AE89)</x:f>
        <x:v>1.1207997217205834</x:v>
      </x:c>
      <x:c r="AG89" s="47" t="n">
        <x:f>AB89*AF89</x:f>
        <x:v>1681.1995825808751</x:v>
      </x:c>
      <x:c r="AH89" s="67" t="n">
        <x:f>IF(AA89&gt;0,AG89*1000000/AA89/Economy!Q89,0)</x:f>
        <x:v>0.16309658348669723</x:v>
      </x:c>
      <x:c r="AI89" s="45" t="n">
        <x:v>490000000</x:v>
      </x:c>
      <x:c r="AJ89" s="45" t="n">
        <x:v>8000</x:v>
      </x:c>
      <x:c r="AK89" s="68" t="n">
        <x:v>0.35</x:v>
      </x:c>
      <x:c r="AL89" s="47" t="n">
        <x:f>IF(AI89&gt;0,AJ89*1000000/AI89,0)</x:f>
        <x:v>16.3265306122449</x:v>
      </x:c>
      <x:c r="AM89" s="64" t="n">
        <x:f>IF(AND(AK89&gt;0,AL88&gt;0,B89&gt;0),MIN(conv_cap,conv_beta*1*AK89*MAX(0,LN(B89/(AL88*AN88)))),0)</x:f>
        <x:v>0.015016856965786373</x:v>
      </x:c>
      <x:c r="AN89" s="65" t="n">
        <x:f>AN88*(1+AM89)</x:f>
        <x:v>1.6250330423259534</x:v>
      </x:c>
      <x:c r="AO89" s="47" t="n">
        <x:f>AJ89*AN89</x:f>
        <x:v>13000.264338607627</x:v>
      </x:c>
      <x:c r="AP89" s="67" t="n">
        <x:f>IF(AI89&gt;0,AO89*1000000/AI89/Economy!Q89,0)</x:f>
        <x:v>0.030886090467338926</x:v>
      </x:c>
      <x:c r="AQ89" s="45" t="n">
        <x:v>20000000</x:v>
      </x:c>
      <x:c r="AR89" s="45" t="n">
        <x:v>1000</x:v>
      </x:c>
      <x:c r="AS89" s="68" t="n">
        <x:v>0.6</x:v>
      </x:c>
      <x:c r="AT89" s="47" t="n">
        <x:f>IF(AQ89&gt;0,AR89*1000000/AQ89,0)</x:f>
        <x:v>50</x:v>
      </x:c>
      <x:c r="AU89" s="64" t="n">
        <x:f>IF(AND(AS89&gt;0,AT88&gt;0,B89&gt;0),MIN(conv_cap,conv_beta*1*AS89*MAX(0,LN(B89/(AT88*AV88)))),0)</x:f>
        <x:v>0.018018740427499427</x:v>
      </x:c>
      <x:c r="AV89" s="65" t="n">
        <x:f>AV88*(1+AU89)</x:f>
        <x:v>1.9421217971922535</x:v>
      </x:c>
      <x:c r="AW89" s="47" t="n">
        <x:f>AR89*AV89</x:f>
        <x:v>1942.1217971922536</x:v>
      </x:c>
      <x:c r="AX89" s="67" t="n">
        <x:f>IF(AQ89&gt;0,AW89*1000000/AQ89/Economy!Q89,0)</x:f>
        <x:v>0.11304550623936284</x:v>
      </x:c>
      <x:c r="AY89" s="45" t="n">
        <x:v>125000000</x:v>
      </x:c>
      <x:c r="AZ89" s="45" t="n">
        <x:v>6000</x:v>
      </x:c>
      <x:c r="BA89" s="68" t="n">
        <x:v>0.25</x:v>
      </x:c>
      <x:c r="BB89" s="47" t="n">
        <x:f>IF(AY89&gt;0,AZ89*1000000/AY89,0)</x:f>
        <x:v>48</x:v>
      </x:c>
      <x:c r="BC89" s="64" t="n">
        <x:f>IF(AND(BA89&gt;0,BB88&gt;0,B89&gt;0),MIN(conv_cap,conv_beta*1*BA89*MAX(0,LN(B89/(BB88*BD88)))),0)</x:f>
        <x:v>0.008709743720485934</x:v>
      </x:c>
      <x:c r="BD89" s="65" t="n">
        <x:f>BD88*(1+BC89)</x:f>
        <x:v>1.2268311839048756</x:v>
      </x:c>
      <x:c r="BE89" s="47" t="n">
        <x:f>AZ89*BD89</x:f>
        <x:v>7360.987103429254</x:v>
      </x:c>
      <x:c r="BF89" s="67" t="n">
        <x:f>IF(AY89&gt;0,BE89*1000000/AY89/Economy!Q89,0)</x:f>
        <x:v>0.0685540126046962</x:v>
      </x:c>
      <x:c r="BG89" s="45" t="n">
        <x:v>46000000</x:v>
      </x:c>
      <x:c r="BH89" s="45" t="n">
        <x:v>7000</x:v>
      </x:c>
      <x:c r="BI89" s="68" t="n">
        <x:v>0.4</x:v>
      </x:c>
      <x:c r="BJ89" s="47" t="n">
        <x:f>IF(BG89&gt;0,BH89*1000000/BG89,0)</x:f>
        <x:v>152.17391304347825</x:v>
      </x:c>
      <x:c r="BK89" s="64" t="n">
        <x:f>IF(AND(BI89&gt;0,BJ88&gt;0,B89&gt;0),MIN(conv_cap,conv_beta*1*BI89*MAX(0,LN(B89/(BJ88*BL88)))),0)</x:f>
        <x:v>0.009172652888972843</x:v>
      </x:c>
      <x:c r="BL89" s="65" t="n">
        <x:f>BL88*(1+BK89)</x:f>
        <x:v>1.2814497973231334</x:v>
      </x:c>
      <x:c r="BM89" s="47" t="n">
        <x:f>BH89*BL89</x:f>
        <x:v>8970.148581261934</x:v>
      </x:c>
      <x:c r="BN89" s="67" t="n">
        <x:f>IF(BG89&gt;0,BM89*1000000/BG89/Economy!Q89,0)</x:f>
        <x:v>0.22701190922867678</x:v>
      </x:c>
      <x:c r="BO89" s="45" t="n">
        <x:v>19000000</x:v>
      </x:c>
      <x:c r="BP89" s="45" t="n">
        <x:v>1800</x:v>
      </x:c>
      <x:c r="BQ89" s="68" t="n">
        <x:v>0.2</x:v>
      </x:c>
      <x:c r="BR89" s="47" t="n">
        <x:f>IF(BO89&gt;0,BP89*1000000/BO89,0)</x:f>
        <x:v>94.73684210526316</x:v>
      </x:c>
      <x:c r="BS89" s="64" t="n">
        <x:f>IF(AND(BQ89&gt;0,BR88&gt;0,B89&gt;0),MIN(conv_cap,conv_beta*1*BQ89*MAX(0,LN(B89/(BR88*BT88)))),0)</x:f>
        <x:v>0.005842200874001892</x:v>
      </x:c>
      <x:c r="BT89" s="65" t="n">
        <x:f>BT88*(1+BS89)</x:f>
        <x:v>1.0895203798450457</x:v>
      </x:c>
      <x:c r="BU89" s="47" t="n">
        <x:f>BP89*BT89</x:f>
        <x:v>1961.1366837210821</x:v>
      </x:c>
      <x:c r="BV89" s="67" t="n">
        <x:f>IF(BO89&gt;0,BU89*1000000/BO89/Economy!Q89,0)</x:f>
        <x:v>0.1201603261884126</x:v>
      </x:c>
      <x:c r="BW89" s="65" t="n">
        <x:f>0.25*IF(D89&gt;0,H89,1)+0.15*IF(AJ89&gt;0,AN89,1)+0.03*IF(AR89&gt;0,AV89,1)+0.08*IF(AZ89&gt;0,BD89,1)+0.12*IF(BH89&gt;0,BL89,1)+0.1*IF(L89&gt;0,P89,1)+0.07*IF(T89&gt;0,X89,1)+0.05*IF(AB89&gt;0,AF89,1)+0.05*IF(BP89&gt;0,BT89,1)+0.1</x:f>
        <x:v>1.660368287210836</x:v>
      </x:c>
      <x:c r="BX89" s="63" t="n">
        <x:f>MIN(mkt_cap,mkt_elast*MAX(0,BW89-1))</x:f>
        <x:v>0.33018414360541803</x:v>
      </x:c>
      <x:c r="BY89" s="47" t="n">
        <x:f>I89+Q89+Y89+AG89</x:f>
        <x:v>32220.36017858866</x:v>
      </x:c>
      <x:c r="BZ89" s="47" t="n">
        <x:f>D89+L89+T89+AB89</x:f>
        <x:v>16910.18</x:v>
      </x:c>
      <x:c r="CA89" s="65" t="n">
        <x:f>IF(BZ89&gt;0,BY89/BZ89,0)</x:f>
        <x:v>1.905382448831926</x:v>
      </x:c>
    </x:row>
    <x:row r="90">
      <x:c r="A90" s="58" t="n">
        <x:v>1930</x:v>
      </x:c>
      <x:c r="B90" s="47" t="n">
        <x:f>Economy!P89</x:f>
        <x:v>1928.6718902709933</x:v>
      </x:c>
      <x:c r="C90" s="45" t="n">
        <x:v>64470000</x:v>
      </x:c>
      <x:c r="D90" s="62" t="n">
        <x:f>Japan!B90</x:f>
        <x:v>7330</x:v>
      </x:c>
      <x:c r="E90" s="68" t="n">
        <x:v>1</x:v>
      </x:c>
      <x:c r="F90" s="47" t="n">
        <x:f>IF(C90&gt;0,D90*1000000/C90,0)</x:f>
        <x:v>113.6962928493873</x:v>
      </x:c>
      <x:c r="G90" s="64" t="n">
        <x:f>IF(AND(E90&gt;0,F89&gt;0,B90&gt;0),MIN(conv_cap,conv_beta*jp_uplift*E90*MAX(0,LN(B90/(F89*H89)))),0)</x:f>
        <x:v>0.017854394700425043</x:v>
      </x:c>
      <x:c r="H90" s="65" t="n">
        <x:f>H89*(1+G90)</x:f>
        <x:v>2.57170220370847</x:v>
      </x:c>
      <x:c r="I90" s="47" t="n">
        <x:f>D90*H90</x:f>
        <x:v>18850.577153183083</x:v>
      </x:c>
      <x:c r="J90" s="67" t="n">
        <x:f>IF(C90&gt;0,I90*1000000/C90/Economy!Q90,0)</x:f>
        <x:v>0.3908997418104985</x:v>
      </x:c>
      <x:c r="K90" s="62" t="n">
        <x:f>Gulf!B90</x:f>
        <x:v>10930000</x:v>
      </x:c>
      <x:c r="L90" s="47" t="n">
        <x:f>Gulf!B90*Gulf!C90*Economy!Q90/1000000</x:f>
        <x:v>5232.4096</x:v>
      </x:c>
      <x:c r="M90" s="68" t="n">
        <x:v>0.85</x:v>
      </x:c>
      <x:c r="N90" s="47" t="n">
        <x:f>IF(K90&gt;0,L90*1000000/K90,0)</x:f>
        <x:v>478.72</x:v>
      </x:c>
      <x:c r="O90" s="64" t="n">
        <x:f>IF(AND(M90&gt;0,N89&gt;0,B90&gt;0),MIN(conv_cap,conv_beta*1*M90*MAX(0,LN(B90/(N89*P89)))),0)</x:f>
        <x:v>0.008682664754231208</x:v>
      </x:c>
      <x:c r="P90" s="65" t="n">
        <x:f>P89*(1+O90)</x:f>
        <x:v>1.254523871687395</x:v>
      </x:c>
      <x:c r="Q90" s="47" t="n">
        <x:f>L90*P90</x:f>
        <x:v>6564.182749646294</x:v>
      </x:c>
      <x:c r="R90" s="67" t="n">
        <x:f>IF(K90&gt;0,Q90*1000000/K90/Economy!Q90,0)</x:f>
        <x:v>0.8028952778799329</x:v>
      </x:c>
      <x:c r="S90" s="62" t="n">
        <x:f>People!U90</x:f>
        <x:v>12614000</x:v>
      </x:c>
      <x:c r="T90" s="45" t="n">
        <x:v>1140</x:v>
      </x:c>
      <x:c r="U90" s="68" t="n">
        <x:v>0.742</x:v>
      </x:c>
      <x:c r="V90" s="47" t="n">
        <x:f>IF(S90&gt;0,T90*1000000/S90,0)</x:f>
        <x:v>90.37577295068971</x:v>
      </x:c>
      <x:c r="W90" s="64" t="n">
        <x:f>IF(AND(U90&gt;0,V89&gt;0,B90&gt;0),MIN(conv_cap,conv_beta*1*U90*MAX(0,LN(B90/(V89*X89)))),0)</x:f>
        <x:v>0.016774358506380236</x:v>
      </x:c>
      <x:c r="X90" s="65" t="n">
        <x:f>X89*(1+W90)</x:f>
        <x:v>2.031992156624041</x:v>
      </x:c>
      <x:c r="Y90" s="47" t="n">
        <x:f>T90*X90</x:f>
        <x:v>2316.4710585514067</x:v>
      </x:c>
      <x:c r="Z90" s="67" t="n">
        <x:f>IF(S90&gt;0,Y90*1000000/S90/Economy!Q90,0)</x:f>
        <x:v>0.245511847305664</x:v>
      </x:c>
      <x:c r="AA90" s="45" t="n">
        <x:v>12170000</x:v>
      </x:c>
      <x:c r="AB90" s="45" t="n">
        <x:v>1400</x:v>
      </x:c>
      <x:c r="AC90" s="68" t="n">
        <x:v>0.621</x:v>
      </x:c>
      <x:c r="AD90" s="47" t="n">
        <x:f>IF(AA90&gt;0,AB90*1000000/AA90,0)</x:f>
        <x:v>115.03697617091208</x:v>
      </x:c>
      <x:c r="AE90" s="64" t="n">
        <x:f>IF(AND(AC90&gt;0,AD89&gt;0,B90&gt;0),MIN(conv_cap,conv_beta*1*AC90*MAX(0,LN(B90/(AD89*AF89)))),0)</x:f>
        <x:v>0.016284052648301732</x:v>
      </x:c>
      <x:c r="AF90" s="65" t="n">
        <x:f>AF89*(1+AE90)</x:f>
        <x:v>1.1390508833972832</x:v>
      </x:c>
      <x:c r="AG90" s="47" t="n">
        <x:f>AB90*AF90</x:f>
        <x:v>1594.6712367561965</x:v>
      </x:c>
      <x:c r="AH90" s="67" t="n">
        <x:f>IF(AA90&gt;0,AG90*1000000/AA90/Economy!Q90,0)</x:f>
        <x:v>0.17517776648506633</x:v>
      </x:c>
      <x:c r="AI90" s="45" t="n">
        <x:v>493300000</x:v>
      </x:c>
      <x:c r="AJ90" s="45" t="n">
        <x:v>7667</x:v>
      </x:c>
      <x:c r="AK90" s="68" t="n">
        <x:v>0.35</x:v>
      </x:c>
      <x:c r="AL90" s="47" t="n">
        <x:f>IF(AI90&gt;0,AJ90*1000000/AI90,0)</x:f>
        <x:v>15.54226636934928</x:v>
      </x:c>
      <x:c r="AM90" s="64" t="n">
        <x:f>IF(AND(AK90&gt;0,AL89&gt;0,B90&gt;0),MIN(conv_cap,conv_beta*1*AK90*MAX(0,LN(B90/(AL89*AN89)))),0)</x:f>
        <x:v>0.015001935642381831</x:v>
      </x:c>
      <x:c r="AN90" s="65" t="n">
        <x:f>AN89*(1+AM90)</x:f>
        <x:v>1.6494116834436712</x:v>
      </x:c>
      <x:c r="AO90" s="47" t="n">
        <x:f>AJ90*AN90</x:f>
        <x:v>12646.039376962626</x:v>
      </x:c>
      <x:c r="AP90" s="67" t="n">
        <x:f>IF(AI90&gt;0,AO90*1000000/AI90/Economy!Q90,0)</x:f>
        <x:v>0.03427218681390153</x:v>
      </x:c>
      <x:c r="AQ90" s="45" t="n">
        <x:v>20330000</x:v>
      </x:c>
      <x:c r="AR90" s="45" t="n">
        <x:v>933</x:v>
      </x:c>
      <x:c r="AS90" s="68" t="n">
        <x:v>0.6</x:v>
      </x:c>
      <x:c r="AT90" s="47" t="n">
        <x:f>IF(AQ90&gt;0,AR90*1000000/AQ90,0)</x:f>
        <x:v>45.89276930644368</x:v>
      </x:c>
      <x:c r="AU90" s="64" t="n">
        <x:f>IF(AND(AS90&gt;0,AT89&gt;0,B90&gt;0),MIN(conv_cap,conv_beta*1*AS90*MAX(0,LN(B90/(AT89*AV89)))),0)</x:f>
        <x:v>0.017932696887208548</x:v>
      </x:c>
      <x:c r="AV90" s="65" t="n">
        <x:f>AV89*(1+AU90)</x:f>
        <x:v>1.9769492786993428</x:v>
      </x:c>
      <x:c r="AW90" s="47" t="n">
        <x:f>AR90*AV90</x:f>
        <x:v>1844.493677026487</x:v>
      </x:c>
      <x:c r="AX90" s="67" t="n">
        <x:f>IF(AQ90&gt;0,AW90*1000000/AQ90/Economy!Q90,0)</x:f>
        <x:v>0.12129368606669676</x:v>
      </x:c>
      <x:c r="AY90" s="45" t="n">
        <x:v>126700000</x:v>
      </x:c>
      <x:c r="AZ90" s="45" t="n">
        <x:v>5167</x:v>
      </x:c>
      <x:c r="BA90" s="68" t="n">
        <x:v>0.25</x:v>
      </x:c>
      <x:c r="BB90" s="47" t="n">
        <x:f>IF(AY90&gt;0,AZ90*1000000/AY90,0)</x:f>
        <x:v>40.781373322809785</x:v>
      </x:c>
      <x:c r="BC90" s="64" t="n">
        <x:f>IF(AND(BA90&gt;0,BB89&gt;0,B90&gt;0),MIN(conv_cap,conv_beta*1*BA90*MAX(0,LN(B90/(BB89*BD89)))),0)</x:f>
        <x:v>0.00872237830631169</x:v>
      </x:c>
      <x:c r="BD90" s="65" t="n">
        <x:f>BD89*(1+BC90)</x:f>
        <x:v>1.237532069608874</x:v>
      </x:c>
      <x:c r="BE90" s="47" t="n">
        <x:f>AZ90*BD90</x:f>
        <x:v>6394.3282036690525</x:v>
      </x:c>
      <x:c r="BF90" s="67" t="n">
        <x:f>IF(AY90&gt;0,BE90*1000000/AY90/Economy!Q90,0)</x:f>
        <x:v>0.06747093225891568</x:v>
      </x:c>
      <x:c r="BG90" s="45" t="n">
        <x:v>46700000</x:v>
      </x:c>
      <x:c r="BH90" s="45" t="n">
        <x:v>6000</x:v>
      </x:c>
      <x:c r="BI90" s="68" t="n">
        <x:v>0.4</x:v>
      </x:c>
      <x:c r="BJ90" s="47" t="n">
        <x:f>IF(BG90&gt;0,BH90*1000000/BG90,0)</x:f>
        <x:v>128.4796573875803</x:v>
      </x:c>
      <x:c r="BK90" s="64" t="n">
        <x:f>IF(AND(BI90&gt;0,BJ89&gt;0,B90&gt;0),MIN(conv_cap,conv_beta*1*BI90*MAX(0,LN(B90/(BJ89*BL89)))),0)</x:f>
        <x:v>0.00916628313038529</x:v>
      </x:c>
      <x:c r="BL90" s="65" t="n">
        <x:f>BL89*(1+BK90)</x:f>
        <x:v>1.2931959289827721</x:v>
      </x:c>
      <x:c r="BM90" s="47" t="n">
        <x:f>BH90*BL90</x:f>
        <x:v>7759.175573896633</x:v>
      </x:c>
      <x:c r="BN90" s="67" t="n">
        <x:f>IF(BG90&gt;0,BM90*1000000/BG90/Economy!Q90,0)</x:f>
        <x:v>0.2221248260571126</x:v>
      </x:c>
      <x:c r="BO90" s="45" t="n">
        <x:v>19300000</x:v>
      </x:c>
      <x:c r="BP90" s="45" t="n">
        <x:v>1667</x:v>
      </x:c>
      <x:c r="BQ90" s="68" t="n">
        <x:v>0.217</x:v>
      </x:c>
      <x:c r="BR90" s="47" t="n">
        <x:f>IF(BO90&gt;0,BP90*1000000/BO90,0)</x:f>
        <x:v>86.37305699481865</x:v>
      </x:c>
      <x:c r="BS90" s="64" t="n">
        <x:f>IF(AND(BQ90&gt;0,BR89&gt;0,B90&gt;0),MIN(conv_cap,conv_beta*1*BQ90*MAX(0,LN(B90/(BR89*BT89)))),0)</x:f>
        <x:v>0.006353209600407063</x:v>
      </x:c>
      <x:c r="BT90" s="65" t="n">
        <x:f>BT89*(1+BS90)</x:f>
        <x:v>1.0964423311821163</x:v>
      </x:c>
      <x:c r="BU90" s="47" t="n">
        <x:f>BP90*BT90</x:f>
        <x:v>1827.7693660805878</x:v>
      </x:c>
      <x:c r="BV90" s="67" t="n">
        <x:f>IF(BO90&gt;0,BU90*1000000/BO90/Economy!Q90,0)</x:f>
        <x:v>0.12660839032449833</x:v>
      </x:c>
      <x:c r="BW90" s="65" t="n">
        <x:f>0.25*IF(D90&gt;0,H90,1)+0.15*IF(AJ90&gt;0,AN90,1)+0.03*IF(AR90&gt;0,AV90,1)+0.08*IF(AZ90&gt;0,BD90,1)+0.12*IF(BH90&gt;0,BL90,1)+0.1*IF(L90&gt;0,P90,1)+0.07*IF(T90&gt;0,X90,1)+0.05*IF(AB90&gt;0,AF90,1)+0.05*IF(BP90&gt;0,BT90,1)+0.1</x:f>
        <x:v>1.6832983577126834</x:v>
      </x:c>
      <x:c r="BX90" s="63" t="n">
        <x:f>MIN(mkt_cap,mkt_elast*MAX(0,BW90-1))</x:f>
        <x:v>0.3416491788563417</x:v>
      </x:c>
      <x:c r="BY90" s="47" t="n">
        <x:f>I90+Q90+Y90+AG90</x:f>
        <x:v>29325.90219813698</x:v>
      </x:c>
      <x:c r="BZ90" s="47" t="n">
        <x:f>D90+L90+T90+AB90</x:f>
        <x:v>15102.409599999999</x:v>
      </x:c>
      <x:c r="CA90" s="65" t="n">
        <x:f>IF(BZ90&gt;0,BY90/BZ90,0)</x:f>
        <x:v>1.9418028629111597</x:v>
      </x:c>
    </x:row>
    <x:row r="91">
      <x:c r="A91" s="58" t="n">
        <x:v>1931</x:v>
      </x:c>
      <x:c r="B91" s="47" t="n">
        <x:f>Economy!P90</x:f>
        <x:v>1765.153218076912</x:v>
      </x:c>
      <x:c r="C91" s="45" t="n">
        <x:v>65430000</x:v>
      </x:c>
      <x:c r="D91" s="62" t="n">
        <x:f>Japan!B91</x:f>
        <x:v>6630</x:v>
      </x:c>
      <x:c r="E91" s="68" t="n">
        <x:v>1</x:v>
      </x:c>
      <x:c r="F91" s="47" t="n">
        <x:f>IF(C91&gt;0,D91*1000000/C91,0)</x:f>
        <x:v>101.32966529115085</x:v>
      </x:c>
      <x:c r="G91" s="64" t="n">
        <x:f>IF(AND(E91&gt;0,F90&gt;0,B91&gt;0),MIN(conv_cap,conv_beta*jp_uplift*E91*MAX(0,LN(B91/(F90*H90)))),0)</x:f>
        <x:v>0.01797893963417537</x:v>
      </x:c>
      <x:c r="H91" s="65" t="n">
        <x:f>H90*(1+G91)</x:f>
        <x:v>2.6179386823860202</x:v>
      </x:c>
      <x:c r="I91" s="47" t="n">
        <x:f>D91*H91</x:f>
        <x:v>17356.933464219313</x:v>
      </x:c>
      <x:c r="J91" s="67" t="n">
        <x:f>IF(C91&gt;0,I91*1000000/C91/Economy!Q91,0)</x:f>
        <x:v>0.4251199526264934</x:v>
      </x:c>
      <x:c r="K91" s="62" t="n">
        <x:f>Gulf!B91</x:f>
        <x:v>11070000</x:v>
      </x:c>
      <x:c r="L91" s="47" t="n">
        <x:f>Gulf!B91*Gulf!C91*Economy!Q91/1000000</x:f>
        <x:v>4351.8384</x:v>
      </x:c>
      <x:c r="M91" s="68" t="n">
        <x:v>0.85</x:v>
      </x:c>
      <x:c r="N91" s="47" t="n">
        <x:f>IF(K91&gt;0,L91*1000000/K91,0)</x:f>
        <x:v>393.12</x:v>
      </x:c>
      <x:c r="O91" s="64" t="n">
        <x:f>IF(AND(M91&gt;0,N90&gt;0,B91&gt;0),MIN(conv_cap,conv_beta*1*M91*MAX(0,LN(B91/(N90*P90)))),0)</x:f>
        <x:v>0.009164026662920627</x:v>
      </x:c>
      <x:c r="P91" s="65" t="n">
        <x:f>P90*(1+O91)</x:f>
        <x:v>1.2660203618968089</x:v>
      </x:c>
      <x:c r="Q91" s="47" t="n">
        <x:f>L91*P91</x:f>
        <x:v>5509.5160260844295</x:v>
      </x:c>
      <x:c r="R91" s="67" t="n">
        <x:f>IF(K91&gt;0,Q91*1000000/K91/Economy!Q91,0)</x:f>
        <x:v>0.7975928279949895</x:v>
      </x:c>
      <x:c r="S91" s="62" t="n">
        <x:f>People!U91</x:f>
        <x:v>12807000</x:v>
      </x:c>
      <x:c r="T91" s="45" t="n">
        <x:v>1030</x:v>
      </x:c>
      <x:c r="U91" s="68" t="n">
        <x:v>0.746</x:v>
      </x:c>
      <x:c r="V91" s="47" t="n">
        <x:f>IF(S91&gt;0,T91*1000000/S91,0)</x:f>
        <x:v>80.42476770516124</x:v>
      </x:c>
      <x:c r="W91" s="64" t="n">
        <x:f>IF(AND(U91&gt;0,V90&gt;0,B91&gt;0),MIN(conv_cap,conv_beta*1*U91*MAX(0,LN(B91/(V90*X90)))),0)</x:f>
        <x:v>0.016881979043491355</x:v>
      </x:c>
      <x:c r="X91" s="65" t="n">
        <x:f>X90*(1+W91)</x:f>
        <x:v>2.066296205628707</x:v>
      </x:c>
      <x:c r="Y91" s="47" t="n">
        <x:f>T91*X91</x:f>
        <x:v>2128.285091797568</x:v>
      </x:c>
      <x:c r="Z91" s="67" t="n">
        <x:f>IF(S91&gt;0,Y91*1000000/S91/Economy!Q91,0)</x:f>
        <x:v>0.26631633389061665</x:v>
      </x:c>
      <x:c r="AA91" s="45" t="n">
        <x:v>12330000</x:v>
      </x:c>
      <x:c r="AB91" s="45" t="n">
        <x:v>1300</x:v>
      </x:c>
      <x:c r="AC91" s="68" t="n">
        <x:v>0.636</x:v>
      </x:c>
      <x:c r="AD91" s="47" t="n">
        <x:f>IF(AA91&gt;0,AB91*1000000/AA91,0)</x:f>
        <x:v>105.43390105433902</x:v>
      </x:c>
      <x:c r="AE91" s="64" t="n">
        <x:f>IF(AND(AC91&gt;0,AD90&gt;0,B91&gt;0),MIN(conv_cap,conv_beta*1*AC91*MAX(0,LN(B91/(AD90*AF90)))),0)</x:f>
        <x:v>0.016539458624545502</x:v>
      </x:c>
      <x:c r="AF91" s="65" t="n">
        <x:f>AF90*(1+AE91)</x:f>
        <x:v>1.1578901683544847</x:v>
      </x:c>
      <x:c r="AG91" s="47" t="n">
        <x:f>AB91*AF91</x:f>
        <x:v>1505.25721886083</x:v>
      </x:c>
      <x:c r="AH91" s="67" t="n">
        <x:f>IF(AA91&gt;0,AG91*1000000/AA91/Economy!Q91,0)</x:f>
        <x:v>0.195642431798203</x:v>
      </x:c>
      <x:c r="AI91" s="45" t="n">
        <x:v>496700000</x:v>
      </x:c>
      <x:c r="AJ91" s="45" t="n">
        <x:v>7333</x:v>
      </x:c>
      <x:c r="AK91" s="68" t="n">
        <x:v>0.35</x:v>
      </x:c>
      <x:c r="AL91" s="47" t="n">
        <x:f>IF(AI91&gt;0,AJ91*1000000/AI91,0)</x:f>
        <x:v>14.76343869538957</x:v>
      </x:c>
      <x:c r="AM91" s="64" t="n">
        <x:f>IF(AND(AK91&gt;0,AL90&gt;0,B91&gt;0),MIN(conv_cap,conv_beta*1*AK91*MAX(0,LN(B91/(AL90*AN90)))),0)</x:f>
        <x:v>0.014812038256912581</x:v>
      </x:c>
      <x:c r="AN91" s="65" t="n">
        <x:f>AN90*(1+AM91)</x:f>
        <x:v>1.6738428324002375</x:v>
      </x:c>
      <x:c r="AO91" s="47" t="n">
        <x:f>AJ91*AN91</x:f>
        <x:v>12274.28948999094</x:v>
      </x:c>
      <x:c r="AP91" s="67" t="n">
        <x:f>IF(AI91&gt;0,AO91*1000000/AI91/Economy!Q91,0)</x:f>
        <x:v>0.03960204493887523</x:v>
      </x:c>
      <x:c r="AQ91" s="45" t="n">
        <x:v>20670000</x:v>
      </x:c>
      <x:c r="AR91" s="45" t="n">
        <x:v>867</x:v>
      </x:c>
      <x:c r="AS91" s="68" t="n">
        <x:v>0.6</x:v>
      </x:c>
      <x:c r="AT91" s="47" t="n">
        <x:f>IF(AQ91&gt;0,AR91*1000000/AQ91,0)</x:f>
        <x:v>41.944847605224965</x:v>
      </x:c>
      <x:c r="AU91" s="64" t="n">
        <x:f>IF(AND(AS91&gt;0,AT90&gt;0,B91&gt;0),MIN(conv_cap,conv_beta*1*AS91*MAX(0,LN(B91/(AT90*AV90)))),0)</x:f>
        <x:v>0.017808781879996523</x:v>
      </x:c>
      <x:c r="AV91" s="65" t="n">
        <x:f>AV90*(1+AU91)</x:f>
        <x:v>2.012156337191516</x:v>
      </x:c>
      <x:c r="AW91" s="47" t="n">
        <x:f>AR91*AV91</x:f>
        <x:v>1744.5395443450445</x:v>
      </x:c>
      <x:c r="AX91" s="67" t="n">
        <x:f>IF(AQ91&gt;0,AW91*1000000/AQ91/Economy!Q91,0)</x:f>
        <x:v>0.13525575468170803</x:v>
      </x:c>
      <x:c r="AY91" s="45" t="n">
        <x:v>128300000</x:v>
      </x:c>
      <x:c r="AZ91" s="45" t="n">
        <x:v>4333</x:v>
      </x:c>
      <x:c r="BA91" s="68" t="n">
        <x:v>0.25</x:v>
      </x:c>
      <x:c r="BB91" s="47" t="n">
        <x:f>IF(AY91&gt;0,AZ91*1000000/AY91,0)</x:f>
        <x:v>33.77240841777085</x:v>
      </x:c>
      <x:c r="BC91" s="64" t="n">
        <x:f>IF(AND(BA91&gt;0,BB90&gt;0,B91&gt;0),MIN(conv_cap,conv_beta*1*BA91*MAX(0,LN(B91/(BB90*BD90)))),0)</x:f>
        <x:v>0.008886620509469917</x:v>
      </x:c>
      <x:c r="BD91" s="65" t="n">
        <x:f>BD90*(1+BC91)</x:f>
        <x:v>1.248529547479787</x:v>
      </x:c>
      <x:c r="BE91" s="47" t="n">
        <x:f>AZ91*BD91</x:f>
        <x:v>5409.878529229917</x:v>
      </x:c>
      <x:c r="BF91" s="67" t="n">
        <x:f>IF(AY91&gt;0,BE91*1000000/AY91/Economy!Q91,0)</x:f>
        <x:v>0.06757347724221474</x:v>
      </x:c>
      <x:c r="BG91" s="45" t="n">
        <x:v>47300000</x:v>
      </x:c>
      <x:c r="BH91" s="45" t="n">
        <x:v>5000</x:v>
      </x:c>
      <x:c r="BI91" s="68" t="n">
        <x:v>0.4</x:v>
      </x:c>
      <x:c r="BJ91" s="47" t="n">
        <x:f>IF(BG91&gt;0,BH91*1000000/BG91,0)</x:f>
        <x:v>105.70824524312897</x:v>
      </x:c>
      <x:c r="BK91" s="64" t="n">
        <x:f>IF(AND(BI91&gt;0,BJ90&gt;0,B91&gt;0),MIN(conv_cap,conv_beta*1*BI91*MAX(0,LN(B91/(BJ90*BL90)))),0)</x:f>
        <x:v>0.009452422289308725</x:v>
      </x:c>
      <x:c r="BL91" s="65" t="n">
        <x:f>BL90*(1+BK91)</x:f>
        <x:v>1.305419763006332</x:v>
      </x:c>
      <x:c r="BM91" s="47" t="n">
        <x:f>BH91*BL91</x:f>
        <x:v>6527.09881503166</x:v>
      </x:c>
      <x:c r="BN91" s="67" t="n">
        <x:f>IF(BG91&gt;0,BM91*1000000/BG91/Economy!Q91,0)</x:f>
        <x:v>0.22114364175176385</x:v>
      </x:c>
      <x:c r="BO91" s="45" t="n">
        <x:v>19700000</x:v>
      </x:c>
      <x:c r="BP91" s="45" t="n">
        <x:v>1533</x:v>
      </x:c>
      <x:c r="BQ91" s="68" t="n">
        <x:v>0.233</x:v>
      </x:c>
      <x:c r="BR91" s="47" t="n">
        <x:f>IF(BO91&gt;0,BP91*1000000/BO91,0)</x:f>
        <x:v>77.81725888324873</x:v>
      </x:c>
      <x:c r="BS91" s="64" t="n">
        <x:f>IF(AND(BQ91&gt;0,BR90&gt;0,B91&gt;0),MIN(conv_cap,conv_beta*1*BQ91*MAX(0,LN(B91/(BR90*BT90)))),0)</x:f>
        <x:v>0.00681582386482644</x:v>
      </x:c>
      <x:c r="BT91" s="65" t="n">
        <x:f>BT90*(1+BS91)</x:f>
        <x:v>1.1039154889893932</x:v>
      </x:c>
      <x:c r="BU91" s="47" t="n">
        <x:f>BP91*BT91</x:f>
        <x:v>1692.3024446207398</x:v>
      </x:c>
      <x:c r="BV91" s="67" t="n">
        <x:f>IF(BO91&gt;0,BU91*1000000/BO91/Economy!Q91,0)</x:f>
        <x:v>0.13766614966653162</x:v>
      </x:c>
      <x:c r="BW91" s="65" t="n">
        <x:f>0.25*IF(D91&gt;0,H91,1)+0.15*IF(AJ91&gt;0,AN91,1)+0.03*IF(AR91&gt;0,AV91,1)+0.08*IF(AZ91&gt;0,BD91,1)+0.12*IF(BH91&gt;0,BL91,1)+0.1*IF(L91&gt;0,P91,1)+0.07*IF(T91&gt;0,X91,1)+0.05*IF(AB91&gt;0,AF91,1)+0.05*IF(BP91&gt;0,BT91,1)+0.1</x:f>
        <x:v>1.7067915743823137</x:v>
      </x:c>
      <x:c r="BX91" s="63" t="n">
        <x:f>MIN(mkt_cap,mkt_elast*MAX(0,BW91-1))</x:f>
        <x:v>0.35339578719115683</x:v>
      </x:c>
      <x:c r="BY91" s="47" t="n">
        <x:f>I91+Q91+Y91+AG91</x:f>
        <x:v>26499.99180096214</x:v>
      </x:c>
      <x:c r="BZ91" s="47" t="n">
        <x:f>D91+L91+T91+AB91</x:f>
        <x:v>13311.8384</x:v>
      </x:c>
      <x:c r="CA91" s="65" t="n">
        <x:f>IF(BZ91&gt;0,BY91/BZ91,0)</x:f>
        <x:v>1.9907086462950256</x:v>
      </x:c>
    </x:row>
    <x:row r="92">
      <x:c r="A92" s="58" t="n">
        <x:v>1932</x:v>
      </x:c>
      <x:c r="B92" s="47" t="n">
        <x:f>Economy!P91</x:f>
        <x:v>1565.4957386548003</x:v>
      </x:c>
      <x:c r="C92" s="45" t="n">
        <x:v>66400000</x:v>
      </x:c>
      <x:c r="D92" s="62" t="n">
        <x:f>Japan!B92</x:f>
        <x:v>6480</x:v>
      </x:c>
      <x:c r="E92" s="68" t="n">
        <x:v>1</x:v>
      </x:c>
      <x:c r="F92" s="47" t="n">
        <x:f>IF(C92&gt;0,D92*1000000/C92,0)</x:f>
        <x:v>97.59036144578313</x:v>
      </x:c>
      <x:c r="G92" s="64" t="n">
        <x:f>IF(AND(E92&gt;0,F91&gt;0,B92&gt;0),MIN(conv_cap,conv_beta*jp_uplift*E92*MAX(0,LN(B92/(F91*H91)))),0)</x:f>
        <x:v>0.01775191358764957</x:v>
      </x:c>
      <x:c r="H92" s="65" t="n">
        <x:f>H91*(1+G92)</x:f>
        <x:v>2.6644121036535022</x:v>
      </x:c>
      <x:c r="I92" s="47" t="n">
        <x:f>D92*H92</x:f>
        <x:v>17265.390431674696</x:v>
      </x:c>
      <x:c r="J92" s="67" t="n">
        <x:f>IF(C92&gt;0,I92*1000000/C92/Economy!Q92,0)</x:f>
        <x:v>0.5462624794875308</x:v>
      </x:c>
      <x:c r="K92" s="62" t="n">
        <x:f>Gulf!B92</x:f>
        <x:v>11200000</x:v>
      </x:c>
      <x:c r="L92" s="47" t="n">
        <x:f>Gulf!B92*Gulf!C92*Economy!Q92/1000000</x:f>
        <x:v>3305.344</x:v>
      </x:c>
      <x:c r="M92" s="68" t="n">
        <x:v>0.85</x:v>
      </x:c>
      <x:c r="N92" s="47" t="n">
        <x:f>IF(K92&gt;0,L92*1000000/K92,0)</x:f>
        <x:v>295.12</x:v>
      </x:c>
      <x:c r="O92" s="64" t="n">
        <x:f>IF(AND(M92&gt;0,N91&gt;0,B92&gt;0),MIN(conv_cap,conv_beta*1*M92*MAX(0,LN(B92/(N91*P91)))),0)</x:f>
        <x:v>0.00974069827308475</x:v>
      </x:c>
      <x:c r="P92" s="65" t="n">
        <x:f>P91*(1+O92)</x:f>
        <x:v>1.2783522842496273</x:v>
      </x:c>
      <x:c r="Q92" s="47" t="n">
        <x:f>L92*P92</x:f>
        <x:v>4225.394052630801</x:v>
      </x:c>
      <x:c r="R92" s="67" t="n">
        <x:f>IF(K92&gt;0,Q92*1000000/K92/Economy!Q92,0)</x:f>
        <x:v>0.792578416234769</x:v>
      </x:c>
      <x:c r="S92" s="62" t="n">
        <x:f>People!U92</x:f>
        <x:v>13000000</x:v>
      </x:c>
      <x:c r="T92" s="45" t="n">
        <x:v>920</x:v>
      </x:c>
      <x:c r="U92" s="68" t="n">
        <x:v>0.75</x:v>
      </x:c>
      <x:c r="V92" s="47" t="n">
        <x:f>IF(S92&gt;0,T92*1000000/S92,0)</x:f>
        <x:v>70.76923076923077</x:v>
      </x:c>
      <x:c r="W92" s="64" t="n">
        <x:f>IF(AND(U92&gt;0,V91&gt;0,B92&gt;0),MIN(conv_cap,conv_beta*1*U92*MAX(0,LN(B92/(V91*X91)))),0)</x:f>
        <x:v>0.01682158426480919</x:v>
      </x:c>
      <x:c r="X92" s="65" t="n">
        <x:f>X91*(1+W92)</x:f>
        <x:v>2.1010545813677455</x:v>
      </x:c>
      <x:c r="Y92" s="47" t="n">
        <x:f>T92*X92</x:f>
        <x:v>1932.9702148583258</x:v>
      </x:c>
      <x:c r="Z92" s="67" t="n">
        <x:f>IF(S92&gt;0,Y92*1000000/S92/Economy!Q92,0)</x:f>
        <x:v>0.31237398430160407</x:v>
      </x:c>
      <x:c r="AA92" s="45" t="n">
        <x:v>12500000</x:v>
      </x:c>
      <x:c r="AB92" s="45" t="n">
        <x:v>1200</x:v>
      </x:c>
      <x:c r="AC92" s="68" t="n">
        <x:v>0.65</x:v>
      </x:c>
      <x:c r="AD92" s="47" t="n">
        <x:f>IF(AA92&gt;0,AB92*1000000/AA92,0)</x:f>
        <x:v>96</x:v>
      </x:c>
      <x:c r="AE92" s="64" t="n">
        <x:f>IF(AND(AC92&gt;0,AD91&gt;0,B92&gt;0),MIN(conv_cap,conv_beta*1*AC92*MAX(0,LN(B92/(AD91*AF91)))),0)</x:f>
        <x:v>0.016583281414587574</x:v>
      </x:c>
      <x:c r="AF92" s="65" t="n">
        <x:f>AF91*(1+AE92)</x:f>
        <x:v>1.1770917868634914</x:v>
      </x:c>
      <x:c r="AG92" s="47" t="n">
        <x:f>AB92*AF92</x:f>
        <x:v>1412.5101442361897</x:v>
      </x:c>
      <x:c r="AH92" s="67" t="n">
        <x:f>IF(AA92&gt;0,AG92*1000000/AA92/Economy!Q92,0)</x:f>
        <x:v>0.23739666289683858</x:v>
      </x:c>
      <x:c r="AI92" s="45" t="n">
        <x:v>500000000</x:v>
      </x:c>
      <x:c r="AJ92" s="45" t="n">
        <x:v>7000</x:v>
      </x:c>
      <x:c r="AK92" s="68" t="n">
        <x:v>0.35</x:v>
      </x:c>
      <x:c r="AL92" s="47" t="n">
        <x:f>IF(AI92&gt;0,AJ92*1000000/AI92,0)</x:f>
        <x:v>14</x:v>
      </x:c>
      <x:c r="AM92" s="64" t="n">
        <x:f>IF(AND(AK92&gt;0,AL91&gt;0,B92&gt;0),MIN(conv_cap,conv_beta*1*AK92*MAX(0,LN(B92/(AL91*AN91)))),0)</x:f>
        <x:v>0.014520386903900898</x:v>
      </x:c>
      <x:c r="AN92" s="65" t="n">
        <x:f>AN91*(1+AM92)</x:f>
        <x:v>1.6981476779430105</x:v>
      </x:c>
      <x:c r="AO92" s="47" t="n">
        <x:f>AJ92*AN92</x:f>
        <x:v>11887.033745601073</x:v>
      </x:c>
      <x:c r="AP92" s="67" t="n">
        <x:f>IF(AI92&gt;0,AO92*1000000/AI92/Economy!Q92,0)</x:f>
        <x:v>0.049945519939500305</x:v>
      </x:c>
      <x:c r="AQ92" s="45" t="n">
        <x:v>21000000</x:v>
      </x:c>
      <x:c r="AR92" s="45" t="n">
        <x:v>800</x:v>
      </x:c>
      <x:c r="AS92" s="68" t="n">
        <x:v>0.6</x:v>
      </x:c>
      <x:c r="AT92" s="47" t="n">
        <x:f>IF(AQ92&gt;0,AR92*1000000/AQ92,0)</x:f>
        <x:v>38.095238095238095</x:v>
      </x:c>
      <x:c r="AU92" s="64" t="n">
        <x:f>IF(AND(AS92&gt;0,AT91&gt;0,B92&gt;0),MIN(conv_cap,conv_beta*1*AS92*MAX(0,LN(B92/(AT91*AV91)))),0)</x:f>
        <x:v>0.017522371584245886</x:v>
      </x:c>
      <x:c r="AV92" s="65" t="n">
        <x:f>AV91*(1+AU92)</x:f>
        <x:v>2.047414088217381</x:v>
      </x:c>
      <x:c r="AW92" s="47" t="n">
        <x:f>AR92*AV92</x:f>
        <x:v>1637.9312705739046</x:v>
      </x:c>
      <x:c r="AX92" s="67" t="n">
        <x:f>IF(AQ92&gt;0,AW92*1000000/AQ92/Economy!Q92,0)</x:f>
        <x:v>0.1638586705256007</x:v>
      </x:c>
      <x:c r="AY92" s="45" t="n">
        <x:v>130000000</x:v>
      </x:c>
      <x:c r="AZ92" s="45" t="n">
        <x:v>3500</x:v>
      </x:c>
      <x:c r="BA92" s="68" t="n">
        <x:v>0.25</x:v>
      </x:c>
      <x:c r="BB92" s="47" t="n">
        <x:f>IF(AY92&gt;0,AZ92*1000000/AY92,0)</x:f>
        <x:v>26.923076923076923</x:v>
      </x:c>
      <x:c r="BC92" s="64" t="n">
        <x:f>IF(AND(BA92&gt;0,BB91&gt;0,B92&gt;0),MIN(conv_cap,conv_beta*1*BA92*MAX(0,LN(B92/(BB91*BD91)))),0)</x:f>
        <x:v>0.009035867929421699</x:v>
      </x:c>
      <x:c r="BD92" s="65" t="n">
        <x:f>BD91*(1+BC92)</x:f>
        <x:v>1.2598110955767952</x:v>
      </x:c>
      <x:c r="BE92" s="47" t="n">
        <x:f>AZ92*BD92</x:f>
        <x:v>4409.338834518783</x:v>
      </x:c>
      <x:c r="BF92" s="67" t="n">
        <x:f>IF(AY92&gt;0,BE92*1000000/AY92/Economy!Q92,0)</x:f>
        <x:v>0.07125628368647031</x:v>
      </x:c>
      <x:c r="BG92" s="45" t="n">
        <x:v>48000000</x:v>
      </x:c>
      <x:c r="BH92" s="45" t="n">
        <x:v>4000</x:v>
      </x:c>
      <x:c r="BI92" s="68" t="n">
        <x:v>0.4</x:v>
      </x:c>
      <x:c r="BJ92" s="47" t="n">
        <x:f>IF(BG92&gt;0,BH92*1000000/BG92,0)</x:f>
        <x:v>83.33333333333333</x:v>
      </x:c>
      <x:c r="BK92" s="64" t="n">
        <x:f>IF(AND(BI92&gt;0,BJ91&gt;0,B92&gt;0),MIN(conv_cap,conv_beta*1*BI92*MAX(0,LN(B92/(BJ91*BL91)))),0)</x:f>
        <x:v>0.009715001105118744</x:v>
      </x:c>
      <x:c r="BL92" s="65" t="n">
        <x:f>BL91*(1+BK92)</x:f>
        <x:v>1.3181019174465824</x:v>
      </x:c>
      <x:c r="BM92" s="47" t="n">
        <x:f>BH92*BL92</x:f>
        <x:v>5272.40766978633</x:v>
      </x:c>
      <x:c r="BN92" s="67" t="n">
        <x:f>IF(BG92&gt;0,BM92*1000000/BG92/Economy!Q92,0)</x:f>
        <x:v>0.23076013960899555</x:v>
      </x:c>
      <x:c r="BO92" s="45" t="n">
        <x:v>20000000</x:v>
      </x:c>
      <x:c r="BP92" s="45" t="n">
        <x:v>1400</x:v>
      </x:c>
      <x:c r="BQ92" s="68" t="n">
        <x:v>0.25</x:v>
      </x:c>
      <x:c r="BR92" s="47" t="n">
        <x:f>IF(BO92&gt;0,BP92*1000000/BO92,0)</x:f>
        <x:v>70</x:v>
      </x:c>
      <x:c r="BS92" s="64" t="n">
        <x:f>IF(AND(BQ92&gt;0,BR91&gt;0,B92&gt;0),MIN(conv_cap,conv_beta*1*BQ92*MAX(0,LN(B92/(BR91*BT91)))),0)</x:f>
        <x:v>0.007256827951259739</x:v>
      </x:c>
      <x:c r="BT92" s="65" t="n">
        <x:f>BT91*(1+BS92)</x:f>
        <x:v>1.1119264137657199</x:v>
      </x:c>
      <x:c r="BU92" s="47" t="n">
        <x:f>BP92*BT92</x:f>
        <x:v>1556.6969792720079</x:v>
      </x:c>
      <x:c r="BV92" s="67" t="n">
        <x:f>IF(BO92&gt;0,BU92*1000000/BO92/Economy!Q92,0)</x:f>
        <x:v>0.1635185902596647</x:v>
      </x:c>
      <x:c r="BW92" s="65" t="n">
        <x:f>0.25*IF(D92&gt;0,H92,1)+0.15*IF(AJ92&gt;0,AN92,1)+0.03*IF(AR92&gt;0,AV92,1)+0.08*IF(AZ92&gt;0,BD92,1)+0.12*IF(BH92&gt;0,BL92,1)+0.1*IF(L92&gt;0,P92,1)+0.07*IF(T92&gt;0,X92,1)+0.05*IF(AB92&gt;0,AF92,1)+0.05*IF(BP92&gt;0,BT92,1)+0.1</x:f>
        <x:v>1.7305646771432477</x:v>
      </x:c>
      <x:c r="BX92" s="63" t="n">
        <x:f>MIN(mkt_cap,mkt_elast*MAX(0,BW92-1))</x:f>
        <x:v>0.36528233857162384</x:v>
      </x:c>
      <x:c r="BY92" s="47" t="n">
        <x:f>I92+Q92+Y92+AG92</x:f>
        <x:v>24836.26484340001</x:v>
      </x:c>
      <x:c r="BZ92" s="47" t="n">
        <x:f>D92+L92+T92+AB92</x:f>
        <x:v>11905.344000000001</x:v>
      </x:c>
      <x:c r="CA92" s="65" t="n">
        <x:f>IF(BZ92&gt;0,BY92/BZ92,0)</x:f>
        <x:v>2.086144242736708</x:v>
      </x:c>
    </x:row>
  </x:sheetData>
  <x:mergeCells>
    <x:mergeCell ref="C4:J4"/>
    <x:mergeCell ref="BO4:BV4"/>
    <x:mergeCell ref="AA4:AH4"/>
    <x:mergeCell ref="AQ4:AX4"/>
    <x:mergeCell ref="AI4:AP4"/>
    <x:mergeCell ref="BG4:BN4"/>
    <x:mergeCell ref="BW4:BX4"/>
    <x:mergeCell ref="AY4:BF4"/>
    <x:mergeCell ref="BY4:CA4"/>
    <x:mergeCell ref="K4:R4"/>
    <x:mergeCell ref="S4:Z4"/>
  </x:mergeCells>
  <x:pageMargins left="0.7" right="0.7" top="0.75" bottom="0.75" header="0.3" footer="0.3"/>
  <x:legacyDrawing xmlns:r="http://schemas.openxmlformats.org/officeDocument/2006/relationships" r:id="Rf2595326212a4b46"/>
</x:worksheet>
</file>

<file path=xl/worksheets/sheet20.xml><?xml version="1.0" encoding="utf-8"?>
<x:worksheet xmlns:x="http://schemas.openxmlformats.org/spreadsheetml/2006/main">
  <x:sheetPr>
    <x:tabColor rgb="FF7030A0"/>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1" customWidth="1"/>
    <x:col min="7" max="7" width="11" customWidth="1"/>
    <x:col min="8" max="8" width="11" customWidth="1"/>
    <x:col min="9" max="9" width="11" customWidth="1"/>
    <x:col min="10" max="10" width="11" customWidth="1"/>
    <x:col min="11" max="11" width="11" customWidth="1"/>
    <x:col min="12" max="12" width="11" customWidth="1"/>
    <x:col min="13" max="13" width="11" customWidth="1"/>
    <x:col min="14" max="14" width="11" customWidth="1"/>
    <x:col min="15" max="15" width="11" customWidth="1"/>
    <x:col min="16" max="16" width="11" customWidth="1"/>
    <x:col min="17" max="17" width="11" customWidth="1"/>
    <x:col min="18" max="18" width="11" customWidth="1"/>
    <x:col min="19" max="19" width="11" customWidth="1"/>
    <x:col min="20" max="20" width="11" customWidth="1"/>
    <x:col min="21" max="21" width="9" customWidth="1"/>
    <x:col min="22" max="22" width="9" customWidth="1"/>
    <x:col min="23" max="23" width="9" customWidth="1"/>
    <x:col min="24" max="24" width="9" customWidth="1"/>
    <x:col min="25" max="25" width="9" customWidth="1"/>
    <x:col min="26" max="26" width="9" customWidth="1"/>
    <x:col min="27" max="27" width="9" customWidth="1"/>
    <x:col min="28" max="28" width="12.5" customWidth="1"/>
    <x:col min="29" max="29" width="12.5" customWidth="1"/>
    <x:col min="30" max="30" width="12.5" customWidth="1"/>
    <x:col min="31" max="31" width="12.5" customWidth="1"/>
    <x:col min="32" max="32" width="12.5" customWidth="1"/>
  </x:cols>
  <x:sheetData>
    <x:row r="1">
      <x:c r="A1" s="18" t="inlineStr">
        <x:is>
          <x:t xml:space="preserve">Gulf Republic and the admission test</x:t>
        </x:is>
      </x:c>
    </x:row>
    <x:row r="2">
      <x:c r="A2" s="2" t="inlineStr">
        <x:is>
          <x:t xml:space="preserve">The six §25 indicators against the bar, and what the Gulf adds if it joins. Switch it on Levers (Gulf Republic).</x:t>
        </x:is>
      </x:c>
    </x:row>
    <x:row r="3">
      <x:c r="A3" s="19" t="inlineStr">
        <x:is>
          <x:t xml:space="preserve">Years run down the page. Blue = input you can change · black = formula · green = link to another sheet. Hover a column heading for its definition.</x:t>
        </x:is>
      </x:c>
    </x:row>
    <x:row r="4">
      <x:c r="B4" s="56" t="inlineStr">
        <x:is>
          <x:t xml:space="preserve">Economy</x:t>
        </x:is>
      </x:c>
      <x:c r="F4" s="56" t="inlineStr">
        <x:is>
          <x:t xml:space="preserve">Admission indicators (§25)</x:t>
        </x:is>
      </x:c>
      <x:c r="U4" s="56" t="inlineStr">
        <x:is>
          <x:t xml:space="preserve">Test</x:t>
        </x:is>
      </x:c>
    </x:row>
    <x:row r="5" ht="54" customHeight="1">
      <x:c r="A5" s="57" t="inlineStr">
        <x:is>
          <x:t xml:space="preserve">Year</x:t>
        </x:is>
      </x:c>
      <x:c r="B5" s="6" t="inlineStr">
        <x:is>
          <x:t xml:space="preserve">Residents</x:t>
        </x:is>
      </x:c>
      <x:c r="C5" s="6" t="inlineStr">
        <x:is>
          <x:t xml:space="preserve">Output per person vs the US, historical</x:t>
        </x:is>
      </x:c>
      <x:c r="D5" s="6" t="inlineStr">
        <x:is>
          <x:t xml:space="preserve">GDP ($m)</x:t>
        </x:is>
      </x:c>
      <x:c r="E5" s="6" t="inlineStr">
        <x:is>
          <x:t xml:space="preserve">Member of Pacifica (1/0)</x:t>
        </x:is>
      </x:c>
      <x:c r="F5" s="6" t="inlineStr">
        <x:is>
          <x:t xml:space="preserve">Gulf: Infant deaths per 1,000 births</x:t>
        </x:is>
      </x:c>
      <x:c r="G5" s="6" t="inlineStr">
        <x:is>
          <x:t xml:space="preserve">Bar: weakest member (Infant deaths per 1,000 births)</x:t>
        </x:is>
      </x:c>
      <x:c r="H5" s="6" t="inlineStr">
        <x:is>
          <x:t xml:space="preserve">Gulf: Literacy, age 10+</x:t>
        </x:is>
      </x:c>
      <x:c r="I5" s="6" t="inlineStr">
        <x:is>
          <x:t xml:space="preserve">Bar: weakest member (Literacy, age 10+)</x:t>
        </x:is>
      </x:c>
      <x:c r="J5" s="6" t="inlineStr">
        <x:is>
          <x:t xml:space="preserve">Gulf: Unskilled real wage (bar = 100%)</x:t>
        </x:is>
      </x:c>
      <x:c r="K5" s="6" t="inlineStr">
        <x:is>
          <x:t xml:space="preserve">Bar: weakest member (Unskilled real wage (bar = 100%))</x:t>
        </x:is>
      </x:c>
      <x:c r="L5" s="6" t="inlineStr">
        <x:is>
          <x:t xml:space="preserve">Gulf: Homicides per 100,000</x:t>
        </x:is>
      </x:c>
      <x:c r="M5" s="6" t="inlineStr">
        <x:is>
          <x:t xml:space="preserve">Bar: weakest member (Homicides per 100,000)</x:t>
        </x:is>
      </x:c>
      <x:c r="N5" s="6" t="inlineStr">
        <x:is>
          <x:t xml:space="preserve">Gulf: Typhoid deaths per 100,000</x:t>
        </x:is>
      </x:c>
      <x:c r="O5" s="6" t="inlineStr">
        <x:is>
          <x:t xml:space="preserve">Bar: weakest member (Typhoid deaths per 100,000)</x:t>
        </x:is>
      </x:c>
      <x:c r="P5" s="6" t="inlineStr">
        <x:is>
          <x:t xml:space="preserve">Gulf: Black / white infant mortality</x:t>
        </x:is>
      </x:c>
      <x:c r="Q5" s="6" t="inlineStr">
        <x:is>
          <x:t xml:space="preserve">Parity bar (Black / white infant mortality)</x:t>
        </x:is>
      </x:c>
      <x:c r="R5" s="6" t="inlineStr">
        <x:is>
          <x:t xml:space="preserve">Gulf: Black / white pass rate, Defense Law examination</x:t>
        </x:is>
      </x:c>
      <x:c r="S5" s="6" t="inlineStr">
        <x:is>
          <x:t xml:space="preserve">Parity bar (Black / white pass rate, Defense Law examination)</x:t>
        </x:is>
      </x:c>
      <x:c r="T5" s="6" t="inlineStr">
        <x:is>
          <x:t xml:space="preserve">Gulf real wage after the oil glut</x:t>
        </x:is>
      </x:c>
      <x:c r="U5" s="6" t="inlineStr">
        <x:is>
          <x:t xml:space="preserve">Passes: Infant deaths per 1</x:t>
        </x:is>
      </x:c>
      <x:c r="V5" s="6" t="inlineStr">
        <x:is>
          <x:t xml:space="preserve">Passes: Literacy</x:t>
        </x:is>
      </x:c>
      <x:c r="W5" s="6" t="inlineStr">
        <x:is>
          <x:t xml:space="preserve">Passes: Unskilled real wage</x:t>
        </x:is>
      </x:c>
      <x:c r="X5" s="6" t="inlineStr">
        <x:is>
          <x:t xml:space="preserve">Passes: Homicides per 100</x:t>
        </x:is>
      </x:c>
      <x:c r="Y5" s="6" t="inlineStr">
        <x:is>
          <x:t xml:space="preserve">Passes: Typhoid deaths per 100</x:t>
        </x:is>
      </x:c>
      <x:c r="Z5" s="6" t="inlineStr">
        <x:is>
          <x:t xml:space="preserve">Passes: Black / white infant mortality</x:t>
        </x:is>
      </x:c>
      <x:c r="AA5" s="6" t="inlineStr">
        <x:is>
          <x:t xml:space="preserve">Passes: Black / white pass rate</x:t>
        </x:is>
      </x:c>
      <x:c r="AB5" s="6" t="inlineStr">
        <x:is>
          <x:t xml:space="preserve">The five general measures pass</x:t>
        </x:is>
      </x:c>
      <x:c r="AC5" s="6" t="inlineStr">
        <x:is>
          <x:t xml:space="preserve">Both parity measures pass</x:t>
        </x:is>
      </x:c>
      <x:c r="AD5" s="6" t="inlineStr">
        <x:is>
          <x:t xml:space="preserve">Everything passes</x:t>
        </x:is>
      </x:c>
      <x:c r="AE5" s="6" t="inlineStr">
        <x:is>
          <x:t xml:space="preserve">Passing years in a row</x:t>
        </x:is>
      </x:c>
      <x:c r="AF5" s="6" t="inlineStr">
        <x:is>
          <x:t xml:space="preserve">May join this year (a generation of passing years before)</x:t>
        </x:is>
      </x:c>
    </x:row>
    <x:row r="6">
      <x:c r="A6" s="58" t="n">
        <x:v>1846</x:v>
      </x:c>
      <x:c r="B6" s="45" t="n">
        <x:v>0</x:v>
      </x:c>
      <x:c r="C6" s="68" t="n">
        <x:v>0</x:v>
      </x:c>
      <x:c r="D6" s="47" t="n">
        <x:f>Partners!Q6*(1-IF(AND(OR(oil_compact=0,$A6&lt;compact_year),OR($A6=1931,$A6=1932)),gulf_glut_gdp,0))</x:f>
        <x:v>0</x:v>
      </x:c>
      <x:c r="E6" s="47" t="n">
        <x:f>IF(AND(gulf_on=1,$A6&gt;=gulf_year),1,0)</x:f>
        <x:v>0</x:v>
      </x:c>
      <x:c r="F6" s="45" t="n">
        <x:v>0</x:v>
      </x:c>
      <x:c r="G6" s="45" t="n">
        <x:v>0</x:v>
      </x:c>
      <x:c r="H6" s="59" t="n">
        <x:v>0</x:v>
      </x:c>
      <x:c r="I6" s="59" t="n">
        <x:v>0</x:v>
      </x:c>
      <x:c r="J6" s="59" t="n">
        <x:v>0</x:v>
      </x:c>
      <x:c r="K6" s="59" t="n">
        <x:v>0</x:v>
      </x:c>
      <x:c r="L6" s="52" t="n">
        <x:v>0</x:v>
      </x:c>
      <x:c r="M6" s="52" t="n">
        <x:v>0</x:v>
      </x:c>
      <x:c r="N6" s="52" t="n">
        <x:v>0</x:v>
      </x:c>
      <x:c r="O6" s="52" t="n">
        <x:v>0</x:v>
      </x:c>
      <x:c r="P6" s="68" t="n">
        <x:v>0</x:v>
      </x:c>
      <x:c r="Q6" s="68" t="n">
        <x:v>0</x:v>
      </x:c>
      <x:c r="R6" s="68" t="n">
        <x:v>0</x:v>
      </x:c>
      <x:c r="S6" s="68" t="n">
        <x:v>0</x:v>
      </x:c>
      <x:c r="T6" s="63" t="n">
        <x:f>J6-IF(AND(OR(oil_compact=0,$A6&lt;compact_year),$A6&gt;=1931,$A6&lt;=1933),gulf_wage_dip,0)</x:f>
        <x:v>0</x:v>
      </x:c>
      <x:c r="U6" s="47" t="n">
        <x:f>IF($A6&lt;1900,0,IF(F6&lt;=G6,1,0))</x:f>
        <x:v>0</x:v>
      </x:c>
      <x:c r="V6" s="47" t="n">
        <x:f>IF($A6&lt;1900,0,IF(H6&gt;=I6,1,0))</x:f>
        <x:v>0</x:v>
      </x:c>
      <x:c r="W6" s="47" t="n">
        <x:f>IF($A6&lt;1900,0,IF(T6&gt;=K6,1,0))</x:f>
        <x:v>0</x:v>
      </x:c>
      <x:c r="X6" s="47" t="n">
        <x:f>IF($A6&lt;1900,0,IF(L6&lt;=M6,1,0))</x:f>
        <x:v>0</x:v>
      </x:c>
      <x:c r="Y6" s="47" t="n">
        <x:f>IF($A6&lt;1900,0,IF(N6&lt;=O6,1,0))</x:f>
        <x:v>0</x:v>
      </x:c>
      <x:c r="Z6" s="47" t="n">
        <x:f>IF($A6&lt;1900,0,IF(P6&lt;=Q6,1,0))</x:f>
        <x:v>0</x:v>
      </x:c>
      <x:c r="AA6" s="47" t="n">
        <x:f>IF($A6&lt;1900,0,IF(R6&gt;=S6,1,0))</x:f>
        <x:v>0</x:v>
      </x:c>
      <x:c r="AB6" s="47" t="n">
        <x:f>IF(SUM(U6:Y6)=5,1,0)</x:f>
        <x:v>0</x:v>
      </x:c>
      <x:c r="AC6" s="47" t="n">
        <x:f>IF(Z6+AA6=2,1,0)</x:f>
        <x:v>0</x:v>
      </x:c>
      <x:c r="AD6" s="47" t="n">
        <x:f>IF(AND(AB6=1,AC6=1),1,0)</x:f>
        <x:v>0</x:v>
      </x:c>
      <x:c r="AE6" s="47" t="n">
        <x:f>0</x:f>
        <x:v>0</x:v>
      </x:c>
      <x:c r="AF6" s="47" t="n">
        <x:f>0</x:f>
        <x:v>0</x:v>
      </x:c>
    </x:row>
    <x:row r="7">
      <x:c r="A7" s="58" t="n">
        <x:v>1847</x:v>
      </x:c>
      <x:c r="B7" s="45" t="n">
        <x:v>0</x:v>
      </x:c>
      <x:c r="C7" s="68" t="n">
        <x:v>0</x:v>
      </x:c>
      <x:c r="D7" s="47" t="n">
        <x:f>Partners!Q7*(1-IF(AND(OR(oil_compact=0,$A7&lt;compact_year),OR($A7=1931,$A7=1932)),gulf_glut_gdp,0))</x:f>
        <x:v>0</x:v>
      </x:c>
      <x:c r="E7" s="47" t="n">
        <x:f>IF(AND(gulf_on=1,$A7&gt;=gulf_year),1,0)</x:f>
        <x:v>0</x:v>
      </x:c>
      <x:c r="F7" s="45" t="n">
        <x:v>0</x:v>
      </x:c>
      <x:c r="G7" s="45" t="n">
        <x:v>0</x:v>
      </x:c>
      <x:c r="H7" s="59" t="n">
        <x:v>0</x:v>
      </x:c>
      <x:c r="I7" s="59" t="n">
        <x:v>0</x:v>
      </x:c>
      <x:c r="J7" s="59" t="n">
        <x:v>0</x:v>
      </x:c>
      <x:c r="K7" s="59" t="n">
        <x:v>0</x:v>
      </x:c>
      <x:c r="L7" s="52" t="n">
        <x:v>0</x:v>
      </x:c>
      <x:c r="M7" s="52" t="n">
        <x:v>0</x:v>
      </x:c>
      <x:c r="N7" s="52" t="n">
        <x:v>0</x:v>
      </x:c>
      <x:c r="O7" s="52" t="n">
        <x:v>0</x:v>
      </x:c>
      <x:c r="P7" s="68" t="n">
        <x:v>0</x:v>
      </x:c>
      <x:c r="Q7" s="68" t="n">
        <x:v>0</x:v>
      </x:c>
      <x:c r="R7" s="68" t="n">
        <x:v>0</x:v>
      </x:c>
      <x:c r="S7" s="68" t="n">
        <x:v>0</x:v>
      </x:c>
      <x:c r="T7" s="63" t="n">
        <x:f>J7-IF(AND(OR(oil_compact=0,$A7&lt;compact_year),$A7&gt;=1931,$A7&lt;=1933),gulf_wage_dip,0)</x:f>
        <x:v>0</x:v>
      </x:c>
      <x:c r="U7" s="47" t="n">
        <x:f>IF($A7&lt;1900,0,IF(F7&lt;=G7,1,0))</x:f>
        <x:v>0</x:v>
      </x:c>
      <x:c r="V7" s="47" t="n">
        <x:f>IF($A7&lt;1900,0,IF(H7&gt;=I7,1,0))</x:f>
        <x:v>0</x:v>
      </x:c>
      <x:c r="W7" s="47" t="n">
        <x:f>IF($A7&lt;1900,0,IF(T7&gt;=K7,1,0))</x:f>
        <x:v>0</x:v>
      </x:c>
      <x:c r="X7" s="47" t="n">
        <x:f>IF($A7&lt;1900,0,IF(L7&lt;=M7,1,0))</x:f>
        <x:v>0</x:v>
      </x:c>
      <x:c r="Y7" s="47" t="n">
        <x:f>IF($A7&lt;1900,0,IF(N7&lt;=O7,1,0))</x:f>
        <x:v>0</x:v>
      </x:c>
      <x:c r="Z7" s="47" t="n">
        <x:f>IF($A7&lt;1900,0,IF(P7&lt;=Q7,1,0))</x:f>
        <x:v>0</x:v>
      </x:c>
      <x:c r="AA7" s="47" t="n">
        <x:f>IF($A7&lt;1900,0,IF(R7&gt;=S7,1,0))</x:f>
        <x:v>0</x:v>
      </x:c>
      <x:c r="AB7" s="47" t="n">
        <x:f>IF(SUM(U7:Y7)=5,1,0)</x:f>
        <x:v>0</x:v>
      </x:c>
      <x:c r="AC7" s="47" t="n">
        <x:f>IF(Z7+AA7=2,1,0)</x:f>
        <x:v>0</x:v>
      </x:c>
      <x:c r="AD7" s="47" t="n">
        <x:f>IF(AND(AB7=1,AC7=1),1,0)</x:f>
        <x:v>0</x:v>
      </x:c>
      <x:c r="AE7" s="47" t="n">
        <x:f>IF(AD7=1,AE6+1,0)</x:f>
        <x:v>0</x:v>
      </x:c>
      <x:c r="AF7" s="47" t="n">
        <x:f>IF(AE6&gt;=gulf_years_req,1,0)</x:f>
        <x:v>0</x:v>
      </x:c>
    </x:row>
    <x:row r="8">
      <x:c r="A8" s="58" t="n">
        <x:v>1848</x:v>
      </x:c>
      <x:c r="B8" s="45" t="n">
        <x:v>0</x:v>
      </x:c>
      <x:c r="C8" s="68" t="n">
        <x:v>0</x:v>
      </x:c>
      <x:c r="D8" s="47" t="n">
        <x:f>Partners!Q8*(1-IF(AND(OR(oil_compact=0,$A8&lt;compact_year),OR($A8=1931,$A8=1932)),gulf_glut_gdp,0))</x:f>
        <x:v>0</x:v>
      </x:c>
      <x:c r="E8" s="47" t="n">
        <x:f>IF(AND(gulf_on=1,$A8&gt;=gulf_year),1,0)</x:f>
        <x:v>0</x:v>
      </x:c>
      <x:c r="F8" s="45" t="n">
        <x:v>0</x:v>
      </x:c>
      <x:c r="G8" s="45" t="n">
        <x:v>0</x:v>
      </x:c>
      <x:c r="H8" s="59" t="n">
        <x:v>0</x:v>
      </x:c>
      <x:c r="I8" s="59" t="n">
        <x:v>0</x:v>
      </x:c>
      <x:c r="J8" s="59" t="n">
        <x:v>0</x:v>
      </x:c>
      <x:c r="K8" s="59" t="n">
        <x:v>0</x:v>
      </x:c>
      <x:c r="L8" s="52" t="n">
        <x:v>0</x:v>
      </x:c>
      <x:c r="M8" s="52" t="n">
        <x:v>0</x:v>
      </x:c>
      <x:c r="N8" s="52" t="n">
        <x:v>0</x:v>
      </x:c>
      <x:c r="O8" s="52" t="n">
        <x:v>0</x:v>
      </x:c>
      <x:c r="P8" s="68" t="n">
        <x:v>0</x:v>
      </x:c>
      <x:c r="Q8" s="68" t="n">
        <x:v>0</x:v>
      </x:c>
      <x:c r="R8" s="68" t="n">
        <x:v>0</x:v>
      </x:c>
      <x:c r="S8" s="68" t="n">
        <x:v>0</x:v>
      </x:c>
      <x:c r="T8" s="63" t="n">
        <x:f>J8-IF(AND(OR(oil_compact=0,$A8&lt;compact_year),$A8&gt;=1931,$A8&lt;=1933),gulf_wage_dip,0)</x:f>
        <x:v>0</x:v>
      </x:c>
      <x:c r="U8" s="47" t="n">
        <x:f>IF($A8&lt;1900,0,IF(F8&lt;=G8,1,0))</x:f>
        <x:v>0</x:v>
      </x:c>
      <x:c r="V8" s="47" t="n">
        <x:f>IF($A8&lt;1900,0,IF(H8&gt;=I8,1,0))</x:f>
        <x:v>0</x:v>
      </x:c>
      <x:c r="W8" s="47" t="n">
        <x:f>IF($A8&lt;1900,0,IF(T8&gt;=K8,1,0))</x:f>
        <x:v>0</x:v>
      </x:c>
      <x:c r="X8" s="47" t="n">
        <x:f>IF($A8&lt;1900,0,IF(L8&lt;=M8,1,0))</x:f>
        <x:v>0</x:v>
      </x:c>
      <x:c r="Y8" s="47" t="n">
        <x:f>IF($A8&lt;1900,0,IF(N8&lt;=O8,1,0))</x:f>
        <x:v>0</x:v>
      </x:c>
      <x:c r="Z8" s="47" t="n">
        <x:f>IF($A8&lt;1900,0,IF(P8&lt;=Q8,1,0))</x:f>
        <x:v>0</x:v>
      </x:c>
      <x:c r="AA8" s="47" t="n">
        <x:f>IF($A8&lt;1900,0,IF(R8&gt;=S8,1,0))</x:f>
        <x:v>0</x:v>
      </x:c>
      <x:c r="AB8" s="47" t="n">
        <x:f>IF(SUM(U8:Y8)=5,1,0)</x:f>
        <x:v>0</x:v>
      </x:c>
      <x:c r="AC8" s="47" t="n">
        <x:f>IF(Z8+AA8=2,1,0)</x:f>
        <x:v>0</x:v>
      </x:c>
      <x:c r="AD8" s="47" t="n">
        <x:f>IF(AND(AB8=1,AC8=1),1,0)</x:f>
        <x:v>0</x:v>
      </x:c>
      <x:c r="AE8" s="47" t="n">
        <x:f>IF(AD8=1,AE7+1,0)</x:f>
        <x:v>0</x:v>
      </x:c>
      <x:c r="AF8" s="47" t="n">
        <x:f>IF(AE7&gt;=gulf_years_req,1,0)</x:f>
        <x:v>0</x:v>
      </x:c>
    </x:row>
    <x:row r="9">
      <x:c r="A9" s="58" t="n">
        <x:v>1849</x:v>
      </x:c>
      <x:c r="B9" s="45" t="n">
        <x:v>0</x:v>
      </x:c>
      <x:c r="C9" s="68" t="n">
        <x:v>0</x:v>
      </x:c>
      <x:c r="D9" s="47" t="n">
        <x:f>Partners!Q9*(1-IF(AND(OR(oil_compact=0,$A9&lt;compact_year),OR($A9=1931,$A9=1932)),gulf_glut_gdp,0))</x:f>
        <x:v>0</x:v>
      </x:c>
      <x:c r="E9" s="47" t="n">
        <x:f>IF(AND(gulf_on=1,$A9&gt;=gulf_year),1,0)</x:f>
        <x:v>0</x:v>
      </x:c>
      <x:c r="F9" s="45" t="n">
        <x:v>0</x:v>
      </x:c>
      <x:c r="G9" s="45" t="n">
        <x:v>0</x:v>
      </x:c>
      <x:c r="H9" s="59" t="n">
        <x:v>0</x:v>
      </x:c>
      <x:c r="I9" s="59" t="n">
        <x:v>0</x:v>
      </x:c>
      <x:c r="J9" s="59" t="n">
        <x:v>0</x:v>
      </x:c>
      <x:c r="K9" s="59" t="n">
        <x:v>0</x:v>
      </x:c>
      <x:c r="L9" s="52" t="n">
        <x:v>0</x:v>
      </x:c>
      <x:c r="M9" s="52" t="n">
        <x:v>0</x:v>
      </x:c>
      <x:c r="N9" s="52" t="n">
        <x:v>0</x:v>
      </x:c>
      <x:c r="O9" s="52" t="n">
        <x:v>0</x:v>
      </x:c>
      <x:c r="P9" s="68" t="n">
        <x:v>0</x:v>
      </x:c>
      <x:c r="Q9" s="68" t="n">
        <x:v>0</x:v>
      </x:c>
      <x:c r="R9" s="68" t="n">
        <x:v>0</x:v>
      </x:c>
      <x:c r="S9" s="68" t="n">
        <x:v>0</x:v>
      </x:c>
      <x:c r="T9" s="63" t="n">
        <x:f>J9-IF(AND(OR(oil_compact=0,$A9&lt;compact_year),$A9&gt;=1931,$A9&lt;=1933),gulf_wage_dip,0)</x:f>
        <x:v>0</x:v>
      </x:c>
      <x:c r="U9" s="47" t="n">
        <x:f>IF($A9&lt;1900,0,IF(F9&lt;=G9,1,0))</x:f>
        <x:v>0</x:v>
      </x:c>
      <x:c r="V9" s="47" t="n">
        <x:f>IF($A9&lt;1900,0,IF(H9&gt;=I9,1,0))</x:f>
        <x:v>0</x:v>
      </x:c>
      <x:c r="W9" s="47" t="n">
        <x:f>IF($A9&lt;1900,0,IF(T9&gt;=K9,1,0))</x:f>
        <x:v>0</x:v>
      </x:c>
      <x:c r="X9" s="47" t="n">
        <x:f>IF($A9&lt;1900,0,IF(L9&lt;=M9,1,0))</x:f>
        <x:v>0</x:v>
      </x:c>
      <x:c r="Y9" s="47" t="n">
        <x:f>IF($A9&lt;1900,0,IF(N9&lt;=O9,1,0))</x:f>
        <x:v>0</x:v>
      </x:c>
      <x:c r="Z9" s="47" t="n">
        <x:f>IF($A9&lt;1900,0,IF(P9&lt;=Q9,1,0))</x:f>
        <x:v>0</x:v>
      </x:c>
      <x:c r="AA9" s="47" t="n">
        <x:f>IF($A9&lt;1900,0,IF(R9&gt;=S9,1,0))</x:f>
        <x:v>0</x:v>
      </x:c>
      <x:c r="AB9" s="47" t="n">
        <x:f>IF(SUM(U9:Y9)=5,1,0)</x:f>
        <x:v>0</x:v>
      </x:c>
      <x:c r="AC9" s="47" t="n">
        <x:f>IF(Z9+AA9=2,1,0)</x:f>
        <x:v>0</x:v>
      </x:c>
      <x:c r="AD9" s="47" t="n">
        <x:f>IF(AND(AB9=1,AC9=1),1,0)</x:f>
        <x:v>0</x:v>
      </x:c>
      <x:c r="AE9" s="47" t="n">
        <x:f>IF(AD9=1,AE8+1,0)</x:f>
        <x:v>0</x:v>
      </x:c>
      <x:c r="AF9" s="47" t="n">
        <x:f>IF(AE8&gt;=gulf_years_req,1,0)</x:f>
        <x:v>0</x:v>
      </x:c>
    </x:row>
    <x:row r="10">
      <x:c r="A10" s="58" t="n">
        <x:v>1850</x:v>
      </x:c>
      <x:c r="B10" s="45" t="n">
        <x:v>0</x:v>
      </x:c>
      <x:c r="C10" s="68" t="n">
        <x:v>0</x:v>
      </x:c>
      <x:c r="D10" s="47" t="n">
        <x:f>Partners!Q10*(1-IF(AND(OR(oil_compact=0,$A10&lt;compact_year),OR($A10=1931,$A10=1932)),gulf_glut_gdp,0))</x:f>
        <x:v>0</x:v>
      </x:c>
      <x:c r="E10" s="47" t="n">
        <x:f>IF(AND(gulf_on=1,$A10&gt;=gulf_year),1,0)</x:f>
        <x:v>0</x:v>
      </x:c>
      <x:c r="F10" s="45" t="n">
        <x:v>0</x:v>
      </x:c>
      <x:c r="G10" s="45" t="n">
        <x:v>0</x:v>
      </x:c>
      <x:c r="H10" s="59" t="n">
        <x:v>0</x:v>
      </x:c>
      <x:c r="I10" s="59" t="n">
        <x:v>0</x:v>
      </x:c>
      <x:c r="J10" s="59" t="n">
        <x:v>0</x:v>
      </x:c>
      <x:c r="K10" s="59" t="n">
        <x:v>0</x:v>
      </x:c>
      <x:c r="L10" s="52" t="n">
        <x:v>0</x:v>
      </x:c>
      <x:c r="M10" s="52" t="n">
        <x:v>0</x:v>
      </x:c>
      <x:c r="N10" s="52" t="n">
        <x:v>0</x:v>
      </x:c>
      <x:c r="O10" s="52" t="n">
        <x:v>0</x:v>
      </x:c>
      <x:c r="P10" s="68" t="n">
        <x:v>0</x:v>
      </x:c>
      <x:c r="Q10" s="68" t="n">
        <x:v>0</x:v>
      </x:c>
      <x:c r="R10" s="68" t="n">
        <x:v>0</x:v>
      </x:c>
      <x:c r="S10" s="68" t="n">
        <x:v>0</x:v>
      </x:c>
      <x:c r="T10" s="63" t="n">
        <x:f>J10-IF(AND(OR(oil_compact=0,$A10&lt;compact_year),$A10&gt;=1931,$A10&lt;=1933),gulf_wage_dip,0)</x:f>
        <x:v>0</x:v>
      </x:c>
      <x:c r="U10" s="47" t="n">
        <x:f>IF($A10&lt;1900,0,IF(F10&lt;=G10,1,0))</x:f>
        <x:v>0</x:v>
      </x:c>
      <x:c r="V10" s="47" t="n">
        <x:f>IF($A10&lt;1900,0,IF(H10&gt;=I10,1,0))</x:f>
        <x:v>0</x:v>
      </x:c>
      <x:c r="W10" s="47" t="n">
        <x:f>IF($A10&lt;1900,0,IF(T10&gt;=K10,1,0))</x:f>
        <x:v>0</x:v>
      </x:c>
      <x:c r="X10" s="47" t="n">
        <x:f>IF($A10&lt;1900,0,IF(L10&lt;=M10,1,0))</x:f>
        <x:v>0</x:v>
      </x:c>
      <x:c r="Y10" s="47" t="n">
        <x:f>IF($A10&lt;1900,0,IF(N10&lt;=O10,1,0))</x:f>
        <x:v>0</x:v>
      </x:c>
      <x:c r="Z10" s="47" t="n">
        <x:f>IF($A10&lt;1900,0,IF(P10&lt;=Q10,1,0))</x:f>
        <x:v>0</x:v>
      </x:c>
      <x:c r="AA10" s="47" t="n">
        <x:f>IF($A10&lt;1900,0,IF(R10&gt;=S10,1,0))</x:f>
        <x:v>0</x:v>
      </x:c>
      <x:c r="AB10" s="47" t="n">
        <x:f>IF(SUM(U10:Y10)=5,1,0)</x:f>
        <x:v>0</x:v>
      </x:c>
      <x:c r="AC10" s="47" t="n">
        <x:f>IF(Z10+AA10=2,1,0)</x:f>
        <x:v>0</x:v>
      </x:c>
      <x:c r="AD10" s="47" t="n">
        <x:f>IF(AND(AB10=1,AC10=1),1,0)</x:f>
        <x:v>0</x:v>
      </x:c>
      <x:c r="AE10" s="47" t="n">
        <x:f>IF(AD10=1,AE9+1,0)</x:f>
        <x:v>0</x:v>
      </x:c>
      <x:c r="AF10" s="47" t="n">
        <x:f>IF(AE9&gt;=gulf_years_req,1,0)</x:f>
        <x:v>0</x:v>
      </x:c>
    </x:row>
    <x:row r="11">
      <x:c r="A11" s="58" t="n">
        <x:v>1851</x:v>
      </x:c>
      <x:c r="B11" s="45" t="n">
        <x:v>0</x:v>
      </x:c>
      <x:c r="C11" s="68" t="n">
        <x:v>0</x:v>
      </x:c>
      <x:c r="D11" s="47" t="n">
        <x:f>Partners!Q11*(1-IF(AND(OR(oil_compact=0,$A11&lt;compact_year),OR($A11=1931,$A11=1932)),gulf_glut_gdp,0))</x:f>
        <x:v>0</x:v>
      </x:c>
      <x:c r="E11" s="47" t="n">
        <x:f>IF(AND(gulf_on=1,$A11&gt;=gulf_year),1,0)</x:f>
        <x:v>0</x:v>
      </x:c>
      <x:c r="F11" s="45" t="n">
        <x:v>0</x:v>
      </x:c>
      <x:c r="G11" s="45" t="n">
        <x:v>0</x:v>
      </x:c>
      <x:c r="H11" s="59" t="n">
        <x:v>0</x:v>
      </x:c>
      <x:c r="I11" s="59" t="n">
        <x:v>0</x:v>
      </x:c>
      <x:c r="J11" s="59" t="n">
        <x:v>0</x:v>
      </x:c>
      <x:c r="K11" s="59" t="n">
        <x:v>0</x:v>
      </x:c>
      <x:c r="L11" s="52" t="n">
        <x:v>0</x:v>
      </x:c>
      <x:c r="M11" s="52" t="n">
        <x:v>0</x:v>
      </x:c>
      <x:c r="N11" s="52" t="n">
        <x:v>0</x:v>
      </x:c>
      <x:c r="O11" s="52" t="n">
        <x:v>0</x:v>
      </x:c>
      <x:c r="P11" s="68" t="n">
        <x:v>0</x:v>
      </x:c>
      <x:c r="Q11" s="68" t="n">
        <x:v>0</x:v>
      </x:c>
      <x:c r="R11" s="68" t="n">
        <x:v>0</x:v>
      </x:c>
      <x:c r="S11" s="68" t="n">
        <x:v>0</x:v>
      </x:c>
      <x:c r="T11" s="63" t="n">
        <x:f>J11-IF(AND(OR(oil_compact=0,$A11&lt;compact_year),$A11&gt;=1931,$A11&lt;=1933),gulf_wage_dip,0)</x:f>
        <x:v>0</x:v>
      </x:c>
      <x:c r="U11" s="47" t="n">
        <x:f>IF($A11&lt;1900,0,IF(F11&lt;=G11,1,0))</x:f>
        <x:v>0</x:v>
      </x:c>
      <x:c r="V11" s="47" t="n">
        <x:f>IF($A11&lt;1900,0,IF(H11&gt;=I11,1,0))</x:f>
        <x:v>0</x:v>
      </x:c>
      <x:c r="W11" s="47" t="n">
        <x:f>IF($A11&lt;1900,0,IF(T11&gt;=K11,1,0))</x:f>
        <x:v>0</x:v>
      </x:c>
      <x:c r="X11" s="47" t="n">
        <x:f>IF($A11&lt;1900,0,IF(L11&lt;=M11,1,0))</x:f>
        <x:v>0</x:v>
      </x:c>
      <x:c r="Y11" s="47" t="n">
        <x:f>IF($A11&lt;1900,0,IF(N11&lt;=O11,1,0))</x:f>
        <x:v>0</x:v>
      </x:c>
      <x:c r="Z11" s="47" t="n">
        <x:f>IF($A11&lt;1900,0,IF(P11&lt;=Q11,1,0))</x:f>
        <x:v>0</x:v>
      </x:c>
      <x:c r="AA11" s="47" t="n">
        <x:f>IF($A11&lt;1900,0,IF(R11&gt;=S11,1,0))</x:f>
        <x:v>0</x:v>
      </x:c>
      <x:c r="AB11" s="47" t="n">
        <x:f>IF(SUM(U11:Y11)=5,1,0)</x:f>
        <x:v>0</x:v>
      </x:c>
      <x:c r="AC11" s="47" t="n">
        <x:f>IF(Z11+AA11=2,1,0)</x:f>
        <x:v>0</x:v>
      </x:c>
      <x:c r="AD11" s="47" t="n">
        <x:f>IF(AND(AB11=1,AC11=1),1,0)</x:f>
        <x:v>0</x:v>
      </x:c>
      <x:c r="AE11" s="47" t="n">
        <x:f>IF(AD11=1,AE10+1,0)</x:f>
        <x:v>0</x:v>
      </x:c>
      <x:c r="AF11" s="47" t="n">
        <x:f>IF(AE10&gt;=gulf_years_req,1,0)</x:f>
        <x:v>0</x:v>
      </x:c>
    </x:row>
    <x:row r="12">
      <x:c r="A12" s="58" t="n">
        <x:v>1852</x:v>
      </x:c>
      <x:c r="B12" s="45" t="n">
        <x:v>0</x:v>
      </x:c>
      <x:c r="C12" s="68" t="n">
        <x:v>0</x:v>
      </x:c>
      <x:c r="D12" s="47" t="n">
        <x:f>Partners!Q12*(1-IF(AND(OR(oil_compact=0,$A12&lt;compact_year),OR($A12=1931,$A12=1932)),gulf_glut_gdp,0))</x:f>
        <x:v>0</x:v>
      </x:c>
      <x:c r="E12" s="47" t="n">
        <x:f>IF(AND(gulf_on=1,$A12&gt;=gulf_year),1,0)</x:f>
        <x:v>0</x:v>
      </x:c>
      <x:c r="F12" s="45" t="n">
        <x:v>0</x:v>
      </x:c>
      <x:c r="G12" s="45" t="n">
        <x:v>0</x:v>
      </x:c>
      <x:c r="H12" s="59" t="n">
        <x:v>0</x:v>
      </x:c>
      <x:c r="I12" s="59" t="n">
        <x:v>0</x:v>
      </x:c>
      <x:c r="J12" s="59" t="n">
        <x:v>0</x:v>
      </x:c>
      <x:c r="K12" s="59" t="n">
        <x:v>0</x:v>
      </x:c>
      <x:c r="L12" s="52" t="n">
        <x:v>0</x:v>
      </x:c>
      <x:c r="M12" s="52" t="n">
        <x:v>0</x:v>
      </x:c>
      <x:c r="N12" s="52" t="n">
        <x:v>0</x:v>
      </x:c>
      <x:c r="O12" s="52" t="n">
        <x:v>0</x:v>
      </x:c>
      <x:c r="P12" s="68" t="n">
        <x:v>0</x:v>
      </x:c>
      <x:c r="Q12" s="68" t="n">
        <x:v>0</x:v>
      </x:c>
      <x:c r="R12" s="68" t="n">
        <x:v>0</x:v>
      </x:c>
      <x:c r="S12" s="68" t="n">
        <x:v>0</x:v>
      </x:c>
      <x:c r="T12" s="63" t="n">
        <x:f>J12-IF(AND(OR(oil_compact=0,$A12&lt;compact_year),$A12&gt;=1931,$A12&lt;=1933),gulf_wage_dip,0)</x:f>
        <x:v>0</x:v>
      </x:c>
      <x:c r="U12" s="47" t="n">
        <x:f>IF($A12&lt;1900,0,IF(F12&lt;=G12,1,0))</x:f>
        <x:v>0</x:v>
      </x:c>
      <x:c r="V12" s="47" t="n">
        <x:f>IF($A12&lt;1900,0,IF(H12&gt;=I12,1,0))</x:f>
        <x:v>0</x:v>
      </x:c>
      <x:c r="W12" s="47" t="n">
        <x:f>IF($A12&lt;1900,0,IF(T12&gt;=K12,1,0))</x:f>
        <x:v>0</x:v>
      </x:c>
      <x:c r="X12" s="47" t="n">
        <x:f>IF($A12&lt;1900,0,IF(L12&lt;=M12,1,0))</x:f>
        <x:v>0</x:v>
      </x:c>
      <x:c r="Y12" s="47" t="n">
        <x:f>IF($A12&lt;1900,0,IF(N12&lt;=O12,1,0))</x:f>
        <x:v>0</x:v>
      </x:c>
      <x:c r="Z12" s="47" t="n">
        <x:f>IF($A12&lt;1900,0,IF(P12&lt;=Q12,1,0))</x:f>
        <x:v>0</x:v>
      </x:c>
      <x:c r="AA12" s="47" t="n">
        <x:f>IF($A12&lt;1900,0,IF(R12&gt;=S12,1,0))</x:f>
        <x:v>0</x:v>
      </x:c>
      <x:c r="AB12" s="47" t="n">
        <x:f>IF(SUM(U12:Y12)=5,1,0)</x:f>
        <x:v>0</x:v>
      </x:c>
      <x:c r="AC12" s="47" t="n">
        <x:f>IF(Z12+AA12=2,1,0)</x:f>
        <x:v>0</x:v>
      </x:c>
      <x:c r="AD12" s="47" t="n">
        <x:f>IF(AND(AB12=1,AC12=1),1,0)</x:f>
        <x:v>0</x:v>
      </x:c>
      <x:c r="AE12" s="47" t="n">
        <x:f>IF(AD12=1,AE11+1,0)</x:f>
        <x:v>0</x:v>
      </x:c>
      <x:c r="AF12" s="47" t="n">
        <x:f>IF(AE11&gt;=gulf_years_req,1,0)</x:f>
        <x:v>0</x:v>
      </x:c>
    </x:row>
    <x:row r="13">
      <x:c r="A13" s="58" t="n">
        <x:v>1853</x:v>
      </x:c>
      <x:c r="B13" s="45" t="n">
        <x:v>0</x:v>
      </x:c>
      <x:c r="C13" s="68" t="n">
        <x:v>0</x:v>
      </x:c>
      <x:c r="D13" s="47" t="n">
        <x:f>Partners!Q13*(1-IF(AND(OR(oil_compact=0,$A13&lt;compact_year),OR($A13=1931,$A13=1932)),gulf_glut_gdp,0))</x:f>
        <x:v>0</x:v>
      </x:c>
      <x:c r="E13" s="47" t="n">
        <x:f>IF(AND(gulf_on=1,$A13&gt;=gulf_year),1,0)</x:f>
        <x:v>0</x:v>
      </x:c>
      <x:c r="F13" s="45" t="n">
        <x:v>0</x:v>
      </x:c>
      <x:c r="G13" s="45" t="n">
        <x:v>0</x:v>
      </x:c>
      <x:c r="H13" s="59" t="n">
        <x:v>0</x:v>
      </x:c>
      <x:c r="I13" s="59" t="n">
        <x:v>0</x:v>
      </x:c>
      <x:c r="J13" s="59" t="n">
        <x:v>0</x:v>
      </x:c>
      <x:c r="K13" s="59" t="n">
        <x:v>0</x:v>
      </x:c>
      <x:c r="L13" s="52" t="n">
        <x:v>0</x:v>
      </x:c>
      <x:c r="M13" s="52" t="n">
        <x:v>0</x:v>
      </x:c>
      <x:c r="N13" s="52" t="n">
        <x:v>0</x:v>
      </x:c>
      <x:c r="O13" s="52" t="n">
        <x:v>0</x:v>
      </x:c>
      <x:c r="P13" s="68" t="n">
        <x:v>0</x:v>
      </x:c>
      <x:c r="Q13" s="68" t="n">
        <x:v>0</x:v>
      </x:c>
      <x:c r="R13" s="68" t="n">
        <x:v>0</x:v>
      </x:c>
      <x:c r="S13" s="68" t="n">
        <x:v>0</x:v>
      </x:c>
      <x:c r="T13" s="63" t="n">
        <x:f>J13-IF(AND(OR(oil_compact=0,$A13&lt;compact_year),$A13&gt;=1931,$A13&lt;=1933),gulf_wage_dip,0)</x:f>
        <x:v>0</x:v>
      </x:c>
      <x:c r="U13" s="47" t="n">
        <x:f>IF($A13&lt;1900,0,IF(F13&lt;=G13,1,0))</x:f>
        <x:v>0</x:v>
      </x:c>
      <x:c r="V13" s="47" t="n">
        <x:f>IF($A13&lt;1900,0,IF(H13&gt;=I13,1,0))</x:f>
        <x:v>0</x:v>
      </x:c>
      <x:c r="W13" s="47" t="n">
        <x:f>IF($A13&lt;1900,0,IF(T13&gt;=K13,1,0))</x:f>
        <x:v>0</x:v>
      </x:c>
      <x:c r="X13" s="47" t="n">
        <x:f>IF($A13&lt;1900,0,IF(L13&lt;=M13,1,0))</x:f>
        <x:v>0</x:v>
      </x:c>
      <x:c r="Y13" s="47" t="n">
        <x:f>IF($A13&lt;1900,0,IF(N13&lt;=O13,1,0))</x:f>
        <x:v>0</x:v>
      </x:c>
      <x:c r="Z13" s="47" t="n">
        <x:f>IF($A13&lt;1900,0,IF(P13&lt;=Q13,1,0))</x:f>
        <x:v>0</x:v>
      </x:c>
      <x:c r="AA13" s="47" t="n">
        <x:f>IF($A13&lt;1900,0,IF(R13&gt;=S13,1,0))</x:f>
        <x:v>0</x:v>
      </x:c>
      <x:c r="AB13" s="47" t="n">
        <x:f>IF(SUM(U13:Y13)=5,1,0)</x:f>
        <x:v>0</x:v>
      </x:c>
      <x:c r="AC13" s="47" t="n">
        <x:f>IF(Z13+AA13=2,1,0)</x:f>
        <x:v>0</x:v>
      </x:c>
      <x:c r="AD13" s="47" t="n">
        <x:f>IF(AND(AB13=1,AC13=1),1,0)</x:f>
        <x:v>0</x:v>
      </x:c>
      <x:c r="AE13" s="47" t="n">
        <x:f>IF(AD13=1,AE12+1,0)</x:f>
        <x:v>0</x:v>
      </x:c>
      <x:c r="AF13" s="47" t="n">
        <x:f>IF(AE12&gt;=gulf_years_req,1,0)</x:f>
        <x:v>0</x:v>
      </x:c>
    </x:row>
    <x:row r="14">
      <x:c r="A14" s="58" t="n">
        <x:v>1854</x:v>
      </x:c>
      <x:c r="B14" s="45" t="n">
        <x:v>0</x:v>
      </x:c>
      <x:c r="C14" s="68" t="n">
        <x:v>0</x:v>
      </x:c>
      <x:c r="D14" s="47" t="n">
        <x:f>Partners!Q14*(1-IF(AND(OR(oil_compact=0,$A14&lt;compact_year),OR($A14=1931,$A14=1932)),gulf_glut_gdp,0))</x:f>
        <x:v>0</x:v>
      </x:c>
      <x:c r="E14" s="47" t="n">
        <x:f>IF(AND(gulf_on=1,$A14&gt;=gulf_year),1,0)</x:f>
        <x:v>0</x:v>
      </x:c>
      <x:c r="F14" s="45" t="n">
        <x:v>0</x:v>
      </x:c>
      <x:c r="G14" s="45" t="n">
        <x:v>0</x:v>
      </x:c>
      <x:c r="H14" s="59" t="n">
        <x:v>0</x:v>
      </x:c>
      <x:c r="I14" s="59" t="n">
        <x:v>0</x:v>
      </x:c>
      <x:c r="J14" s="59" t="n">
        <x:v>0</x:v>
      </x:c>
      <x:c r="K14" s="59" t="n">
        <x:v>0</x:v>
      </x:c>
      <x:c r="L14" s="52" t="n">
        <x:v>0</x:v>
      </x:c>
      <x:c r="M14" s="52" t="n">
        <x:v>0</x:v>
      </x:c>
      <x:c r="N14" s="52" t="n">
        <x:v>0</x:v>
      </x:c>
      <x:c r="O14" s="52" t="n">
        <x:v>0</x:v>
      </x:c>
      <x:c r="P14" s="68" t="n">
        <x:v>0</x:v>
      </x:c>
      <x:c r="Q14" s="68" t="n">
        <x:v>0</x:v>
      </x:c>
      <x:c r="R14" s="68" t="n">
        <x:v>0</x:v>
      </x:c>
      <x:c r="S14" s="68" t="n">
        <x:v>0</x:v>
      </x:c>
      <x:c r="T14" s="63" t="n">
        <x:f>J14-IF(AND(OR(oil_compact=0,$A14&lt;compact_year),$A14&gt;=1931,$A14&lt;=1933),gulf_wage_dip,0)</x:f>
        <x:v>0</x:v>
      </x:c>
      <x:c r="U14" s="47" t="n">
        <x:f>IF($A14&lt;1900,0,IF(F14&lt;=G14,1,0))</x:f>
        <x:v>0</x:v>
      </x:c>
      <x:c r="V14" s="47" t="n">
        <x:f>IF($A14&lt;1900,0,IF(H14&gt;=I14,1,0))</x:f>
        <x:v>0</x:v>
      </x:c>
      <x:c r="W14" s="47" t="n">
        <x:f>IF($A14&lt;1900,0,IF(T14&gt;=K14,1,0))</x:f>
        <x:v>0</x:v>
      </x:c>
      <x:c r="X14" s="47" t="n">
        <x:f>IF($A14&lt;1900,0,IF(L14&lt;=M14,1,0))</x:f>
        <x:v>0</x:v>
      </x:c>
      <x:c r="Y14" s="47" t="n">
        <x:f>IF($A14&lt;1900,0,IF(N14&lt;=O14,1,0))</x:f>
        <x:v>0</x:v>
      </x:c>
      <x:c r="Z14" s="47" t="n">
        <x:f>IF($A14&lt;1900,0,IF(P14&lt;=Q14,1,0))</x:f>
        <x:v>0</x:v>
      </x:c>
      <x:c r="AA14" s="47" t="n">
        <x:f>IF($A14&lt;1900,0,IF(R14&gt;=S14,1,0))</x:f>
        <x:v>0</x:v>
      </x:c>
      <x:c r="AB14" s="47" t="n">
        <x:f>IF(SUM(U14:Y14)=5,1,0)</x:f>
        <x:v>0</x:v>
      </x:c>
      <x:c r="AC14" s="47" t="n">
        <x:f>IF(Z14+AA14=2,1,0)</x:f>
        <x:v>0</x:v>
      </x:c>
      <x:c r="AD14" s="47" t="n">
        <x:f>IF(AND(AB14=1,AC14=1),1,0)</x:f>
        <x:v>0</x:v>
      </x:c>
      <x:c r="AE14" s="47" t="n">
        <x:f>IF(AD14=1,AE13+1,0)</x:f>
        <x:v>0</x:v>
      </x:c>
      <x:c r="AF14" s="47" t="n">
        <x:f>IF(AE13&gt;=gulf_years_req,1,0)</x:f>
        <x:v>0</x:v>
      </x:c>
    </x:row>
    <x:row r="15">
      <x:c r="A15" s="58" t="n">
        <x:v>1855</x:v>
      </x:c>
      <x:c r="B15" s="45" t="n">
        <x:v>0</x:v>
      </x:c>
      <x:c r="C15" s="68" t="n">
        <x:v>0</x:v>
      </x:c>
      <x:c r="D15" s="47" t="n">
        <x:f>Partners!Q15*(1-IF(AND(OR(oil_compact=0,$A15&lt;compact_year),OR($A15=1931,$A15=1932)),gulf_glut_gdp,0))</x:f>
        <x:v>0</x:v>
      </x:c>
      <x:c r="E15" s="47" t="n">
        <x:f>IF(AND(gulf_on=1,$A15&gt;=gulf_year),1,0)</x:f>
        <x:v>0</x:v>
      </x:c>
      <x:c r="F15" s="45" t="n">
        <x:v>0</x:v>
      </x:c>
      <x:c r="G15" s="45" t="n">
        <x:v>0</x:v>
      </x:c>
      <x:c r="H15" s="59" t="n">
        <x:v>0</x:v>
      </x:c>
      <x:c r="I15" s="59" t="n">
        <x:v>0</x:v>
      </x:c>
      <x:c r="J15" s="59" t="n">
        <x:v>0</x:v>
      </x:c>
      <x:c r="K15" s="59" t="n">
        <x:v>0</x:v>
      </x:c>
      <x:c r="L15" s="52" t="n">
        <x:v>0</x:v>
      </x:c>
      <x:c r="M15" s="52" t="n">
        <x:v>0</x:v>
      </x:c>
      <x:c r="N15" s="52" t="n">
        <x:v>0</x:v>
      </x:c>
      <x:c r="O15" s="52" t="n">
        <x:v>0</x:v>
      </x:c>
      <x:c r="P15" s="68" t="n">
        <x:v>0</x:v>
      </x:c>
      <x:c r="Q15" s="68" t="n">
        <x:v>0</x:v>
      </x:c>
      <x:c r="R15" s="68" t="n">
        <x:v>0</x:v>
      </x:c>
      <x:c r="S15" s="68" t="n">
        <x:v>0</x:v>
      </x:c>
      <x:c r="T15" s="63" t="n">
        <x:f>J15-IF(AND(OR(oil_compact=0,$A15&lt;compact_year),$A15&gt;=1931,$A15&lt;=1933),gulf_wage_dip,0)</x:f>
        <x:v>0</x:v>
      </x:c>
      <x:c r="U15" s="47" t="n">
        <x:f>IF($A15&lt;1900,0,IF(F15&lt;=G15,1,0))</x:f>
        <x:v>0</x:v>
      </x:c>
      <x:c r="V15" s="47" t="n">
        <x:f>IF($A15&lt;1900,0,IF(H15&gt;=I15,1,0))</x:f>
        <x:v>0</x:v>
      </x:c>
      <x:c r="W15" s="47" t="n">
        <x:f>IF($A15&lt;1900,0,IF(T15&gt;=K15,1,0))</x:f>
        <x:v>0</x:v>
      </x:c>
      <x:c r="X15" s="47" t="n">
        <x:f>IF($A15&lt;1900,0,IF(L15&lt;=M15,1,0))</x:f>
        <x:v>0</x:v>
      </x:c>
      <x:c r="Y15" s="47" t="n">
        <x:f>IF($A15&lt;1900,0,IF(N15&lt;=O15,1,0))</x:f>
        <x:v>0</x:v>
      </x:c>
      <x:c r="Z15" s="47" t="n">
        <x:f>IF($A15&lt;1900,0,IF(P15&lt;=Q15,1,0))</x:f>
        <x:v>0</x:v>
      </x:c>
      <x:c r="AA15" s="47" t="n">
        <x:f>IF($A15&lt;1900,0,IF(R15&gt;=S15,1,0))</x:f>
        <x:v>0</x:v>
      </x:c>
      <x:c r="AB15" s="47" t="n">
        <x:f>IF(SUM(U15:Y15)=5,1,0)</x:f>
        <x:v>0</x:v>
      </x:c>
      <x:c r="AC15" s="47" t="n">
        <x:f>IF(Z15+AA15=2,1,0)</x:f>
        <x:v>0</x:v>
      </x:c>
      <x:c r="AD15" s="47" t="n">
        <x:f>IF(AND(AB15=1,AC15=1),1,0)</x:f>
        <x:v>0</x:v>
      </x:c>
      <x:c r="AE15" s="47" t="n">
        <x:f>IF(AD15=1,AE14+1,0)</x:f>
        <x:v>0</x:v>
      </x:c>
      <x:c r="AF15" s="47" t="n">
        <x:f>IF(AE14&gt;=gulf_years_req,1,0)</x:f>
        <x:v>0</x:v>
      </x:c>
    </x:row>
    <x:row r="16">
      <x:c r="A16" s="58" t="n">
        <x:v>1856</x:v>
      </x:c>
      <x:c r="B16" s="45" t="n">
        <x:v>0</x:v>
      </x:c>
      <x:c r="C16" s="68" t="n">
        <x:v>0</x:v>
      </x:c>
      <x:c r="D16" s="47" t="n">
        <x:f>Partners!Q16*(1-IF(AND(OR(oil_compact=0,$A16&lt;compact_year),OR($A16=1931,$A16=1932)),gulf_glut_gdp,0))</x:f>
        <x:v>0</x:v>
      </x:c>
      <x:c r="E16" s="47" t="n">
        <x:f>IF(AND(gulf_on=1,$A16&gt;=gulf_year),1,0)</x:f>
        <x:v>0</x:v>
      </x:c>
      <x:c r="F16" s="45" t="n">
        <x:v>0</x:v>
      </x:c>
      <x:c r="G16" s="45" t="n">
        <x:v>0</x:v>
      </x:c>
      <x:c r="H16" s="59" t="n">
        <x:v>0</x:v>
      </x:c>
      <x:c r="I16" s="59" t="n">
        <x:v>0</x:v>
      </x:c>
      <x:c r="J16" s="59" t="n">
        <x:v>0</x:v>
      </x:c>
      <x:c r="K16" s="59" t="n">
        <x:v>0</x:v>
      </x:c>
      <x:c r="L16" s="52" t="n">
        <x:v>0</x:v>
      </x:c>
      <x:c r="M16" s="52" t="n">
        <x:v>0</x:v>
      </x:c>
      <x:c r="N16" s="52" t="n">
        <x:v>0</x:v>
      </x:c>
      <x:c r="O16" s="52" t="n">
        <x:v>0</x:v>
      </x:c>
      <x:c r="P16" s="68" t="n">
        <x:v>0</x:v>
      </x:c>
      <x:c r="Q16" s="68" t="n">
        <x:v>0</x:v>
      </x:c>
      <x:c r="R16" s="68" t="n">
        <x:v>0</x:v>
      </x:c>
      <x:c r="S16" s="68" t="n">
        <x:v>0</x:v>
      </x:c>
      <x:c r="T16" s="63" t="n">
        <x:f>J16-IF(AND(OR(oil_compact=0,$A16&lt;compact_year),$A16&gt;=1931,$A16&lt;=1933),gulf_wage_dip,0)</x:f>
        <x:v>0</x:v>
      </x:c>
      <x:c r="U16" s="47" t="n">
        <x:f>IF($A16&lt;1900,0,IF(F16&lt;=G16,1,0))</x:f>
        <x:v>0</x:v>
      </x:c>
      <x:c r="V16" s="47" t="n">
        <x:f>IF($A16&lt;1900,0,IF(H16&gt;=I16,1,0))</x:f>
        <x:v>0</x:v>
      </x:c>
      <x:c r="W16" s="47" t="n">
        <x:f>IF($A16&lt;1900,0,IF(T16&gt;=K16,1,0))</x:f>
        <x:v>0</x:v>
      </x:c>
      <x:c r="X16" s="47" t="n">
        <x:f>IF($A16&lt;1900,0,IF(L16&lt;=M16,1,0))</x:f>
        <x:v>0</x:v>
      </x:c>
      <x:c r="Y16" s="47" t="n">
        <x:f>IF($A16&lt;1900,0,IF(N16&lt;=O16,1,0))</x:f>
        <x:v>0</x:v>
      </x:c>
      <x:c r="Z16" s="47" t="n">
        <x:f>IF($A16&lt;1900,0,IF(P16&lt;=Q16,1,0))</x:f>
        <x:v>0</x:v>
      </x:c>
      <x:c r="AA16" s="47" t="n">
        <x:f>IF($A16&lt;1900,0,IF(R16&gt;=S16,1,0))</x:f>
        <x:v>0</x:v>
      </x:c>
      <x:c r="AB16" s="47" t="n">
        <x:f>IF(SUM(U16:Y16)=5,1,0)</x:f>
        <x:v>0</x:v>
      </x:c>
      <x:c r="AC16" s="47" t="n">
        <x:f>IF(Z16+AA16=2,1,0)</x:f>
        <x:v>0</x:v>
      </x:c>
      <x:c r="AD16" s="47" t="n">
        <x:f>IF(AND(AB16=1,AC16=1),1,0)</x:f>
        <x:v>0</x:v>
      </x:c>
      <x:c r="AE16" s="47" t="n">
        <x:f>IF(AD16=1,AE15+1,0)</x:f>
        <x:v>0</x:v>
      </x:c>
      <x:c r="AF16" s="47" t="n">
        <x:f>IF(AE15&gt;=gulf_years_req,1,0)</x:f>
        <x:v>0</x:v>
      </x:c>
    </x:row>
    <x:row r="17">
      <x:c r="A17" s="58" t="n">
        <x:v>1857</x:v>
      </x:c>
      <x:c r="B17" s="45" t="n">
        <x:v>0</x:v>
      </x:c>
      <x:c r="C17" s="68" t="n">
        <x:v>0</x:v>
      </x:c>
      <x:c r="D17" s="47" t="n">
        <x:f>Partners!Q17*(1-IF(AND(OR(oil_compact=0,$A17&lt;compact_year),OR($A17=1931,$A17=1932)),gulf_glut_gdp,0))</x:f>
        <x:v>0</x:v>
      </x:c>
      <x:c r="E17" s="47" t="n">
        <x:f>IF(AND(gulf_on=1,$A17&gt;=gulf_year),1,0)</x:f>
        <x:v>0</x:v>
      </x:c>
      <x:c r="F17" s="45" t="n">
        <x:v>0</x:v>
      </x:c>
      <x:c r="G17" s="45" t="n">
        <x:v>0</x:v>
      </x:c>
      <x:c r="H17" s="59" t="n">
        <x:v>0</x:v>
      </x:c>
      <x:c r="I17" s="59" t="n">
        <x:v>0</x:v>
      </x:c>
      <x:c r="J17" s="59" t="n">
        <x:v>0</x:v>
      </x:c>
      <x:c r="K17" s="59" t="n">
        <x:v>0</x:v>
      </x:c>
      <x:c r="L17" s="52" t="n">
        <x:v>0</x:v>
      </x:c>
      <x:c r="M17" s="52" t="n">
        <x:v>0</x:v>
      </x:c>
      <x:c r="N17" s="52" t="n">
        <x:v>0</x:v>
      </x:c>
      <x:c r="O17" s="52" t="n">
        <x:v>0</x:v>
      </x:c>
      <x:c r="P17" s="68" t="n">
        <x:v>0</x:v>
      </x:c>
      <x:c r="Q17" s="68" t="n">
        <x:v>0</x:v>
      </x:c>
      <x:c r="R17" s="68" t="n">
        <x:v>0</x:v>
      </x:c>
      <x:c r="S17" s="68" t="n">
        <x:v>0</x:v>
      </x:c>
      <x:c r="T17" s="63" t="n">
        <x:f>J17-IF(AND(OR(oil_compact=0,$A17&lt;compact_year),$A17&gt;=1931,$A17&lt;=1933),gulf_wage_dip,0)</x:f>
        <x:v>0</x:v>
      </x:c>
      <x:c r="U17" s="47" t="n">
        <x:f>IF($A17&lt;1900,0,IF(F17&lt;=G17,1,0))</x:f>
        <x:v>0</x:v>
      </x:c>
      <x:c r="V17" s="47" t="n">
        <x:f>IF($A17&lt;1900,0,IF(H17&gt;=I17,1,0))</x:f>
        <x:v>0</x:v>
      </x:c>
      <x:c r="W17" s="47" t="n">
        <x:f>IF($A17&lt;1900,0,IF(T17&gt;=K17,1,0))</x:f>
        <x:v>0</x:v>
      </x:c>
      <x:c r="X17" s="47" t="n">
        <x:f>IF($A17&lt;1900,0,IF(L17&lt;=M17,1,0))</x:f>
        <x:v>0</x:v>
      </x:c>
      <x:c r="Y17" s="47" t="n">
        <x:f>IF($A17&lt;1900,0,IF(N17&lt;=O17,1,0))</x:f>
        <x:v>0</x:v>
      </x:c>
      <x:c r="Z17" s="47" t="n">
        <x:f>IF($A17&lt;1900,0,IF(P17&lt;=Q17,1,0))</x:f>
        <x:v>0</x:v>
      </x:c>
      <x:c r="AA17" s="47" t="n">
        <x:f>IF($A17&lt;1900,0,IF(R17&gt;=S17,1,0))</x:f>
        <x:v>0</x:v>
      </x:c>
      <x:c r="AB17" s="47" t="n">
        <x:f>IF(SUM(U17:Y17)=5,1,0)</x:f>
        <x:v>0</x:v>
      </x:c>
      <x:c r="AC17" s="47" t="n">
        <x:f>IF(Z17+AA17=2,1,0)</x:f>
        <x:v>0</x:v>
      </x:c>
      <x:c r="AD17" s="47" t="n">
        <x:f>IF(AND(AB17=1,AC17=1),1,0)</x:f>
        <x:v>0</x:v>
      </x:c>
      <x:c r="AE17" s="47" t="n">
        <x:f>IF(AD17=1,AE16+1,0)</x:f>
        <x:v>0</x:v>
      </x:c>
      <x:c r="AF17" s="47" t="n">
        <x:f>IF(AE16&gt;=gulf_years_req,1,0)</x:f>
        <x:v>0</x:v>
      </x:c>
    </x:row>
    <x:row r="18">
      <x:c r="A18" s="58" t="n">
        <x:v>1858</x:v>
      </x:c>
      <x:c r="B18" s="45" t="n">
        <x:v>0</x:v>
      </x:c>
      <x:c r="C18" s="68" t="n">
        <x:v>0</x:v>
      </x:c>
      <x:c r="D18" s="47" t="n">
        <x:f>Partners!Q18*(1-IF(AND(OR(oil_compact=0,$A18&lt;compact_year),OR($A18=1931,$A18=1932)),gulf_glut_gdp,0))</x:f>
        <x:v>0</x:v>
      </x:c>
      <x:c r="E18" s="47" t="n">
        <x:f>IF(AND(gulf_on=1,$A18&gt;=gulf_year),1,0)</x:f>
        <x:v>0</x:v>
      </x:c>
      <x:c r="F18" s="45" t="n">
        <x:v>0</x:v>
      </x:c>
      <x:c r="G18" s="45" t="n">
        <x:v>0</x:v>
      </x:c>
      <x:c r="H18" s="59" t="n">
        <x:v>0</x:v>
      </x:c>
      <x:c r="I18" s="59" t="n">
        <x:v>0</x:v>
      </x:c>
      <x:c r="J18" s="59" t="n">
        <x:v>0</x:v>
      </x:c>
      <x:c r="K18" s="59" t="n">
        <x:v>0</x:v>
      </x:c>
      <x:c r="L18" s="52" t="n">
        <x:v>0</x:v>
      </x:c>
      <x:c r="M18" s="52" t="n">
        <x:v>0</x:v>
      </x:c>
      <x:c r="N18" s="52" t="n">
        <x:v>0</x:v>
      </x:c>
      <x:c r="O18" s="52" t="n">
        <x:v>0</x:v>
      </x:c>
      <x:c r="P18" s="68" t="n">
        <x:v>0</x:v>
      </x:c>
      <x:c r="Q18" s="68" t="n">
        <x:v>0</x:v>
      </x:c>
      <x:c r="R18" s="68" t="n">
        <x:v>0</x:v>
      </x:c>
      <x:c r="S18" s="68" t="n">
        <x:v>0</x:v>
      </x:c>
      <x:c r="T18" s="63" t="n">
        <x:f>J18-IF(AND(OR(oil_compact=0,$A18&lt;compact_year),$A18&gt;=1931,$A18&lt;=1933),gulf_wage_dip,0)</x:f>
        <x:v>0</x:v>
      </x:c>
      <x:c r="U18" s="47" t="n">
        <x:f>IF($A18&lt;1900,0,IF(F18&lt;=G18,1,0))</x:f>
        <x:v>0</x:v>
      </x:c>
      <x:c r="V18" s="47" t="n">
        <x:f>IF($A18&lt;1900,0,IF(H18&gt;=I18,1,0))</x:f>
        <x:v>0</x:v>
      </x:c>
      <x:c r="W18" s="47" t="n">
        <x:f>IF($A18&lt;1900,0,IF(T18&gt;=K18,1,0))</x:f>
        <x:v>0</x:v>
      </x:c>
      <x:c r="X18" s="47" t="n">
        <x:f>IF($A18&lt;1900,0,IF(L18&lt;=M18,1,0))</x:f>
        <x:v>0</x:v>
      </x:c>
      <x:c r="Y18" s="47" t="n">
        <x:f>IF($A18&lt;1900,0,IF(N18&lt;=O18,1,0))</x:f>
        <x:v>0</x:v>
      </x:c>
      <x:c r="Z18" s="47" t="n">
        <x:f>IF($A18&lt;1900,0,IF(P18&lt;=Q18,1,0))</x:f>
        <x:v>0</x:v>
      </x:c>
      <x:c r="AA18" s="47" t="n">
        <x:f>IF($A18&lt;1900,0,IF(R18&gt;=S18,1,0))</x:f>
        <x:v>0</x:v>
      </x:c>
      <x:c r="AB18" s="47" t="n">
        <x:f>IF(SUM(U18:Y18)=5,1,0)</x:f>
        <x:v>0</x:v>
      </x:c>
      <x:c r="AC18" s="47" t="n">
        <x:f>IF(Z18+AA18=2,1,0)</x:f>
        <x:v>0</x:v>
      </x:c>
      <x:c r="AD18" s="47" t="n">
        <x:f>IF(AND(AB18=1,AC18=1),1,0)</x:f>
        <x:v>0</x:v>
      </x:c>
      <x:c r="AE18" s="47" t="n">
        <x:f>IF(AD18=1,AE17+1,0)</x:f>
        <x:v>0</x:v>
      </x:c>
      <x:c r="AF18" s="47" t="n">
        <x:f>IF(AE17&gt;=gulf_years_req,1,0)</x:f>
        <x:v>0</x:v>
      </x:c>
    </x:row>
    <x:row r="19">
      <x:c r="A19" s="58" t="n">
        <x:v>1859</x:v>
      </x:c>
      <x:c r="B19" s="45" t="n">
        <x:v>0</x:v>
      </x:c>
      <x:c r="C19" s="68" t="n">
        <x:v>0</x:v>
      </x:c>
      <x:c r="D19" s="47" t="n">
        <x:f>Partners!Q19*(1-IF(AND(OR(oil_compact=0,$A19&lt;compact_year),OR($A19=1931,$A19=1932)),gulf_glut_gdp,0))</x:f>
        <x:v>0</x:v>
      </x:c>
      <x:c r="E19" s="47" t="n">
        <x:f>IF(AND(gulf_on=1,$A19&gt;=gulf_year),1,0)</x:f>
        <x:v>0</x:v>
      </x:c>
      <x:c r="F19" s="45" t="n">
        <x:v>0</x:v>
      </x:c>
      <x:c r="G19" s="45" t="n">
        <x:v>0</x:v>
      </x:c>
      <x:c r="H19" s="59" t="n">
        <x:v>0</x:v>
      </x:c>
      <x:c r="I19" s="59" t="n">
        <x:v>0</x:v>
      </x:c>
      <x:c r="J19" s="59" t="n">
        <x:v>0</x:v>
      </x:c>
      <x:c r="K19" s="59" t="n">
        <x:v>0</x:v>
      </x:c>
      <x:c r="L19" s="52" t="n">
        <x:v>0</x:v>
      </x:c>
      <x:c r="M19" s="52" t="n">
        <x:v>0</x:v>
      </x:c>
      <x:c r="N19" s="52" t="n">
        <x:v>0</x:v>
      </x:c>
      <x:c r="O19" s="52" t="n">
        <x:v>0</x:v>
      </x:c>
      <x:c r="P19" s="68" t="n">
        <x:v>0</x:v>
      </x:c>
      <x:c r="Q19" s="68" t="n">
        <x:v>0</x:v>
      </x:c>
      <x:c r="R19" s="68" t="n">
        <x:v>0</x:v>
      </x:c>
      <x:c r="S19" s="68" t="n">
        <x:v>0</x:v>
      </x:c>
      <x:c r="T19" s="63" t="n">
        <x:f>J19-IF(AND(OR(oil_compact=0,$A19&lt;compact_year),$A19&gt;=1931,$A19&lt;=1933),gulf_wage_dip,0)</x:f>
        <x:v>0</x:v>
      </x:c>
      <x:c r="U19" s="47" t="n">
        <x:f>IF($A19&lt;1900,0,IF(F19&lt;=G19,1,0))</x:f>
        <x:v>0</x:v>
      </x:c>
      <x:c r="V19" s="47" t="n">
        <x:f>IF($A19&lt;1900,0,IF(H19&gt;=I19,1,0))</x:f>
        <x:v>0</x:v>
      </x:c>
      <x:c r="W19" s="47" t="n">
        <x:f>IF($A19&lt;1900,0,IF(T19&gt;=K19,1,0))</x:f>
        <x:v>0</x:v>
      </x:c>
      <x:c r="X19" s="47" t="n">
        <x:f>IF($A19&lt;1900,0,IF(L19&lt;=M19,1,0))</x:f>
        <x:v>0</x:v>
      </x:c>
      <x:c r="Y19" s="47" t="n">
        <x:f>IF($A19&lt;1900,0,IF(N19&lt;=O19,1,0))</x:f>
        <x:v>0</x:v>
      </x:c>
      <x:c r="Z19" s="47" t="n">
        <x:f>IF($A19&lt;1900,0,IF(P19&lt;=Q19,1,0))</x:f>
        <x:v>0</x:v>
      </x:c>
      <x:c r="AA19" s="47" t="n">
        <x:f>IF($A19&lt;1900,0,IF(R19&gt;=S19,1,0))</x:f>
        <x:v>0</x:v>
      </x:c>
      <x:c r="AB19" s="47" t="n">
        <x:f>IF(SUM(U19:Y19)=5,1,0)</x:f>
        <x:v>0</x:v>
      </x:c>
      <x:c r="AC19" s="47" t="n">
        <x:f>IF(Z19+AA19=2,1,0)</x:f>
        <x:v>0</x:v>
      </x:c>
      <x:c r="AD19" s="47" t="n">
        <x:f>IF(AND(AB19=1,AC19=1),1,0)</x:f>
        <x:v>0</x:v>
      </x:c>
      <x:c r="AE19" s="47" t="n">
        <x:f>IF(AD19=1,AE18+1,0)</x:f>
        <x:v>0</x:v>
      </x:c>
      <x:c r="AF19" s="47" t="n">
        <x:f>IF(AE18&gt;=gulf_years_req,1,0)</x:f>
        <x:v>0</x:v>
      </x:c>
    </x:row>
    <x:row r="20">
      <x:c r="A20" s="58" t="n">
        <x:v>1860</x:v>
      </x:c>
      <x:c r="B20" s="45" t="n">
        <x:v>0</x:v>
      </x:c>
      <x:c r="C20" s="68" t="n">
        <x:v>0</x:v>
      </x:c>
      <x:c r="D20" s="47" t="n">
        <x:f>Partners!Q20*(1-IF(AND(OR(oil_compact=0,$A20&lt;compact_year),OR($A20=1931,$A20=1932)),gulf_glut_gdp,0))</x:f>
        <x:v>0</x:v>
      </x:c>
      <x:c r="E20" s="47" t="n">
        <x:f>IF(AND(gulf_on=1,$A20&gt;=gulf_year),1,0)</x:f>
        <x:v>0</x:v>
      </x:c>
      <x:c r="F20" s="45" t="n">
        <x:v>0</x:v>
      </x:c>
      <x:c r="G20" s="45" t="n">
        <x:v>0</x:v>
      </x:c>
      <x:c r="H20" s="59" t="n">
        <x:v>0</x:v>
      </x:c>
      <x:c r="I20" s="59" t="n">
        <x:v>0</x:v>
      </x:c>
      <x:c r="J20" s="59" t="n">
        <x:v>0</x:v>
      </x:c>
      <x:c r="K20" s="59" t="n">
        <x:v>0</x:v>
      </x:c>
      <x:c r="L20" s="52" t="n">
        <x:v>0</x:v>
      </x:c>
      <x:c r="M20" s="52" t="n">
        <x:v>0</x:v>
      </x:c>
      <x:c r="N20" s="52" t="n">
        <x:v>0</x:v>
      </x:c>
      <x:c r="O20" s="52" t="n">
        <x:v>0</x:v>
      </x:c>
      <x:c r="P20" s="68" t="n">
        <x:v>0</x:v>
      </x:c>
      <x:c r="Q20" s="68" t="n">
        <x:v>0</x:v>
      </x:c>
      <x:c r="R20" s="68" t="n">
        <x:v>0</x:v>
      </x:c>
      <x:c r="S20" s="68" t="n">
        <x:v>0</x:v>
      </x:c>
      <x:c r="T20" s="63" t="n">
        <x:f>J20-IF(AND(OR(oil_compact=0,$A20&lt;compact_year),$A20&gt;=1931,$A20&lt;=1933),gulf_wage_dip,0)</x:f>
        <x:v>0</x:v>
      </x:c>
      <x:c r="U20" s="47" t="n">
        <x:f>IF($A20&lt;1900,0,IF(F20&lt;=G20,1,0))</x:f>
        <x:v>0</x:v>
      </x:c>
      <x:c r="V20" s="47" t="n">
        <x:f>IF($A20&lt;1900,0,IF(H20&gt;=I20,1,0))</x:f>
        <x:v>0</x:v>
      </x:c>
      <x:c r="W20" s="47" t="n">
        <x:f>IF($A20&lt;1900,0,IF(T20&gt;=K20,1,0))</x:f>
        <x:v>0</x:v>
      </x:c>
      <x:c r="X20" s="47" t="n">
        <x:f>IF($A20&lt;1900,0,IF(L20&lt;=M20,1,0))</x:f>
        <x:v>0</x:v>
      </x:c>
      <x:c r="Y20" s="47" t="n">
        <x:f>IF($A20&lt;1900,0,IF(N20&lt;=O20,1,0))</x:f>
        <x:v>0</x:v>
      </x:c>
      <x:c r="Z20" s="47" t="n">
        <x:f>IF($A20&lt;1900,0,IF(P20&lt;=Q20,1,0))</x:f>
        <x:v>0</x:v>
      </x:c>
      <x:c r="AA20" s="47" t="n">
        <x:f>IF($A20&lt;1900,0,IF(R20&gt;=S20,1,0))</x:f>
        <x:v>0</x:v>
      </x:c>
      <x:c r="AB20" s="47" t="n">
        <x:f>IF(SUM(U20:Y20)=5,1,0)</x:f>
        <x:v>0</x:v>
      </x:c>
      <x:c r="AC20" s="47" t="n">
        <x:f>IF(Z20+AA20=2,1,0)</x:f>
        <x:v>0</x:v>
      </x:c>
      <x:c r="AD20" s="47" t="n">
        <x:f>IF(AND(AB20=1,AC20=1),1,0)</x:f>
        <x:v>0</x:v>
      </x:c>
      <x:c r="AE20" s="47" t="n">
        <x:f>IF(AD20=1,AE19+1,0)</x:f>
        <x:v>0</x:v>
      </x:c>
      <x:c r="AF20" s="47" t="n">
        <x:f>IF(AE19&gt;=gulf_years_req,1,0)</x:f>
        <x:v>0</x:v>
      </x:c>
    </x:row>
    <x:row r="21">
      <x:c r="A21" s="61" t="n">
        <x:v>1861</x:v>
      </x:c>
      <x:c r="B21" s="45" t="n">
        <x:v>0</x:v>
      </x:c>
      <x:c r="C21" s="68" t="n">
        <x:v>0</x:v>
      </x:c>
      <x:c r="D21" s="47" t="n">
        <x:f>Partners!Q21*(1-IF(AND(OR(oil_compact=0,$A21&lt;compact_year),OR($A21=1931,$A21=1932)),gulf_glut_gdp,0))</x:f>
        <x:v>0</x:v>
      </x:c>
      <x:c r="E21" s="47" t="n">
        <x:f>IF(AND(gulf_on=1,$A21&gt;=gulf_year),1,0)</x:f>
        <x:v>0</x:v>
      </x:c>
      <x:c r="F21" s="45" t="n">
        <x:v>0</x:v>
      </x:c>
      <x:c r="G21" s="45" t="n">
        <x:v>0</x:v>
      </x:c>
      <x:c r="H21" s="59" t="n">
        <x:v>0</x:v>
      </x:c>
      <x:c r="I21" s="59" t="n">
        <x:v>0</x:v>
      </x:c>
      <x:c r="J21" s="59" t="n">
        <x:v>0</x:v>
      </x:c>
      <x:c r="K21" s="59" t="n">
        <x:v>0</x:v>
      </x:c>
      <x:c r="L21" s="52" t="n">
        <x:v>0</x:v>
      </x:c>
      <x:c r="M21" s="52" t="n">
        <x:v>0</x:v>
      </x:c>
      <x:c r="N21" s="52" t="n">
        <x:v>0</x:v>
      </x:c>
      <x:c r="O21" s="52" t="n">
        <x:v>0</x:v>
      </x:c>
      <x:c r="P21" s="68" t="n">
        <x:v>0</x:v>
      </x:c>
      <x:c r="Q21" s="68" t="n">
        <x:v>0</x:v>
      </x:c>
      <x:c r="R21" s="68" t="n">
        <x:v>0</x:v>
      </x:c>
      <x:c r="S21" s="68" t="n">
        <x:v>0</x:v>
      </x:c>
      <x:c r="T21" s="63" t="n">
        <x:f>J21-IF(AND(OR(oil_compact=0,$A21&lt;compact_year),$A21&gt;=1931,$A21&lt;=1933),gulf_wage_dip,0)</x:f>
        <x:v>0</x:v>
      </x:c>
      <x:c r="U21" s="47" t="n">
        <x:f>IF($A21&lt;1900,0,IF(F21&lt;=G21,1,0))</x:f>
        <x:v>0</x:v>
      </x:c>
      <x:c r="V21" s="47" t="n">
        <x:f>IF($A21&lt;1900,0,IF(H21&gt;=I21,1,0))</x:f>
        <x:v>0</x:v>
      </x:c>
      <x:c r="W21" s="47" t="n">
        <x:f>IF($A21&lt;1900,0,IF(T21&gt;=K21,1,0))</x:f>
        <x:v>0</x:v>
      </x:c>
      <x:c r="X21" s="47" t="n">
        <x:f>IF($A21&lt;1900,0,IF(L21&lt;=M21,1,0))</x:f>
        <x:v>0</x:v>
      </x:c>
      <x:c r="Y21" s="47" t="n">
        <x:f>IF($A21&lt;1900,0,IF(N21&lt;=O21,1,0))</x:f>
        <x:v>0</x:v>
      </x:c>
      <x:c r="Z21" s="47" t="n">
        <x:f>IF($A21&lt;1900,0,IF(P21&lt;=Q21,1,0))</x:f>
        <x:v>0</x:v>
      </x:c>
      <x:c r="AA21" s="47" t="n">
        <x:f>IF($A21&lt;1900,0,IF(R21&gt;=S21,1,0))</x:f>
        <x:v>0</x:v>
      </x:c>
      <x:c r="AB21" s="47" t="n">
        <x:f>IF(SUM(U21:Y21)=5,1,0)</x:f>
        <x:v>0</x:v>
      </x:c>
      <x:c r="AC21" s="47" t="n">
        <x:f>IF(Z21+AA21=2,1,0)</x:f>
        <x:v>0</x:v>
      </x:c>
      <x:c r="AD21" s="47" t="n">
        <x:f>IF(AND(AB21=1,AC21=1),1,0)</x:f>
        <x:v>0</x:v>
      </x:c>
      <x:c r="AE21" s="47" t="n">
        <x:f>IF(AD21=1,AE20+1,0)</x:f>
        <x:v>0</x:v>
      </x:c>
      <x:c r="AF21" s="47" t="n">
        <x:f>IF(AE20&gt;=gulf_years_req,1,0)</x:f>
        <x:v>0</x:v>
      </x:c>
    </x:row>
    <x:row r="22">
      <x:c r="A22" s="61" t="n">
        <x:v>1862</x:v>
      </x:c>
      <x:c r="B22" s="45" t="n">
        <x:v>0</x:v>
      </x:c>
      <x:c r="C22" s="68" t="n">
        <x:v>0</x:v>
      </x:c>
      <x:c r="D22" s="47" t="n">
        <x:f>Partners!Q22*(1-IF(AND(OR(oil_compact=0,$A22&lt;compact_year),OR($A22=1931,$A22=1932)),gulf_glut_gdp,0))</x:f>
        <x:v>0</x:v>
      </x:c>
      <x:c r="E22" s="47" t="n">
        <x:f>IF(AND(gulf_on=1,$A22&gt;=gulf_year),1,0)</x:f>
        <x:v>0</x:v>
      </x:c>
      <x:c r="F22" s="45" t="n">
        <x:v>0</x:v>
      </x:c>
      <x:c r="G22" s="45" t="n">
        <x:v>0</x:v>
      </x:c>
      <x:c r="H22" s="59" t="n">
        <x:v>0</x:v>
      </x:c>
      <x:c r="I22" s="59" t="n">
        <x:v>0</x:v>
      </x:c>
      <x:c r="J22" s="59" t="n">
        <x:v>0</x:v>
      </x:c>
      <x:c r="K22" s="59" t="n">
        <x:v>0</x:v>
      </x:c>
      <x:c r="L22" s="52" t="n">
        <x:v>0</x:v>
      </x:c>
      <x:c r="M22" s="52" t="n">
        <x:v>0</x:v>
      </x:c>
      <x:c r="N22" s="52" t="n">
        <x:v>0</x:v>
      </x:c>
      <x:c r="O22" s="52" t="n">
        <x:v>0</x:v>
      </x:c>
      <x:c r="P22" s="68" t="n">
        <x:v>0</x:v>
      </x:c>
      <x:c r="Q22" s="68" t="n">
        <x:v>0</x:v>
      </x:c>
      <x:c r="R22" s="68" t="n">
        <x:v>0</x:v>
      </x:c>
      <x:c r="S22" s="68" t="n">
        <x:v>0</x:v>
      </x:c>
      <x:c r="T22" s="63" t="n">
        <x:f>J22-IF(AND(OR(oil_compact=0,$A22&lt;compact_year),$A22&gt;=1931,$A22&lt;=1933),gulf_wage_dip,0)</x:f>
        <x:v>0</x:v>
      </x:c>
      <x:c r="U22" s="47" t="n">
        <x:f>IF($A22&lt;1900,0,IF(F22&lt;=G22,1,0))</x:f>
        <x:v>0</x:v>
      </x:c>
      <x:c r="V22" s="47" t="n">
        <x:f>IF($A22&lt;1900,0,IF(H22&gt;=I22,1,0))</x:f>
        <x:v>0</x:v>
      </x:c>
      <x:c r="W22" s="47" t="n">
        <x:f>IF($A22&lt;1900,0,IF(T22&gt;=K22,1,0))</x:f>
        <x:v>0</x:v>
      </x:c>
      <x:c r="X22" s="47" t="n">
        <x:f>IF($A22&lt;1900,0,IF(L22&lt;=M22,1,0))</x:f>
        <x:v>0</x:v>
      </x:c>
      <x:c r="Y22" s="47" t="n">
        <x:f>IF($A22&lt;1900,0,IF(N22&lt;=O22,1,0))</x:f>
        <x:v>0</x:v>
      </x:c>
      <x:c r="Z22" s="47" t="n">
        <x:f>IF($A22&lt;1900,0,IF(P22&lt;=Q22,1,0))</x:f>
        <x:v>0</x:v>
      </x:c>
      <x:c r="AA22" s="47" t="n">
        <x:f>IF($A22&lt;1900,0,IF(R22&gt;=S22,1,0))</x:f>
        <x:v>0</x:v>
      </x:c>
      <x:c r="AB22" s="47" t="n">
        <x:f>IF(SUM(U22:Y22)=5,1,0)</x:f>
        <x:v>0</x:v>
      </x:c>
      <x:c r="AC22" s="47" t="n">
        <x:f>IF(Z22+AA22=2,1,0)</x:f>
        <x:v>0</x:v>
      </x:c>
      <x:c r="AD22" s="47" t="n">
        <x:f>IF(AND(AB22=1,AC22=1),1,0)</x:f>
        <x:v>0</x:v>
      </x:c>
      <x:c r="AE22" s="47" t="n">
        <x:f>IF(AD22=1,AE21+1,0)</x:f>
        <x:v>0</x:v>
      </x:c>
      <x:c r="AF22" s="47" t="n">
        <x:f>IF(AE21&gt;=gulf_years_req,1,0)</x:f>
        <x:v>0</x:v>
      </x:c>
    </x:row>
    <x:row r="23">
      <x:c r="A23" s="61" t="n">
        <x:v>1863</x:v>
      </x:c>
      <x:c r="B23" s="45" t="n">
        <x:v>0</x:v>
      </x:c>
      <x:c r="C23" s="68" t="n">
        <x:v>0</x:v>
      </x:c>
      <x:c r="D23" s="47" t="n">
        <x:f>Partners!Q23*(1-IF(AND(OR(oil_compact=0,$A23&lt;compact_year),OR($A23=1931,$A23=1932)),gulf_glut_gdp,0))</x:f>
        <x:v>0</x:v>
      </x:c>
      <x:c r="E23" s="47" t="n">
        <x:f>IF(AND(gulf_on=1,$A23&gt;=gulf_year),1,0)</x:f>
        <x:v>0</x:v>
      </x:c>
      <x:c r="F23" s="45" t="n">
        <x:v>0</x:v>
      </x:c>
      <x:c r="G23" s="45" t="n">
        <x:v>0</x:v>
      </x:c>
      <x:c r="H23" s="59" t="n">
        <x:v>0</x:v>
      </x:c>
      <x:c r="I23" s="59" t="n">
        <x:v>0</x:v>
      </x:c>
      <x:c r="J23" s="59" t="n">
        <x:v>0</x:v>
      </x:c>
      <x:c r="K23" s="59" t="n">
        <x:v>0</x:v>
      </x:c>
      <x:c r="L23" s="52" t="n">
        <x:v>0</x:v>
      </x:c>
      <x:c r="M23" s="52" t="n">
        <x:v>0</x:v>
      </x:c>
      <x:c r="N23" s="52" t="n">
        <x:v>0</x:v>
      </x:c>
      <x:c r="O23" s="52" t="n">
        <x:v>0</x:v>
      </x:c>
      <x:c r="P23" s="68" t="n">
        <x:v>0</x:v>
      </x:c>
      <x:c r="Q23" s="68" t="n">
        <x:v>0</x:v>
      </x:c>
      <x:c r="R23" s="68" t="n">
        <x:v>0</x:v>
      </x:c>
      <x:c r="S23" s="68" t="n">
        <x:v>0</x:v>
      </x:c>
      <x:c r="T23" s="63" t="n">
        <x:f>J23-IF(AND(OR(oil_compact=0,$A23&lt;compact_year),$A23&gt;=1931,$A23&lt;=1933),gulf_wage_dip,0)</x:f>
        <x:v>0</x:v>
      </x:c>
      <x:c r="U23" s="47" t="n">
        <x:f>IF($A23&lt;1900,0,IF(F23&lt;=G23,1,0))</x:f>
        <x:v>0</x:v>
      </x:c>
      <x:c r="V23" s="47" t="n">
        <x:f>IF($A23&lt;1900,0,IF(H23&gt;=I23,1,0))</x:f>
        <x:v>0</x:v>
      </x:c>
      <x:c r="W23" s="47" t="n">
        <x:f>IF($A23&lt;1900,0,IF(T23&gt;=K23,1,0))</x:f>
        <x:v>0</x:v>
      </x:c>
      <x:c r="X23" s="47" t="n">
        <x:f>IF($A23&lt;1900,0,IF(L23&lt;=M23,1,0))</x:f>
        <x:v>0</x:v>
      </x:c>
      <x:c r="Y23" s="47" t="n">
        <x:f>IF($A23&lt;1900,0,IF(N23&lt;=O23,1,0))</x:f>
        <x:v>0</x:v>
      </x:c>
      <x:c r="Z23" s="47" t="n">
        <x:f>IF($A23&lt;1900,0,IF(P23&lt;=Q23,1,0))</x:f>
        <x:v>0</x:v>
      </x:c>
      <x:c r="AA23" s="47" t="n">
        <x:f>IF($A23&lt;1900,0,IF(R23&gt;=S23,1,0))</x:f>
        <x:v>0</x:v>
      </x:c>
      <x:c r="AB23" s="47" t="n">
        <x:f>IF(SUM(U23:Y23)=5,1,0)</x:f>
        <x:v>0</x:v>
      </x:c>
      <x:c r="AC23" s="47" t="n">
        <x:f>IF(Z23+AA23=2,1,0)</x:f>
        <x:v>0</x:v>
      </x:c>
      <x:c r="AD23" s="47" t="n">
        <x:f>IF(AND(AB23=1,AC23=1),1,0)</x:f>
        <x:v>0</x:v>
      </x:c>
      <x:c r="AE23" s="47" t="n">
        <x:f>IF(AD23=1,AE22+1,0)</x:f>
        <x:v>0</x:v>
      </x:c>
      <x:c r="AF23" s="47" t="n">
        <x:f>IF(AE22&gt;=gulf_years_req,1,0)</x:f>
        <x:v>0</x:v>
      </x:c>
    </x:row>
    <x:row r="24">
      <x:c r="A24" s="61" t="n">
        <x:v>1864</x:v>
      </x:c>
      <x:c r="B24" s="45" t="n">
        <x:v>0</x:v>
      </x:c>
      <x:c r="C24" s="68" t="n">
        <x:v>0</x:v>
      </x:c>
      <x:c r="D24" s="47" t="n">
        <x:f>Partners!Q24*(1-IF(AND(OR(oil_compact=0,$A24&lt;compact_year),OR($A24=1931,$A24=1932)),gulf_glut_gdp,0))</x:f>
        <x:v>0</x:v>
      </x:c>
      <x:c r="E24" s="47" t="n">
        <x:f>IF(AND(gulf_on=1,$A24&gt;=gulf_year),1,0)</x:f>
        <x:v>0</x:v>
      </x:c>
      <x:c r="F24" s="45" t="n">
        <x:v>0</x:v>
      </x:c>
      <x:c r="G24" s="45" t="n">
        <x:v>0</x:v>
      </x:c>
      <x:c r="H24" s="59" t="n">
        <x:v>0</x:v>
      </x:c>
      <x:c r="I24" s="59" t="n">
        <x:v>0</x:v>
      </x:c>
      <x:c r="J24" s="59" t="n">
        <x:v>0</x:v>
      </x:c>
      <x:c r="K24" s="59" t="n">
        <x:v>0</x:v>
      </x:c>
      <x:c r="L24" s="52" t="n">
        <x:v>0</x:v>
      </x:c>
      <x:c r="M24" s="52" t="n">
        <x:v>0</x:v>
      </x:c>
      <x:c r="N24" s="52" t="n">
        <x:v>0</x:v>
      </x:c>
      <x:c r="O24" s="52" t="n">
        <x:v>0</x:v>
      </x:c>
      <x:c r="P24" s="68" t="n">
        <x:v>0</x:v>
      </x:c>
      <x:c r="Q24" s="68" t="n">
        <x:v>0</x:v>
      </x:c>
      <x:c r="R24" s="68" t="n">
        <x:v>0</x:v>
      </x:c>
      <x:c r="S24" s="68" t="n">
        <x:v>0</x:v>
      </x:c>
      <x:c r="T24" s="63" t="n">
        <x:f>J24-IF(AND(OR(oil_compact=0,$A24&lt;compact_year),$A24&gt;=1931,$A24&lt;=1933),gulf_wage_dip,0)</x:f>
        <x:v>0</x:v>
      </x:c>
      <x:c r="U24" s="47" t="n">
        <x:f>IF($A24&lt;1900,0,IF(F24&lt;=G24,1,0))</x:f>
        <x:v>0</x:v>
      </x:c>
      <x:c r="V24" s="47" t="n">
        <x:f>IF($A24&lt;1900,0,IF(H24&gt;=I24,1,0))</x:f>
        <x:v>0</x:v>
      </x:c>
      <x:c r="W24" s="47" t="n">
        <x:f>IF($A24&lt;1900,0,IF(T24&gt;=K24,1,0))</x:f>
        <x:v>0</x:v>
      </x:c>
      <x:c r="X24" s="47" t="n">
        <x:f>IF($A24&lt;1900,0,IF(L24&lt;=M24,1,0))</x:f>
        <x:v>0</x:v>
      </x:c>
      <x:c r="Y24" s="47" t="n">
        <x:f>IF($A24&lt;1900,0,IF(N24&lt;=O24,1,0))</x:f>
        <x:v>0</x:v>
      </x:c>
      <x:c r="Z24" s="47" t="n">
        <x:f>IF($A24&lt;1900,0,IF(P24&lt;=Q24,1,0))</x:f>
        <x:v>0</x:v>
      </x:c>
      <x:c r="AA24" s="47" t="n">
        <x:f>IF($A24&lt;1900,0,IF(R24&gt;=S24,1,0))</x:f>
        <x:v>0</x:v>
      </x:c>
      <x:c r="AB24" s="47" t="n">
        <x:f>IF(SUM(U24:Y24)=5,1,0)</x:f>
        <x:v>0</x:v>
      </x:c>
      <x:c r="AC24" s="47" t="n">
        <x:f>IF(Z24+AA24=2,1,0)</x:f>
        <x:v>0</x:v>
      </x:c>
      <x:c r="AD24" s="47" t="n">
        <x:f>IF(AND(AB24=1,AC24=1),1,0)</x:f>
        <x:v>0</x:v>
      </x:c>
      <x:c r="AE24" s="47" t="n">
        <x:f>IF(AD24=1,AE23+1,0)</x:f>
        <x:v>0</x:v>
      </x:c>
      <x:c r="AF24" s="47" t="n">
        <x:f>IF(AE23&gt;=gulf_years_req,1,0)</x:f>
        <x:v>0</x:v>
      </x:c>
    </x:row>
    <x:row r="25">
      <x:c r="A25" s="61" t="n">
        <x:v>1865</x:v>
      </x:c>
      <x:c r="B25" s="45" t="n">
        <x:v>0</x:v>
      </x:c>
      <x:c r="C25" s="68" t="n">
        <x:v>0</x:v>
      </x:c>
      <x:c r="D25" s="47" t="n">
        <x:f>Partners!Q25*(1-IF(AND(OR(oil_compact=0,$A25&lt;compact_year),OR($A25=1931,$A25=1932)),gulf_glut_gdp,0))</x:f>
        <x:v>0</x:v>
      </x:c>
      <x:c r="E25" s="47" t="n">
        <x:f>IF(AND(gulf_on=1,$A25&gt;=gulf_year),1,0)</x:f>
        <x:v>0</x:v>
      </x:c>
      <x:c r="F25" s="45" t="n">
        <x:v>0</x:v>
      </x:c>
      <x:c r="G25" s="45" t="n">
        <x:v>0</x:v>
      </x:c>
      <x:c r="H25" s="59" t="n">
        <x:v>0</x:v>
      </x:c>
      <x:c r="I25" s="59" t="n">
        <x:v>0</x:v>
      </x:c>
      <x:c r="J25" s="59" t="n">
        <x:v>0</x:v>
      </x:c>
      <x:c r="K25" s="59" t="n">
        <x:v>0</x:v>
      </x:c>
      <x:c r="L25" s="52" t="n">
        <x:v>0</x:v>
      </x:c>
      <x:c r="M25" s="52" t="n">
        <x:v>0</x:v>
      </x:c>
      <x:c r="N25" s="52" t="n">
        <x:v>0</x:v>
      </x:c>
      <x:c r="O25" s="52" t="n">
        <x:v>0</x:v>
      </x:c>
      <x:c r="P25" s="68" t="n">
        <x:v>0</x:v>
      </x:c>
      <x:c r="Q25" s="68" t="n">
        <x:v>0</x:v>
      </x:c>
      <x:c r="R25" s="68" t="n">
        <x:v>0</x:v>
      </x:c>
      <x:c r="S25" s="68" t="n">
        <x:v>0</x:v>
      </x:c>
      <x:c r="T25" s="63" t="n">
        <x:f>J25-IF(AND(OR(oil_compact=0,$A25&lt;compact_year),$A25&gt;=1931,$A25&lt;=1933),gulf_wage_dip,0)</x:f>
        <x:v>0</x:v>
      </x:c>
      <x:c r="U25" s="47" t="n">
        <x:f>IF($A25&lt;1900,0,IF(F25&lt;=G25,1,0))</x:f>
        <x:v>0</x:v>
      </x:c>
      <x:c r="V25" s="47" t="n">
        <x:f>IF($A25&lt;1900,0,IF(H25&gt;=I25,1,0))</x:f>
        <x:v>0</x:v>
      </x:c>
      <x:c r="W25" s="47" t="n">
        <x:f>IF($A25&lt;1900,0,IF(T25&gt;=K25,1,0))</x:f>
        <x:v>0</x:v>
      </x:c>
      <x:c r="X25" s="47" t="n">
        <x:f>IF($A25&lt;1900,0,IF(L25&lt;=M25,1,0))</x:f>
        <x:v>0</x:v>
      </x:c>
      <x:c r="Y25" s="47" t="n">
        <x:f>IF($A25&lt;1900,0,IF(N25&lt;=O25,1,0))</x:f>
        <x:v>0</x:v>
      </x:c>
      <x:c r="Z25" s="47" t="n">
        <x:f>IF($A25&lt;1900,0,IF(P25&lt;=Q25,1,0))</x:f>
        <x:v>0</x:v>
      </x:c>
      <x:c r="AA25" s="47" t="n">
        <x:f>IF($A25&lt;1900,0,IF(R25&gt;=S25,1,0))</x:f>
        <x:v>0</x:v>
      </x:c>
      <x:c r="AB25" s="47" t="n">
        <x:f>IF(SUM(U25:Y25)=5,1,0)</x:f>
        <x:v>0</x:v>
      </x:c>
      <x:c r="AC25" s="47" t="n">
        <x:f>IF(Z25+AA25=2,1,0)</x:f>
        <x:v>0</x:v>
      </x:c>
      <x:c r="AD25" s="47" t="n">
        <x:f>IF(AND(AB25=1,AC25=1),1,0)</x:f>
        <x:v>0</x:v>
      </x:c>
      <x:c r="AE25" s="47" t="n">
        <x:f>IF(AD25=1,AE24+1,0)</x:f>
        <x:v>0</x:v>
      </x:c>
      <x:c r="AF25" s="47" t="n">
        <x:f>IF(AE24&gt;=gulf_years_req,1,0)</x:f>
        <x:v>0</x:v>
      </x:c>
    </x:row>
    <x:row r="26">
      <x:c r="A26" s="58" t="n">
        <x:v>1866</x:v>
      </x:c>
      <x:c r="B26" s="45" t="n">
        <x:v>0</x:v>
      </x:c>
      <x:c r="C26" s="68" t="n">
        <x:v>0</x:v>
      </x:c>
      <x:c r="D26" s="47" t="n">
        <x:f>Partners!Q26*(1-IF(AND(OR(oil_compact=0,$A26&lt;compact_year),OR($A26=1931,$A26=1932)),gulf_glut_gdp,0))</x:f>
        <x:v>0</x:v>
      </x:c>
      <x:c r="E26" s="47" t="n">
        <x:f>IF(AND(gulf_on=1,$A26&gt;=gulf_year),1,0)</x:f>
        <x:v>0</x:v>
      </x:c>
      <x:c r="F26" s="45" t="n">
        <x:v>0</x:v>
      </x:c>
      <x:c r="G26" s="45" t="n">
        <x:v>0</x:v>
      </x:c>
      <x:c r="H26" s="59" t="n">
        <x:v>0</x:v>
      </x:c>
      <x:c r="I26" s="59" t="n">
        <x:v>0</x:v>
      </x:c>
      <x:c r="J26" s="59" t="n">
        <x:v>0</x:v>
      </x:c>
      <x:c r="K26" s="59" t="n">
        <x:v>0</x:v>
      </x:c>
      <x:c r="L26" s="52" t="n">
        <x:v>0</x:v>
      </x:c>
      <x:c r="M26" s="52" t="n">
        <x:v>0</x:v>
      </x:c>
      <x:c r="N26" s="52" t="n">
        <x:v>0</x:v>
      </x:c>
      <x:c r="O26" s="52" t="n">
        <x:v>0</x:v>
      </x:c>
      <x:c r="P26" s="68" t="n">
        <x:v>0</x:v>
      </x:c>
      <x:c r="Q26" s="68" t="n">
        <x:v>0</x:v>
      </x:c>
      <x:c r="R26" s="68" t="n">
        <x:v>0</x:v>
      </x:c>
      <x:c r="S26" s="68" t="n">
        <x:v>0</x:v>
      </x:c>
      <x:c r="T26" s="63" t="n">
        <x:f>J26-IF(AND(OR(oil_compact=0,$A26&lt;compact_year),$A26&gt;=1931,$A26&lt;=1933),gulf_wage_dip,0)</x:f>
        <x:v>0</x:v>
      </x:c>
      <x:c r="U26" s="47" t="n">
        <x:f>IF($A26&lt;1900,0,IF(F26&lt;=G26,1,0))</x:f>
        <x:v>0</x:v>
      </x:c>
      <x:c r="V26" s="47" t="n">
        <x:f>IF($A26&lt;1900,0,IF(H26&gt;=I26,1,0))</x:f>
        <x:v>0</x:v>
      </x:c>
      <x:c r="W26" s="47" t="n">
        <x:f>IF($A26&lt;1900,0,IF(T26&gt;=K26,1,0))</x:f>
        <x:v>0</x:v>
      </x:c>
      <x:c r="X26" s="47" t="n">
        <x:f>IF($A26&lt;1900,0,IF(L26&lt;=M26,1,0))</x:f>
        <x:v>0</x:v>
      </x:c>
      <x:c r="Y26" s="47" t="n">
        <x:f>IF($A26&lt;1900,0,IF(N26&lt;=O26,1,0))</x:f>
        <x:v>0</x:v>
      </x:c>
      <x:c r="Z26" s="47" t="n">
        <x:f>IF($A26&lt;1900,0,IF(P26&lt;=Q26,1,0))</x:f>
        <x:v>0</x:v>
      </x:c>
      <x:c r="AA26" s="47" t="n">
        <x:f>IF($A26&lt;1900,0,IF(R26&gt;=S26,1,0))</x:f>
        <x:v>0</x:v>
      </x:c>
      <x:c r="AB26" s="47" t="n">
        <x:f>IF(SUM(U26:Y26)=5,1,0)</x:f>
        <x:v>0</x:v>
      </x:c>
      <x:c r="AC26" s="47" t="n">
        <x:f>IF(Z26+AA26=2,1,0)</x:f>
        <x:v>0</x:v>
      </x:c>
      <x:c r="AD26" s="47" t="n">
        <x:f>IF(AND(AB26=1,AC26=1),1,0)</x:f>
        <x:v>0</x:v>
      </x:c>
      <x:c r="AE26" s="47" t="n">
        <x:f>IF(AD26=1,AE25+1,0)</x:f>
        <x:v>0</x:v>
      </x:c>
      <x:c r="AF26" s="47" t="n">
        <x:f>IF(AE25&gt;=gulf_years_req,1,0)</x:f>
        <x:v>0</x:v>
      </x:c>
    </x:row>
    <x:row r="27">
      <x:c r="A27" s="58" t="n">
        <x:v>1867</x:v>
      </x:c>
      <x:c r="B27" s="45" t="n">
        <x:v>0</x:v>
      </x:c>
      <x:c r="C27" s="68" t="n">
        <x:v>0</x:v>
      </x:c>
      <x:c r="D27" s="47" t="n">
        <x:f>Partners!Q27*(1-IF(AND(OR(oil_compact=0,$A27&lt;compact_year),OR($A27=1931,$A27=1932)),gulf_glut_gdp,0))</x:f>
        <x:v>0</x:v>
      </x:c>
      <x:c r="E27" s="47" t="n">
        <x:f>IF(AND(gulf_on=1,$A27&gt;=gulf_year),1,0)</x:f>
        <x:v>0</x:v>
      </x:c>
      <x:c r="F27" s="45" t="n">
        <x:v>0</x:v>
      </x:c>
      <x:c r="G27" s="45" t="n">
        <x:v>0</x:v>
      </x:c>
      <x:c r="H27" s="59" t="n">
        <x:v>0</x:v>
      </x:c>
      <x:c r="I27" s="59" t="n">
        <x:v>0</x:v>
      </x:c>
      <x:c r="J27" s="59" t="n">
        <x:v>0</x:v>
      </x:c>
      <x:c r="K27" s="59" t="n">
        <x:v>0</x:v>
      </x:c>
      <x:c r="L27" s="52" t="n">
        <x:v>0</x:v>
      </x:c>
      <x:c r="M27" s="52" t="n">
        <x:v>0</x:v>
      </x:c>
      <x:c r="N27" s="52" t="n">
        <x:v>0</x:v>
      </x:c>
      <x:c r="O27" s="52" t="n">
        <x:v>0</x:v>
      </x:c>
      <x:c r="P27" s="68" t="n">
        <x:v>0</x:v>
      </x:c>
      <x:c r="Q27" s="68" t="n">
        <x:v>0</x:v>
      </x:c>
      <x:c r="R27" s="68" t="n">
        <x:v>0</x:v>
      </x:c>
      <x:c r="S27" s="68" t="n">
        <x:v>0</x:v>
      </x:c>
      <x:c r="T27" s="63" t="n">
        <x:f>J27-IF(AND(OR(oil_compact=0,$A27&lt;compact_year),$A27&gt;=1931,$A27&lt;=1933),gulf_wage_dip,0)</x:f>
        <x:v>0</x:v>
      </x:c>
      <x:c r="U27" s="47" t="n">
        <x:f>IF($A27&lt;1900,0,IF(F27&lt;=G27,1,0))</x:f>
        <x:v>0</x:v>
      </x:c>
      <x:c r="V27" s="47" t="n">
        <x:f>IF($A27&lt;1900,0,IF(H27&gt;=I27,1,0))</x:f>
        <x:v>0</x:v>
      </x:c>
      <x:c r="W27" s="47" t="n">
        <x:f>IF($A27&lt;1900,0,IF(T27&gt;=K27,1,0))</x:f>
        <x:v>0</x:v>
      </x:c>
      <x:c r="X27" s="47" t="n">
        <x:f>IF($A27&lt;1900,0,IF(L27&lt;=M27,1,0))</x:f>
        <x:v>0</x:v>
      </x:c>
      <x:c r="Y27" s="47" t="n">
        <x:f>IF($A27&lt;1900,0,IF(N27&lt;=O27,1,0))</x:f>
        <x:v>0</x:v>
      </x:c>
      <x:c r="Z27" s="47" t="n">
        <x:f>IF($A27&lt;1900,0,IF(P27&lt;=Q27,1,0))</x:f>
        <x:v>0</x:v>
      </x:c>
      <x:c r="AA27" s="47" t="n">
        <x:f>IF($A27&lt;1900,0,IF(R27&gt;=S27,1,0))</x:f>
        <x:v>0</x:v>
      </x:c>
      <x:c r="AB27" s="47" t="n">
        <x:f>IF(SUM(U27:Y27)=5,1,0)</x:f>
        <x:v>0</x:v>
      </x:c>
      <x:c r="AC27" s="47" t="n">
        <x:f>IF(Z27+AA27=2,1,0)</x:f>
        <x:v>0</x:v>
      </x:c>
      <x:c r="AD27" s="47" t="n">
        <x:f>IF(AND(AB27=1,AC27=1),1,0)</x:f>
        <x:v>0</x:v>
      </x:c>
      <x:c r="AE27" s="47" t="n">
        <x:f>IF(AD27=1,AE26+1,0)</x:f>
        <x:v>0</x:v>
      </x:c>
      <x:c r="AF27" s="47" t="n">
        <x:f>IF(AE26&gt;=gulf_years_req,1,0)</x:f>
        <x:v>0</x:v>
      </x:c>
    </x:row>
    <x:row r="28">
      <x:c r="A28" s="58" t="n">
        <x:v>1868</x:v>
      </x:c>
      <x:c r="B28" s="45" t="n">
        <x:v>0</x:v>
      </x:c>
      <x:c r="C28" s="68" t="n">
        <x:v>0</x:v>
      </x:c>
      <x:c r="D28" s="47" t="n">
        <x:f>Partners!Q28*(1-IF(AND(OR(oil_compact=0,$A28&lt;compact_year),OR($A28=1931,$A28=1932)),gulf_glut_gdp,0))</x:f>
        <x:v>0</x:v>
      </x:c>
      <x:c r="E28" s="47" t="n">
        <x:f>IF(AND(gulf_on=1,$A28&gt;=gulf_year),1,0)</x:f>
        <x:v>0</x:v>
      </x:c>
      <x:c r="F28" s="45" t="n">
        <x:v>0</x:v>
      </x:c>
      <x:c r="G28" s="45" t="n">
        <x:v>0</x:v>
      </x:c>
      <x:c r="H28" s="59" t="n">
        <x:v>0</x:v>
      </x:c>
      <x:c r="I28" s="59" t="n">
        <x:v>0</x:v>
      </x:c>
      <x:c r="J28" s="59" t="n">
        <x:v>0</x:v>
      </x:c>
      <x:c r="K28" s="59" t="n">
        <x:v>0</x:v>
      </x:c>
      <x:c r="L28" s="52" t="n">
        <x:v>0</x:v>
      </x:c>
      <x:c r="M28" s="52" t="n">
        <x:v>0</x:v>
      </x:c>
      <x:c r="N28" s="52" t="n">
        <x:v>0</x:v>
      </x:c>
      <x:c r="O28" s="52" t="n">
        <x:v>0</x:v>
      </x:c>
      <x:c r="P28" s="68" t="n">
        <x:v>0</x:v>
      </x:c>
      <x:c r="Q28" s="68" t="n">
        <x:v>0</x:v>
      </x:c>
      <x:c r="R28" s="68" t="n">
        <x:v>0</x:v>
      </x:c>
      <x:c r="S28" s="68" t="n">
        <x:v>0</x:v>
      </x:c>
      <x:c r="T28" s="63" t="n">
        <x:f>J28-IF(AND(OR(oil_compact=0,$A28&lt;compact_year),$A28&gt;=1931,$A28&lt;=1933),gulf_wage_dip,0)</x:f>
        <x:v>0</x:v>
      </x:c>
      <x:c r="U28" s="47" t="n">
        <x:f>IF($A28&lt;1900,0,IF(F28&lt;=G28,1,0))</x:f>
        <x:v>0</x:v>
      </x:c>
      <x:c r="V28" s="47" t="n">
        <x:f>IF($A28&lt;1900,0,IF(H28&gt;=I28,1,0))</x:f>
        <x:v>0</x:v>
      </x:c>
      <x:c r="W28" s="47" t="n">
        <x:f>IF($A28&lt;1900,0,IF(T28&gt;=K28,1,0))</x:f>
        <x:v>0</x:v>
      </x:c>
      <x:c r="X28" s="47" t="n">
        <x:f>IF($A28&lt;1900,0,IF(L28&lt;=M28,1,0))</x:f>
        <x:v>0</x:v>
      </x:c>
      <x:c r="Y28" s="47" t="n">
        <x:f>IF($A28&lt;1900,0,IF(N28&lt;=O28,1,0))</x:f>
        <x:v>0</x:v>
      </x:c>
      <x:c r="Z28" s="47" t="n">
        <x:f>IF($A28&lt;1900,0,IF(P28&lt;=Q28,1,0))</x:f>
        <x:v>0</x:v>
      </x:c>
      <x:c r="AA28" s="47" t="n">
        <x:f>IF($A28&lt;1900,0,IF(R28&gt;=S28,1,0))</x:f>
        <x:v>0</x:v>
      </x:c>
      <x:c r="AB28" s="47" t="n">
        <x:f>IF(SUM(U28:Y28)=5,1,0)</x:f>
        <x:v>0</x:v>
      </x:c>
      <x:c r="AC28" s="47" t="n">
        <x:f>IF(Z28+AA28=2,1,0)</x:f>
        <x:v>0</x:v>
      </x:c>
      <x:c r="AD28" s="47" t="n">
        <x:f>IF(AND(AB28=1,AC28=1),1,0)</x:f>
        <x:v>0</x:v>
      </x:c>
      <x:c r="AE28" s="47" t="n">
        <x:f>IF(AD28=1,AE27+1,0)</x:f>
        <x:v>0</x:v>
      </x:c>
      <x:c r="AF28" s="47" t="n">
        <x:f>IF(AE27&gt;=gulf_years_req,1,0)</x:f>
        <x:v>0</x:v>
      </x:c>
    </x:row>
    <x:row r="29">
      <x:c r="A29" s="58" t="n">
        <x:v>1869</x:v>
      </x:c>
      <x:c r="B29" s="45" t="n">
        <x:v>0</x:v>
      </x:c>
      <x:c r="C29" s="68" t="n">
        <x:v>0</x:v>
      </x:c>
      <x:c r="D29" s="47" t="n">
        <x:f>Partners!Q29*(1-IF(AND(OR(oil_compact=0,$A29&lt;compact_year),OR($A29=1931,$A29=1932)),gulf_glut_gdp,0))</x:f>
        <x:v>0</x:v>
      </x:c>
      <x:c r="E29" s="47" t="n">
        <x:f>IF(AND(gulf_on=1,$A29&gt;=gulf_year),1,0)</x:f>
        <x:v>0</x:v>
      </x:c>
      <x:c r="F29" s="45" t="n">
        <x:v>0</x:v>
      </x:c>
      <x:c r="G29" s="45" t="n">
        <x:v>0</x:v>
      </x:c>
      <x:c r="H29" s="59" t="n">
        <x:v>0</x:v>
      </x:c>
      <x:c r="I29" s="59" t="n">
        <x:v>0</x:v>
      </x:c>
      <x:c r="J29" s="59" t="n">
        <x:v>0</x:v>
      </x:c>
      <x:c r="K29" s="59" t="n">
        <x:v>0</x:v>
      </x:c>
      <x:c r="L29" s="52" t="n">
        <x:v>0</x:v>
      </x:c>
      <x:c r="M29" s="52" t="n">
        <x:v>0</x:v>
      </x:c>
      <x:c r="N29" s="52" t="n">
        <x:v>0</x:v>
      </x:c>
      <x:c r="O29" s="52" t="n">
        <x:v>0</x:v>
      </x:c>
      <x:c r="P29" s="68" t="n">
        <x:v>0</x:v>
      </x:c>
      <x:c r="Q29" s="68" t="n">
        <x:v>0</x:v>
      </x:c>
      <x:c r="R29" s="68" t="n">
        <x:v>0</x:v>
      </x:c>
      <x:c r="S29" s="68" t="n">
        <x:v>0</x:v>
      </x:c>
      <x:c r="T29" s="63" t="n">
        <x:f>J29-IF(AND(OR(oil_compact=0,$A29&lt;compact_year),$A29&gt;=1931,$A29&lt;=1933),gulf_wage_dip,0)</x:f>
        <x:v>0</x:v>
      </x:c>
      <x:c r="U29" s="47" t="n">
        <x:f>IF($A29&lt;1900,0,IF(F29&lt;=G29,1,0))</x:f>
        <x:v>0</x:v>
      </x:c>
      <x:c r="V29" s="47" t="n">
        <x:f>IF($A29&lt;1900,0,IF(H29&gt;=I29,1,0))</x:f>
        <x:v>0</x:v>
      </x:c>
      <x:c r="W29" s="47" t="n">
        <x:f>IF($A29&lt;1900,0,IF(T29&gt;=K29,1,0))</x:f>
        <x:v>0</x:v>
      </x:c>
      <x:c r="X29" s="47" t="n">
        <x:f>IF($A29&lt;1900,0,IF(L29&lt;=M29,1,0))</x:f>
        <x:v>0</x:v>
      </x:c>
      <x:c r="Y29" s="47" t="n">
        <x:f>IF($A29&lt;1900,0,IF(N29&lt;=O29,1,0))</x:f>
        <x:v>0</x:v>
      </x:c>
      <x:c r="Z29" s="47" t="n">
        <x:f>IF($A29&lt;1900,0,IF(P29&lt;=Q29,1,0))</x:f>
        <x:v>0</x:v>
      </x:c>
      <x:c r="AA29" s="47" t="n">
        <x:f>IF($A29&lt;1900,0,IF(R29&gt;=S29,1,0))</x:f>
        <x:v>0</x:v>
      </x:c>
      <x:c r="AB29" s="47" t="n">
        <x:f>IF(SUM(U29:Y29)=5,1,0)</x:f>
        <x:v>0</x:v>
      </x:c>
      <x:c r="AC29" s="47" t="n">
        <x:f>IF(Z29+AA29=2,1,0)</x:f>
        <x:v>0</x:v>
      </x:c>
      <x:c r="AD29" s="47" t="n">
        <x:f>IF(AND(AB29=1,AC29=1),1,0)</x:f>
        <x:v>0</x:v>
      </x:c>
      <x:c r="AE29" s="47" t="n">
        <x:f>IF(AD29=1,AE28+1,0)</x:f>
        <x:v>0</x:v>
      </x:c>
      <x:c r="AF29" s="47" t="n">
        <x:f>IF(AE28&gt;=gulf_years_req,1,0)</x:f>
        <x:v>0</x:v>
      </x:c>
    </x:row>
    <x:row r="30">
      <x:c r="A30" s="61" t="n">
        <x:v>1870</x:v>
      </x:c>
      <x:c r="B30" s="45" t="n">
        <x:v>0</x:v>
      </x:c>
      <x:c r="C30" s="68" t="n">
        <x:v>0</x:v>
      </x:c>
      <x:c r="D30" s="47" t="n">
        <x:f>Partners!Q30*(1-IF(AND(OR(oil_compact=0,$A30&lt;compact_year),OR($A30=1931,$A30=1932)),gulf_glut_gdp,0))</x:f>
        <x:v>0</x:v>
      </x:c>
      <x:c r="E30" s="47" t="n">
        <x:f>IF(AND(gulf_on=1,$A30&gt;=gulf_year),1,0)</x:f>
        <x:v>0</x:v>
      </x:c>
      <x:c r="F30" s="45" t="n">
        <x:v>0</x:v>
      </x:c>
      <x:c r="G30" s="45" t="n">
        <x:v>0</x:v>
      </x:c>
      <x:c r="H30" s="59" t="n">
        <x:v>0</x:v>
      </x:c>
      <x:c r="I30" s="59" t="n">
        <x:v>0</x:v>
      </x:c>
      <x:c r="J30" s="59" t="n">
        <x:v>0</x:v>
      </x:c>
      <x:c r="K30" s="59" t="n">
        <x:v>0</x:v>
      </x:c>
      <x:c r="L30" s="52" t="n">
        <x:v>0</x:v>
      </x:c>
      <x:c r="M30" s="52" t="n">
        <x:v>0</x:v>
      </x:c>
      <x:c r="N30" s="52" t="n">
        <x:v>0</x:v>
      </x:c>
      <x:c r="O30" s="52" t="n">
        <x:v>0</x:v>
      </x:c>
      <x:c r="P30" s="68" t="n">
        <x:v>0</x:v>
      </x:c>
      <x:c r="Q30" s="68" t="n">
        <x:v>0</x:v>
      </x:c>
      <x:c r="R30" s="68" t="n">
        <x:v>0</x:v>
      </x:c>
      <x:c r="S30" s="68" t="n">
        <x:v>0</x:v>
      </x:c>
      <x:c r="T30" s="63" t="n">
        <x:f>J30-IF(AND(OR(oil_compact=0,$A30&lt;compact_year),$A30&gt;=1931,$A30&lt;=1933),gulf_wage_dip,0)</x:f>
        <x:v>0</x:v>
      </x:c>
      <x:c r="U30" s="47" t="n">
        <x:f>IF($A30&lt;1900,0,IF(F30&lt;=G30,1,0))</x:f>
        <x:v>0</x:v>
      </x:c>
      <x:c r="V30" s="47" t="n">
        <x:f>IF($A30&lt;1900,0,IF(H30&gt;=I30,1,0))</x:f>
        <x:v>0</x:v>
      </x:c>
      <x:c r="W30" s="47" t="n">
        <x:f>IF($A30&lt;1900,0,IF(T30&gt;=K30,1,0))</x:f>
        <x:v>0</x:v>
      </x:c>
      <x:c r="X30" s="47" t="n">
        <x:f>IF($A30&lt;1900,0,IF(L30&lt;=M30,1,0))</x:f>
        <x:v>0</x:v>
      </x:c>
      <x:c r="Y30" s="47" t="n">
        <x:f>IF($A30&lt;1900,0,IF(N30&lt;=O30,1,0))</x:f>
        <x:v>0</x:v>
      </x:c>
      <x:c r="Z30" s="47" t="n">
        <x:f>IF($A30&lt;1900,0,IF(P30&lt;=Q30,1,0))</x:f>
        <x:v>0</x:v>
      </x:c>
      <x:c r="AA30" s="47" t="n">
        <x:f>IF($A30&lt;1900,0,IF(R30&gt;=S30,1,0))</x:f>
        <x:v>0</x:v>
      </x:c>
      <x:c r="AB30" s="47" t="n">
        <x:f>IF(SUM(U30:Y30)=5,1,0)</x:f>
        <x:v>0</x:v>
      </x:c>
      <x:c r="AC30" s="47" t="n">
        <x:f>IF(Z30+AA30=2,1,0)</x:f>
        <x:v>0</x:v>
      </x:c>
      <x:c r="AD30" s="47" t="n">
        <x:f>IF(AND(AB30=1,AC30=1),1,0)</x:f>
        <x:v>0</x:v>
      </x:c>
      <x:c r="AE30" s="47" t="n">
        <x:f>IF(AD30=1,AE29+1,0)</x:f>
        <x:v>0</x:v>
      </x:c>
      <x:c r="AF30" s="47" t="n">
        <x:f>IF(AE29&gt;=gulf_years_req,1,0)</x:f>
        <x:v>0</x:v>
      </x:c>
    </x:row>
    <x:row r="31">
      <x:c r="A31" s="61" t="n">
        <x:v>1871</x:v>
      </x:c>
      <x:c r="B31" s="45" t="n">
        <x:v>0</x:v>
      </x:c>
      <x:c r="C31" s="68" t="n">
        <x:v>0</x:v>
      </x:c>
      <x:c r="D31" s="47" t="n">
        <x:f>Partners!Q31*(1-IF(AND(OR(oil_compact=0,$A31&lt;compact_year),OR($A31=1931,$A31=1932)),gulf_glut_gdp,0))</x:f>
        <x:v>0</x:v>
      </x:c>
      <x:c r="E31" s="47" t="n">
        <x:f>IF(AND(gulf_on=1,$A31&gt;=gulf_year),1,0)</x:f>
        <x:v>0</x:v>
      </x:c>
      <x:c r="F31" s="45" t="n">
        <x:v>0</x:v>
      </x:c>
      <x:c r="G31" s="45" t="n">
        <x:v>0</x:v>
      </x:c>
      <x:c r="H31" s="59" t="n">
        <x:v>0</x:v>
      </x:c>
      <x:c r="I31" s="59" t="n">
        <x:v>0</x:v>
      </x:c>
      <x:c r="J31" s="59" t="n">
        <x:v>0</x:v>
      </x:c>
      <x:c r="K31" s="59" t="n">
        <x:v>0</x:v>
      </x:c>
      <x:c r="L31" s="52" t="n">
        <x:v>0</x:v>
      </x:c>
      <x:c r="M31" s="52" t="n">
        <x:v>0</x:v>
      </x:c>
      <x:c r="N31" s="52" t="n">
        <x:v>0</x:v>
      </x:c>
      <x:c r="O31" s="52" t="n">
        <x:v>0</x:v>
      </x:c>
      <x:c r="P31" s="68" t="n">
        <x:v>0</x:v>
      </x:c>
      <x:c r="Q31" s="68" t="n">
        <x:v>0</x:v>
      </x:c>
      <x:c r="R31" s="68" t="n">
        <x:v>0</x:v>
      </x:c>
      <x:c r="S31" s="68" t="n">
        <x:v>0</x:v>
      </x:c>
      <x:c r="T31" s="63" t="n">
        <x:f>J31-IF(AND(OR(oil_compact=0,$A31&lt;compact_year),$A31&gt;=1931,$A31&lt;=1933),gulf_wage_dip,0)</x:f>
        <x:v>0</x:v>
      </x:c>
      <x:c r="U31" s="47" t="n">
        <x:f>IF($A31&lt;1900,0,IF(F31&lt;=G31,1,0))</x:f>
        <x:v>0</x:v>
      </x:c>
      <x:c r="V31" s="47" t="n">
        <x:f>IF($A31&lt;1900,0,IF(H31&gt;=I31,1,0))</x:f>
        <x:v>0</x:v>
      </x:c>
      <x:c r="W31" s="47" t="n">
        <x:f>IF($A31&lt;1900,0,IF(T31&gt;=K31,1,0))</x:f>
        <x:v>0</x:v>
      </x:c>
      <x:c r="X31" s="47" t="n">
        <x:f>IF($A31&lt;1900,0,IF(L31&lt;=M31,1,0))</x:f>
        <x:v>0</x:v>
      </x:c>
      <x:c r="Y31" s="47" t="n">
        <x:f>IF($A31&lt;1900,0,IF(N31&lt;=O31,1,0))</x:f>
        <x:v>0</x:v>
      </x:c>
      <x:c r="Z31" s="47" t="n">
        <x:f>IF($A31&lt;1900,0,IF(P31&lt;=Q31,1,0))</x:f>
        <x:v>0</x:v>
      </x:c>
      <x:c r="AA31" s="47" t="n">
        <x:f>IF($A31&lt;1900,0,IF(R31&gt;=S31,1,0))</x:f>
        <x:v>0</x:v>
      </x:c>
      <x:c r="AB31" s="47" t="n">
        <x:f>IF(SUM(U31:Y31)=5,1,0)</x:f>
        <x:v>0</x:v>
      </x:c>
      <x:c r="AC31" s="47" t="n">
        <x:f>IF(Z31+AA31=2,1,0)</x:f>
        <x:v>0</x:v>
      </x:c>
      <x:c r="AD31" s="47" t="n">
        <x:f>IF(AND(AB31=1,AC31=1),1,0)</x:f>
        <x:v>0</x:v>
      </x:c>
      <x:c r="AE31" s="47" t="n">
        <x:f>IF(AD31=1,AE30+1,0)</x:f>
        <x:v>0</x:v>
      </x:c>
      <x:c r="AF31" s="47" t="n">
        <x:f>IF(AE30&gt;=gulf_years_req,1,0)</x:f>
        <x:v>0</x:v>
      </x:c>
    </x:row>
    <x:row r="32">
      <x:c r="A32" s="58" t="n">
        <x:v>1872</x:v>
      </x:c>
      <x:c r="B32" s="45" t="n">
        <x:v>0</x:v>
      </x:c>
      <x:c r="C32" s="68" t="n">
        <x:v>0</x:v>
      </x:c>
      <x:c r="D32" s="47" t="n">
        <x:f>Partners!Q32*(1-IF(AND(OR(oil_compact=0,$A32&lt;compact_year),OR($A32=1931,$A32=1932)),gulf_glut_gdp,0))</x:f>
        <x:v>0</x:v>
      </x:c>
      <x:c r="E32" s="47" t="n">
        <x:f>IF(AND(gulf_on=1,$A32&gt;=gulf_year),1,0)</x:f>
        <x:v>0</x:v>
      </x:c>
      <x:c r="F32" s="45" t="n">
        <x:v>0</x:v>
      </x:c>
      <x:c r="G32" s="45" t="n">
        <x:v>0</x:v>
      </x:c>
      <x:c r="H32" s="59" t="n">
        <x:v>0</x:v>
      </x:c>
      <x:c r="I32" s="59" t="n">
        <x:v>0</x:v>
      </x:c>
      <x:c r="J32" s="59" t="n">
        <x:v>0</x:v>
      </x:c>
      <x:c r="K32" s="59" t="n">
        <x:v>0</x:v>
      </x:c>
      <x:c r="L32" s="52" t="n">
        <x:v>0</x:v>
      </x:c>
      <x:c r="M32" s="52" t="n">
        <x:v>0</x:v>
      </x:c>
      <x:c r="N32" s="52" t="n">
        <x:v>0</x:v>
      </x:c>
      <x:c r="O32" s="52" t="n">
        <x:v>0</x:v>
      </x:c>
      <x:c r="P32" s="68" t="n">
        <x:v>0</x:v>
      </x:c>
      <x:c r="Q32" s="68" t="n">
        <x:v>0</x:v>
      </x:c>
      <x:c r="R32" s="68" t="n">
        <x:v>0</x:v>
      </x:c>
      <x:c r="S32" s="68" t="n">
        <x:v>0</x:v>
      </x:c>
      <x:c r="T32" s="63" t="n">
        <x:f>J32-IF(AND(OR(oil_compact=0,$A32&lt;compact_year),$A32&gt;=1931,$A32&lt;=1933),gulf_wage_dip,0)</x:f>
        <x:v>0</x:v>
      </x:c>
      <x:c r="U32" s="47" t="n">
        <x:f>IF($A32&lt;1900,0,IF(F32&lt;=G32,1,0))</x:f>
        <x:v>0</x:v>
      </x:c>
      <x:c r="V32" s="47" t="n">
        <x:f>IF($A32&lt;1900,0,IF(H32&gt;=I32,1,0))</x:f>
        <x:v>0</x:v>
      </x:c>
      <x:c r="W32" s="47" t="n">
        <x:f>IF($A32&lt;1900,0,IF(T32&gt;=K32,1,0))</x:f>
        <x:v>0</x:v>
      </x:c>
      <x:c r="X32" s="47" t="n">
        <x:f>IF($A32&lt;1900,0,IF(L32&lt;=M32,1,0))</x:f>
        <x:v>0</x:v>
      </x:c>
      <x:c r="Y32" s="47" t="n">
        <x:f>IF($A32&lt;1900,0,IF(N32&lt;=O32,1,0))</x:f>
        <x:v>0</x:v>
      </x:c>
      <x:c r="Z32" s="47" t="n">
        <x:f>IF($A32&lt;1900,0,IF(P32&lt;=Q32,1,0))</x:f>
        <x:v>0</x:v>
      </x:c>
      <x:c r="AA32" s="47" t="n">
        <x:f>IF($A32&lt;1900,0,IF(R32&gt;=S32,1,0))</x:f>
        <x:v>0</x:v>
      </x:c>
      <x:c r="AB32" s="47" t="n">
        <x:f>IF(SUM(U32:Y32)=5,1,0)</x:f>
        <x:v>0</x:v>
      </x:c>
      <x:c r="AC32" s="47" t="n">
        <x:f>IF(Z32+AA32=2,1,0)</x:f>
        <x:v>0</x:v>
      </x:c>
      <x:c r="AD32" s="47" t="n">
        <x:f>IF(AND(AB32=1,AC32=1),1,0)</x:f>
        <x:v>0</x:v>
      </x:c>
      <x:c r="AE32" s="47" t="n">
        <x:f>IF(AD32=1,AE31+1,0)</x:f>
        <x:v>0</x:v>
      </x:c>
      <x:c r="AF32" s="47" t="n">
        <x:f>IF(AE31&gt;=gulf_years_req,1,0)</x:f>
        <x:v>0</x:v>
      </x:c>
    </x:row>
    <x:row r="33">
      <x:c r="A33" s="58" t="n">
        <x:v>1873</x:v>
      </x:c>
      <x:c r="B33" s="45" t="n">
        <x:v>0</x:v>
      </x:c>
      <x:c r="C33" s="68" t="n">
        <x:v>0</x:v>
      </x:c>
      <x:c r="D33" s="47" t="n">
        <x:f>Partners!Q33*(1-IF(AND(OR(oil_compact=0,$A33&lt;compact_year),OR($A33=1931,$A33=1932)),gulf_glut_gdp,0))</x:f>
        <x:v>0</x:v>
      </x:c>
      <x:c r="E33" s="47" t="n">
        <x:f>IF(AND(gulf_on=1,$A33&gt;=gulf_year),1,0)</x:f>
        <x:v>0</x:v>
      </x:c>
      <x:c r="F33" s="45" t="n">
        <x:v>0</x:v>
      </x:c>
      <x:c r="G33" s="45" t="n">
        <x:v>0</x:v>
      </x:c>
      <x:c r="H33" s="59" t="n">
        <x:v>0</x:v>
      </x:c>
      <x:c r="I33" s="59" t="n">
        <x:v>0</x:v>
      </x:c>
      <x:c r="J33" s="59" t="n">
        <x:v>0</x:v>
      </x:c>
      <x:c r="K33" s="59" t="n">
        <x:v>0</x:v>
      </x:c>
      <x:c r="L33" s="52" t="n">
        <x:v>0</x:v>
      </x:c>
      <x:c r="M33" s="52" t="n">
        <x:v>0</x:v>
      </x:c>
      <x:c r="N33" s="52" t="n">
        <x:v>0</x:v>
      </x:c>
      <x:c r="O33" s="52" t="n">
        <x:v>0</x:v>
      </x:c>
      <x:c r="P33" s="68" t="n">
        <x:v>0</x:v>
      </x:c>
      <x:c r="Q33" s="68" t="n">
        <x:v>0</x:v>
      </x:c>
      <x:c r="R33" s="68" t="n">
        <x:v>0</x:v>
      </x:c>
      <x:c r="S33" s="68" t="n">
        <x:v>0</x:v>
      </x:c>
      <x:c r="T33" s="63" t="n">
        <x:f>J33-IF(AND(OR(oil_compact=0,$A33&lt;compact_year),$A33&gt;=1931,$A33&lt;=1933),gulf_wage_dip,0)</x:f>
        <x:v>0</x:v>
      </x:c>
      <x:c r="U33" s="47" t="n">
        <x:f>IF($A33&lt;1900,0,IF(F33&lt;=G33,1,0))</x:f>
        <x:v>0</x:v>
      </x:c>
      <x:c r="V33" s="47" t="n">
        <x:f>IF($A33&lt;1900,0,IF(H33&gt;=I33,1,0))</x:f>
        <x:v>0</x:v>
      </x:c>
      <x:c r="W33" s="47" t="n">
        <x:f>IF($A33&lt;1900,0,IF(T33&gt;=K33,1,0))</x:f>
        <x:v>0</x:v>
      </x:c>
      <x:c r="X33" s="47" t="n">
        <x:f>IF($A33&lt;1900,0,IF(L33&lt;=M33,1,0))</x:f>
        <x:v>0</x:v>
      </x:c>
      <x:c r="Y33" s="47" t="n">
        <x:f>IF($A33&lt;1900,0,IF(N33&lt;=O33,1,0))</x:f>
        <x:v>0</x:v>
      </x:c>
      <x:c r="Z33" s="47" t="n">
        <x:f>IF($A33&lt;1900,0,IF(P33&lt;=Q33,1,0))</x:f>
        <x:v>0</x:v>
      </x:c>
      <x:c r="AA33" s="47" t="n">
        <x:f>IF($A33&lt;1900,0,IF(R33&gt;=S33,1,0))</x:f>
        <x:v>0</x:v>
      </x:c>
      <x:c r="AB33" s="47" t="n">
        <x:f>IF(SUM(U33:Y33)=5,1,0)</x:f>
        <x:v>0</x:v>
      </x:c>
      <x:c r="AC33" s="47" t="n">
        <x:f>IF(Z33+AA33=2,1,0)</x:f>
        <x:v>0</x:v>
      </x:c>
      <x:c r="AD33" s="47" t="n">
        <x:f>IF(AND(AB33=1,AC33=1),1,0)</x:f>
        <x:v>0</x:v>
      </x:c>
      <x:c r="AE33" s="47" t="n">
        <x:f>IF(AD33=1,AE32+1,0)</x:f>
        <x:v>0</x:v>
      </x:c>
      <x:c r="AF33" s="47" t="n">
        <x:f>IF(AE32&gt;=gulf_years_req,1,0)</x:f>
        <x:v>0</x:v>
      </x:c>
    </x:row>
    <x:row r="34">
      <x:c r="A34" s="58" t="n">
        <x:v>1874</x:v>
      </x:c>
      <x:c r="B34" s="45" t="n">
        <x:v>0</x:v>
      </x:c>
      <x:c r="C34" s="68" t="n">
        <x:v>0</x:v>
      </x:c>
      <x:c r="D34" s="47" t="n">
        <x:f>Partners!Q34*(1-IF(AND(OR(oil_compact=0,$A34&lt;compact_year),OR($A34=1931,$A34=1932)),gulf_glut_gdp,0))</x:f>
        <x:v>0</x:v>
      </x:c>
      <x:c r="E34" s="47" t="n">
        <x:f>IF(AND(gulf_on=1,$A34&gt;=gulf_year),1,0)</x:f>
        <x:v>0</x:v>
      </x:c>
      <x:c r="F34" s="45" t="n">
        <x:v>0</x:v>
      </x:c>
      <x:c r="G34" s="45" t="n">
        <x:v>0</x:v>
      </x:c>
      <x:c r="H34" s="59" t="n">
        <x:v>0</x:v>
      </x:c>
      <x:c r="I34" s="59" t="n">
        <x:v>0</x:v>
      </x:c>
      <x:c r="J34" s="59" t="n">
        <x:v>0</x:v>
      </x:c>
      <x:c r="K34" s="59" t="n">
        <x:v>0</x:v>
      </x:c>
      <x:c r="L34" s="52" t="n">
        <x:v>0</x:v>
      </x:c>
      <x:c r="M34" s="52" t="n">
        <x:v>0</x:v>
      </x:c>
      <x:c r="N34" s="52" t="n">
        <x:v>0</x:v>
      </x:c>
      <x:c r="O34" s="52" t="n">
        <x:v>0</x:v>
      </x:c>
      <x:c r="P34" s="68" t="n">
        <x:v>0</x:v>
      </x:c>
      <x:c r="Q34" s="68" t="n">
        <x:v>0</x:v>
      </x:c>
      <x:c r="R34" s="68" t="n">
        <x:v>0</x:v>
      </x:c>
      <x:c r="S34" s="68" t="n">
        <x:v>0</x:v>
      </x:c>
      <x:c r="T34" s="63" t="n">
        <x:f>J34-IF(AND(OR(oil_compact=0,$A34&lt;compact_year),$A34&gt;=1931,$A34&lt;=1933),gulf_wage_dip,0)</x:f>
        <x:v>0</x:v>
      </x:c>
      <x:c r="U34" s="47" t="n">
        <x:f>IF($A34&lt;1900,0,IF(F34&lt;=G34,1,0))</x:f>
        <x:v>0</x:v>
      </x:c>
      <x:c r="V34" s="47" t="n">
        <x:f>IF($A34&lt;1900,0,IF(H34&gt;=I34,1,0))</x:f>
        <x:v>0</x:v>
      </x:c>
      <x:c r="W34" s="47" t="n">
        <x:f>IF($A34&lt;1900,0,IF(T34&gt;=K34,1,0))</x:f>
        <x:v>0</x:v>
      </x:c>
      <x:c r="X34" s="47" t="n">
        <x:f>IF($A34&lt;1900,0,IF(L34&lt;=M34,1,0))</x:f>
        <x:v>0</x:v>
      </x:c>
      <x:c r="Y34" s="47" t="n">
        <x:f>IF($A34&lt;1900,0,IF(N34&lt;=O34,1,0))</x:f>
        <x:v>0</x:v>
      </x:c>
      <x:c r="Z34" s="47" t="n">
        <x:f>IF($A34&lt;1900,0,IF(P34&lt;=Q34,1,0))</x:f>
        <x:v>0</x:v>
      </x:c>
      <x:c r="AA34" s="47" t="n">
        <x:f>IF($A34&lt;1900,0,IF(R34&gt;=S34,1,0))</x:f>
        <x:v>0</x:v>
      </x:c>
      <x:c r="AB34" s="47" t="n">
        <x:f>IF(SUM(U34:Y34)=5,1,0)</x:f>
        <x:v>0</x:v>
      </x:c>
      <x:c r="AC34" s="47" t="n">
        <x:f>IF(Z34+AA34=2,1,0)</x:f>
        <x:v>0</x:v>
      </x:c>
      <x:c r="AD34" s="47" t="n">
        <x:f>IF(AND(AB34=1,AC34=1),1,0)</x:f>
        <x:v>0</x:v>
      </x:c>
      <x:c r="AE34" s="47" t="n">
        <x:f>IF(AD34=1,AE33+1,0)</x:f>
        <x:v>0</x:v>
      </x:c>
      <x:c r="AF34" s="47" t="n">
        <x:f>IF(AE33&gt;=gulf_years_req,1,0)</x:f>
        <x:v>0</x:v>
      </x:c>
    </x:row>
    <x:row r="35">
      <x:c r="A35" s="58" t="n">
        <x:v>1875</x:v>
      </x:c>
      <x:c r="B35" s="45" t="n">
        <x:v>0</x:v>
      </x:c>
      <x:c r="C35" s="68" t="n">
        <x:v>0</x:v>
      </x:c>
      <x:c r="D35" s="47" t="n">
        <x:f>Partners!Q35*(1-IF(AND(OR(oil_compact=0,$A35&lt;compact_year),OR($A35=1931,$A35=1932)),gulf_glut_gdp,0))</x:f>
        <x:v>0</x:v>
      </x:c>
      <x:c r="E35" s="47" t="n">
        <x:f>IF(AND(gulf_on=1,$A35&gt;=gulf_year),1,0)</x:f>
        <x:v>0</x:v>
      </x:c>
      <x:c r="F35" s="45" t="n">
        <x:v>0</x:v>
      </x:c>
      <x:c r="G35" s="45" t="n">
        <x:v>0</x:v>
      </x:c>
      <x:c r="H35" s="59" t="n">
        <x:v>0</x:v>
      </x:c>
      <x:c r="I35" s="59" t="n">
        <x:v>0</x:v>
      </x:c>
      <x:c r="J35" s="59" t="n">
        <x:v>0</x:v>
      </x:c>
      <x:c r="K35" s="59" t="n">
        <x:v>0</x:v>
      </x:c>
      <x:c r="L35" s="52" t="n">
        <x:v>0</x:v>
      </x:c>
      <x:c r="M35" s="52" t="n">
        <x:v>0</x:v>
      </x:c>
      <x:c r="N35" s="52" t="n">
        <x:v>0</x:v>
      </x:c>
      <x:c r="O35" s="52" t="n">
        <x:v>0</x:v>
      </x:c>
      <x:c r="P35" s="68" t="n">
        <x:v>0</x:v>
      </x:c>
      <x:c r="Q35" s="68" t="n">
        <x:v>0</x:v>
      </x:c>
      <x:c r="R35" s="68" t="n">
        <x:v>0</x:v>
      </x:c>
      <x:c r="S35" s="68" t="n">
        <x:v>0</x:v>
      </x:c>
      <x:c r="T35" s="63" t="n">
        <x:f>J35-IF(AND(OR(oil_compact=0,$A35&lt;compact_year),$A35&gt;=1931,$A35&lt;=1933),gulf_wage_dip,0)</x:f>
        <x:v>0</x:v>
      </x:c>
      <x:c r="U35" s="47" t="n">
        <x:f>IF($A35&lt;1900,0,IF(F35&lt;=G35,1,0))</x:f>
        <x:v>0</x:v>
      </x:c>
      <x:c r="V35" s="47" t="n">
        <x:f>IF($A35&lt;1900,0,IF(H35&gt;=I35,1,0))</x:f>
        <x:v>0</x:v>
      </x:c>
      <x:c r="W35" s="47" t="n">
        <x:f>IF($A35&lt;1900,0,IF(T35&gt;=K35,1,0))</x:f>
        <x:v>0</x:v>
      </x:c>
      <x:c r="X35" s="47" t="n">
        <x:f>IF($A35&lt;1900,0,IF(L35&lt;=M35,1,0))</x:f>
        <x:v>0</x:v>
      </x:c>
      <x:c r="Y35" s="47" t="n">
        <x:f>IF($A35&lt;1900,0,IF(N35&lt;=O35,1,0))</x:f>
        <x:v>0</x:v>
      </x:c>
      <x:c r="Z35" s="47" t="n">
        <x:f>IF($A35&lt;1900,0,IF(P35&lt;=Q35,1,0))</x:f>
        <x:v>0</x:v>
      </x:c>
      <x:c r="AA35" s="47" t="n">
        <x:f>IF($A35&lt;1900,0,IF(R35&gt;=S35,1,0))</x:f>
        <x:v>0</x:v>
      </x:c>
      <x:c r="AB35" s="47" t="n">
        <x:f>IF(SUM(U35:Y35)=5,1,0)</x:f>
        <x:v>0</x:v>
      </x:c>
      <x:c r="AC35" s="47" t="n">
        <x:f>IF(Z35+AA35=2,1,0)</x:f>
        <x:v>0</x:v>
      </x:c>
      <x:c r="AD35" s="47" t="n">
        <x:f>IF(AND(AB35=1,AC35=1),1,0)</x:f>
        <x:v>0</x:v>
      </x:c>
      <x:c r="AE35" s="47" t="n">
        <x:f>IF(AD35=1,AE34+1,0)</x:f>
        <x:v>0</x:v>
      </x:c>
      <x:c r="AF35" s="47" t="n">
        <x:f>IF(AE34&gt;=gulf_years_req,1,0)</x:f>
        <x:v>0</x:v>
      </x:c>
    </x:row>
    <x:row r="36">
      <x:c r="A36" s="58" t="n">
        <x:v>1876</x:v>
      </x:c>
      <x:c r="B36" s="45" t="n">
        <x:v>0</x:v>
      </x:c>
      <x:c r="C36" s="68" t="n">
        <x:v>0</x:v>
      </x:c>
      <x:c r="D36" s="47" t="n">
        <x:f>Partners!Q36*(1-IF(AND(OR(oil_compact=0,$A36&lt;compact_year),OR($A36=1931,$A36=1932)),gulf_glut_gdp,0))</x:f>
        <x:v>0</x:v>
      </x:c>
      <x:c r="E36" s="47" t="n">
        <x:f>IF(AND(gulf_on=1,$A36&gt;=gulf_year),1,0)</x:f>
        <x:v>0</x:v>
      </x:c>
      <x:c r="F36" s="45" t="n">
        <x:v>0</x:v>
      </x:c>
      <x:c r="G36" s="45" t="n">
        <x:v>0</x:v>
      </x:c>
      <x:c r="H36" s="59" t="n">
        <x:v>0</x:v>
      </x:c>
      <x:c r="I36" s="59" t="n">
        <x:v>0</x:v>
      </x:c>
      <x:c r="J36" s="59" t="n">
        <x:v>0</x:v>
      </x:c>
      <x:c r="K36" s="59" t="n">
        <x:v>0</x:v>
      </x:c>
      <x:c r="L36" s="52" t="n">
        <x:v>0</x:v>
      </x:c>
      <x:c r="M36" s="52" t="n">
        <x:v>0</x:v>
      </x:c>
      <x:c r="N36" s="52" t="n">
        <x:v>0</x:v>
      </x:c>
      <x:c r="O36" s="52" t="n">
        <x:v>0</x:v>
      </x:c>
      <x:c r="P36" s="68" t="n">
        <x:v>0</x:v>
      </x:c>
      <x:c r="Q36" s="68" t="n">
        <x:v>0</x:v>
      </x:c>
      <x:c r="R36" s="68" t="n">
        <x:v>0</x:v>
      </x:c>
      <x:c r="S36" s="68" t="n">
        <x:v>0</x:v>
      </x:c>
      <x:c r="T36" s="63" t="n">
        <x:f>J36-IF(AND(OR(oil_compact=0,$A36&lt;compact_year),$A36&gt;=1931,$A36&lt;=1933),gulf_wage_dip,0)</x:f>
        <x:v>0</x:v>
      </x:c>
      <x:c r="U36" s="47" t="n">
        <x:f>IF($A36&lt;1900,0,IF(F36&lt;=G36,1,0))</x:f>
        <x:v>0</x:v>
      </x:c>
      <x:c r="V36" s="47" t="n">
        <x:f>IF($A36&lt;1900,0,IF(H36&gt;=I36,1,0))</x:f>
        <x:v>0</x:v>
      </x:c>
      <x:c r="W36" s="47" t="n">
        <x:f>IF($A36&lt;1900,0,IF(T36&gt;=K36,1,0))</x:f>
        <x:v>0</x:v>
      </x:c>
      <x:c r="X36" s="47" t="n">
        <x:f>IF($A36&lt;1900,0,IF(L36&lt;=M36,1,0))</x:f>
        <x:v>0</x:v>
      </x:c>
      <x:c r="Y36" s="47" t="n">
        <x:f>IF($A36&lt;1900,0,IF(N36&lt;=O36,1,0))</x:f>
        <x:v>0</x:v>
      </x:c>
      <x:c r="Z36" s="47" t="n">
        <x:f>IF($A36&lt;1900,0,IF(P36&lt;=Q36,1,0))</x:f>
        <x:v>0</x:v>
      </x:c>
      <x:c r="AA36" s="47" t="n">
        <x:f>IF($A36&lt;1900,0,IF(R36&gt;=S36,1,0))</x:f>
        <x:v>0</x:v>
      </x:c>
      <x:c r="AB36" s="47" t="n">
        <x:f>IF(SUM(U36:Y36)=5,1,0)</x:f>
        <x:v>0</x:v>
      </x:c>
      <x:c r="AC36" s="47" t="n">
        <x:f>IF(Z36+AA36=2,1,0)</x:f>
        <x:v>0</x:v>
      </x:c>
      <x:c r="AD36" s="47" t="n">
        <x:f>IF(AND(AB36=1,AC36=1),1,0)</x:f>
        <x:v>0</x:v>
      </x:c>
      <x:c r="AE36" s="47" t="n">
        <x:f>IF(AD36=1,AE35+1,0)</x:f>
        <x:v>0</x:v>
      </x:c>
      <x:c r="AF36" s="47" t="n">
        <x:f>IF(AE35&gt;=gulf_years_req,1,0)</x:f>
        <x:v>0</x:v>
      </x:c>
    </x:row>
    <x:row r="37">
      <x:c r="A37" s="58" t="n">
        <x:v>1877</x:v>
      </x:c>
      <x:c r="B37" s="45" t="n">
        <x:v>0</x:v>
      </x:c>
      <x:c r="C37" s="68" t="n">
        <x:v>0</x:v>
      </x:c>
      <x:c r="D37" s="47" t="n">
        <x:f>Partners!Q37*(1-IF(AND(OR(oil_compact=0,$A37&lt;compact_year),OR($A37=1931,$A37=1932)),gulf_glut_gdp,0))</x:f>
        <x:v>0</x:v>
      </x:c>
      <x:c r="E37" s="47" t="n">
        <x:f>IF(AND(gulf_on=1,$A37&gt;=gulf_year),1,0)</x:f>
        <x:v>0</x:v>
      </x:c>
      <x:c r="F37" s="45" t="n">
        <x:v>0</x:v>
      </x:c>
      <x:c r="G37" s="45" t="n">
        <x:v>0</x:v>
      </x:c>
      <x:c r="H37" s="59" t="n">
        <x:v>0</x:v>
      </x:c>
      <x:c r="I37" s="59" t="n">
        <x:v>0</x:v>
      </x:c>
      <x:c r="J37" s="59" t="n">
        <x:v>0</x:v>
      </x:c>
      <x:c r="K37" s="59" t="n">
        <x:v>0</x:v>
      </x:c>
      <x:c r="L37" s="52" t="n">
        <x:v>0</x:v>
      </x:c>
      <x:c r="M37" s="52" t="n">
        <x:v>0</x:v>
      </x:c>
      <x:c r="N37" s="52" t="n">
        <x:v>0</x:v>
      </x:c>
      <x:c r="O37" s="52" t="n">
        <x:v>0</x:v>
      </x:c>
      <x:c r="P37" s="68" t="n">
        <x:v>0</x:v>
      </x:c>
      <x:c r="Q37" s="68" t="n">
        <x:v>0</x:v>
      </x:c>
      <x:c r="R37" s="68" t="n">
        <x:v>0</x:v>
      </x:c>
      <x:c r="S37" s="68" t="n">
        <x:v>0</x:v>
      </x:c>
      <x:c r="T37" s="63" t="n">
        <x:f>J37-IF(AND(OR(oil_compact=0,$A37&lt;compact_year),$A37&gt;=1931,$A37&lt;=1933),gulf_wage_dip,0)</x:f>
        <x:v>0</x:v>
      </x:c>
      <x:c r="U37" s="47" t="n">
        <x:f>IF($A37&lt;1900,0,IF(F37&lt;=G37,1,0))</x:f>
        <x:v>0</x:v>
      </x:c>
      <x:c r="V37" s="47" t="n">
        <x:f>IF($A37&lt;1900,0,IF(H37&gt;=I37,1,0))</x:f>
        <x:v>0</x:v>
      </x:c>
      <x:c r="W37" s="47" t="n">
        <x:f>IF($A37&lt;1900,0,IF(T37&gt;=K37,1,0))</x:f>
        <x:v>0</x:v>
      </x:c>
      <x:c r="X37" s="47" t="n">
        <x:f>IF($A37&lt;1900,0,IF(L37&lt;=M37,1,0))</x:f>
        <x:v>0</x:v>
      </x:c>
      <x:c r="Y37" s="47" t="n">
        <x:f>IF($A37&lt;1900,0,IF(N37&lt;=O37,1,0))</x:f>
        <x:v>0</x:v>
      </x:c>
      <x:c r="Z37" s="47" t="n">
        <x:f>IF($A37&lt;1900,0,IF(P37&lt;=Q37,1,0))</x:f>
        <x:v>0</x:v>
      </x:c>
      <x:c r="AA37" s="47" t="n">
        <x:f>IF($A37&lt;1900,0,IF(R37&gt;=S37,1,0))</x:f>
        <x:v>0</x:v>
      </x:c>
      <x:c r="AB37" s="47" t="n">
        <x:f>IF(SUM(U37:Y37)=5,1,0)</x:f>
        <x:v>0</x:v>
      </x:c>
      <x:c r="AC37" s="47" t="n">
        <x:f>IF(Z37+AA37=2,1,0)</x:f>
        <x:v>0</x:v>
      </x:c>
      <x:c r="AD37" s="47" t="n">
        <x:f>IF(AND(AB37=1,AC37=1),1,0)</x:f>
        <x:v>0</x:v>
      </x:c>
      <x:c r="AE37" s="47" t="n">
        <x:f>IF(AD37=1,AE36+1,0)</x:f>
        <x:v>0</x:v>
      </x:c>
      <x:c r="AF37" s="47" t="n">
        <x:f>IF(AE36&gt;=gulf_years_req,1,0)</x:f>
        <x:v>0</x:v>
      </x:c>
    </x:row>
    <x:row r="38">
      <x:c r="A38" s="58" t="n">
        <x:v>1878</x:v>
      </x:c>
      <x:c r="B38" s="45" t="n">
        <x:v>0</x:v>
      </x:c>
      <x:c r="C38" s="68" t="n">
        <x:v>0</x:v>
      </x:c>
      <x:c r="D38" s="47" t="n">
        <x:f>Partners!Q38*(1-IF(AND(OR(oil_compact=0,$A38&lt;compact_year),OR($A38=1931,$A38=1932)),gulf_glut_gdp,0))</x:f>
        <x:v>0</x:v>
      </x:c>
      <x:c r="E38" s="47" t="n">
        <x:f>IF(AND(gulf_on=1,$A38&gt;=gulf_year),1,0)</x:f>
        <x:v>0</x:v>
      </x:c>
      <x:c r="F38" s="45" t="n">
        <x:v>0</x:v>
      </x:c>
      <x:c r="G38" s="45" t="n">
        <x:v>0</x:v>
      </x:c>
      <x:c r="H38" s="59" t="n">
        <x:v>0</x:v>
      </x:c>
      <x:c r="I38" s="59" t="n">
        <x:v>0</x:v>
      </x:c>
      <x:c r="J38" s="59" t="n">
        <x:v>0</x:v>
      </x:c>
      <x:c r="K38" s="59" t="n">
        <x:v>0</x:v>
      </x:c>
      <x:c r="L38" s="52" t="n">
        <x:v>0</x:v>
      </x:c>
      <x:c r="M38" s="52" t="n">
        <x:v>0</x:v>
      </x:c>
      <x:c r="N38" s="52" t="n">
        <x:v>0</x:v>
      </x:c>
      <x:c r="O38" s="52" t="n">
        <x:v>0</x:v>
      </x:c>
      <x:c r="P38" s="68" t="n">
        <x:v>0</x:v>
      </x:c>
      <x:c r="Q38" s="68" t="n">
        <x:v>0</x:v>
      </x:c>
      <x:c r="R38" s="68" t="n">
        <x:v>0</x:v>
      </x:c>
      <x:c r="S38" s="68" t="n">
        <x:v>0</x:v>
      </x:c>
      <x:c r="T38" s="63" t="n">
        <x:f>J38-IF(AND(OR(oil_compact=0,$A38&lt;compact_year),$A38&gt;=1931,$A38&lt;=1933),gulf_wage_dip,0)</x:f>
        <x:v>0</x:v>
      </x:c>
      <x:c r="U38" s="47" t="n">
        <x:f>IF($A38&lt;1900,0,IF(F38&lt;=G38,1,0))</x:f>
        <x:v>0</x:v>
      </x:c>
      <x:c r="V38" s="47" t="n">
        <x:f>IF($A38&lt;1900,0,IF(H38&gt;=I38,1,0))</x:f>
        <x:v>0</x:v>
      </x:c>
      <x:c r="W38" s="47" t="n">
        <x:f>IF($A38&lt;1900,0,IF(T38&gt;=K38,1,0))</x:f>
        <x:v>0</x:v>
      </x:c>
      <x:c r="X38" s="47" t="n">
        <x:f>IF($A38&lt;1900,0,IF(L38&lt;=M38,1,0))</x:f>
        <x:v>0</x:v>
      </x:c>
      <x:c r="Y38" s="47" t="n">
        <x:f>IF($A38&lt;1900,0,IF(N38&lt;=O38,1,0))</x:f>
        <x:v>0</x:v>
      </x:c>
      <x:c r="Z38" s="47" t="n">
        <x:f>IF($A38&lt;1900,0,IF(P38&lt;=Q38,1,0))</x:f>
        <x:v>0</x:v>
      </x:c>
      <x:c r="AA38" s="47" t="n">
        <x:f>IF($A38&lt;1900,0,IF(R38&gt;=S38,1,0))</x:f>
        <x:v>0</x:v>
      </x:c>
      <x:c r="AB38" s="47" t="n">
        <x:f>IF(SUM(U38:Y38)=5,1,0)</x:f>
        <x:v>0</x:v>
      </x:c>
      <x:c r="AC38" s="47" t="n">
        <x:f>IF(Z38+AA38=2,1,0)</x:f>
        <x:v>0</x:v>
      </x:c>
      <x:c r="AD38" s="47" t="n">
        <x:f>IF(AND(AB38=1,AC38=1),1,0)</x:f>
        <x:v>0</x:v>
      </x:c>
      <x:c r="AE38" s="47" t="n">
        <x:f>IF(AD38=1,AE37+1,0)</x:f>
        <x:v>0</x:v>
      </x:c>
      <x:c r="AF38" s="47" t="n">
        <x:f>IF(AE37&gt;=gulf_years_req,1,0)</x:f>
        <x:v>0</x:v>
      </x:c>
    </x:row>
    <x:row r="39">
      <x:c r="A39" s="58" t="n">
        <x:v>1879</x:v>
      </x:c>
      <x:c r="B39" s="45" t="n">
        <x:v>0</x:v>
      </x:c>
      <x:c r="C39" s="68" t="n">
        <x:v>0</x:v>
      </x:c>
      <x:c r="D39" s="47" t="n">
        <x:f>Partners!Q39*(1-IF(AND(OR(oil_compact=0,$A39&lt;compact_year),OR($A39=1931,$A39=1932)),gulf_glut_gdp,0))</x:f>
        <x:v>0</x:v>
      </x:c>
      <x:c r="E39" s="47" t="n">
        <x:f>IF(AND(gulf_on=1,$A39&gt;=gulf_year),1,0)</x:f>
        <x:v>0</x:v>
      </x:c>
      <x:c r="F39" s="45" t="n">
        <x:v>0</x:v>
      </x:c>
      <x:c r="G39" s="45" t="n">
        <x:v>0</x:v>
      </x:c>
      <x:c r="H39" s="59" t="n">
        <x:v>0</x:v>
      </x:c>
      <x:c r="I39" s="59" t="n">
        <x:v>0</x:v>
      </x:c>
      <x:c r="J39" s="59" t="n">
        <x:v>0</x:v>
      </x:c>
      <x:c r="K39" s="59" t="n">
        <x:v>0</x:v>
      </x:c>
      <x:c r="L39" s="52" t="n">
        <x:v>0</x:v>
      </x:c>
      <x:c r="M39" s="52" t="n">
        <x:v>0</x:v>
      </x:c>
      <x:c r="N39" s="52" t="n">
        <x:v>0</x:v>
      </x:c>
      <x:c r="O39" s="52" t="n">
        <x:v>0</x:v>
      </x:c>
      <x:c r="P39" s="68" t="n">
        <x:v>0</x:v>
      </x:c>
      <x:c r="Q39" s="68" t="n">
        <x:v>0</x:v>
      </x:c>
      <x:c r="R39" s="68" t="n">
        <x:v>0</x:v>
      </x:c>
      <x:c r="S39" s="68" t="n">
        <x:v>0</x:v>
      </x:c>
      <x:c r="T39" s="63" t="n">
        <x:f>J39-IF(AND(OR(oil_compact=0,$A39&lt;compact_year),$A39&gt;=1931,$A39&lt;=1933),gulf_wage_dip,0)</x:f>
        <x:v>0</x:v>
      </x:c>
      <x:c r="U39" s="47" t="n">
        <x:f>IF($A39&lt;1900,0,IF(F39&lt;=G39,1,0))</x:f>
        <x:v>0</x:v>
      </x:c>
      <x:c r="V39" s="47" t="n">
        <x:f>IF($A39&lt;1900,0,IF(H39&gt;=I39,1,0))</x:f>
        <x:v>0</x:v>
      </x:c>
      <x:c r="W39" s="47" t="n">
        <x:f>IF($A39&lt;1900,0,IF(T39&gt;=K39,1,0))</x:f>
        <x:v>0</x:v>
      </x:c>
      <x:c r="X39" s="47" t="n">
        <x:f>IF($A39&lt;1900,0,IF(L39&lt;=M39,1,0))</x:f>
        <x:v>0</x:v>
      </x:c>
      <x:c r="Y39" s="47" t="n">
        <x:f>IF($A39&lt;1900,0,IF(N39&lt;=O39,1,0))</x:f>
        <x:v>0</x:v>
      </x:c>
      <x:c r="Z39" s="47" t="n">
        <x:f>IF($A39&lt;1900,0,IF(P39&lt;=Q39,1,0))</x:f>
        <x:v>0</x:v>
      </x:c>
      <x:c r="AA39" s="47" t="n">
        <x:f>IF($A39&lt;1900,0,IF(R39&gt;=S39,1,0))</x:f>
        <x:v>0</x:v>
      </x:c>
      <x:c r="AB39" s="47" t="n">
        <x:f>IF(SUM(U39:Y39)=5,1,0)</x:f>
        <x:v>0</x:v>
      </x:c>
      <x:c r="AC39" s="47" t="n">
        <x:f>IF(Z39+AA39=2,1,0)</x:f>
        <x:v>0</x:v>
      </x:c>
      <x:c r="AD39" s="47" t="n">
        <x:f>IF(AND(AB39=1,AC39=1),1,0)</x:f>
        <x:v>0</x:v>
      </x:c>
      <x:c r="AE39" s="47" t="n">
        <x:f>IF(AD39=1,AE38+1,0)</x:f>
        <x:v>0</x:v>
      </x:c>
      <x:c r="AF39" s="47" t="n">
        <x:f>IF(AE38&gt;=gulf_years_req,1,0)</x:f>
        <x:v>0</x:v>
      </x:c>
    </x:row>
    <x:row r="40">
      <x:c r="A40" s="58" t="n">
        <x:v>1880</x:v>
      </x:c>
      <x:c r="B40" s="45" t="n">
        <x:v>0</x:v>
      </x:c>
      <x:c r="C40" s="68" t="n">
        <x:v>0</x:v>
      </x:c>
      <x:c r="D40" s="47" t="n">
        <x:f>Partners!Q40*(1-IF(AND(OR(oil_compact=0,$A40&lt;compact_year),OR($A40=1931,$A40=1932)),gulf_glut_gdp,0))</x:f>
        <x:v>0</x:v>
      </x:c>
      <x:c r="E40" s="47" t="n">
        <x:f>IF(AND(gulf_on=1,$A40&gt;=gulf_year),1,0)</x:f>
        <x:v>0</x:v>
      </x:c>
      <x:c r="F40" s="45" t="n">
        <x:v>0</x:v>
      </x:c>
      <x:c r="G40" s="45" t="n">
        <x:v>0</x:v>
      </x:c>
      <x:c r="H40" s="59" t="n">
        <x:v>0</x:v>
      </x:c>
      <x:c r="I40" s="59" t="n">
        <x:v>0</x:v>
      </x:c>
      <x:c r="J40" s="59" t="n">
        <x:v>0</x:v>
      </x:c>
      <x:c r="K40" s="59" t="n">
        <x:v>0</x:v>
      </x:c>
      <x:c r="L40" s="52" t="n">
        <x:v>0</x:v>
      </x:c>
      <x:c r="M40" s="52" t="n">
        <x:v>0</x:v>
      </x:c>
      <x:c r="N40" s="52" t="n">
        <x:v>0</x:v>
      </x:c>
      <x:c r="O40" s="52" t="n">
        <x:v>0</x:v>
      </x:c>
      <x:c r="P40" s="68" t="n">
        <x:v>0</x:v>
      </x:c>
      <x:c r="Q40" s="68" t="n">
        <x:v>0</x:v>
      </x:c>
      <x:c r="R40" s="68" t="n">
        <x:v>0</x:v>
      </x:c>
      <x:c r="S40" s="68" t="n">
        <x:v>0</x:v>
      </x:c>
      <x:c r="T40" s="63" t="n">
        <x:f>J40-IF(AND(OR(oil_compact=0,$A40&lt;compact_year),$A40&gt;=1931,$A40&lt;=1933),gulf_wage_dip,0)</x:f>
        <x:v>0</x:v>
      </x:c>
      <x:c r="U40" s="47" t="n">
        <x:f>IF($A40&lt;1900,0,IF(F40&lt;=G40,1,0))</x:f>
        <x:v>0</x:v>
      </x:c>
      <x:c r="V40" s="47" t="n">
        <x:f>IF($A40&lt;1900,0,IF(H40&gt;=I40,1,0))</x:f>
        <x:v>0</x:v>
      </x:c>
      <x:c r="W40" s="47" t="n">
        <x:f>IF($A40&lt;1900,0,IF(T40&gt;=K40,1,0))</x:f>
        <x:v>0</x:v>
      </x:c>
      <x:c r="X40" s="47" t="n">
        <x:f>IF($A40&lt;1900,0,IF(L40&lt;=M40,1,0))</x:f>
        <x:v>0</x:v>
      </x:c>
      <x:c r="Y40" s="47" t="n">
        <x:f>IF($A40&lt;1900,0,IF(N40&lt;=O40,1,0))</x:f>
        <x:v>0</x:v>
      </x:c>
      <x:c r="Z40" s="47" t="n">
        <x:f>IF($A40&lt;1900,0,IF(P40&lt;=Q40,1,0))</x:f>
        <x:v>0</x:v>
      </x:c>
      <x:c r="AA40" s="47" t="n">
        <x:f>IF($A40&lt;1900,0,IF(R40&gt;=S40,1,0))</x:f>
        <x:v>0</x:v>
      </x:c>
      <x:c r="AB40" s="47" t="n">
        <x:f>IF(SUM(U40:Y40)=5,1,0)</x:f>
        <x:v>0</x:v>
      </x:c>
      <x:c r="AC40" s="47" t="n">
        <x:f>IF(Z40+AA40=2,1,0)</x:f>
        <x:v>0</x:v>
      </x:c>
      <x:c r="AD40" s="47" t="n">
        <x:f>IF(AND(AB40=1,AC40=1),1,0)</x:f>
        <x:v>0</x:v>
      </x:c>
      <x:c r="AE40" s="47" t="n">
        <x:f>IF(AD40=1,AE39+1,0)</x:f>
        <x:v>0</x:v>
      </x:c>
      <x:c r="AF40" s="47" t="n">
        <x:f>IF(AE39&gt;=gulf_years_req,1,0)</x:f>
        <x:v>0</x:v>
      </x:c>
    </x:row>
    <x:row r="41">
      <x:c r="A41" s="58" t="n">
        <x:v>1881</x:v>
      </x:c>
      <x:c r="B41" s="45" t="n">
        <x:v>0</x:v>
      </x:c>
      <x:c r="C41" s="68" t="n">
        <x:v>0</x:v>
      </x:c>
      <x:c r="D41" s="47" t="n">
        <x:f>Partners!Q41*(1-IF(AND(OR(oil_compact=0,$A41&lt;compact_year),OR($A41=1931,$A41=1932)),gulf_glut_gdp,0))</x:f>
        <x:v>0</x:v>
      </x:c>
      <x:c r="E41" s="47" t="n">
        <x:f>IF(AND(gulf_on=1,$A41&gt;=gulf_year),1,0)</x:f>
        <x:v>0</x:v>
      </x:c>
      <x:c r="F41" s="45" t="n">
        <x:v>0</x:v>
      </x:c>
      <x:c r="G41" s="45" t="n">
        <x:v>0</x:v>
      </x:c>
      <x:c r="H41" s="59" t="n">
        <x:v>0</x:v>
      </x:c>
      <x:c r="I41" s="59" t="n">
        <x:v>0</x:v>
      </x:c>
      <x:c r="J41" s="59" t="n">
        <x:v>0</x:v>
      </x:c>
      <x:c r="K41" s="59" t="n">
        <x:v>0</x:v>
      </x:c>
      <x:c r="L41" s="52" t="n">
        <x:v>0</x:v>
      </x:c>
      <x:c r="M41" s="52" t="n">
        <x:v>0</x:v>
      </x:c>
      <x:c r="N41" s="52" t="n">
        <x:v>0</x:v>
      </x:c>
      <x:c r="O41" s="52" t="n">
        <x:v>0</x:v>
      </x:c>
      <x:c r="P41" s="68" t="n">
        <x:v>0</x:v>
      </x:c>
      <x:c r="Q41" s="68" t="n">
        <x:v>0</x:v>
      </x:c>
      <x:c r="R41" s="68" t="n">
        <x:v>0</x:v>
      </x:c>
      <x:c r="S41" s="68" t="n">
        <x:v>0</x:v>
      </x:c>
      <x:c r="T41" s="63" t="n">
        <x:f>J41-IF(AND(OR(oil_compact=0,$A41&lt;compact_year),$A41&gt;=1931,$A41&lt;=1933),gulf_wage_dip,0)</x:f>
        <x:v>0</x:v>
      </x:c>
      <x:c r="U41" s="47" t="n">
        <x:f>IF($A41&lt;1900,0,IF(F41&lt;=G41,1,0))</x:f>
        <x:v>0</x:v>
      </x:c>
      <x:c r="V41" s="47" t="n">
        <x:f>IF($A41&lt;1900,0,IF(H41&gt;=I41,1,0))</x:f>
        <x:v>0</x:v>
      </x:c>
      <x:c r="W41" s="47" t="n">
        <x:f>IF($A41&lt;1900,0,IF(T41&gt;=K41,1,0))</x:f>
        <x:v>0</x:v>
      </x:c>
      <x:c r="X41" s="47" t="n">
        <x:f>IF($A41&lt;1900,0,IF(L41&lt;=M41,1,0))</x:f>
        <x:v>0</x:v>
      </x:c>
      <x:c r="Y41" s="47" t="n">
        <x:f>IF($A41&lt;1900,0,IF(N41&lt;=O41,1,0))</x:f>
        <x:v>0</x:v>
      </x:c>
      <x:c r="Z41" s="47" t="n">
        <x:f>IF($A41&lt;1900,0,IF(P41&lt;=Q41,1,0))</x:f>
        <x:v>0</x:v>
      </x:c>
      <x:c r="AA41" s="47" t="n">
        <x:f>IF($A41&lt;1900,0,IF(R41&gt;=S41,1,0))</x:f>
        <x:v>0</x:v>
      </x:c>
      <x:c r="AB41" s="47" t="n">
        <x:f>IF(SUM(U41:Y41)=5,1,0)</x:f>
        <x:v>0</x:v>
      </x:c>
      <x:c r="AC41" s="47" t="n">
        <x:f>IF(Z41+AA41=2,1,0)</x:f>
        <x:v>0</x:v>
      </x:c>
      <x:c r="AD41" s="47" t="n">
        <x:f>IF(AND(AB41=1,AC41=1),1,0)</x:f>
        <x:v>0</x:v>
      </x:c>
      <x:c r="AE41" s="47" t="n">
        <x:f>IF(AD41=1,AE40+1,0)</x:f>
        <x:v>0</x:v>
      </x:c>
      <x:c r="AF41" s="47" t="n">
        <x:f>IF(AE40&gt;=gulf_years_req,1,0)</x:f>
        <x:v>0</x:v>
      </x:c>
    </x:row>
    <x:row r="42">
      <x:c r="A42" s="58" t="n">
        <x:v>1882</x:v>
      </x:c>
      <x:c r="B42" s="45" t="n">
        <x:v>0</x:v>
      </x:c>
      <x:c r="C42" s="68" t="n">
        <x:v>0</x:v>
      </x:c>
      <x:c r="D42" s="47" t="n">
        <x:f>Partners!Q42*(1-IF(AND(OR(oil_compact=0,$A42&lt;compact_year),OR($A42=1931,$A42=1932)),gulf_glut_gdp,0))</x:f>
        <x:v>0</x:v>
      </x:c>
      <x:c r="E42" s="47" t="n">
        <x:f>IF(AND(gulf_on=1,$A42&gt;=gulf_year),1,0)</x:f>
        <x:v>0</x:v>
      </x:c>
      <x:c r="F42" s="45" t="n">
        <x:v>0</x:v>
      </x:c>
      <x:c r="G42" s="45" t="n">
        <x:v>0</x:v>
      </x:c>
      <x:c r="H42" s="59" t="n">
        <x:v>0</x:v>
      </x:c>
      <x:c r="I42" s="59" t="n">
        <x:v>0</x:v>
      </x:c>
      <x:c r="J42" s="59" t="n">
        <x:v>0</x:v>
      </x:c>
      <x:c r="K42" s="59" t="n">
        <x:v>0</x:v>
      </x:c>
      <x:c r="L42" s="52" t="n">
        <x:v>0</x:v>
      </x:c>
      <x:c r="M42" s="52" t="n">
        <x:v>0</x:v>
      </x:c>
      <x:c r="N42" s="52" t="n">
        <x:v>0</x:v>
      </x:c>
      <x:c r="O42" s="52" t="n">
        <x:v>0</x:v>
      </x:c>
      <x:c r="P42" s="68" t="n">
        <x:v>0</x:v>
      </x:c>
      <x:c r="Q42" s="68" t="n">
        <x:v>0</x:v>
      </x:c>
      <x:c r="R42" s="68" t="n">
        <x:v>0</x:v>
      </x:c>
      <x:c r="S42" s="68" t="n">
        <x:v>0</x:v>
      </x:c>
      <x:c r="T42" s="63" t="n">
        <x:f>J42-IF(AND(OR(oil_compact=0,$A42&lt;compact_year),$A42&gt;=1931,$A42&lt;=1933),gulf_wage_dip,0)</x:f>
        <x:v>0</x:v>
      </x:c>
      <x:c r="U42" s="47" t="n">
        <x:f>IF($A42&lt;1900,0,IF(F42&lt;=G42,1,0))</x:f>
        <x:v>0</x:v>
      </x:c>
      <x:c r="V42" s="47" t="n">
        <x:f>IF($A42&lt;1900,0,IF(H42&gt;=I42,1,0))</x:f>
        <x:v>0</x:v>
      </x:c>
      <x:c r="W42" s="47" t="n">
        <x:f>IF($A42&lt;1900,0,IF(T42&gt;=K42,1,0))</x:f>
        <x:v>0</x:v>
      </x:c>
      <x:c r="X42" s="47" t="n">
        <x:f>IF($A42&lt;1900,0,IF(L42&lt;=M42,1,0))</x:f>
        <x:v>0</x:v>
      </x:c>
      <x:c r="Y42" s="47" t="n">
        <x:f>IF($A42&lt;1900,0,IF(N42&lt;=O42,1,0))</x:f>
        <x:v>0</x:v>
      </x:c>
      <x:c r="Z42" s="47" t="n">
        <x:f>IF($A42&lt;1900,0,IF(P42&lt;=Q42,1,0))</x:f>
        <x:v>0</x:v>
      </x:c>
      <x:c r="AA42" s="47" t="n">
        <x:f>IF($A42&lt;1900,0,IF(R42&gt;=S42,1,0))</x:f>
        <x:v>0</x:v>
      </x:c>
      <x:c r="AB42" s="47" t="n">
        <x:f>IF(SUM(U42:Y42)=5,1,0)</x:f>
        <x:v>0</x:v>
      </x:c>
      <x:c r="AC42" s="47" t="n">
        <x:f>IF(Z42+AA42=2,1,0)</x:f>
        <x:v>0</x:v>
      </x:c>
      <x:c r="AD42" s="47" t="n">
        <x:f>IF(AND(AB42=1,AC42=1),1,0)</x:f>
        <x:v>0</x:v>
      </x:c>
      <x:c r="AE42" s="47" t="n">
        <x:f>IF(AD42=1,AE41+1,0)</x:f>
        <x:v>0</x:v>
      </x:c>
      <x:c r="AF42" s="47" t="n">
        <x:f>IF(AE41&gt;=gulf_years_req,1,0)</x:f>
        <x:v>0</x:v>
      </x:c>
    </x:row>
    <x:row r="43">
      <x:c r="A43" s="58" t="n">
        <x:v>1883</x:v>
      </x:c>
      <x:c r="B43" s="45" t="n">
        <x:v>0</x:v>
      </x:c>
      <x:c r="C43" s="68" t="n">
        <x:v>0</x:v>
      </x:c>
      <x:c r="D43" s="47" t="n">
        <x:f>Partners!Q43*(1-IF(AND(OR(oil_compact=0,$A43&lt;compact_year),OR($A43=1931,$A43=1932)),gulf_glut_gdp,0))</x:f>
        <x:v>0</x:v>
      </x:c>
      <x:c r="E43" s="47" t="n">
        <x:f>IF(AND(gulf_on=1,$A43&gt;=gulf_year),1,0)</x:f>
        <x:v>0</x:v>
      </x:c>
      <x:c r="F43" s="45" t="n">
        <x:v>0</x:v>
      </x:c>
      <x:c r="G43" s="45" t="n">
        <x:v>0</x:v>
      </x:c>
      <x:c r="H43" s="59" t="n">
        <x:v>0</x:v>
      </x:c>
      <x:c r="I43" s="59" t="n">
        <x:v>0</x:v>
      </x:c>
      <x:c r="J43" s="59" t="n">
        <x:v>0</x:v>
      </x:c>
      <x:c r="K43" s="59" t="n">
        <x:v>0</x:v>
      </x:c>
      <x:c r="L43" s="52" t="n">
        <x:v>0</x:v>
      </x:c>
      <x:c r="M43" s="52" t="n">
        <x:v>0</x:v>
      </x:c>
      <x:c r="N43" s="52" t="n">
        <x:v>0</x:v>
      </x:c>
      <x:c r="O43" s="52" t="n">
        <x:v>0</x:v>
      </x:c>
      <x:c r="P43" s="68" t="n">
        <x:v>0</x:v>
      </x:c>
      <x:c r="Q43" s="68" t="n">
        <x:v>0</x:v>
      </x:c>
      <x:c r="R43" s="68" t="n">
        <x:v>0</x:v>
      </x:c>
      <x:c r="S43" s="68" t="n">
        <x:v>0</x:v>
      </x:c>
      <x:c r="T43" s="63" t="n">
        <x:f>J43-IF(AND(OR(oil_compact=0,$A43&lt;compact_year),$A43&gt;=1931,$A43&lt;=1933),gulf_wage_dip,0)</x:f>
        <x:v>0</x:v>
      </x:c>
      <x:c r="U43" s="47" t="n">
        <x:f>IF($A43&lt;1900,0,IF(F43&lt;=G43,1,0))</x:f>
        <x:v>0</x:v>
      </x:c>
      <x:c r="V43" s="47" t="n">
        <x:f>IF($A43&lt;1900,0,IF(H43&gt;=I43,1,0))</x:f>
        <x:v>0</x:v>
      </x:c>
      <x:c r="W43" s="47" t="n">
        <x:f>IF($A43&lt;1900,0,IF(T43&gt;=K43,1,0))</x:f>
        <x:v>0</x:v>
      </x:c>
      <x:c r="X43" s="47" t="n">
        <x:f>IF($A43&lt;1900,0,IF(L43&lt;=M43,1,0))</x:f>
        <x:v>0</x:v>
      </x:c>
      <x:c r="Y43" s="47" t="n">
        <x:f>IF($A43&lt;1900,0,IF(N43&lt;=O43,1,0))</x:f>
        <x:v>0</x:v>
      </x:c>
      <x:c r="Z43" s="47" t="n">
        <x:f>IF($A43&lt;1900,0,IF(P43&lt;=Q43,1,0))</x:f>
        <x:v>0</x:v>
      </x:c>
      <x:c r="AA43" s="47" t="n">
        <x:f>IF($A43&lt;1900,0,IF(R43&gt;=S43,1,0))</x:f>
        <x:v>0</x:v>
      </x:c>
      <x:c r="AB43" s="47" t="n">
        <x:f>IF(SUM(U43:Y43)=5,1,0)</x:f>
        <x:v>0</x:v>
      </x:c>
      <x:c r="AC43" s="47" t="n">
        <x:f>IF(Z43+AA43=2,1,0)</x:f>
        <x:v>0</x:v>
      </x:c>
      <x:c r="AD43" s="47" t="n">
        <x:f>IF(AND(AB43=1,AC43=1),1,0)</x:f>
        <x:v>0</x:v>
      </x:c>
      <x:c r="AE43" s="47" t="n">
        <x:f>IF(AD43=1,AE42+1,0)</x:f>
        <x:v>0</x:v>
      </x:c>
      <x:c r="AF43" s="47" t="n">
        <x:f>IF(AE42&gt;=gulf_years_req,1,0)</x:f>
        <x:v>0</x:v>
      </x:c>
    </x:row>
    <x:row r="44">
      <x:c r="A44" s="58" t="n">
        <x:v>1884</x:v>
      </x:c>
      <x:c r="B44" s="45" t="n">
        <x:v>0</x:v>
      </x:c>
      <x:c r="C44" s="68" t="n">
        <x:v>0</x:v>
      </x:c>
      <x:c r="D44" s="47" t="n">
        <x:f>Partners!Q44*(1-IF(AND(OR(oil_compact=0,$A44&lt;compact_year),OR($A44=1931,$A44=1932)),gulf_glut_gdp,0))</x:f>
        <x:v>0</x:v>
      </x:c>
      <x:c r="E44" s="47" t="n">
        <x:f>IF(AND(gulf_on=1,$A44&gt;=gulf_year),1,0)</x:f>
        <x:v>0</x:v>
      </x:c>
      <x:c r="F44" s="45" t="n">
        <x:v>0</x:v>
      </x:c>
      <x:c r="G44" s="45" t="n">
        <x:v>0</x:v>
      </x:c>
      <x:c r="H44" s="59" t="n">
        <x:v>0</x:v>
      </x:c>
      <x:c r="I44" s="59" t="n">
        <x:v>0</x:v>
      </x:c>
      <x:c r="J44" s="59" t="n">
        <x:v>0</x:v>
      </x:c>
      <x:c r="K44" s="59" t="n">
        <x:v>0</x:v>
      </x:c>
      <x:c r="L44" s="52" t="n">
        <x:v>0</x:v>
      </x:c>
      <x:c r="M44" s="52" t="n">
        <x:v>0</x:v>
      </x:c>
      <x:c r="N44" s="52" t="n">
        <x:v>0</x:v>
      </x:c>
      <x:c r="O44" s="52" t="n">
        <x:v>0</x:v>
      </x:c>
      <x:c r="P44" s="68" t="n">
        <x:v>0</x:v>
      </x:c>
      <x:c r="Q44" s="68" t="n">
        <x:v>0</x:v>
      </x:c>
      <x:c r="R44" s="68" t="n">
        <x:v>0</x:v>
      </x:c>
      <x:c r="S44" s="68" t="n">
        <x:v>0</x:v>
      </x:c>
      <x:c r="T44" s="63" t="n">
        <x:f>J44-IF(AND(OR(oil_compact=0,$A44&lt;compact_year),$A44&gt;=1931,$A44&lt;=1933),gulf_wage_dip,0)</x:f>
        <x:v>0</x:v>
      </x:c>
      <x:c r="U44" s="47" t="n">
        <x:f>IF($A44&lt;1900,0,IF(F44&lt;=G44,1,0))</x:f>
        <x:v>0</x:v>
      </x:c>
      <x:c r="V44" s="47" t="n">
        <x:f>IF($A44&lt;1900,0,IF(H44&gt;=I44,1,0))</x:f>
        <x:v>0</x:v>
      </x:c>
      <x:c r="W44" s="47" t="n">
        <x:f>IF($A44&lt;1900,0,IF(T44&gt;=K44,1,0))</x:f>
        <x:v>0</x:v>
      </x:c>
      <x:c r="X44" s="47" t="n">
        <x:f>IF($A44&lt;1900,0,IF(L44&lt;=M44,1,0))</x:f>
        <x:v>0</x:v>
      </x:c>
      <x:c r="Y44" s="47" t="n">
        <x:f>IF($A44&lt;1900,0,IF(N44&lt;=O44,1,0))</x:f>
        <x:v>0</x:v>
      </x:c>
      <x:c r="Z44" s="47" t="n">
        <x:f>IF($A44&lt;1900,0,IF(P44&lt;=Q44,1,0))</x:f>
        <x:v>0</x:v>
      </x:c>
      <x:c r="AA44" s="47" t="n">
        <x:f>IF($A44&lt;1900,0,IF(R44&gt;=S44,1,0))</x:f>
        <x:v>0</x:v>
      </x:c>
      <x:c r="AB44" s="47" t="n">
        <x:f>IF(SUM(U44:Y44)=5,1,0)</x:f>
        <x:v>0</x:v>
      </x:c>
      <x:c r="AC44" s="47" t="n">
        <x:f>IF(Z44+AA44=2,1,0)</x:f>
        <x:v>0</x:v>
      </x:c>
      <x:c r="AD44" s="47" t="n">
        <x:f>IF(AND(AB44=1,AC44=1),1,0)</x:f>
        <x:v>0</x:v>
      </x:c>
      <x:c r="AE44" s="47" t="n">
        <x:f>IF(AD44=1,AE43+1,0)</x:f>
        <x:v>0</x:v>
      </x:c>
      <x:c r="AF44" s="47" t="n">
        <x:f>IF(AE43&gt;=gulf_years_req,1,0)</x:f>
        <x:v>0</x:v>
      </x:c>
    </x:row>
    <x:row r="45">
      <x:c r="A45" s="58" t="n">
        <x:v>1885</x:v>
      </x:c>
      <x:c r="B45" s="45" t="n">
        <x:v>0</x:v>
      </x:c>
      <x:c r="C45" s="68" t="n">
        <x:v>0</x:v>
      </x:c>
      <x:c r="D45" s="47" t="n">
        <x:f>Partners!Q45*(1-IF(AND(OR(oil_compact=0,$A45&lt;compact_year),OR($A45=1931,$A45=1932)),gulf_glut_gdp,0))</x:f>
        <x:v>0</x:v>
      </x:c>
      <x:c r="E45" s="47" t="n">
        <x:f>IF(AND(gulf_on=1,$A45&gt;=gulf_year),1,0)</x:f>
        <x:v>0</x:v>
      </x:c>
      <x:c r="F45" s="45" t="n">
        <x:v>0</x:v>
      </x:c>
      <x:c r="G45" s="45" t="n">
        <x:v>0</x:v>
      </x:c>
      <x:c r="H45" s="59" t="n">
        <x:v>0</x:v>
      </x:c>
      <x:c r="I45" s="59" t="n">
        <x:v>0</x:v>
      </x:c>
      <x:c r="J45" s="59" t="n">
        <x:v>0</x:v>
      </x:c>
      <x:c r="K45" s="59" t="n">
        <x:v>0</x:v>
      </x:c>
      <x:c r="L45" s="52" t="n">
        <x:v>0</x:v>
      </x:c>
      <x:c r="M45" s="52" t="n">
        <x:v>0</x:v>
      </x:c>
      <x:c r="N45" s="52" t="n">
        <x:v>0</x:v>
      </x:c>
      <x:c r="O45" s="52" t="n">
        <x:v>0</x:v>
      </x:c>
      <x:c r="P45" s="68" t="n">
        <x:v>0</x:v>
      </x:c>
      <x:c r="Q45" s="68" t="n">
        <x:v>0</x:v>
      </x:c>
      <x:c r="R45" s="68" t="n">
        <x:v>0</x:v>
      </x:c>
      <x:c r="S45" s="68" t="n">
        <x:v>0</x:v>
      </x:c>
      <x:c r="T45" s="63" t="n">
        <x:f>J45-IF(AND(OR(oil_compact=0,$A45&lt;compact_year),$A45&gt;=1931,$A45&lt;=1933),gulf_wage_dip,0)</x:f>
        <x:v>0</x:v>
      </x:c>
      <x:c r="U45" s="47" t="n">
        <x:f>IF($A45&lt;1900,0,IF(F45&lt;=G45,1,0))</x:f>
        <x:v>0</x:v>
      </x:c>
      <x:c r="V45" s="47" t="n">
        <x:f>IF($A45&lt;1900,0,IF(H45&gt;=I45,1,0))</x:f>
        <x:v>0</x:v>
      </x:c>
      <x:c r="W45" s="47" t="n">
        <x:f>IF($A45&lt;1900,0,IF(T45&gt;=K45,1,0))</x:f>
        <x:v>0</x:v>
      </x:c>
      <x:c r="X45" s="47" t="n">
        <x:f>IF($A45&lt;1900,0,IF(L45&lt;=M45,1,0))</x:f>
        <x:v>0</x:v>
      </x:c>
      <x:c r="Y45" s="47" t="n">
        <x:f>IF($A45&lt;1900,0,IF(N45&lt;=O45,1,0))</x:f>
        <x:v>0</x:v>
      </x:c>
      <x:c r="Z45" s="47" t="n">
        <x:f>IF($A45&lt;1900,0,IF(P45&lt;=Q45,1,0))</x:f>
        <x:v>0</x:v>
      </x:c>
      <x:c r="AA45" s="47" t="n">
        <x:f>IF($A45&lt;1900,0,IF(R45&gt;=S45,1,0))</x:f>
        <x:v>0</x:v>
      </x:c>
      <x:c r="AB45" s="47" t="n">
        <x:f>IF(SUM(U45:Y45)=5,1,0)</x:f>
        <x:v>0</x:v>
      </x:c>
      <x:c r="AC45" s="47" t="n">
        <x:f>IF(Z45+AA45=2,1,0)</x:f>
        <x:v>0</x:v>
      </x:c>
      <x:c r="AD45" s="47" t="n">
        <x:f>IF(AND(AB45=1,AC45=1),1,0)</x:f>
        <x:v>0</x:v>
      </x:c>
      <x:c r="AE45" s="47" t="n">
        <x:f>IF(AD45=1,AE44+1,0)</x:f>
        <x:v>0</x:v>
      </x:c>
      <x:c r="AF45" s="47" t="n">
        <x:f>IF(AE44&gt;=gulf_years_req,1,0)</x:f>
        <x:v>0</x:v>
      </x:c>
    </x:row>
    <x:row r="46">
      <x:c r="A46" s="58" t="n">
        <x:v>1886</x:v>
      </x:c>
      <x:c r="B46" s="45" t="n">
        <x:v>0</x:v>
      </x:c>
      <x:c r="C46" s="68" t="n">
        <x:v>0</x:v>
      </x:c>
      <x:c r="D46" s="47" t="n">
        <x:f>Partners!Q46*(1-IF(AND(OR(oil_compact=0,$A46&lt;compact_year),OR($A46=1931,$A46=1932)),gulf_glut_gdp,0))</x:f>
        <x:v>0</x:v>
      </x:c>
      <x:c r="E46" s="47" t="n">
        <x:f>IF(AND(gulf_on=1,$A46&gt;=gulf_year),1,0)</x:f>
        <x:v>0</x:v>
      </x:c>
      <x:c r="F46" s="45" t="n">
        <x:v>0</x:v>
      </x:c>
      <x:c r="G46" s="45" t="n">
        <x:v>0</x:v>
      </x:c>
      <x:c r="H46" s="59" t="n">
        <x:v>0</x:v>
      </x:c>
      <x:c r="I46" s="59" t="n">
        <x:v>0</x:v>
      </x:c>
      <x:c r="J46" s="59" t="n">
        <x:v>0</x:v>
      </x:c>
      <x:c r="K46" s="59" t="n">
        <x:v>0</x:v>
      </x:c>
      <x:c r="L46" s="52" t="n">
        <x:v>0</x:v>
      </x:c>
      <x:c r="M46" s="52" t="n">
        <x:v>0</x:v>
      </x:c>
      <x:c r="N46" s="52" t="n">
        <x:v>0</x:v>
      </x:c>
      <x:c r="O46" s="52" t="n">
        <x:v>0</x:v>
      </x:c>
      <x:c r="P46" s="68" t="n">
        <x:v>0</x:v>
      </x:c>
      <x:c r="Q46" s="68" t="n">
        <x:v>0</x:v>
      </x:c>
      <x:c r="R46" s="68" t="n">
        <x:v>0</x:v>
      </x:c>
      <x:c r="S46" s="68" t="n">
        <x:v>0</x:v>
      </x:c>
      <x:c r="T46" s="63" t="n">
        <x:f>J46-IF(AND(OR(oil_compact=0,$A46&lt;compact_year),$A46&gt;=1931,$A46&lt;=1933),gulf_wage_dip,0)</x:f>
        <x:v>0</x:v>
      </x:c>
      <x:c r="U46" s="47" t="n">
        <x:f>IF($A46&lt;1900,0,IF(F46&lt;=G46,1,0))</x:f>
        <x:v>0</x:v>
      </x:c>
      <x:c r="V46" s="47" t="n">
        <x:f>IF($A46&lt;1900,0,IF(H46&gt;=I46,1,0))</x:f>
        <x:v>0</x:v>
      </x:c>
      <x:c r="W46" s="47" t="n">
        <x:f>IF($A46&lt;1900,0,IF(T46&gt;=K46,1,0))</x:f>
        <x:v>0</x:v>
      </x:c>
      <x:c r="X46" s="47" t="n">
        <x:f>IF($A46&lt;1900,0,IF(L46&lt;=M46,1,0))</x:f>
        <x:v>0</x:v>
      </x:c>
      <x:c r="Y46" s="47" t="n">
        <x:f>IF($A46&lt;1900,0,IF(N46&lt;=O46,1,0))</x:f>
        <x:v>0</x:v>
      </x:c>
      <x:c r="Z46" s="47" t="n">
        <x:f>IF($A46&lt;1900,0,IF(P46&lt;=Q46,1,0))</x:f>
        <x:v>0</x:v>
      </x:c>
      <x:c r="AA46" s="47" t="n">
        <x:f>IF($A46&lt;1900,0,IF(R46&gt;=S46,1,0))</x:f>
        <x:v>0</x:v>
      </x:c>
      <x:c r="AB46" s="47" t="n">
        <x:f>IF(SUM(U46:Y46)=5,1,0)</x:f>
        <x:v>0</x:v>
      </x:c>
      <x:c r="AC46" s="47" t="n">
        <x:f>IF(Z46+AA46=2,1,0)</x:f>
        <x:v>0</x:v>
      </x:c>
      <x:c r="AD46" s="47" t="n">
        <x:f>IF(AND(AB46=1,AC46=1),1,0)</x:f>
        <x:v>0</x:v>
      </x:c>
      <x:c r="AE46" s="47" t="n">
        <x:f>IF(AD46=1,AE45+1,0)</x:f>
        <x:v>0</x:v>
      </x:c>
      <x:c r="AF46" s="47" t="n">
        <x:f>IF(AE45&gt;=gulf_years_req,1,0)</x:f>
        <x:v>0</x:v>
      </x:c>
    </x:row>
    <x:row r="47">
      <x:c r="A47" s="58" t="n">
        <x:v>1887</x:v>
      </x:c>
      <x:c r="B47" s="45" t="n">
        <x:v>0</x:v>
      </x:c>
      <x:c r="C47" s="68" t="n">
        <x:v>0</x:v>
      </x:c>
      <x:c r="D47" s="47" t="n">
        <x:f>Partners!Q47*(1-IF(AND(OR(oil_compact=0,$A47&lt;compact_year),OR($A47=1931,$A47=1932)),gulf_glut_gdp,0))</x:f>
        <x:v>0</x:v>
      </x:c>
      <x:c r="E47" s="47" t="n">
        <x:f>IF(AND(gulf_on=1,$A47&gt;=gulf_year),1,0)</x:f>
        <x:v>0</x:v>
      </x:c>
      <x:c r="F47" s="45" t="n">
        <x:v>0</x:v>
      </x:c>
      <x:c r="G47" s="45" t="n">
        <x:v>0</x:v>
      </x:c>
      <x:c r="H47" s="59" t="n">
        <x:v>0</x:v>
      </x:c>
      <x:c r="I47" s="59" t="n">
        <x:v>0</x:v>
      </x:c>
      <x:c r="J47" s="59" t="n">
        <x:v>0</x:v>
      </x:c>
      <x:c r="K47" s="59" t="n">
        <x:v>0</x:v>
      </x:c>
      <x:c r="L47" s="52" t="n">
        <x:v>0</x:v>
      </x:c>
      <x:c r="M47" s="52" t="n">
        <x:v>0</x:v>
      </x:c>
      <x:c r="N47" s="52" t="n">
        <x:v>0</x:v>
      </x:c>
      <x:c r="O47" s="52" t="n">
        <x:v>0</x:v>
      </x:c>
      <x:c r="P47" s="68" t="n">
        <x:v>0</x:v>
      </x:c>
      <x:c r="Q47" s="68" t="n">
        <x:v>0</x:v>
      </x:c>
      <x:c r="R47" s="68" t="n">
        <x:v>0</x:v>
      </x:c>
      <x:c r="S47" s="68" t="n">
        <x:v>0</x:v>
      </x:c>
      <x:c r="T47" s="63" t="n">
        <x:f>J47-IF(AND(OR(oil_compact=0,$A47&lt;compact_year),$A47&gt;=1931,$A47&lt;=1933),gulf_wage_dip,0)</x:f>
        <x:v>0</x:v>
      </x:c>
      <x:c r="U47" s="47" t="n">
        <x:f>IF($A47&lt;1900,0,IF(F47&lt;=G47,1,0))</x:f>
        <x:v>0</x:v>
      </x:c>
      <x:c r="V47" s="47" t="n">
        <x:f>IF($A47&lt;1900,0,IF(H47&gt;=I47,1,0))</x:f>
        <x:v>0</x:v>
      </x:c>
      <x:c r="W47" s="47" t="n">
        <x:f>IF($A47&lt;1900,0,IF(T47&gt;=K47,1,0))</x:f>
        <x:v>0</x:v>
      </x:c>
      <x:c r="X47" s="47" t="n">
        <x:f>IF($A47&lt;1900,0,IF(L47&lt;=M47,1,0))</x:f>
        <x:v>0</x:v>
      </x:c>
      <x:c r="Y47" s="47" t="n">
        <x:f>IF($A47&lt;1900,0,IF(N47&lt;=O47,1,0))</x:f>
        <x:v>0</x:v>
      </x:c>
      <x:c r="Z47" s="47" t="n">
        <x:f>IF($A47&lt;1900,0,IF(P47&lt;=Q47,1,0))</x:f>
        <x:v>0</x:v>
      </x:c>
      <x:c r="AA47" s="47" t="n">
        <x:f>IF($A47&lt;1900,0,IF(R47&gt;=S47,1,0))</x:f>
        <x:v>0</x:v>
      </x:c>
      <x:c r="AB47" s="47" t="n">
        <x:f>IF(SUM(U47:Y47)=5,1,0)</x:f>
        <x:v>0</x:v>
      </x:c>
      <x:c r="AC47" s="47" t="n">
        <x:f>IF(Z47+AA47=2,1,0)</x:f>
        <x:v>0</x:v>
      </x:c>
      <x:c r="AD47" s="47" t="n">
        <x:f>IF(AND(AB47=1,AC47=1),1,0)</x:f>
        <x:v>0</x:v>
      </x:c>
      <x:c r="AE47" s="47" t="n">
        <x:f>IF(AD47=1,AE46+1,0)</x:f>
        <x:v>0</x:v>
      </x:c>
      <x:c r="AF47" s="47" t="n">
        <x:f>IF(AE46&gt;=gulf_years_req,1,0)</x:f>
        <x:v>0</x:v>
      </x:c>
    </x:row>
    <x:row r="48">
      <x:c r="A48" s="58" t="n">
        <x:v>1888</x:v>
      </x:c>
      <x:c r="B48" s="45" t="n">
        <x:v>0</x:v>
      </x:c>
      <x:c r="C48" s="68" t="n">
        <x:v>0</x:v>
      </x:c>
      <x:c r="D48" s="47" t="n">
        <x:f>Partners!Q48*(1-IF(AND(OR(oil_compact=0,$A48&lt;compact_year),OR($A48=1931,$A48=1932)),gulf_glut_gdp,0))</x:f>
        <x:v>0</x:v>
      </x:c>
      <x:c r="E48" s="47" t="n">
        <x:f>IF(AND(gulf_on=1,$A48&gt;=gulf_year),1,0)</x:f>
        <x:v>0</x:v>
      </x:c>
      <x:c r="F48" s="45" t="n">
        <x:v>0</x:v>
      </x:c>
      <x:c r="G48" s="45" t="n">
        <x:v>0</x:v>
      </x:c>
      <x:c r="H48" s="59" t="n">
        <x:v>0</x:v>
      </x:c>
      <x:c r="I48" s="59" t="n">
        <x:v>0</x:v>
      </x:c>
      <x:c r="J48" s="59" t="n">
        <x:v>0</x:v>
      </x:c>
      <x:c r="K48" s="59" t="n">
        <x:v>0</x:v>
      </x:c>
      <x:c r="L48" s="52" t="n">
        <x:v>0</x:v>
      </x:c>
      <x:c r="M48" s="52" t="n">
        <x:v>0</x:v>
      </x:c>
      <x:c r="N48" s="52" t="n">
        <x:v>0</x:v>
      </x:c>
      <x:c r="O48" s="52" t="n">
        <x:v>0</x:v>
      </x:c>
      <x:c r="P48" s="68" t="n">
        <x:v>0</x:v>
      </x:c>
      <x:c r="Q48" s="68" t="n">
        <x:v>0</x:v>
      </x:c>
      <x:c r="R48" s="68" t="n">
        <x:v>0</x:v>
      </x:c>
      <x:c r="S48" s="68" t="n">
        <x:v>0</x:v>
      </x:c>
      <x:c r="T48" s="63" t="n">
        <x:f>J48-IF(AND(OR(oil_compact=0,$A48&lt;compact_year),$A48&gt;=1931,$A48&lt;=1933),gulf_wage_dip,0)</x:f>
        <x:v>0</x:v>
      </x:c>
      <x:c r="U48" s="47" t="n">
        <x:f>IF($A48&lt;1900,0,IF(F48&lt;=G48,1,0))</x:f>
        <x:v>0</x:v>
      </x:c>
      <x:c r="V48" s="47" t="n">
        <x:f>IF($A48&lt;1900,0,IF(H48&gt;=I48,1,0))</x:f>
        <x:v>0</x:v>
      </x:c>
      <x:c r="W48" s="47" t="n">
        <x:f>IF($A48&lt;1900,0,IF(T48&gt;=K48,1,0))</x:f>
        <x:v>0</x:v>
      </x:c>
      <x:c r="X48" s="47" t="n">
        <x:f>IF($A48&lt;1900,0,IF(L48&lt;=M48,1,0))</x:f>
        <x:v>0</x:v>
      </x:c>
      <x:c r="Y48" s="47" t="n">
        <x:f>IF($A48&lt;1900,0,IF(N48&lt;=O48,1,0))</x:f>
        <x:v>0</x:v>
      </x:c>
      <x:c r="Z48" s="47" t="n">
        <x:f>IF($A48&lt;1900,0,IF(P48&lt;=Q48,1,0))</x:f>
        <x:v>0</x:v>
      </x:c>
      <x:c r="AA48" s="47" t="n">
        <x:f>IF($A48&lt;1900,0,IF(R48&gt;=S48,1,0))</x:f>
        <x:v>0</x:v>
      </x:c>
      <x:c r="AB48" s="47" t="n">
        <x:f>IF(SUM(U48:Y48)=5,1,0)</x:f>
        <x:v>0</x:v>
      </x:c>
      <x:c r="AC48" s="47" t="n">
        <x:f>IF(Z48+AA48=2,1,0)</x:f>
        <x:v>0</x:v>
      </x:c>
      <x:c r="AD48" s="47" t="n">
        <x:f>IF(AND(AB48=1,AC48=1),1,0)</x:f>
        <x:v>0</x:v>
      </x:c>
      <x:c r="AE48" s="47" t="n">
        <x:f>IF(AD48=1,AE47+1,0)</x:f>
        <x:v>0</x:v>
      </x:c>
      <x:c r="AF48" s="47" t="n">
        <x:f>IF(AE47&gt;=gulf_years_req,1,0)</x:f>
        <x:v>0</x:v>
      </x:c>
    </x:row>
    <x:row r="49">
      <x:c r="A49" s="58" t="n">
        <x:v>1889</x:v>
      </x:c>
      <x:c r="B49" s="45" t="n">
        <x:v>0</x:v>
      </x:c>
      <x:c r="C49" s="68" t="n">
        <x:v>0</x:v>
      </x:c>
      <x:c r="D49" s="47" t="n">
        <x:f>Partners!Q49*(1-IF(AND(OR(oil_compact=0,$A49&lt;compact_year),OR($A49=1931,$A49=1932)),gulf_glut_gdp,0))</x:f>
        <x:v>0</x:v>
      </x:c>
      <x:c r="E49" s="47" t="n">
        <x:f>IF(AND(gulf_on=1,$A49&gt;=gulf_year),1,0)</x:f>
        <x:v>0</x:v>
      </x:c>
      <x:c r="F49" s="45" t="n">
        <x:v>0</x:v>
      </x:c>
      <x:c r="G49" s="45" t="n">
        <x:v>0</x:v>
      </x:c>
      <x:c r="H49" s="59" t="n">
        <x:v>0</x:v>
      </x:c>
      <x:c r="I49" s="59" t="n">
        <x:v>0</x:v>
      </x:c>
      <x:c r="J49" s="59" t="n">
        <x:v>0</x:v>
      </x:c>
      <x:c r="K49" s="59" t="n">
        <x:v>0</x:v>
      </x:c>
      <x:c r="L49" s="52" t="n">
        <x:v>0</x:v>
      </x:c>
      <x:c r="M49" s="52" t="n">
        <x:v>0</x:v>
      </x:c>
      <x:c r="N49" s="52" t="n">
        <x:v>0</x:v>
      </x:c>
      <x:c r="O49" s="52" t="n">
        <x:v>0</x:v>
      </x:c>
      <x:c r="P49" s="68" t="n">
        <x:v>0</x:v>
      </x:c>
      <x:c r="Q49" s="68" t="n">
        <x:v>0</x:v>
      </x:c>
      <x:c r="R49" s="68" t="n">
        <x:v>0</x:v>
      </x:c>
      <x:c r="S49" s="68" t="n">
        <x:v>0</x:v>
      </x:c>
      <x:c r="T49" s="63" t="n">
        <x:f>J49-IF(AND(OR(oil_compact=0,$A49&lt;compact_year),$A49&gt;=1931,$A49&lt;=1933),gulf_wage_dip,0)</x:f>
        <x:v>0</x:v>
      </x:c>
      <x:c r="U49" s="47" t="n">
        <x:f>IF($A49&lt;1900,0,IF(F49&lt;=G49,1,0))</x:f>
        <x:v>0</x:v>
      </x:c>
      <x:c r="V49" s="47" t="n">
        <x:f>IF($A49&lt;1900,0,IF(H49&gt;=I49,1,0))</x:f>
        <x:v>0</x:v>
      </x:c>
      <x:c r="W49" s="47" t="n">
        <x:f>IF($A49&lt;1900,0,IF(T49&gt;=K49,1,0))</x:f>
        <x:v>0</x:v>
      </x:c>
      <x:c r="X49" s="47" t="n">
        <x:f>IF($A49&lt;1900,0,IF(L49&lt;=M49,1,0))</x:f>
        <x:v>0</x:v>
      </x:c>
      <x:c r="Y49" s="47" t="n">
        <x:f>IF($A49&lt;1900,0,IF(N49&lt;=O49,1,0))</x:f>
        <x:v>0</x:v>
      </x:c>
      <x:c r="Z49" s="47" t="n">
        <x:f>IF($A49&lt;1900,0,IF(P49&lt;=Q49,1,0))</x:f>
        <x:v>0</x:v>
      </x:c>
      <x:c r="AA49" s="47" t="n">
        <x:f>IF($A49&lt;1900,0,IF(R49&gt;=S49,1,0))</x:f>
        <x:v>0</x:v>
      </x:c>
      <x:c r="AB49" s="47" t="n">
        <x:f>IF(SUM(U49:Y49)=5,1,0)</x:f>
        <x:v>0</x:v>
      </x:c>
      <x:c r="AC49" s="47" t="n">
        <x:f>IF(Z49+AA49=2,1,0)</x:f>
        <x:v>0</x:v>
      </x:c>
      <x:c r="AD49" s="47" t="n">
        <x:f>IF(AND(AB49=1,AC49=1),1,0)</x:f>
        <x:v>0</x:v>
      </x:c>
      <x:c r="AE49" s="47" t="n">
        <x:f>IF(AD49=1,AE48+1,0)</x:f>
        <x:v>0</x:v>
      </x:c>
      <x:c r="AF49" s="47" t="n">
        <x:f>IF(AE48&gt;=gulf_years_req,1,0)</x:f>
        <x:v>0</x:v>
      </x:c>
    </x:row>
    <x:row r="50">
      <x:c r="A50" s="58" t="n">
        <x:v>1890</x:v>
      </x:c>
      <x:c r="B50" s="45" t="n">
        <x:v>0</x:v>
      </x:c>
      <x:c r="C50" s="68" t="n">
        <x:v>0</x:v>
      </x:c>
      <x:c r="D50" s="47" t="n">
        <x:f>Partners!Q50*(1-IF(AND(OR(oil_compact=0,$A50&lt;compact_year),OR($A50=1931,$A50=1932)),gulf_glut_gdp,0))</x:f>
        <x:v>0</x:v>
      </x:c>
      <x:c r="E50" s="47" t="n">
        <x:f>IF(AND(gulf_on=1,$A50&gt;=gulf_year),1,0)</x:f>
        <x:v>0</x:v>
      </x:c>
      <x:c r="F50" s="45" t="n">
        <x:v>0</x:v>
      </x:c>
      <x:c r="G50" s="45" t="n">
        <x:v>0</x:v>
      </x:c>
      <x:c r="H50" s="59" t="n">
        <x:v>0</x:v>
      </x:c>
      <x:c r="I50" s="59" t="n">
        <x:v>0</x:v>
      </x:c>
      <x:c r="J50" s="59" t="n">
        <x:v>0</x:v>
      </x:c>
      <x:c r="K50" s="59" t="n">
        <x:v>0</x:v>
      </x:c>
      <x:c r="L50" s="52" t="n">
        <x:v>0</x:v>
      </x:c>
      <x:c r="M50" s="52" t="n">
        <x:v>0</x:v>
      </x:c>
      <x:c r="N50" s="52" t="n">
        <x:v>0</x:v>
      </x:c>
      <x:c r="O50" s="52" t="n">
        <x:v>0</x:v>
      </x:c>
      <x:c r="P50" s="68" t="n">
        <x:v>0</x:v>
      </x:c>
      <x:c r="Q50" s="68" t="n">
        <x:v>0</x:v>
      </x:c>
      <x:c r="R50" s="68" t="n">
        <x:v>0</x:v>
      </x:c>
      <x:c r="S50" s="68" t="n">
        <x:v>0</x:v>
      </x:c>
      <x:c r="T50" s="63" t="n">
        <x:f>J50-IF(AND(OR(oil_compact=0,$A50&lt;compact_year),$A50&gt;=1931,$A50&lt;=1933),gulf_wage_dip,0)</x:f>
        <x:v>0</x:v>
      </x:c>
      <x:c r="U50" s="47" t="n">
        <x:f>IF($A50&lt;1900,0,IF(F50&lt;=G50,1,0))</x:f>
        <x:v>0</x:v>
      </x:c>
      <x:c r="V50" s="47" t="n">
        <x:f>IF($A50&lt;1900,0,IF(H50&gt;=I50,1,0))</x:f>
        <x:v>0</x:v>
      </x:c>
      <x:c r="W50" s="47" t="n">
        <x:f>IF($A50&lt;1900,0,IF(T50&gt;=K50,1,0))</x:f>
        <x:v>0</x:v>
      </x:c>
      <x:c r="X50" s="47" t="n">
        <x:f>IF($A50&lt;1900,0,IF(L50&lt;=M50,1,0))</x:f>
        <x:v>0</x:v>
      </x:c>
      <x:c r="Y50" s="47" t="n">
        <x:f>IF($A50&lt;1900,0,IF(N50&lt;=O50,1,0))</x:f>
        <x:v>0</x:v>
      </x:c>
      <x:c r="Z50" s="47" t="n">
        <x:f>IF($A50&lt;1900,0,IF(P50&lt;=Q50,1,0))</x:f>
        <x:v>0</x:v>
      </x:c>
      <x:c r="AA50" s="47" t="n">
        <x:f>IF($A50&lt;1900,0,IF(R50&gt;=S50,1,0))</x:f>
        <x:v>0</x:v>
      </x:c>
      <x:c r="AB50" s="47" t="n">
        <x:f>IF(SUM(U50:Y50)=5,1,0)</x:f>
        <x:v>0</x:v>
      </x:c>
      <x:c r="AC50" s="47" t="n">
        <x:f>IF(Z50+AA50=2,1,0)</x:f>
        <x:v>0</x:v>
      </x:c>
      <x:c r="AD50" s="47" t="n">
        <x:f>IF(AND(AB50=1,AC50=1),1,0)</x:f>
        <x:v>0</x:v>
      </x:c>
      <x:c r="AE50" s="47" t="n">
        <x:f>IF(AD50=1,AE49+1,0)</x:f>
        <x:v>0</x:v>
      </x:c>
      <x:c r="AF50" s="47" t="n">
        <x:f>IF(AE49&gt;=gulf_years_req,1,0)</x:f>
        <x:v>0</x:v>
      </x:c>
    </x:row>
    <x:row r="51">
      <x:c r="A51" s="58" t="n">
        <x:v>1891</x:v>
      </x:c>
      <x:c r="B51" s="45" t="n">
        <x:v>0</x:v>
      </x:c>
      <x:c r="C51" s="68" t="n">
        <x:v>0</x:v>
      </x:c>
      <x:c r="D51" s="47" t="n">
        <x:f>Partners!Q51*(1-IF(AND(OR(oil_compact=0,$A51&lt;compact_year),OR($A51=1931,$A51=1932)),gulf_glut_gdp,0))</x:f>
        <x:v>0</x:v>
      </x:c>
      <x:c r="E51" s="47" t="n">
        <x:f>IF(AND(gulf_on=1,$A51&gt;=gulf_year),1,0)</x:f>
        <x:v>0</x:v>
      </x:c>
      <x:c r="F51" s="45" t="n">
        <x:v>0</x:v>
      </x:c>
      <x:c r="G51" s="45" t="n">
        <x:v>0</x:v>
      </x:c>
      <x:c r="H51" s="59" t="n">
        <x:v>0</x:v>
      </x:c>
      <x:c r="I51" s="59" t="n">
        <x:v>0</x:v>
      </x:c>
      <x:c r="J51" s="59" t="n">
        <x:v>0</x:v>
      </x:c>
      <x:c r="K51" s="59" t="n">
        <x:v>0</x:v>
      </x:c>
      <x:c r="L51" s="52" t="n">
        <x:v>0</x:v>
      </x:c>
      <x:c r="M51" s="52" t="n">
        <x:v>0</x:v>
      </x:c>
      <x:c r="N51" s="52" t="n">
        <x:v>0</x:v>
      </x:c>
      <x:c r="O51" s="52" t="n">
        <x:v>0</x:v>
      </x:c>
      <x:c r="P51" s="68" t="n">
        <x:v>0</x:v>
      </x:c>
      <x:c r="Q51" s="68" t="n">
        <x:v>0</x:v>
      </x:c>
      <x:c r="R51" s="68" t="n">
        <x:v>0</x:v>
      </x:c>
      <x:c r="S51" s="68" t="n">
        <x:v>0</x:v>
      </x:c>
      <x:c r="T51" s="63" t="n">
        <x:f>J51-IF(AND(OR(oil_compact=0,$A51&lt;compact_year),$A51&gt;=1931,$A51&lt;=1933),gulf_wage_dip,0)</x:f>
        <x:v>0</x:v>
      </x:c>
      <x:c r="U51" s="47" t="n">
        <x:f>IF($A51&lt;1900,0,IF(F51&lt;=G51,1,0))</x:f>
        <x:v>0</x:v>
      </x:c>
      <x:c r="V51" s="47" t="n">
        <x:f>IF($A51&lt;1900,0,IF(H51&gt;=I51,1,0))</x:f>
        <x:v>0</x:v>
      </x:c>
      <x:c r="W51" s="47" t="n">
        <x:f>IF($A51&lt;1900,0,IF(T51&gt;=K51,1,0))</x:f>
        <x:v>0</x:v>
      </x:c>
      <x:c r="X51" s="47" t="n">
        <x:f>IF($A51&lt;1900,0,IF(L51&lt;=M51,1,0))</x:f>
        <x:v>0</x:v>
      </x:c>
      <x:c r="Y51" s="47" t="n">
        <x:f>IF($A51&lt;1900,0,IF(N51&lt;=O51,1,0))</x:f>
        <x:v>0</x:v>
      </x:c>
      <x:c r="Z51" s="47" t="n">
        <x:f>IF($A51&lt;1900,0,IF(P51&lt;=Q51,1,0))</x:f>
        <x:v>0</x:v>
      </x:c>
      <x:c r="AA51" s="47" t="n">
        <x:f>IF($A51&lt;1900,0,IF(R51&gt;=S51,1,0))</x:f>
        <x:v>0</x:v>
      </x:c>
      <x:c r="AB51" s="47" t="n">
        <x:f>IF(SUM(U51:Y51)=5,1,0)</x:f>
        <x:v>0</x:v>
      </x:c>
      <x:c r="AC51" s="47" t="n">
        <x:f>IF(Z51+AA51=2,1,0)</x:f>
        <x:v>0</x:v>
      </x:c>
      <x:c r="AD51" s="47" t="n">
        <x:f>IF(AND(AB51=1,AC51=1),1,0)</x:f>
        <x:v>0</x:v>
      </x:c>
      <x:c r="AE51" s="47" t="n">
        <x:f>IF(AD51=1,AE50+1,0)</x:f>
        <x:v>0</x:v>
      </x:c>
      <x:c r="AF51" s="47" t="n">
        <x:f>IF(AE50&gt;=gulf_years_req,1,0)</x:f>
        <x:v>0</x:v>
      </x:c>
    </x:row>
    <x:row r="52">
      <x:c r="A52" s="58" t="n">
        <x:v>1892</x:v>
      </x:c>
      <x:c r="B52" s="45" t="n">
        <x:v>0</x:v>
      </x:c>
      <x:c r="C52" s="68" t="n">
        <x:v>0</x:v>
      </x:c>
      <x:c r="D52" s="47" t="n">
        <x:f>Partners!Q52*(1-IF(AND(OR(oil_compact=0,$A52&lt;compact_year),OR($A52=1931,$A52=1932)),gulf_glut_gdp,0))</x:f>
        <x:v>0</x:v>
      </x:c>
      <x:c r="E52" s="47" t="n">
        <x:f>IF(AND(gulf_on=1,$A52&gt;=gulf_year),1,0)</x:f>
        <x:v>0</x:v>
      </x:c>
      <x:c r="F52" s="45" t="n">
        <x:v>0</x:v>
      </x:c>
      <x:c r="G52" s="45" t="n">
        <x:v>0</x:v>
      </x:c>
      <x:c r="H52" s="59" t="n">
        <x:v>0</x:v>
      </x:c>
      <x:c r="I52" s="59" t="n">
        <x:v>0</x:v>
      </x:c>
      <x:c r="J52" s="59" t="n">
        <x:v>0</x:v>
      </x:c>
      <x:c r="K52" s="59" t="n">
        <x:v>0</x:v>
      </x:c>
      <x:c r="L52" s="52" t="n">
        <x:v>0</x:v>
      </x:c>
      <x:c r="M52" s="52" t="n">
        <x:v>0</x:v>
      </x:c>
      <x:c r="N52" s="52" t="n">
        <x:v>0</x:v>
      </x:c>
      <x:c r="O52" s="52" t="n">
        <x:v>0</x:v>
      </x:c>
      <x:c r="P52" s="68" t="n">
        <x:v>0</x:v>
      </x:c>
      <x:c r="Q52" s="68" t="n">
        <x:v>0</x:v>
      </x:c>
      <x:c r="R52" s="68" t="n">
        <x:v>0</x:v>
      </x:c>
      <x:c r="S52" s="68" t="n">
        <x:v>0</x:v>
      </x:c>
      <x:c r="T52" s="63" t="n">
        <x:f>J52-IF(AND(OR(oil_compact=0,$A52&lt;compact_year),$A52&gt;=1931,$A52&lt;=1933),gulf_wage_dip,0)</x:f>
        <x:v>0</x:v>
      </x:c>
      <x:c r="U52" s="47" t="n">
        <x:f>IF($A52&lt;1900,0,IF(F52&lt;=G52,1,0))</x:f>
        <x:v>0</x:v>
      </x:c>
      <x:c r="V52" s="47" t="n">
        <x:f>IF($A52&lt;1900,0,IF(H52&gt;=I52,1,0))</x:f>
        <x:v>0</x:v>
      </x:c>
      <x:c r="W52" s="47" t="n">
        <x:f>IF($A52&lt;1900,0,IF(T52&gt;=K52,1,0))</x:f>
        <x:v>0</x:v>
      </x:c>
      <x:c r="X52" s="47" t="n">
        <x:f>IF($A52&lt;1900,0,IF(L52&lt;=M52,1,0))</x:f>
        <x:v>0</x:v>
      </x:c>
      <x:c r="Y52" s="47" t="n">
        <x:f>IF($A52&lt;1900,0,IF(N52&lt;=O52,1,0))</x:f>
        <x:v>0</x:v>
      </x:c>
      <x:c r="Z52" s="47" t="n">
        <x:f>IF($A52&lt;1900,0,IF(P52&lt;=Q52,1,0))</x:f>
        <x:v>0</x:v>
      </x:c>
      <x:c r="AA52" s="47" t="n">
        <x:f>IF($A52&lt;1900,0,IF(R52&gt;=S52,1,0))</x:f>
        <x:v>0</x:v>
      </x:c>
      <x:c r="AB52" s="47" t="n">
        <x:f>IF(SUM(U52:Y52)=5,1,0)</x:f>
        <x:v>0</x:v>
      </x:c>
      <x:c r="AC52" s="47" t="n">
        <x:f>IF(Z52+AA52=2,1,0)</x:f>
        <x:v>0</x:v>
      </x:c>
      <x:c r="AD52" s="47" t="n">
        <x:f>IF(AND(AB52=1,AC52=1),1,0)</x:f>
        <x:v>0</x:v>
      </x:c>
      <x:c r="AE52" s="47" t="n">
        <x:f>IF(AD52=1,AE51+1,0)</x:f>
        <x:v>0</x:v>
      </x:c>
      <x:c r="AF52" s="47" t="n">
        <x:f>IF(AE51&gt;=gulf_years_req,1,0)</x:f>
        <x:v>0</x:v>
      </x:c>
    </x:row>
    <x:row r="53">
      <x:c r="A53" s="58" t="n">
        <x:v>1893</x:v>
      </x:c>
      <x:c r="B53" s="45" t="n">
        <x:v>0</x:v>
      </x:c>
      <x:c r="C53" s="68" t="n">
        <x:v>0</x:v>
      </x:c>
      <x:c r="D53" s="47" t="n">
        <x:f>Partners!Q53*(1-IF(AND(OR(oil_compact=0,$A53&lt;compact_year),OR($A53=1931,$A53=1932)),gulf_glut_gdp,0))</x:f>
        <x:v>0</x:v>
      </x:c>
      <x:c r="E53" s="47" t="n">
        <x:f>IF(AND(gulf_on=1,$A53&gt;=gulf_year),1,0)</x:f>
        <x:v>0</x:v>
      </x:c>
      <x:c r="F53" s="45" t="n">
        <x:v>0</x:v>
      </x:c>
      <x:c r="G53" s="45" t="n">
        <x:v>0</x:v>
      </x:c>
      <x:c r="H53" s="59" t="n">
        <x:v>0</x:v>
      </x:c>
      <x:c r="I53" s="59" t="n">
        <x:v>0</x:v>
      </x:c>
      <x:c r="J53" s="59" t="n">
        <x:v>0</x:v>
      </x:c>
      <x:c r="K53" s="59" t="n">
        <x:v>0</x:v>
      </x:c>
      <x:c r="L53" s="52" t="n">
        <x:v>0</x:v>
      </x:c>
      <x:c r="M53" s="52" t="n">
        <x:v>0</x:v>
      </x:c>
      <x:c r="N53" s="52" t="n">
        <x:v>0</x:v>
      </x:c>
      <x:c r="O53" s="52" t="n">
        <x:v>0</x:v>
      </x:c>
      <x:c r="P53" s="68" t="n">
        <x:v>0</x:v>
      </x:c>
      <x:c r="Q53" s="68" t="n">
        <x:v>0</x:v>
      </x:c>
      <x:c r="R53" s="68" t="n">
        <x:v>0</x:v>
      </x:c>
      <x:c r="S53" s="68" t="n">
        <x:v>0</x:v>
      </x:c>
      <x:c r="T53" s="63" t="n">
        <x:f>J53-IF(AND(OR(oil_compact=0,$A53&lt;compact_year),$A53&gt;=1931,$A53&lt;=1933),gulf_wage_dip,0)</x:f>
        <x:v>0</x:v>
      </x:c>
      <x:c r="U53" s="47" t="n">
        <x:f>IF($A53&lt;1900,0,IF(F53&lt;=G53,1,0))</x:f>
        <x:v>0</x:v>
      </x:c>
      <x:c r="V53" s="47" t="n">
        <x:f>IF($A53&lt;1900,0,IF(H53&gt;=I53,1,0))</x:f>
        <x:v>0</x:v>
      </x:c>
      <x:c r="W53" s="47" t="n">
        <x:f>IF($A53&lt;1900,0,IF(T53&gt;=K53,1,0))</x:f>
        <x:v>0</x:v>
      </x:c>
      <x:c r="X53" s="47" t="n">
        <x:f>IF($A53&lt;1900,0,IF(L53&lt;=M53,1,0))</x:f>
        <x:v>0</x:v>
      </x:c>
      <x:c r="Y53" s="47" t="n">
        <x:f>IF($A53&lt;1900,0,IF(N53&lt;=O53,1,0))</x:f>
        <x:v>0</x:v>
      </x:c>
      <x:c r="Z53" s="47" t="n">
        <x:f>IF($A53&lt;1900,0,IF(P53&lt;=Q53,1,0))</x:f>
        <x:v>0</x:v>
      </x:c>
      <x:c r="AA53" s="47" t="n">
        <x:f>IF($A53&lt;1900,0,IF(R53&gt;=S53,1,0))</x:f>
        <x:v>0</x:v>
      </x:c>
      <x:c r="AB53" s="47" t="n">
        <x:f>IF(SUM(U53:Y53)=5,1,0)</x:f>
        <x:v>0</x:v>
      </x:c>
      <x:c r="AC53" s="47" t="n">
        <x:f>IF(Z53+AA53=2,1,0)</x:f>
        <x:v>0</x:v>
      </x:c>
      <x:c r="AD53" s="47" t="n">
        <x:f>IF(AND(AB53=1,AC53=1),1,0)</x:f>
        <x:v>0</x:v>
      </x:c>
      <x:c r="AE53" s="47" t="n">
        <x:f>IF(AD53=1,AE52+1,0)</x:f>
        <x:v>0</x:v>
      </x:c>
      <x:c r="AF53" s="47" t="n">
        <x:f>IF(AE52&gt;=gulf_years_req,1,0)</x:f>
        <x:v>0</x:v>
      </x:c>
    </x:row>
    <x:row r="54">
      <x:c r="A54" s="58" t="n">
        <x:v>1894</x:v>
      </x:c>
      <x:c r="B54" s="45" t="n">
        <x:v>0</x:v>
      </x:c>
      <x:c r="C54" s="68" t="n">
        <x:v>0</x:v>
      </x:c>
      <x:c r="D54" s="47" t="n">
        <x:f>Partners!Q54*(1-IF(AND(OR(oil_compact=0,$A54&lt;compact_year),OR($A54=1931,$A54=1932)),gulf_glut_gdp,0))</x:f>
        <x:v>0</x:v>
      </x:c>
      <x:c r="E54" s="47" t="n">
        <x:f>IF(AND(gulf_on=1,$A54&gt;=gulf_year),1,0)</x:f>
        <x:v>0</x:v>
      </x:c>
      <x:c r="F54" s="45" t="n">
        <x:v>0</x:v>
      </x:c>
      <x:c r="G54" s="45" t="n">
        <x:v>0</x:v>
      </x:c>
      <x:c r="H54" s="59" t="n">
        <x:v>0</x:v>
      </x:c>
      <x:c r="I54" s="59" t="n">
        <x:v>0</x:v>
      </x:c>
      <x:c r="J54" s="59" t="n">
        <x:v>0</x:v>
      </x:c>
      <x:c r="K54" s="59" t="n">
        <x:v>0</x:v>
      </x:c>
      <x:c r="L54" s="52" t="n">
        <x:v>0</x:v>
      </x:c>
      <x:c r="M54" s="52" t="n">
        <x:v>0</x:v>
      </x:c>
      <x:c r="N54" s="52" t="n">
        <x:v>0</x:v>
      </x:c>
      <x:c r="O54" s="52" t="n">
        <x:v>0</x:v>
      </x:c>
      <x:c r="P54" s="68" t="n">
        <x:v>0</x:v>
      </x:c>
      <x:c r="Q54" s="68" t="n">
        <x:v>0</x:v>
      </x:c>
      <x:c r="R54" s="68" t="n">
        <x:v>0</x:v>
      </x:c>
      <x:c r="S54" s="68" t="n">
        <x:v>0</x:v>
      </x:c>
      <x:c r="T54" s="63" t="n">
        <x:f>J54-IF(AND(OR(oil_compact=0,$A54&lt;compact_year),$A54&gt;=1931,$A54&lt;=1933),gulf_wage_dip,0)</x:f>
        <x:v>0</x:v>
      </x:c>
      <x:c r="U54" s="47" t="n">
        <x:f>IF($A54&lt;1900,0,IF(F54&lt;=G54,1,0))</x:f>
        <x:v>0</x:v>
      </x:c>
      <x:c r="V54" s="47" t="n">
        <x:f>IF($A54&lt;1900,0,IF(H54&gt;=I54,1,0))</x:f>
        <x:v>0</x:v>
      </x:c>
      <x:c r="W54" s="47" t="n">
        <x:f>IF($A54&lt;1900,0,IF(T54&gt;=K54,1,0))</x:f>
        <x:v>0</x:v>
      </x:c>
      <x:c r="X54" s="47" t="n">
        <x:f>IF($A54&lt;1900,0,IF(L54&lt;=M54,1,0))</x:f>
        <x:v>0</x:v>
      </x:c>
      <x:c r="Y54" s="47" t="n">
        <x:f>IF($A54&lt;1900,0,IF(N54&lt;=O54,1,0))</x:f>
        <x:v>0</x:v>
      </x:c>
      <x:c r="Z54" s="47" t="n">
        <x:f>IF($A54&lt;1900,0,IF(P54&lt;=Q54,1,0))</x:f>
        <x:v>0</x:v>
      </x:c>
      <x:c r="AA54" s="47" t="n">
        <x:f>IF($A54&lt;1900,0,IF(R54&gt;=S54,1,0))</x:f>
        <x:v>0</x:v>
      </x:c>
      <x:c r="AB54" s="47" t="n">
        <x:f>IF(SUM(U54:Y54)=5,1,0)</x:f>
        <x:v>0</x:v>
      </x:c>
      <x:c r="AC54" s="47" t="n">
        <x:f>IF(Z54+AA54=2,1,0)</x:f>
        <x:v>0</x:v>
      </x:c>
      <x:c r="AD54" s="47" t="n">
        <x:f>IF(AND(AB54=1,AC54=1),1,0)</x:f>
        <x:v>0</x:v>
      </x:c>
      <x:c r="AE54" s="47" t="n">
        <x:f>IF(AD54=1,AE53+1,0)</x:f>
        <x:v>0</x:v>
      </x:c>
      <x:c r="AF54" s="47" t="n">
        <x:f>IF(AE53&gt;=gulf_years_req,1,0)</x:f>
        <x:v>0</x:v>
      </x:c>
    </x:row>
    <x:row r="55">
      <x:c r="A55" s="58" t="n">
        <x:v>1895</x:v>
      </x:c>
      <x:c r="B55" s="45" t="n">
        <x:v>0</x:v>
      </x:c>
      <x:c r="C55" s="68" t="n">
        <x:v>0</x:v>
      </x:c>
      <x:c r="D55" s="47" t="n">
        <x:f>Partners!Q55*(1-IF(AND(OR(oil_compact=0,$A55&lt;compact_year),OR($A55=1931,$A55=1932)),gulf_glut_gdp,0))</x:f>
        <x:v>0</x:v>
      </x:c>
      <x:c r="E55" s="47" t="n">
        <x:f>IF(AND(gulf_on=1,$A55&gt;=gulf_year),1,0)</x:f>
        <x:v>0</x:v>
      </x:c>
      <x:c r="F55" s="45" t="n">
        <x:v>0</x:v>
      </x:c>
      <x:c r="G55" s="45" t="n">
        <x:v>0</x:v>
      </x:c>
      <x:c r="H55" s="59" t="n">
        <x:v>0</x:v>
      </x:c>
      <x:c r="I55" s="59" t="n">
        <x:v>0</x:v>
      </x:c>
      <x:c r="J55" s="59" t="n">
        <x:v>0</x:v>
      </x:c>
      <x:c r="K55" s="59" t="n">
        <x:v>0</x:v>
      </x:c>
      <x:c r="L55" s="52" t="n">
        <x:v>0</x:v>
      </x:c>
      <x:c r="M55" s="52" t="n">
        <x:v>0</x:v>
      </x:c>
      <x:c r="N55" s="52" t="n">
        <x:v>0</x:v>
      </x:c>
      <x:c r="O55" s="52" t="n">
        <x:v>0</x:v>
      </x:c>
      <x:c r="P55" s="68" t="n">
        <x:v>0</x:v>
      </x:c>
      <x:c r="Q55" s="68" t="n">
        <x:v>0</x:v>
      </x:c>
      <x:c r="R55" s="68" t="n">
        <x:v>0</x:v>
      </x:c>
      <x:c r="S55" s="68" t="n">
        <x:v>0</x:v>
      </x:c>
      <x:c r="T55" s="63" t="n">
        <x:f>J55-IF(AND(OR(oil_compact=0,$A55&lt;compact_year),$A55&gt;=1931,$A55&lt;=1933),gulf_wage_dip,0)</x:f>
        <x:v>0</x:v>
      </x:c>
      <x:c r="U55" s="47" t="n">
        <x:f>IF($A55&lt;1900,0,IF(F55&lt;=G55,1,0))</x:f>
        <x:v>0</x:v>
      </x:c>
      <x:c r="V55" s="47" t="n">
        <x:f>IF($A55&lt;1900,0,IF(H55&gt;=I55,1,0))</x:f>
        <x:v>0</x:v>
      </x:c>
      <x:c r="W55" s="47" t="n">
        <x:f>IF($A55&lt;1900,0,IF(T55&gt;=K55,1,0))</x:f>
        <x:v>0</x:v>
      </x:c>
      <x:c r="X55" s="47" t="n">
        <x:f>IF($A55&lt;1900,0,IF(L55&lt;=M55,1,0))</x:f>
        <x:v>0</x:v>
      </x:c>
      <x:c r="Y55" s="47" t="n">
        <x:f>IF($A55&lt;1900,0,IF(N55&lt;=O55,1,0))</x:f>
        <x:v>0</x:v>
      </x:c>
      <x:c r="Z55" s="47" t="n">
        <x:f>IF($A55&lt;1900,0,IF(P55&lt;=Q55,1,0))</x:f>
        <x:v>0</x:v>
      </x:c>
      <x:c r="AA55" s="47" t="n">
        <x:f>IF($A55&lt;1900,0,IF(R55&gt;=S55,1,0))</x:f>
        <x:v>0</x:v>
      </x:c>
      <x:c r="AB55" s="47" t="n">
        <x:f>IF(SUM(U55:Y55)=5,1,0)</x:f>
        <x:v>0</x:v>
      </x:c>
      <x:c r="AC55" s="47" t="n">
        <x:f>IF(Z55+AA55=2,1,0)</x:f>
        <x:v>0</x:v>
      </x:c>
      <x:c r="AD55" s="47" t="n">
        <x:f>IF(AND(AB55=1,AC55=1),1,0)</x:f>
        <x:v>0</x:v>
      </x:c>
      <x:c r="AE55" s="47" t="n">
        <x:f>IF(AD55=1,AE54+1,0)</x:f>
        <x:v>0</x:v>
      </x:c>
      <x:c r="AF55" s="47" t="n">
        <x:f>IF(AE54&gt;=gulf_years_req,1,0)</x:f>
        <x:v>0</x:v>
      </x:c>
    </x:row>
    <x:row r="56">
      <x:c r="A56" s="58" t="n">
        <x:v>1896</x:v>
      </x:c>
      <x:c r="B56" s="45" t="n">
        <x:v>0</x:v>
      </x:c>
      <x:c r="C56" s="68" t="n">
        <x:v>0</x:v>
      </x:c>
      <x:c r="D56" s="47" t="n">
        <x:f>Partners!Q56*(1-IF(AND(OR(oil_compact=0,$A56&lt;compact_year),OR($A56=1931,$A56=1932)),gulf_glut_gdp,0))</x:f>
        <x:v>0</x:v>
      </x:c>
      <x:c r="E56" s="47" t="n">
        <x:f>IF(AND(gulf_on=1,$A56&gt;=gulf_year),1,0)</x:f>
        <x:v>0</x:v>
      </x:c>
      <x:c r="F56" s="45" t="n">
        <x:v>0</x:v>
      </x:c>
      <x:c r="G56" s="45" t="n">
        <x:v>0</x:v>
      </x:c>
      <x:c r="H56" s="59" t="n">
        <x:v>0</x:v>
      </x:c>
      <x:c r="I56" s="59" t="n">
        <x:v>0</x:v>
      </x:c>
      <x:c r="J56" s="59" t="n">
        <x:v>0</x:v>
      </x:c>
      <x:c r="K56" s="59" t="n">
        <x:v>0</x:v>
      </x:c>
      <x:c r="L56" s="52" t="n">
        <x:v>0</x:v>
      </x:c>
      <x:c r="M56" s="52" t="n">
        <x:v>0</x:v>
      </x:c>
      <x:c r="N56" s="52" t="n">
        <x:v>0</x:v>
      </x:c>
      <x:c r="O56" s="52" t="n">
        <x:v>0</x:v>
      </x:c>
      <x:c r="P56" s="68" t="n">
        <x:v>0</x:v>
      </x:c>
      <x:c r="Q56" s="68" t="n">
        <x:v>0</x:v>
      </x:c>
      <x:c r="R56" s="68" t="n">
        <x:v>0</x:v>
      </x:c>
      <x:c r="S56" s="68" t="n">
        <x:v>0</x:v>
      </x:c>
      <x:c r="T56" s="63" t="n">
        <x:f>J56-IF(AND(OR(oil_compact=0,$A56&lt;compact_year),$A56&gt;=1931,$A56&lt;=1933),gulf_wage_dip,0)</x:f>
        <x:v>0</x:v>
      </x:c>
      <x:c r="U56" s="47" t="n">
        <x:f>IF($A56&lt;1900,0,IF(F56&lt;=G56,1,0))</x:f>
        <x:v>0</x:v>
      </x:c>
      <x:c r="V56" s="47" t="n">
        <x:f>IF($A56&lt;1900,0,IF(H56&gt;=I56,1,0))</x:f>
        <x:v>0</x:v>
      </x:c>
      <x:c r="W56" s="47" t="n">
        <x:f>IF($A56&lt;1900,0,IF(T56&gt;=K56,1,0))</x:f>
        <x:v>0</x:v>
      </x:c>
      <x:c r="X56" s="47" t="n">
        <x:f>IF($A56&lt;1900,0,IF(L56&lt;=M56,1,0))</x:f>
        <x:v>0</x:v>
      </x:c>
      <x:c r="Y56" s="47" t="n">
        <x:f>IF($A56&lt;1900,0,IF(N56&lt;=O56,1,0))</x:f>
        <x:v>0</x:v>
      </x:c>
      <x:c r="Z56" s="47" t="n">
        <x:f>IF($A56&lt;1900,0,IF(P56&lt;=Q56,1,0))</x:f>
        <x:v>0</x:v>
      </x:c>
      <x:c r="AA56" s="47" t="n">
        <x:f>IF($A56&lt;1900,0,IF(R56&gt;=S56,1,0))</x:f>
        <x:v>0</x:v>
      </x:c>
      <x:c r="AB56" s="47" t="n">
        <x:f>IF(SUM(U56:Y56)=5,1,0)</x:f>
        <x:v>0</x:v>
      </x:c>
      <x:c r="AC56" s="47" t="n">
        <x:f>IF(Z56+AA56=2,1,0)</x:f>
        <x:v>0</x:v>
      </x:c>
      <x:c r="AD56" s="47" t="n">
        <x:f>IF(AND(AB56=1,AC56=1),1,0)</x:f>
        <x:v>0</x:v>
      </x:c>
      <x:c r="AE56" s="47" t="n">
        <x:f>IF(AD56=1,AE55+1,0)</x:f>
        <x:v>0</x:v>
      </x:c>
      <x:c r="AF56" s="47" t="n">
        <x:f>IF(AE55&gt;=gulf_years_req,1,0)</x:f>
        <x:v>0</x:v>
      </x:c>
    </x:row>
    <x:row r="57">
      <x:c r="A57" s="58" t="n">
        <x:v>1897</x:v>
      </x:c>
      <x:c r="B57" s="45" t="n">
        <x:v>0</x:v>
      </x:c>
      <x:c r="C57" s="68" t="n">
        <x:v>0</x:v>
      </x:c>
      <x:c r="D57" s="47" t="n">
        <x:f>Partners!Q57*(1-IF(AND(OR(oil_compact=0,$A57&lt;compact_year),OR($A57=1931,$A57=1932)),gulf_glut_gdp,0))</x:f>
        <x:v>0</x:v>
      </x:c>
      <x:c r="E57" s="47" t="n">
        <x:f>IF(AND(gulf_on=1,$A57&gt;=gulf_year),1,0)</x:f>
        <x:v>0</x:v>
      </x:c>
      <x:c r="F57" s="45" t="n">
        <x:v>0</x:v>
      </x:c>
      <x:c r="G57" s="45" t="n">
        <x:v>0</x:v>
      </x:c>
      <x:c r="H57" s="59" t="n">
        <x:v>0</x:v>
      </x:c>
      <x:c r="I57" s="59" t="n">
        <x:v>0</x:v>
      </x:c>
      <x:c r="J57" s="59" t="n">
        <x:v>0</x:v>
      </x:c>
      <x:c r="K57" s="59" t="n">
        <x:v>0</x:v>
      </x:c>
      <x:c r="L57" s="52" t="n">
        <x:v>0</x:v>
      </x:c>
      <x:c r="M57" s="52" t="n">
        <x:v>0</x:v>
      </x:c>
      <x:c r="N57" s="52" t="n">
        <x:v>0</x:v>
      </x:c>
      <x:c r="O57" s="52" t="n">
        <x:v>0</x:v>
      </x:c>
      <x:c r="P57" s="68" t="n">
        <x:v>0</x:v>
      </x:c>
      <x:c r="Q57" s="68" t="n">
        <x:v>0</x:v>
      </x:c>
      <x:c r="R57" s="68" t="n">
        <x:v>0</x:v>
      </x:c>
      <x:c r="S57" s="68" t="n">
        <x:v>0</x:v>
      </x:c>
      <x:c r="T57" s="63" t="n">
        <x:f>J57-IF(AND(OR(oil_compact=0,$A57&lt;compact_year),$A57&gt;=1931,$A57&lt;=1933),gulf_wage_dip,0)</x:f>
        <x:v>0</x:v>
      </x:c>
      <x:c r="U57" s="47" t="n">
        <x:f>IF($A57&lt;1900,0,IF(F57&lt;=G57,1,0))</x:f>
        <x:v>0</x:v>
      </x:c>
      <x:c r="V57" s="47" t="n">
        <x:f>IF($A57&lt;1900,0,IF(H57&gt;=I57,1,0))</x:f>
        <x:v>0</x:v>
      </x:c>
      <x:c r="W57" s="47" t="n">
        <x:f>IF($A57&lt;1900,0,IF(T57&gt;=K57,1,0))</x:f>
        <x:v>0</x:v>
      </x:c>
      <x:c r="X57" s="47" t="n">
        <x:f>IF($A57&lt;1900,0,IF(L57&lt;=M57,1,0))</x:f>
        <x:v>0</x:v>
      </x:c>
      <x:c r="Y57" s="47" t="n">
        <x:f>IF($A57&lt;1900,0,IF(N57&lt;=O57,1,0))</x:f>
        <x:v>0</x:v>
      </x:c>
      <x:c r="Z57" s="47" t="n">
        <x:f>IF($A57&lt;1900,0,IF(P57&lt;=Q57,1,0))</x:f>
        <x:v>0</x:v>
      </x:c>
      <x:c r="AA57" s="47" t="n">
        <x:f>IF($A57&lt;1900,0,IF(R57&gt;=S57,1,0))</x:f>
        <x:v>0</x:v>
      </x:c>
      <x:c r="AB57" s="47" t="n">
        <x:f>IF(SUM(U57:Y57)=5,1,0)</x:f>
        <x:v>0</x:v>
      </x:c>
      <x:c r="AC57" s="47" t="n">
        <x:f>IF(Z57+AA57=2,1,0)</x:f>
        <x:v>0</x:v>
      </x:c>
      <x:c r="AD57" s="47" t="n">
        <x:f>IF(AND(AB57=1,AC57=1),1,0)</x:f>
        <x:v>0</x:v>
      </x:c>
      <x:c r="AE57" s="47" t="n">
        <x:f>IF(AD57=1,AE56+1,0)</x:f>
        <x:v>0</x:v>
      </x:c>
      <x:c r="AF57" s="47" t="n">
        <x:f>IF(AE56&gt;=gulf_years_req,1,0)</x:f>
        <x:v>0</x:v>
      </x:c>
    </x:row>
    <x:row r="58">
      <x:c r="A58" s="58" t="n">
        <x:v>1898</x:v>
      </x:c>
      <x:c r="B58" s="45" t="n">
        <x:v>0</x:v>
      </x:c>
      <x:c r="C58" s="68" t="n">
        <x:v>0</x:v>
      </x:c>
      <x:c r="D58" s="47" t="n">
        <x:f>Partners!Q58*(1-IF(AND(OR(oil_compact=0,$A58&lt;compact_year),OR($A58=1931,$A58=1932)),gulf_glut_gdp,0))</x:f>
        <x:v>0</x:v>
      </x:c>
      <x:c r="E58" s="47" t="n">
        <x:f>IF(AND(gulf_on=1,$A58&gt;=gulf_year),1,0)</x:f>
        <x:v>0</x:v>
      </x:c>
      <x:c r="F58" s="45" t="n">
        <x:v>0</x:v>
      </x:c>
      <x:c r="G58" s="45" t="n">
        <x:v>0</x:v>
      </x:c>
      <x:c r="H58" s="59" t="n">
        <x:v>0</x:v>
      </x:c>
      <x:c r="I58" s="59" t="n">
        <x:v>0</x:v>
      </x:c>
      <x:c r="J58" s="59" t="n">
        <x:v>0</x:v>
      </x:c>
      <x:c r="K58" s="59" t="n">
        <x:v>0</x:v>
      </x:c>
      <x:c r="L58" s="52" t="n">
        <x:v>0</x:v>
      </x:c>
      <x:c r="M58" s="52" t="n">
        <x:v>0</x:v>
      </x:c>
      <x:c r="N58" s="52" t="n">
        <x:v>0</x:v>
      </x:c>
      <x:c r="O58" s="52" t="n">
        <x:v>0</x:v>
      </x:c>
      <x:c r="P58" s="68" t="n">
        <x:v>0</x:v>
      </x:c>
      <x:c r="Q58" s="68" t="n">
        <x:v>0</x:v>
      </x:c>
      <x:c r="R58" s="68" t="n">
        <x:v>0</x:v>
      </x:c>
      <x:c r="S58" s="68" t="n">
        <x:v>0</x:v>
      </x:c>
      <x:c r="T58" s="63" t="n">
        <x:f>J58-IF(AND(OR(oil_compact=0,$A58&lt;compact_year),$A58&gt;=1931,$A58&lt;=1933),gulf_wage_dip,0)</x:f>
        <x:v>0</x:v>
      </x:c>
      <x:c r="U58" s="47" t="n">
        <x:f>IF($A58&lt;1900,0,IF(F58&lt;=G58,1,0))</x:f>
        <x:v>0</x:v>
      </x:c>
      <x:c r="V58" s="47" t="n">
        <x:f>IF($A58&lt;1900,0,IF(H58&gt;=I58,1,0))</x:f>
        <x:v>0</x:v>
      </x:c>
      <x:c r="W58" s="47" t="n">
        <x:f>IF($A58&lt;1900,0,IF(T58&gt;=K58,1,0))</x:f>
        <x:v>0</x:v>
      </x:c>
      <x:c r="X58" s="47" t="n">
        <x:f>IF($A58&lt;1900,0,IF(L58&lt;=M58,1,0))</x:f>
        <x:v>0</x:v>
      </x:c>
      <x:c r="Y58" s="47" t="n">
        <x:f>IF($A58&lt;1900,0,IF(N58&lt;=O58,1,0))</x:f>
        <x:v>0</x:v>
      </x:c>
      <x:c r="Z58" s="47" t="n">
        <x:f>IF($A58&lt;1900,0,IF(P58&lt;=Q58,1,0))</x:f>
        <x:v>0</x:v>
      </x:c>
      <x:c r="AA58" s="47" t="n">
        <x:f>IF($A58&lt;1900,0,IF(R58&gt;=S58,1,0))</x:f>
        <x:v>0</x:v>
      </x:c>
      <x:c r="AB58" s="47" t="n">
        <x:f>IF(SUM(U58:Y58)=5,1,0)</x:f>
        <x:v>0</x:v>
      </x:c>
      <x:c r="AC58" s="47" t="n">
        <x:f>IF(Z58+AA58=2,1,0)</x:f>
        <x:v>0</x:v>
      </x:c>
      <x:c r="AD58" s="47" t="n">
        <x:f>IF(AND(AB58=1,AC58=1),1,0)</x:f>
        <x:v>0</x:v>
      </x:c>
      <x:c r="AE58" s="47" t="n">
        <x:f>IF(AD58=1,AE57+1,0)</x:f>
        <x:v>0</x:v>
      </x:c>
      <x:c r="AF58" s="47" t="n">
        <x:f>IF(AE57&gt;=gulf_years_req,1,0)</x:f>
        <x:v>0</x:v>
      </x:c>
    </x:row>
    <x:row r="59">
      <x:c r="A59" s="58" t="n">
        <x:v>1899</x:v>
      </x:c>
      <x:c r="B59" s="45" t="n">
        <x:v>0</x:v>
      </x:c>
      <x:c r="C59" s="68" t="n">
        <x:v>0</x:v>
      </x:c>
      <x:c r="D59" s="47" t="n">
        <x:f>Partners!Q59*(1-IF(AND(OR(oil_compact=0,$A59&lt;compact_year),OR($A59=1931,$A59=1932)),gulf_glut_gdp,0))</x:f>
        <x:v>0</x:v>
      </x:c>
      <x:c r="E59" s="47" t="n">
        <x:f>IF(AND(gulf_on=1,$A59&gt;=gulf_year),1,0)</x:f>
        <x:v>0</x:v>
      </x:c>
      <x:c r="F59" s="45" t="n">
        <x:v>0</x:v>
      </x:c>
      <x:c r="G59" s="45" t="n">
        <x:v>0</x:v>
      </x:c>
      <x:c r="H59" s="59" t="n">
        <x:v>0</x:v>
      </x:c>
      <x:c r="I59" s="59" t="n">
        <x:v>0</x:v>
      </x:c>
      <x:c r="J59" s="59" t="n">
        <x:v>0</x:v>
      </x:c>
      <x:c r="K59" s="59" t="n">
        <x:v>0</x:v>
      </x:c>
      <x:c r="L59" s="52" t="n">
        <x:v>0</x:v>
      </x:c>
      <x:c r="M59" s="52" t="n">
        <x:v>0</x:v>
      </x:c>
      <x:c r="N59" s="52" t="n">
        <x:v>0</x:v>
      </x:c>
      <x:c r="O59" s="52" t="n">
        <x:v>0</x:v>
      </x:c>
      <x:c r="P59" s="68" t="n">
        <x:v>0</x:v>
      </x:c>
      <x:c r="Q59" s="68" t="n">
        <x:v>0</x:v>
      </x:c>
      <x:c r="R59" s="68" t="n">
        <x:v>0</x:v>
      </x:c>
      <x:c r="S59" s="68" t="n">
        <x:v>0</x:v>
      </x:c>
      <x:c r="T59" s="63" t="n">
        <x:f>J59-IF(AND(OR(oil_compact=0,$A59&lt;compact_year),$A59&gt;=1931,$A59&lt;=1933),gulf_wage_dip,0)</x:f>
        <x:v>0</x:v>
      </x:c>
      <x:c r="U59" s="47" t="n">
        <x:f>IF($A59&lt;1900,0,IF(F59&lt;=G59,1,0))</x:f>
        <x:v>0</x:v>
      </x:c>
      <x:c r="V59" s="47" t="n">
        <x:f>IF($A59&lt;1900,0,IF(H59&gt;=I59,1,0))</x:f>
        <x:v>0</x:v>
      </x:c>
      <x:c r="W59" s="47" t="n">
        <x:f>IF($A59&lt;1900,0,IF(T59&gt;=K59,1,0))</x:f>
        <x:v>0</x:v>
      </x:c>
      <x:c r="X59" s="47" t="n">
        <x:f>IF($A59&lt;1900,0,IF(L59&lt;=M59,1,0))</x:f>
        <x:v>0</x:v>
      </x:c>
      <x:c r="Y59" s="47" t="n">
        <x:f>IF($A59&lt;1900,0,IF(N59&lt;=O59,1,0))</x:f>
        <x:v>0</x:v>
      </x:c>
      <x:c r="Z59" s="47" t="n">
        <x:f>IF($A59&lt;1900,0,IF(P59&lt;=Q59,1,0))</x:f>
        <x:v>0</x:v>
      </x:c>
      <x:c r="AA59" s="47" t="n">
        <x:f>IF($A59&lt;1900,0,IF(R59&gt;=S59,1,0))</x:f>
        <x:v>0</x:v>
      </x:c>
      <x:c r="AB59" s="47" t="n">
        <x:f>IF(SUM(U59:Y59)=5,1,0)</x:f>
        <x:v>0</x:v>
      </x:c>
      <x:c r="AC59" s="47" t="n">
        <x:f>IF(Z59+AA59=2,1,0)</x:f>
        <x:v>0</x:v>
      </x:c>
      <x:c r="AD59" s="47" t="n">
        <x:f>IF(AND(AB59=1,AC59=1),1,0)</x:f>
        <x:v>0</x:v>
      </x:c>
      <x:c r="AE59" s="47" t="n">
        <x:f>IF(AD59=1,AE58+1,0)</x:f>
        <x:v>0</x:v>
      </x:c>
      <x:c r="AF59" s="47" t="n">
        <x:f>IF(AE58&gt;=gulf_years_req,1,0)</x:f>
        <x:v>0</x:v>
      </x:c>
    </x:row>
    <x:row r="60">
      <x:c r="A60" s="58" t="n">
        <x:v>1900</x:v>
      </x:c>
      <x:c r="B60" s="45" t="n">
        <x:v>6100000</x:v>
      </x:c>
      <x:c r="C60" s="68" t="n">
        <x:v>0.58</x:v>
      </x:c>
      <x:c r="D60" s="47" t="n">
        <x:f>Partners!Q60*(1-IF(AND(OR(oil_compact=0,$A60&lt;compact_year),OR($A60=1931,$A60=1932)),gulf_glut_gdp,0))</x:f>
        <x:v>870.3479999999998</x:v>
      </x:c>
      <x:c r="E60" s="47" t="n">
        <x:f>IF(AND(gulf_on=1,$A60&gt;=gulf_year),1,0)</x:f>
        <x:v>0</x:v>
      </x:c>
      <x:c r="F60" s="45" t="n">
        <x:v>175</x:v>
      </x:c>
      <x:c r="G60" s="45" t="n">
        <x:v>150</x:v>
      </x:c>
      <x:c r="H60" s="59" t="n">
        <x:v>0.78</x:v>
      </x:c>
      <x:c r="I60" s="59" t="n">
        <x:v>0.8</x:v>
      </x:c>
      <x:c r="J60" s="59" t="n">
        <x:v>0.7</x:v>
      </x:c>
      <x:c r="K60" s="59" t="n">
        <x:v>1</x:v>
      </x:c>
      <x:c r="L60" s="52" t="n">
        <x:v>26</x:v>
      </x:c>
      <x:c r="M60" s="52" t="n">
        <x:v>18</x:v>
      </x:c>
      <x:c r="N60" s="52" t="n">
        <x:v>55</x:v>
      </x:c>
      <x:c r="O60" s="52" t="n">
        <x:v>40</x:v>
      </x:c>
      <x:c r="P60" s="68" t="n">
        <x:v>1.9</x:v>
      </x:c>
      <x:c r="Q60" s="68" t="n">
        <x:v>1.05</x:v>
      </x:c>
      <x:c r="R60" s="68" t="n">
        <x:v>0.45</x:v>
      </x:c>
      <x:c r="S60" s="68" t="n">
        <x:v>0.95</x:v>
      </x:c>
      <x:c r="T60" s="63" t="n">
        <x:f>J60-IF(AND(OR(oil_compact=0,$A60&lt;compact_year),$A60&gt;=1931,$A60&lt;=1933),gulf_wage_dip,0)</x:f>
        <x:v>0.7</x:v>
      </x:c>
      <x:c r="U60" s="47" t="n">
        <x:f>IF($A60&lt;1900,0,IF(F60&lt;=G60,1,0))</x:f>
        <x:v>0</x:v>
      </x:c>
      <x:c r="V60" s="47" t="n">
        <x:f>IF($A60&lt;1900,0,IF(H60&gt;=I60,1,0))</x:f>
        <x:v>0</x:v>
      </x:c>
      <x:c r="W60" s="47" t="n">
        <x:f>IF($A60&lt;1900,0,IF(T60&gt;=K60,1,0))</x:f>
        <x:v>0</x:v>
      </x:c>
      <x:c r="X60" s="47" t="n">
        <x:f>IF($A60&lt;1900,0,IF(L60&lt;=M60,1,0))</x:f>
        <x:v>0</x:v>
      </x:c>
      <x:c r="Y60" s="47" t="n">
        <x:f>IF($A60&lt;1900,0,IF(N60&lt;=O60,1,0))</x:f>
        <x:v>0</x:v>
      </x:c>
      <x:c r="Z60" s="47" t="n">
        <x:f>IF($A60&lt;1900,0,IF(P60&lt;=Q60,1,0))</x:f>
        <x:v>0</x:v>
      </x:c>
      <x:c r="AA60" s="47" t="n">
        <x:f>IF($A60&lt;1900,0,IF(R60&gt;=S60,1,0))</x:f>
        <x:v>0</x:v>
      </x:c>
      <x:c r="AB60" s="47" t="n">
        <x:f>IF(SUM(U60:Y60)=5,1,0)</x:f>
        <x:v>0</x:v>
      </x:c>
      <x:c r="AC60" s="47" t="n">
        <x:f>IF(Z60+AA60=2,1,0)</x:f>
        <x:v>0</x:v>
      </x:c>
      <x:c r="AD60" s="47" t="n">
        <x:f>IF(AND(AB60=1,AC60=1),1,0)</x:f>
        <x:v>0</x:v>
      </x:c>
      <x:c r="AE60" s="47" t="n">
        <x:f>IF(AD60=1,AE59+1,0)</x:f>
        <x:v>0</x:v>
      </x:c>
      <x:c r="AF60" s="47" t="n">
        <x:f>IF(AE59&gt;=gulf_years_req,1,0)</x:f>
        <x:v>0</x:v>
      </x:c>
    </x:row>
    <x:row r="61">
      <x:c r="A61" s="58" t="n">
        <x:v>1901</x:v>
      </x:c>
      <x:c r="B61" s="45" t="n">
        <x:v>6290000</x:v>
      </x:c>
      <x:c r="C61" s="68" t="n">
        <x:v>0.583</x:v>
      </x:c>
      <x:c r="D61" s="47" t="n">
        <x:f>Partners!Q61*(1-IF(AND(OR(oil_compact=0,$A61&lt;compact_year),OR($A61=1931,$A61=1932)),gulf_glut_gdp,0))</x:f>
        <x:v>940.9878846898083</x:v>
      </x:c>
      <x:c r="E61" s="47" t="n">
        <x:f>IF(AND(gulf_on=1,$A61&gt;=gulf_year),1,0)</x:f>
        <x:v>0</x:v>
      </x:c>
      <x:c r="F61" s="45" t="n">
        <x:v>175</x:v>
      </x:c>
      <x:c r="G61" s="45" t="n">
        <x:v>147.6</x:v>
      </x:c>
      <x:c r="H61" s="59" t="n">
        <x:v>0.786</x:v>
      </x:c>
      <x:c r="I61" s="59" t="n">
        <x:v>0.805</x:v>
      </x:c>
      <x:c r="J61" s="59" t="n">
        <x:v>0.712</x:v>
      </x:c>
      <x:c r="K61" s="59" t="n">
        <x:v>1</x:v>
      </x:c>
      <x:c r="L61" s="52" t="n">
        <x:v>25.6</x:v>
      </x:c>
      <x:c r="M61" s="52" t="n">
        <x:v>17.6</x:v>
      </x:c>
      <x:c r="N61" s="52" t="n">
        <x:v>52.4</x:v>
      </x:c>
      <x:c r="O61" s="52" t="n">
        <x:v>38.6</x:v>
      </x:c>
      <x:c r="P61" s="68" t="n">
        <x:v>1.896</x:v>
      </x:c>
      <x:c r="Q61" s="68" t="n">
        <x:v>1.05</x:v>
      </x:c>
      <x:c r="R61" s="68" t="n">
        <x:v>0.456</x:v>
      </x:c>
      <x:c r="S61" s="68" t="n">
        <x:v>0.95</x:v>
      </x:c>
      <x:c r="T61" s="63" t="n">
        <x:f>J61-IF(AND(OR(oil_compact=0,$A61&lt;compact_year),$A61&gt;=1931,$A61&lt;=1933),gulf_wage_dip,0)</x:f>
        <x:v>0.712</x:v>
      </x:c>
      <x:c r="U61" s="47" t="n">
        <x:f>IF($A61&lt;1900,0,IF(F61&lt;=G61,1,0))</x:f>
        <x:v>0</x:v>
      </x:c>
      <x:c r="V61" s="47" t="n">
        <x:f>IF($A61&lt;1900,0,IF(H61&gt;=I61,1,0))</x:f>
        <x:v>0</x:v>
      </x:c>
      <x:c r="W61" s="47" t="n">
        <x:f>IF($A61&lt;1900,0,IF(T61&gt;=K61,1,0))</x:f>
        <x:v>0</x:v>
      </x:c>
      <x:c r="X61" s="47" t="n">
        <x:f>IF($A61&lt;1900,0,IF(L61&lt;=M61,1,0))</x:f>
        <x:v>0</x:v>
      </x:c>
      <x:c r="Y61" s="47" t="n">
        <x:f>IF($A61&lt;1900,0,IF(N61&lt;=O61,1,0))</x:f>
        <x:v>0</x:v>
      </x:c>
      <x:c r="Z61" s="47" t="n">
        <x:f>IF($A61&lt;1900,0,IF(P61&lt;=Q61,1,0))</x:f>
        <x:v>0</x:v>
      </x:c>
      <x:c r="AA61" s="47" t="n">
        <x:f>IF($A61&lt;1900,0,IF(R61&gt;=S61,1,0))</x:f>
        <x:v>0</x:v>
      </x:c>
      <x:c r="AB61" s="47" t="n">
        <x:f>IF(SUM(U61:Y61)=5,1,0)</x:f>
        <x:v>0</x:v>
      </x:c>
      <x:c r="AC61" s="47" t="n">
        <x:f>IF(Z61+AA61=2,1,0)</x:f>
        <x:v>0</x:v>
      </x:c>
      <x:c r="AD61" s="47" t="n">
        <x:f>IF(AND(AB61=1,AC61=1),1,0)</x:f>
        <x:v>0</x:v>
      </x:c>
      <x:c r="AE61" s="47" t="n">
        <x:f>IF(AD61=1,AE60+1,0)</x:f>
        <x:v>0</x:v>
      </x:c>
      <x:c r="AF61" s="47" t="n">
        <x:f>IF(AE60&gt;=gulf_years_req,1,0)</x:f>
        <x:v>0</x:v>
      </x:c>
    </x:row>
    <x:row r="62">
      <x:c r="A62" s="58" t="n">
        <x:v>1902</x:v>
      </x:c>
      <x:c r="B62" s="45" t="n">
        <x:v>6480000</x:v>
      </x:c>
      <x:c r="C62" s="68" t="n">
        <x:v>0.586</x:v>
      </x:c>
      <x:c r="D62" s="47" t="n">
        <x:f>Partners!Q62*(1-IF(AND(OR(oil_compact=0,$A62&lt;compact_year),OR($A62=1931,$A62=1932)),gulf_glut_gdp,0))</x:f>
        <x:v>1015.2389715129917</x:v>
      </x:c>
      <x:c r="E62" s="47" t="n">
        <x:f>IF(AND(gulf_on=1,$A62&gt;=gulf_year),1,0)</x:f>
        <x:v>0</x:v>
      </x:c>
      <x:c r="F62" s="45" t="n">
        <x:v>175</x:v>
      </x:c>
      <x:c r="G62" s="45" t="n">
        <x:v>145.2</x:v>
      </x:c>
      <x:c r="H62" s="59" t="n">
        <x:v>0.792</x:v>
      </x:c>
      <x:c r="I62" s="59" t="n">
        <x:v>0.8100000000000001</x:v>
      </x:c>
      <x:c r="J62" s="59" t="n">
        <x:v>0.724</x:v>
      </x:c>
      <x:c r="K62" s="59" t="n">
        <x:v>1</x:v>
      </x:c>
      <x:c r="L62" s="52" t="n">
        <x:v>25.2</x:v>
      </x:c>
      <x:c r="M62" s="52" t="n">
        <x:v>17.2</x:v>
      </x:c>
      <x:c r="N62" s="52" t="n">
        <x:v>49.8</x:v>
      </x:c>
      <x:c r="O62" s="52" t="n">
        <x:v>37.2</x:v>
      </x:c>
      <x:c r="P62" s="68" t="n">
        <x:v>1.892</x:v>
      </x:c>
      <x:c r="Q62" s="68" t="n">
        <x:v>1.05</x:v>
      </x:c>
      <x:c r="R62" s="68" t="n">
        <x:v>0.462</x:v>
      </x:c>
      <x:c r="S62" s="68" t="n">
        <x:v>0.95</x:v>
      </x:c>
      <x:c r="T62" s="63" t="n">
        <x:f>J62-IF(AND(OR(oil_compact=0,$A62&lt;compact_year),$A62&gt;=1931,$A62&lt;=1933),gulf_wage_dip,0)</x:f>
        <x:v>0.724</x:v>
      </x:c>
      <x:c r="U62" s="47" t="n">
        <x:f>IF($A62&lt;1900,0,IF(F62&lt;=G62,1,0))</x:f>
        <x:v>0</x:v>
      </x:c>
      <x:c r="V62" s="47" t="n">
        <x:f>IF($A62&lt;1900,0,IF(H62&gt;=I62,1,0))</x:f>
        <x:v>0</x:v>
      </x:c>
      <x:c r="W62" s="47" t="n">
        <x:f>IF($A62&lt;1900,0,IF(T62&gt;=K62,1,0))</x:f>
        <x:v>0</x:v>
      </x:c>
      <x:c r="X62" s="47" t="n">
        <x:f>IF($A62&lt;1900,0,IF(L62&lt;=M62,1,0))</x:f>
        <x:v>0</x:v>
      </x:c>
      <x:c r="Y62" s="47" t="n">
        <x:f>IF($A62&lt;1900,0,IF(N62&lt;=O62,1,0))</x:f>
        <x:v>0</x:v>
      </x:c>
      <x:c r="Z62" s="47" t="n">
        <x:f>IF($A62&lt;1900,0,IF(P62&lt;=Q62,1,0))</x:f>
        <x:v>0</x:v>
      </x:c>
      <x:c r="AA62" s="47" t="n">
        <x:f>IF($A62&lt;1900,0,IF(R62&gt;=S62,1,0))</x:f>
        <x:v>0</x:v>
      </x:c>
      <x:c r="AB62" s="47" t="n">
        <x:f>IF(SUM(U62:Y62)=5,1,0)</x:f>
        <x:v>0</x:v>
      </x:c>
      <x:c r="AC62" s="47" t="n">
        <x:f>IF(Z62+AA62=2,1,0)</x:f>
        <x:v>0</x:v>
      </x:c>
      <x:c r="AD62" s="47" t="n">
        <x:f>IF(AND(AB62=1,AC62=1),1,0)</x:f>
        <x:v>0</x:v>
      </x:c>
      <x:c r="AE62" s="47" t="n">
        <x:f>IF(AD62=1,AE61+1,0)</x:f>
        <x:v>0</x:v>
      </x:c>
      <x:c r="AF62" s="47" t="n">
        <x:f>IF(AE61&gt;=gulf_years_req,1,0)</x:f>
        <x:v>0</x:v>
      </x:c>
    </x:row>
    <x:row r="63">
      <x:c r="A63" s="58" t="n">
        <x:v>1903</x:v>
      </x:c>
      <x:c r="B63" s="45" t="n">
        <x:v>6670000</x:v>
      </x:c>
      <x:c r="C63" s="68" t="n">
        <x:v>0.589</x:v>
      </x:c>
      <x:c r="D63" s="47" t="n">
        <x:f>Partners!Q63*(1-IF(AND(OR(oil_compact=0,$A63&lt;compact_year),OR($A63=1931,$A63=1932)),gulf_glut_gdp,0))</x:f>
        <x:v>1089.224980709217</x:v>
      </x:c>
      <x:c r="E63" s="47" t="n">
        <x:f>IF(AND(gulf_on=1,$A63&gt;=gulf_year),1,0)</x:f>
        <x:v>0</x:v>
      </x:c>
      <x:c r="F63" s="45" t="n">
        <x:v>175</x:v>
      </x:c>
      <x:c r="G63" s="45" t="n">
        <x:v>142.8</x:v>
      </x:c>
      <x:c r="H63" s="59" t="n">
        <x:v>0.798</x:v>
      </x:c>
      <x:c r="I63" s="59" t="n">
        <x:v>0.8149999999999999</x:v>
      </x:c>
      <x:c r="J63" s="59" t="n">
        <x:v>0.736</x:v>
      </x:c>
      <x:c r="K63" s="59" t="n">
        <x:v>1</x:v>
      </x:c>
      <x:c r="L63" s="52" t="n">
        <x:v>24.8</x:v>
      </x:c>
      <x:c r="M63" s="52" t="n">
        <x:v>16.8</x:v>
      </x:c>
      <x:c r="N63" s="52" t="n">
        <x:v>47.2</x:v>
      </x:c>
      <x:c r="O63" s="52" t="n">
        <x:v>35.8</x:v>
      </x:c>
      <x:c r="P63" s="68" t="n">
        <x:v>1.888</x:v>
      </x:c>
      <x:c r="Q63" s="68" t="n">
        <x:v>1.05</x:v>
      </x:c>
      <x:c r="R63" s="68" t="n">
        <x:v>0.468</x:v>
      </x:c>
      <x:c r="S63" s="68" t="n">
        <x:v>0.95</x:v>
      </x:c>
      <x:c r="T63" s="63" t="n">
        <x:f>J63-IF(AND(OR(oil_compact=0,$A63&lt;compact_year),$A63&gt;=1931,$A63&lt;=1933),gulf_wage_dip,0)</x:f>
        <x:v>0.736</x:v>
      </x:c>
      <x:c r="U63" s="47" t="n">
        <x:f>IF($A63&lt;1900,0,IF(F63&lt;=G63,1,0))</x:f>
        <x:v>0</x:v>
      </x:c>
      <x:c r="V63" s="47" t="n">
        <x:f>IF($A63&lt;1900,0,IF(H63&gt;=I63,1,0))</x:f>
        <x:v>0</x:v>
      </x:c>
      <x:c r="W63" s="47" t="n">
        <x:f>IF($A63&lt;1900,0,IF(T63&gt;=K63,1,0))</x:f>
        <x:v>0</x:v>
      </x:c>
      <x:c r="X63" s="47" t="n">
        <x:f>IF($A63&lt;1900,0,IF(L63&lt;=M63,1,0))</x:f>
        <x:v>0</x:v>
      </x:c>
      <x:c r="Y63" s="47" t="n">
        <x:f>IF($A63&lt;1900,0,IF(N63&lt;=O63,1,0))</x:f>
        <x:v>0</x:v>
      </x:c>
      <x:c r="Z63" s="47" t="n">
        <x:f>IF($A63&lt;1900,0,IF(P63&lt;=Q63,1,0))</x:f>
        <x:v>0</x:v>
      </x:c>
      <x:c r="AA63" s="47" t="n">
        <x:f>IF($A63&lt;1900,0,IF(R63&gt;=S63,1,0))</x:f>
        <x:v>0</x:v>
      </x:c>
      <x:c r="AB63" s="47" t="n">
        <x:f>IF(SUM(U63:Y63)=5,1,0)</x:f>
        <x:v>0</x:v>
      </x:c>
      <x:c r="AC63" s="47" t="n">
        <x:f>IF(Z63+AA63=2,1,0)</x:f>
        <x:v>0</x:v>
      </x:c>
      <x:c r="AD63" s="47" t="n">
        <x:f>IF(AND(AB63=1,AC63=1),1,0)</x:f>
        <x:v>0</x:v>
      </x:c>
      <x:c r="AE63" s="47" t="n">
        <x:f>IF(AD63=1,AE62+1,0)</x:f>
        <x:v>0</x:v>
      </x:c>
      <x:c r="AF63" s="47" t="n">
        <x:f>IF(AE62&gt;=gulf_years_req,1,0)</x:f>
        <x:v>0</x:v>
      </x:c>
    </x:row>
    <x:row r="64">
      <x:c r="A64" s="58" t="n">
        <x:v>1904</x:v>
      </x:c>
      <x:c r="B64" s="45" t="n">
        <x:v>6860000</x:v>
      </x:c>
      <x:c r="C64" s="68" t="n">
        <x:v>0.592</x:v>
      </x:c>
      <x:c r="D64" s="47" t="n">
        <x:f>Partners!Q64*(1-IF(AND(OR(oil_compact=0,$A64&lt;compact_year),OR($A64=1931,$A64=1932)),gulf_glut_gdp,0))</x:f>
        <x:v>1170.9245455818436</x:v>
      </x:c>
      <x:c r="E64" s="47" t="n">
        <x:f>IF(AND(gulf_on=1,$A64&gt;=gulf_year),1,0)</x:f>
        <x:v>0</x:v>
      </x:c>
      <x:c r="F64" s="45" t="n">
        <x:v>182.5</x:v>
      </x:c>
      <x:c r="G64" s="45" t="n">
        <x:v>140.4</x:v>
      </x:c>
      <x:c r="H64" s="59" t="n">
        <x:v>0.804</x:v>
      </x:c>
      <x:c r="I64" s="59" t="n">
        <x:v>0.82</x:v>
      </x:c>
      <x:c r="J64" s="59" t="n">
        <x:v>0.748</x:v>
      </x:c>
      <x:c r="K64" s="59" t="n">
        <x:v>1</x:v>
      </x:c>
      <x:c r="L64" s="52" t="n">
        <x:v>24.4</x:v>
      </x:c>
      <x:c r="M64" s="52" t="n">
        <x:v>16.4</x:v>
      </x:c>
      <x:c r="N64" s="52" t="n">
        <x:v>44.6</x:v>
      </x:c>
      <x:c r="O64" s="52" t="n">
        <x:v>34.4</x:v>
      </x:c>
      <x:c r="P64" s="68" t="n">
        <x:v>1.884</x:v>
      </x:c>
      <x:c r="Q64" s="68" t="n">
        <x:v>1.05</x:v>
      </x:c>
      <x:c r="R64" s="68" t="n">
        <x:v>0.474</x:v>
      </x:c>
      <x:c r="S64" s="68" t="n">
        <x:v>0.95</x:v>
      </x:c>
      <x:c r="T64" s="63" t="n">
        <x:f>J64-IF(AND(OR(oil_compact=0,$A64&lt;compact_year),$A64&gt;=1931,$A64&lt;=1933),gulf_wage_dip,0)</x:f>
        <x:v>0.748</x:v>
      </x:c>
      <x:c r="U64" s="47" t="n">
        <x:f>IF($A64&lt;1900,0,IF(F64&lt;=G64,1,0))</x:f>
        <x:v>0</x:v>
      </x:c>
      <x:c r="V64" s="47" t="n">
        <x:f>IF($A64&lt;1900,0,IF(H64&gt;=I64,1,0))</x:f>
        <x:v>0</x:v>
      </x:c>
      <x:c r="W64" s="47" t="n">
        <x:f>IF($A64&lt;1900,0,IF(T64&gt;=K64,1,0))</x:f>
        <x:v>0</x:v>
      </x:c>
      <x:c r="X64" s="47" t="n">
        <x:f>IF($A64&lt;1900,0,IF(L64&lt;=M64,1,0))</x:f>
        <x:v>0</x:v>
      </x:c>
      <x:c r="Y64" s="47" t="n">
        <x:f>IF($A64&lt;1900,0,IF(N64&lt;=O64,1,0))</x:f>
        <x:v>0</x:v>
      </x:c>
      <x:c r="Z64" s="47" t="n">
        <x:f>IF($A64&lt;1900,0,IF(P64&lt;=Q64,1,0))</x:f>
        <x:v>0</x:v>
      </x:c>
      <x:c r="AA64" s="47" t="n">
        <x:f>IF($A64&lt;1900,0,IF(R64&gt;=S64,1,0))</x:f>
        <x:v>0</x:v>
      </x:c>
      <x:c r="AB64" s="47" t="n">
        <x:f>IF(SUM(U64:Y64)=5,1,0)</x:f>
        <x:v>0</x:v>
      </x:c>
      <x:c r="AC64" s="47" t="n">
        <x:f>IF(Z64+AA64=2,1,0)</x:f>
        <x:v>0</x:v>
      </x:c>
      <x:c r="AD64" s="47" t="n">
        <x:f>IF(AND(AB64=1,AC64=1),1,0)</x:f>
        <x:v>0</x:v>
      </x:c>
      <x:c r="AE64" s="47" t="n">
        <x:f>IF(AD64=1,AE63+1,0)</x:f>
        <x:v>0</x:v>
      </x:c>
      <x:c r="AF64" s="47" t="n">
        <x:f>IF(AE63&gt;=gulf_years_req,1,0)</x:f>
        <x:v>0</x:v>
      </x:c>
    </x:row>
    <x:row r="65">
      <x:c r="A65" s="58" t="n">
        <x:v>1905</x:v>
      </x:c>
      <x:c r="B65" s="45" t="n">
        <x:v>7050000</x:v>
      </x:c>
      <x:c r="C65" s="68" t="n">
        <x:v>0.595</x:v>
      </x:c>
      <x:c r="D65" s="47" t="n">
        <x:f>Partners!Q65*(1-IF(AND(OR(oil_compact=0,$A65&lt;compact_year),OR($A65=1931,$A65=1932)),gulf_glut_gdp,0))</x:f>
        <x:v>1256.6080505466055</x:v>
      </x:c>
      <x:c r="E65" s="47" t="n">
        <x:f>IF(AND(gulf_on=1,$A65&gt;=gulf_year),1,0)</x:f>
        <x:v>0</x:v>
      </x:c>
      <x:c r="F65" s="45" t="n">
        <x:v>190</x:v>
      </x:c>
      <x:c r="G65" s="45" t="n">
        <x:v>138</x:v>
      </x:c>
      <x:c r="H65" s="59" t="n">
        <x:v>0.8100000000000001</x:v>
      </x:c>
      <x:c r="I65" s="59" t="n">
        <x:v>0.825</x:v>
      </x:c>
      <x:c r="J65" s="59" t="n">
        <x:v>0.76</x:v>
      </x:c>
      <x:c r="K65" s="59" t="n">
        <x:v>1</x:v>
      </x:c>
      <x:c r="L65" s="52" t="n">
        <x:v>24</x:v>
      </x:c>
      <x:c r="M65" s="52" t="n">
        <x:v>16</x:v>
      </x:c>
      <x:c r="N65" s="52" t="n">
        <x:v>42</x:v>
      </x:c>
      <x:c r="O65" s="52" t="n">
        <x:v>33</x:v>
      </x:c>
      <x:c r="P65" s="68" t="n">
        <x:v>1.88</x:v>
      </x:c>
      <x:c r="Q65" s="68" t="n">
        <x:v>1.05</x:v>
      </x:c>
      <x:c r="R65" s="68" t="n">
        <x:v>0.48</x:v>
      </x:c>
      <x:c r="S65" s="68" t="n">
        <x:v>0.95</x:v>
      </x:c>
      <x:c r="T65" s="63" t="n">
        <x:f>J65-IF(AND(OR(oil_compact=0,$A65&lt;compact_year),$A65&gt;=1931,$A65&lt;=1933),gulf_wage_dip,0)</x:f>
        <x:v>0.76</x:v>
      </x:c>
      <x:c r="U65" s="47" t="n">
        <x:f>IF($A65&lt;1900,0,IF(F65&lt;=G65,1,0))</x:f>
        <x:v>0</x:v>
      </x:c>
      <x:c r="V65" s="47" t="n">
        <x:f>IF($A65&lt;1900,0,IF(H65&gt;=I65,1,0))</x:f>
        <x:v>0</x:v>
      </x:c>
      <x:c r="W65" s="47" t="n">
        <x:f>IF($A65&lt;1900,0,IF(T65&gt;=K65,1,0))</x:f>
        <x:v>0</x:v>
      </x:c>
      <x:c r="X65" s="47" t="n">
        <x:f>IF($A65&lt;1900,0,IF(L65&lt;=M65,1,0))</x:f>
        <x:v>0</x:v>
      </x:c>
      <x:c r="Y65" s="47" t="n">
        <x:f>IF($A65&lt;1900,0,IF(N65&lt;=O65,1,0))</x:f>
        <x:v>0</x:v>
      </x:c>
      <x:c r="Z65" s="47" t="n">
        <x:f>IF($A65&lt;1900,0,IF(P65&lt;=Q65,1,0))</x:f>
        <x:v>0</x:v>
      </x:c>
      <x:c r="AA65" s="47" t="n">
        <x:f>IF($A65&lt;1900,0,IF(R65&gt;=S65,1,0))</x:f>
        <x:v>0</x:v>
      </x:c>
      <x:c r="AB65" s="47" t="n">
        <x:f>IF(SUM(U65:Y65)=5,1,0)</x:f>
        <x:v>0</x:v>
      </x:c>
      <x:c r="AC65" s="47" t="n">
        <x:f>IF(Z65+AA65=2,1,0)</x:f>
        <x:v>0</x:v>
      </x:c>
      <x:c r="AD65" s="47" t="n">
        <x:f>IF(AND(AB65=1,AC65=1),1,0)</x:f>
        <x:v>0</x:v>
      </x:c>
      <x:c r="AE65" s="47" t="n">
        <x:f>IF(AD65=1,AE64+1,0)</x:f>
        <x:v>0</x:v>
      </x:c>
      <x:c r="AF65" s="47" t="n">
        <x:f>IF(AE64&gt;=gulf_years_req,1,0)</x:f>
        <x:v>0</x:v>
      </x:c>
    </x:row>
    <x:row r="66">
      <x:c r="A66" s="58" t="n">
        <x:v>1906</x:v>
      </x:c>
      <x:c r="B66" s="45" t="n">
        <x:v>7240000</x:v>
      </x:c>
      <x:c r="C66" s="68" t="n">
        <x:v>0.598</x:v>
      </x:c>
      <x:c r="D66" s="47" t="n">
        <x:f>Partners!Q66*(1-IF(AND(OR(oil_compact=0,$A66&lt;compact_year),OR($A66=1931,$A66=1932)),gulf_glut_gdp,0))</x:f>
        <x:v>1373.389031090612</x:v>
      </x:c>
      <x:c r="E66" s="47" t="n">
        <x:f>IF(AND(gulf_on=1,$A66&gt;=gulf_year),1,0)</x:f>
        <x:v>0</x:v>
      </x:c>
      <x:c r="F66" s="45" t="n">
        <x:v>184</x:v>
      </x:c>
      <x:c r="G66" s="45" t="n">
        <x:v>135.4</x:v>
      </x:c>
      <x:c r="H66" s="59" t="n">
        <x:v>0.8179999999999999</x:v>
      </x:c>
      <x:c r="I66" s="59" t="n">
        <x:v>0.83</x:v>
      </x:c>
      <x:c r="J66" s="59" t="n">
        <x:v>0.772</x:v>
      </x:c>
      <x:c r="K66" s="59" t="n">
        <x:v>1</x:v>
      </x:c>
      <x:c r="L66" s="52" t="n">
        <x:v>23.4</x:v>
      </x:c>
      <x:c r="M66" s="52" t="n">
        <x:v>15.6</x:v>
      </x:c>
      <x:c r="N66" s="52" t="n">
        <x:v>39.2</x:v>
      </x:c>
      <x:c r="O66" s="52" t="n">
        <x:v>31.4</x:v>
      </x:c>
      <x:c r="P66" s="68" t="n">
        <x:v>1.854</x:v>
      </x:c>
      <x:c r="Q66" s="68" t="n">
        <x:v>1.05</x:v>
      </x:c>
      <x:c r="R66" s="68" t="n">
        <x:v>0.494</x:v>
      </x:c>
      <x:c r="S66" s="68" t="n">
        <x:v>0.95</x:v>
      </x:c>
      <x:c r="T66" s="63" t="n">
        <x:f>J66-IF(AND(OR(oil_compact=0,$A66&lt;compact_year),$A66&gt;=1931,$A66&lt;=1933),gulf_wage_dip,0)</x:f>
        <x:v>0.772</x:v>
      </x:c>
      <x:c r="U66" s="47" t="n">
        <x:f>IF($A66&lt;1900,0,IF(F66&lt;=G66,1,0))</x:f>
        <x:v>0</x:v>
      </x:c>
      <x:c r="V66" s="47" t="n">
        <x:f>IF($A66&lt;1900,0,IF(H66&gt;=I66,1,0))</x:f>
        <x:v>0</x:v>
      </x:c>
      <x:c r="W66" s="47" t="n">
        <x:f>IF($A66&lt;1900,0,IF(T66&gt;=K66,1,0))</x:f>
        <x:v>0</x:v>
      </x:c>
      <x:c r="X66" s="47" t="n">
        <x:f>IF($A66&lt;1900,0,IF(L66&lt;=M66,1,0))</x:f>
        <x:v>0</x:v>
      </x:c>
      <x:c r="Y66" s="47" t="n">
        <x:f>IF($A66&lt;1900,0,IF(N66&lt;=O66,1,0))</x:f>
        <x:v>0</x:v>
      </x:c>
      <x:c r="Z66" s="47" t="n">
        <x:f>IF($A66&lt;1900,0,IF(P66&lt;=Q66,1,0))</x:f>
        <x:v>0</x:v>
      </x:c>
      <x:c r="AA66" s="47" t="n">
        <x:f>IF($A66&lt;1900,0,IF(R66&gt;=S66,1,0))</x:f>
        <x:v>0</x:v>
      </x:c>
      <x:c r="AB66" s="47" t="n">
        <x:f>IF(SUM(U66:Y66)=5,1,0)</x:f>
        <x:v>0</x:v>
      </x:c>
      <x:c r="AC66" s="47" t="n">
        <x:f>IF(Z66+AA66=2,1,0)</x:f>
        <x:v>0</x:v>
      </x:c>
      <x:c r="AD66" s="47" t="n">
        <x:f>IF(AND(AB66=1,AC66=1),1,0)</x:f>
        <x:v>0</x:v>
      </x:c>
      <x:c r="AE66" s="47" t="n">
        <x:f>IF(AD66=1,AE65+1,0)</x:f>
        <x:v>0</x:v>
      </x:c>
      <x:c r="AF66" s="47" t="n">
        <x:f>IF(AE65&gt;=gulf_years_req,1,0)</x:f>
        <x:v>0</x:v>
      </x:c>
    </x:row>
    <x:row r="67">
      <x:c r="A67" s="58" t="n">
        <x:v>1907</x:v>
      </x:c>
      <x:c r="B67" s="45" t="n">
        <x:v>7430000</x:v>
      </x:c>
      <x:c r="C67" s="68" t="n">
        <x:v>0.602</x:v>
      </x:c>
      <x:c r="D67" s="47" t="n">
        <x:f>Partners!Q67*(1-IF(AND(OR(oil_compact=0,$A67&lt;compact_year),OR($A67=1931,$A67=1932)),gulf_glut_gdp,0))</x:f>
        <x:v>1494.2330391490352</x:v>
      </x:c>
      <x:c r="E67" s="47" t="n">
        <x:f>IF(AND(gulf_on=1,$A67&gt;=gulf_year),1,0)</x:f>
        <x:v>0</x:v>
      </x:c>
      <x:c r="F67" s="45" t="n">
        <x:v>178</x:v>
      </x:c>
      <x:c r="G67" s="45" t="n">
        <x:v>132.8</x:v>
      </x:c>
      <x:c r="H67" s="59" t="n">
        <x:v>0.826</x:v>
      </x:c>
      <x:c r="I67" s="59" t="n">
        <x:v>0.835</x:v>
      </x:c>
      <x:c r="J67" s="59" t="n">
        <x:v>0.784</x:v>
      </x:c>
      <x:c r="K67" s="59" t="n">
        <x:v>1</x:v>
      </x:c>
      <x:c r="L67" s="52" t="n">
        <x:v>22.8</x:v>
      </x:c>
      <x:c r="M67" s="52" t="n">
        <x:v>15.2</x:v>
      </x:c>
      <x:c r="N67" s="52" t="n">
        <x:v>36.4</x:v>
      </x:c>
      <x:c r="O67" s="52" t="n">
        <x:v>29.8</x:v>
      </x:c>
      <x:c r="P67" s="68" t="n">
        <x:v>1.828</x:v>
      </x:c>
      <x:c r="Q67" s="68" t="n">
        <x:v>1.05</x:v>
      </x:c>
      <x:c r="R67" s="68" t="n">
        <x:v>0.508</x:v>
      </x:c>
      <x:c r="S67" s="68" t="n">
        <x:v>0.95</x:v>
      </x:c>
      <x:c r="T67" s="63" t="n">
        <x:f>J67-IF(AND(OR(oil_compact=0,$A67&lt;compact_year),$A67&gt;=1931,$A67&lt;=1933),gulf_wage_dip,0)</x:f>
        <x:v>0.784</x:v>
      </x:c>
      <x:c r="U67" s="47" t="n">
        <x:f>IF($A67&lt;1900,0,IF(F67&lt;=G67,1,0))</x:f>
        <x:v>0</x:v>
      </x:c>
      <x:c r="V67" s="47" t="n">
        <x:f>IF($A67&lt;1900,0,IF(H67&gt;=I67,1,0))</x:f>
        <x:v>0</x:v>
      </x:c>
      <x:c r="W67" s="47" t="n">
        <x:f>IF($A67&lt;1900,0,IF(T67&gt;=K67,1,0))</x:f>
        <x:v>0</x:v>
      </x:c>
      <x:c r="X67" s="47" t="n">
        <x:f>IF($A67&lt;1900,0,IF(L67&lt;=M67,1,0))</x:f>
        <x:v>0</x:v>
      </x:c>
      <x:c r="Y67" s="47" t="n">
        <x:f>IF($A67&lt;1900,0,IF(N67&lt;=O67,1,0))</x:f>
        <x:v>0</x:v>
      </x:c>
      <x:c r="Z67" s="47" t="n">
        <x:f>IF($A67&lt;1900,0,IF(P67&lt;=Q67,1,0))</x:f>
        <x:v>0</x:v>
      </x:c>
      <x:c r="AA67" s="47" t="n">
        <x:f>IF($A67&lt;1900,0,IF(R67&gt;=S67,1,0))</x:f>
        <x:v>0</x:v>
      </x:c>
      <x:c r="AB67" s="47" t="n">
        <x:f>IF(SUM(U67:Y67)=5,1,0)</x:f>
        <x:v>0</x:v>
      </x:c>
      <x:c r="AC67" s="47" t="n">
        <x:f>IF(Z67+AA67=2,1,0)</x:f>
        <x:v>0</x:v>
      </x:c>
      <x:c r="AD67" s="47" t="n">
        <x:f>IF(AND(AB67=1,AC67=1),1,0)</x:f>
        <x:v>0</x:v>
      </x:c>
      <x:c r="AE67" s="47" t="n">
        <x:f>IF(AD67=1,AE66+1,0)</x:f>
        <x:v>0</x:v>
      </x:c>
      <x:c r="AF67" s="47" t="n">
        <x:f>IF(AE66&gt;=gulf_years_req,1,0)</x:f>
        <x:v>0</x:v>
      </x:c>
    </x:row>
    <x:row r="68">
      <x:c r="A68" s="58" t="n">
        <x:v>1908</x:v>
      </x:c>
      <x:c r="B68" s="45" t="n">
        <x:v>7620000</x:v>
      </x:c>
      <x:c r="C68" s="68" t="n">
        <x:v>0.605</x:v>
      </x:c>
      <x:c r="D68" s="47" t="n">
        <x:f>Partners!Q68*(1-IF(AND(OR(oil_compact=0,$A68&lt;compact_year),OR($A68=1931,$A68=1932)),gulf_glut_gdp,0))</x:f>
        <x:v>1623.618921201328</x:v>
      </x:c>
      <x:c r="E68" s="47" t="n">
        <x:f>IF(AND(gulf_on=1,$A68&gt;=gulf_year),1,0)</x:f>
        <x:v>0</x:v>
      </x:c>
      <x:c r="F68" s="45" t="n">
        <x:v>172</x:v>
      </x:c>
      <x:c r="G68" s="45" t="n">
        <x:v>130.2</x:v>
      </x:c>
      <x:c r="H68" s="59" t="n">
        <x:v>0.834</x:v>
      </x:c>
      <x:c r="I68" s="59" t="n">
        <x:v>0.84</x:v>
      </x:c>
      <x:c r="J68" s="59" t="n">
        <x:v>0.796</x:v>
      </x:c>
      <x:c r="K68" s="59" t="n">
        <x:v>1</x:v>
      </x:c>
      <x:c r="L68" s="52" t="n">
        <x:v>22.2</x:v>
      </x:c>
      <x:c r="M68" s="52" t="n">
        <x:v>14.8</x:v>
      </x:c>
      <x:c r="N68" s="52" t="n">
        <x:v>33.6</x:v>
      </x:c>
      <x:c r="O68" s="52" t="n">
        <x:v>28.2</x:v>
      </x:c>
      <x:c r="P68" s="68" t="n">
        <x:v>1.802</x:v>
      </x:c>
      <x:c r="Q68" s="68" t="n">
        <x:v>1.05</x:v>
      </x:c>
      <x:c r="R68" s="68" t="n">
        <x:v>0.522</x:v>
      </x:c>
      <x:c r="S68" s="68" t="n">
        <x:v>0.95</x:v>
      </x:c>
      <x:c r="T68" s="63" t="n">
        <x:f>J68-IF(AND(OR(oil_compact=0,$A68&lt;compact_year),$A68&gt;=1931,$A68&lt;=1933),gulf_wage_dip,0)</x:f>
        <x:v>0.796</x:v>
      </x:c>
      <x:c r="U68" s="47" t="n">
        <x:f>IF($A68&lt;1900,0,IF(F68&lt;=G68,1,0))</x:f>
        <x:v>0</x:v>
      </x:c>
      <x:c r="V68" s="47" t="n">
        <x:f>IF($A68&lt;1900,0,IF(H68&gt;=I68,1,0))</x:f>
        <x:v>0</x:v>
      </x:c>
      <x:c r="W68" s="47" t="n">
        <x:f>IF($A68&lt;1900,0,IF(T68&gt;=K68,1,0))</x:f>
        <x:v>0</x:v>
      </x:c>
      <x:c r="X68" s="47" t="n">
        <x:f>IF($A68&lt;1900,0,IF(L68&lt;=M68,1,0))</x:f>
        <x:v>0</x:v>
      </x:c>
      <x:c r="Y68" s="47" t="n">
        <x:f>IF($A68&lt;1900,0,IF(N68&lt;=O68,1,0))</x:f>
        <x:v>0</x:v>
      </x:c>
      <x:c r="Z68" s="47" t="n">
        <x:f>IF($A68&lt;1900,0,IF(P68&lt;=Q68,1,0))</x:f>
        <x:v>0</x:v>
      </x:c>
      <x:c r="AA68" s="47" t="n">
        <x:f>IF($A68&lt;1900,0,IF(R68&gt;=S68,1,0))</x:f>
        <x:v>0</x:v>
      </x:c>
      <x:c r="AB68" s="47" t="n">
        <x:f>IF(SUM(U68:Y68)=5,1,0)</x:f>
        <x:v>0</x:v>
      </x:c>
      <x:c r="AC68" s="47" t="n">
        <x:f>IF(Z68+AA68=2,1,0)</x:f>
        <x:v>0</x:v>
      </x:c>
      <x:c r="AD68" s="47" t="n">
        <x:f>IF(AND(AB68=1,AC68=1),1,0)</x:f>
        <x:v>0</x:v>
      </x:c>
      <x:c r="AE68" s="47" t="n">
        <x:f>IF(AD68=1,AE67+1,0)</x:f>
        <x:v>0</x:v>
      </x:c>
      <x:c r="AF68" s="47" t="n">
        <x:f>IF(AE67&gt;=gulf_years_req,1,0)</x:f>
        <x:v>0</x:v>
      </x:c>
    </x:row>
    <x:row r="69">
      <x:c r="A69" s="58" t="n">
        <x:v>1909</x:v>
      </x:c>
      <x:c r="B69" s="45" t="n">
        <x:v>7810000</x:v>
      </x:c>
      <x:c r="C69" s="68" t="n">
        <x:v>0.608</x:v>
      </x:c>
      <x:c r="D69" s="47" t="n">
        <x:f>Partners!Q69*(1-IF(AND(OR(oil_compact=0,$A69&lt;compact_year),OR($A69=1931,$A69=1932)),gulf_glut_gdp,0))</x:f>
        <x:v>1754.244129121846</x:v>
      </x:c>
      <x:c r="E69" s="47" t="n">
        <x:f>IF(AND(gulf_on=1,$A69&gt;=gulf_year),1,0)</x:f>
        <x:v>0</x:v>
      </x:c>
      <x:c r="F69" s="45" t="n">
        <x:v>166</x:v>
      </x:c>
      <x:c r="G69" s="45" t="n">
        <x:v>127.6</x:v>
      </x:c>
      <x:c r="H69" s="59" t="n">
        <x:v>0.842</x:v>
      </x:c>
      <x:c r="I69" s="59" t="n">
        <x:v>0.845</x:v>
      </x:c>
      <x:c r="J69" s="59" t="n">
        <x:v>0.8080000000000001</x:v>
      </x:c>
      <x:c r="K69" s="59" t="n">
        <x:v>1</x:v>
      </x:c>
      <x:c r="L69" s="52" t="n">
        <x:v>21.6</x:v>
      </x:c>
      <x:c r="M69" s="52" t="n">
        <x:v>14.4</x:v>
      </x:c>
      <x:c r="N69" s="52" t="n">
        <x:v>30.8</x:v>
      </x:c>
      <x:c r="O69" s="52" t="n">
        <x:v>26.6</x:v>
      </x:c>
      <x:c r="P69" s="68" t="n">
        <x:v>1.776</x:v>
      </x:c>
      <x:c r="Q69" s="68" t="n">
        <x:v>1.05</x:v>
      </x:c>
      <x:c r="R69" s="68" t="n">
        <x:v>0.536</x:v>
      </x:c>
      <x:c r="S69" s="68" t="n">
        <x:v>0.95</x:v>
      </x:c>
      <x:c r="T69" s="63" t="n">
        <x:f>J69-IF(AND(OR(oil_compact=0,$A69&lt;compact_year),$A69&gt;=1931,$A69&lt;=1933),gulf_wage_dip,0)</x:f>
        <x:v>0.808</x:v>
      </x:c>
      <x:c r="U69" s="47" t="n">
        <x:f>IF($A69&lt;1900,0,IF(F69&lt;=G69,1,0))</x:f>
        <x:v>0</x:v>
      </x:c>
      <x:c r="V69" s="47" t="n">
        <x:f>IF($A69&lt;1900,0,IF(H69&gt;=I69,1,0))</x:f>
        <x:v>0</x:v>
      </x:c>
      <x:c r="W69" s="47" t="n">
        <x:f>IF($A69&lt;1900,0,IF(T69&gt;=K69,1,0))</x:f>
        <x:v>0</x:v>
      </x:c>
      <x:c r="X69" s="47" t="n">
        <x:f>IF($A69&lt;1900,0,IF(L69&lt;=M69,1,0))</x:f>
        <x:v>0</x:v>
      </x:c>
      <x:c r="Y69" s="47" t="n">
        <x:f>IF($A69&lt;1900,0,IF(N69&lt;=O69,1,0))</x:f>
        <x:v>0</x:v>
      </x:c>
      <x:c r="Z69" s="47" t="n">
        <x:f>IF($A69&lt;1900,0,IF(P69&lt;=Q69,1,0))</x:f>
        <x:v>0</x:v>
      </x:c>
      <x:c r="AA69" s="47" t="n">
        <x:f>IF($A69&lt;1900,0,IF(R69&gt;=S69,1,0))</x:f>
        <x:v>0</x:v>
      </x:c>
      <x:c r="AB69" s="47" t="n">
        <x:f>IF(SUM(U69:Y69)=5,1,0)</x:f>
        <x:v>0</x:v>
      </x:c>
      <x:c r="AC69" s="47" t="n">
        <x:f>IF(Z69+AA69=2,1,0)</x:f>
        <x:v>0</x:v>
      </x:c>
      <x:c r="AD69" s="47" t="n">
        <x:f>IF(AND(AB69=1,AC69=1),1,0)</x:f>
        <x:v>0</x:v>
      </x:c>
      <x:c r="AE69" s="47" t="n">
        <x:f>IF(AD69=1,AE68+1,0)</x:f>
        <x:v>0</x:v>
      </x:c>
      <x:c r="AF69" s="47" t="n">
        <x:f>IF(AE68&gt;=gulf_years_req,1,0)</x:f>
        <x:v>0</x:v>
      </x:c>
    </x:row>
    <x:row r="70">
      <x:c r="A70" s="58" t="n">
        <x:v>1910</x:v>
      </x:c>
      <x:c r="B70" s="45" t="n">
        <x:v>8000000</x:v>
      </x:c>
      <x:c r="C70" s="68" t="n">
        <x:v>0.611</x:v>
      </x:c>
      <x:c r="D70" s="47" t="n">
        <x:f>Partners!Q70*(1-IF(AND(OR(oil_compact=0,$A70&lt;compact_year),OR($A70=1931,$A70=1932)),gulf_glut_gdp,0))</x:f>
        <x:v>1897.1109488400339</x:v>
      </x:c>
      <x:c r="E70" s="47" t="n">
        <x:f>IF(AND(gulf_on=1,$A70&gt;=gulf_year),1,0)</x:f>
        <x:v>0</x:v>
      </x:c>
      <x:c r="F70" s="45" t="n">
        <x:v>160</x:v>
      </x:c>
      <x:c r="G70" s="45" t="n">
        <x:v>125</x:v>
      </x:c>
      <x:c r="H70" s="59" t="n">
        <x:v>0.85</x:v>
      </x:c>
      <x:c r="I70" s="59" t="n">
        <x:v>0.85</x:v>
      </x:c>
      <x:c r="J70" s="59" t="n">
        <x:v>0.82</x:v>
      </x:c>
      <x:c r="K70" s="59" t="n">
        <x:v>1</x:v>
      </x:c>
      <x:c r="L70" s="52" t="n">
        <x:v>21</x:v>
      </x:c>
      <x:c r="M70" s="52" t="n">
        <x:v>14</x:v>
      </x:c>
      <x:c r="N70" s="52" t="n">
        <x:v>28</x:v>
      </x:c>
      <x:c r="O70" s="52" t="n">
        <x:v>25</x:v>
      </x:c>
      <x:c r="P70" s="68" t="n">
        <x:v>1.75</x:v>
      </x:c>
      <x:c r="Q70" s="68" t="n">
        <x:v>1.05</x:v>
      </x:c>
      <x:c r="R70" s="68" t="n">
        <x:v>0.55</x:v>
      </x:c>
      <x:c r="S70" s="68" t="n">
        <x:v>0.95</x:v>
      </x:c>
      <x:c r="T70" s="63" t="n">
        <x:f>J70-IF(AND(OR(oil_compact=0,$A70&lt;compact_year),$A70&gt;=1931,$A70&lt;=1933),gulf_wage_dip,0)</x:f>
        <x:v>0.82</x:v>
      </x:c>
      <x:c r="U70" s="47" t="n">
        <x:f>IF($A70&lt;1900,0,IF(F70&lt;=G70,1,0))</x:f>
        <x:v>0</x:v>
      </x:c>
      <x:c r="V70" s="47" t="n">
        <x:f>IF($A70&lt;1900,0,IF(H70&gt;=I70,1,0))</x:f>
        <x:v>1</x:v>
      </x:c>
      <x:c r="W70" s="47" t="n">
        <x:f>IF($A70&lt;1900,0,IF(T70&gt;=K70,1,0))</x:f>
        <x:v>0</x:v>
      </x:c>
      <x:c r="X70" s="47" t="n">
        <x:f>IF($A70&lt;1900,0,IF(L70&lt;=M70,1,0))</x:f>
        <x:v>0</x:v>
      </x:c>
      <x:c r="Y70" s="47" t="n">
        <x:f>IF($A70&lt;1900,0,IF(N70&lt;=O70,1,0))</x:f>
        <x:v>0</x:v>
      </x:c>
      <x:c r="Z70" s="47" t="n">
        <x:f>IF($A70&lt;1900,0,IF(P70&lt;=Q70,1,0))</x:f>
        <x:v>0</x:v>
      </x:c>
      <x:c r="AA70" s="47" t="n">
        <x:f>IF($A70&lt;1900,0,IF(R70&gt;=S70,1,0))</x:f>
        <x:v>0</x:v>
      </x:c>
      <x:c r="AB70" s="47" t="n">
        <x:f>IF(SUM(U70:Y70)=5,1,0)</x:f>
        <x:v>0</x:v>
      </x:c>
      <x:c r="AC70" s="47" t="n">
        <x:f>IF(Z70+AA70=2,1,0)</x:f>
        <x:v>0</x:v>
      </x:c>
      <x:c r="AD70" s="47" t="n">
        <x:f>IF(AND(AB70=1,AC70=1),1,0)</x:f>
        <x:v>0</x:v>
      </x:c>
      <x:c r="AE70" s="47" t="n">
        <x:f>IF(AD70=1,AE69+1,0)</x:f>
        <x:v>0</x:v>
      </x:c>
      <x:c r="AF70" s="47" t="n">
        <x:f>IF(AE69&gt;=gulf_years_req,1,0)</x:f>
        <x:v>0</x:v>
      </x:c>
    </x:row>
    <x:row r="71">
      <x:c r="A71" s="58" t="n">
        <x:v>1911</x:v>
      </x:c>
      <x:c r="B71" s="45" t="n">
        <x:v>8140000</x:v>
      </x:c>
      <x:c r="C71" s="68" t="n">
        <x:v>0.614</x:v>
      </x:c>
      <x:c r="D71" s="47" t="n">
        <x:f>Partners!Q71*(1-IF(AND(OR(oil_compact=0,$A71&lt;compact_year),OR($A71=1931,$A71=1932)),gulf_glut_gdp,0))</x:f>
        <x:v>2023.83881644392</x:v>
      </x:c>
      <x:c r="E71" s="47" t="n">
        <x:f>IF(AND(gulf_on=1,$A71&gt;=gulf_year),1,0)</x:f>
        <x:v>0</x:v>
      </x:c>
      <x:c r="F71" s="45" t="n">
        <x:v>153.6</x:v>
      </x:c>
      <x:c r="G71" s="45" t="n">
        <x:v>122.4</x:v>
      </x:c>
      <x:c r="H71" s="59" t="n">
        <x:v>0.857</x:v>
      </x:c>
      <x:c r="I71" s="59" t="n">
        <x:v>0.854</x:v>
      </x:c>
      <x:c r="J71" s="59" t="n">
        <x:v>0.836</x:v>
      </x:c>
      <x:c r="K71" s="59" t="n">
        <x:v>1</x:v>
      </x:c>
      <x:c r="L71" s="52" t="n">
        <x:v>20.3</x:v>
      </x:c>
      <x:c r="M71" s="52" t="n">
        <x:v>13.7</x:v>
      </x:c>
      <x:c r="N71" s="52" t="n">
        <x:v>25.8</x:v>
      </x:c>
      <x:c r="O71" s="52" t="n">
        <x:v>23.6</x:v>
      </x:c>
      <x:c r="P71" s="68" t="n">
        <x:v>1.716</x:v>
      </x:c>
      <x:c r="Q71" s="68" t="n">
        <x:v>1.05</x:v>
      </x:c>
      <x:c r="R71" s="68" t="n">
        <x:v>0.5620000000000001</x:v>
      </x:c>
      <x:c r="S71" s="68" t="n">
        <x:v>0.95</x:v>
      </x:c>
      <x:c r="T71" s="63" t="n">
        <x:f>J71-IF(AND(OR(oil_compact=0,$A71&lt;compact_year),$A71&gt;=1931,$A71&lt;=1933),gulf_wage_dip,0)</x:f>
        <x:v>0.836</x:v>
      </x:c>
      <x:c r="U71" s="47" t="n">
        <x:f>IF($A71&lt;1900,0,IF(F71&lt;=G71,1,0))</x:f>
        <x:v>0</x:v>
      </x:c>
      <x:c r="V71" s="47" t="n">
        <x:f>IF($A71&lt;1900,0,IF(H71&gt;=I71,1,0))</x:f>
        <x:v>1</x:v>
      </x:c>
      <x:c r="W71" s="47" t="n">
        <x:f>IF($A71&lt;1900,0,IF(T71&gt;=K71,1,0))</x:f>
        <x:v>0</x:v>
      </x:c>
      <x:c r="X71" s="47" t="n">
        <x:f>IF($A71&lt;1900,0,IF(L71&lt;=M71,1,0))</x:f>
        <x:v>0</x:v>
      </x:c>
      <x:c r="Y71" s="47" t="n">
        <x:f>IF($A71&lt;1900,0,IF(N71&lt;=O71,1,0))</x:f>
        <x:v>0</x:v>
      </x:c>
      <x:c r="Z71" s="47" t="n">
        <x:f>IF($A71&lt;1900,0,IF(P71&lt;=Q71,1,0))</x:f>
        <x:v>0</x:v>
      </x:c>
      <x:c r="AA71" s="47" t="n">
        <x:f>IF($A71&lt;1900,0,IF(R71&gt;=S71,1,0))</x:f>
        <x:v>0</x:v>
      </x:c>
      <x:c r="AB71" s="47" t="n">
        <x:f>IF(SUM(U71:Y71)=5,1,0)</x:f>
        <x:v>0</x:v>
      </x:c>
      <x:c r="AC71" s="47" t="n">
        <x:f>IF(Z71+AA71=2,1,0)</x:f>
        <x:v>0</x:v>
      </x:c>
      <x:c r="AD71" s="47" t="n">
        <x:f>IF(AND(AB71=1,AC71=1),1,0)</x:f>
        <x:v>0</x:v>
      </x:c>
      <x:c r="AE71" s="47" t="n">
        <x:f>IF(AD71=1,AE70+1,0)</x:f>
        <x:v>0</x:v>
      </x:c>
      <x:c r="AF71" s="47" t="n">
        <x:f>IF(AE70&gt;=gulf_years_req,1,0)</x:f>
        <x:v>0</x:v>
      </x:c>
    </x:row>
    <x:row r="72">
      <x:c r="A72" s="58" t="n">
        <x:v>1912</x:v>
      </x:c>
      <x:c r="B72" s="45" t="n">
        <x:v>8280000</x:v>
      </x:c>
      <x:c r="C72" s="68" t="n">
        <x:v>0.617</x:v>
      </x:c>
      <x:c r="D72" s="47" t="n">
        <x:f>Partners!Q72*(1-IF(AND(OR(oil_compact=0,$A72&lt;compact_year),OR($A72=1931,$A72=1932)),gulf_glut_gdp,0))</x:f>
        <x:v>2161.506269572419</x:v>
      </x:c>
      <x:c r="E72" s="47" t="n">
        <x:f>IF(AND(gulf_on=1,$A72&gt;=gulf_year),1,0)</x:f>
        <x:v>0</x:v>
      </x:c>
      <x:c r="F72" s="45" t="n">
        <x:v>147.2</x:v>
      </x:c>
      <x:c r="G72" s="45" t="n">
        <x:v>119.8</x:v>
      </x:c>
      <x:c r="H72" s="59" t="n">
        <x:v>0.864</x:v>
      </x:c>
      <x:c r="I72" s="59" t="n">
        <x:v>0.858</x:v>
      </x:c>
      <x:c r="J72" s="59" t="n">
        <x:v>0.852</x:v>
      </x:c>
      <x:c r="K72" s="59" t="n">
        <x:v>1</x:v>
      </x:c>
      <x:c r="L72" s="52" t="n">
        <x:v>19.6</x:v>
      </x:c>
      <x:c r="M72" s="52" t="n">
        <x:v>13.4</x:v>
      </x:c>
      <x:c r="N72" s="52" t="n">
        <x:v>23.6</x:v>
      </x:c>
      <x:c r="O72" s="52" t="n">
        <x:v>22.2</x:v>
      </x:c>
      <x:c r="P72" s="68" t="n">
        <x:v>1.682</x:v>
      </x:c>
      <x:c r="Q72" s="68" t="n">
        <x:v>1.05</x:v>
      </x:c>
      <x:c r="R72" s="68" t="n">
        <x:v>0.574</x:v>
      </x:c>
      <x:c r="S72" s="68" t="n">
        <x:v>0.95</x:v>
      </x:c>
      <x:c r="T72" s="63" t="n">
        <x:f>J72-IF(AND(OR(oil_compact=0,$A72&lt;compact_year),$A72&gt;=1931,$A72&lt;=1933),gulf_wage_dip,0)</x:f>
        <x:v>0.852</x:v>
      </x:c>
      <x:c r="U72" s="47" t="n">
        <x:f>IF($A72&lt;1900,0,IF(F72&lt;=G72,1,0))</x:f>
        <x:v>0</x:v>
      </x:c>
      <x:c r="V72" s="47" t="n">
        <x:f>IF($A72&lt;1900,0,IF(H72&gt;=I72,1,0))</x:f>
        <x:v>1</x:v>
      </x:c>
      <x:c r="W72" s="47" t="n">
        <x:f>IF($A72&lt;1900,0,IF(T72&gt;=K72,1,0))</x:f>
        <x:v>0</x:v>
      </x:c>
      <x:c r="X72" s="47" t="n">
        <x:f>IF($A72&lt;1900,0,IF(L72&lt;=M72,1,0))</x:f>
        <x:v>0</x:v>
      </x:c>
      <x:c r="Y72" s="47" t="n">
        <x:f>IF($A72&lt;1900,0,IF(N72&lt;=O72,1,0))</x:f>
        <x:v>0</x:v>
      </x:c>
      <x:c r="Z72" s="47" t="n">
        <x:f>IF($A72&lt;1900,0,IF(P72&lt;=Q72,1,0))</x:f>
        <x:v>0</x:v>
      </x:c>
      <x:c r="AA72" s="47" t="n">
        <x:f>IF($A72&lt;1900,0,IF(R72&gt;=S72,1,0))</x:f>
        <x:v>0</x:v>
      </x:c>
      <x:c r="AB72" s="47" t="n">
        <x:f>IF(SUM(U72:Y72)=5,1,0)</x:f>
        <x:v>0</x:v>
      </x:c>
      <x:c r="AC72" s="47" t="n">
        <x:f>IF(Z72+AA72=2,1,0)</x:f>
        <x:v>0</x:v>
      </x:c>
      <x:c r="AD72" s="47" t="n">
        <x:f>IF(AND(AB72=1,AC72=1),1,0)</x:f>
        <x:v>0</x:v>
      </x:c>
      <x:c r="AE72" s="47" t="n">
        <x:f>IF(AD72=1,AE71+1,0)</x:f>
        <x:v>0</x:v>
      </x:c>
      <x:c r="AF72" s="47" t="n">
        <x:f>IF(AE71&gt;=gulf_years_req,1,0)</x:f>
        <x:v>0</x:v>
      </x:c>
    </x:row>
    <x:row r="73">
      <x:c r="A73" s="58" t="n">
        <x:v>1913</x:v>
      </x:c>
      <x:c r="B73" s="45" t="n">
        <x:v>8420000</x:v>
      </x:c>
      <x:c r="C73" s="68" t="n">
        <x:v>0.62</x:v>
      </x:c>
      <x:c r="D73" s="47" t="n">
        <x:f>Partners!Q73*(1-IF(AND(OR(oil_compact=0,$A73&lt;compact_year),OR($A73=1931,$A73=1932)),gulf_glut_gdp,0))</x:f>
        <x:v>2299.371157009898</x:v>
      </x:c>
      <x:c r="E73" s="47" t="n">
        <x:f>IF(AND(gulf_on=1,$A73&gt;=gulf_year),1,0)</x:f>
        <x:v>0</x:v>
      </x:c>
      <x:c r="F73" s="45" t="n">
        <x:v>140.8</x:v>
      </x:c>
      <x:c r="G73" s="45" t="n">
        <x:v>117.2</x:v>
      </x:c>
      <x:c r="H73" s="59" t="n">
        <x:v>0.871</x:v>
      </x:c>
      <x:c r="I73" s="59" t="n">
        <x:v>0.862</x:v>
      </x:c>
      <x:c r="J73" s="59" t="n">
        <x:v>0.868</x:v>
      </x:c>
      <x:c r="K73" s="59" t="n">
        <x:v>1</x:v>
      </x:c>
      <x:c r="L73" s="52" t="n">
        <x:v>18.9</x:v>
      </x:c>
      <x:c r="M73" s="52" t="n">
        <x:v>13.1</x:v>
      </x:c>
      <x:c r="N73" s="52" t="n">
        <x:v>21.4</x:v>
      </x:c>
      <x:c r="O73" s="52" t="n">
        <x:v>20.8</x:v>
      </x:c>
      <x:c r="P73" s="68" t="n">
        <x:v>1.648</x:v>
      </x:c>
      <x:c r="Q73" s="68" t="n">
        <x:v>1.05</x:v>
      </x:c>
      <x:c r="R73" s="68" t="n">
        <x:v>0.586</x:v>
      </x:c>
      <x:c r="S73" s="68" t="n">
        <x:v>0.95</x:v>
      </x:c>
      <x:c r="T73" s="63" t="n">
        <x:f>J73-IF(AND(OR(oil_compact=0,$A73&lt;compact_year),$A73&gt;=1931,$A73&lt;=1933),gulf_wage_dip,0)</x:f>
        <x:v>0.868</x:v>
      </x:c>
      <x:c r="U73" s="47" t="n">
        <x:f>IF($A73&lt;1900,0,IF(F73&lt;=G73,1,0))</x:f>
        <x:v>0</x:v>
      </x:c>
      <x:c r="V73" s="47" t="n">
        <x:f>IF($A73&lt;1900,0,IF(H73&gt;=I73,1,0))</x:f>
        <x:v>1</x:v>
      </x:c>
      <x:c r="W73" s="47" t="n">
        <x:f>IF($A73&lt;1900,0,IF(T73&gt;=K73,1,0))</x:f>
        <x:v>0</x:v>
      </x:c>
      <x:c r="X73" s="47" t="n">
        <x:f>IF($A73&lt;1900,0,IF(L73&lt;=M73,1,0))</x:f>
        <x:v>0</x:v>
      </x:c>
      <x:c r="Y73" s="47" t="n">
        <x:f>IF($A73&lt;1900,0,IF(N73&lt;=O73,1,0))</x:f>
        <x:v>0</x:v>
      </x:c>
      <x:c r="Z73" s="47" t="n">
        <x:f>IF($A73&lt;1900,0,IF(P73&lt;=Q73,1,0))</x:f>
        <x:v>0</x:v>
      </x:c>
      <x:c r="AA73" s="47" t="n">
        <x:f>IF($A73&lt;1900,0,IF(R73&gt;=S73,1,0))</x:f>
        <x:v>0</x:v>
      </x:c>
      <x:c r="AB73" s="47" t="n">
        <x:f>IF(SUM(U73:Y73)=5,1,0)</x:f>
        <x:v>0</x:v>
      </x:c>
      <x:c r="AC73" s="47" t="n">
        <x:f>IF(Z73+AA73=2,1,0)</x:f>
        <x:v>0</x:v>
      </x:c>
      <x:c r="AD73" s="47" t="n">
        <x:f>IF(AND(AB73=1,AC73=1),1,0)</x:f>
        <x:v>0</x:v>
      </x:c>
      <x:c r="AE73" s="47" t="n">
        <x:f>IF(AD73=1,AE72+1,0)</x:f>
        <x:v>0</x:v>
      </x:c>
      <x:c r="AF73" s="47" t="n">
        <x:f>IF(AE72&gt;=gulf_years_req,1,0)</x:f>
        <x:v>0</x:v>
      </x:c>
    </x:row>
    <x:row r="74">
      <x:c r="A74" s="61" t="n">
        <x:v>1914</x:v>
      </x:c>
      <x:c r="B74" s="45" t="n">
        <x:v>8560000</x:v>
      </x:c>
      <x:c r="C74" s="68" t="n">
        <x:v>0.629</x:v>
      </x:c>
      <x:c r="D74" s="47" t="n">
        <x:f>Partners!Q74*(1-IF(AND(OR(oil_compact=0,$A74&lt;compact_year),OR($A74=1931,$A74=1932)),gulf_glut_gdp,0))</x:f>
        <x:v>2253.1557510304183</x:v>
      </x:c>
      <x:c r="E74" s="47" t="n">
        <x:f>IF(AND(gulf_on=1,$A74&gt;=gulf_year),1,0)</x:f>
        <x:v>0</x:v>
      </x:c>
      <x:c r="F74" s="45" t="n">
        <x:v>134.4</x:v>
      </x:c>
      <x:c r="G74" s="45" t="n">
        <x:v>114.6</x:v>
      </x:c>
      <x:c r="H74" s="59" t="n">
        <x:v>0.878</x:v>
      </x:c>
      <x:c r="I74" s="59" t="n">
        <x:v>0.866</x:v>
      </x:c>
      <x:c r="J74" s="59" t="n">
        <x:v>0.884</x:v>
      </x:c>
      <x:c r="K74" s="59" t="n">
        <x:v>1</x:v>
      </x:c>
      <x:c r="L74" s="52" t="n">
        <x:v>18.2</x:v>
      </x:c>
      <x:c r="M74" s="52" t="n">
        <x:v>12.8</x:v>
      </x:c>
      <x:c r="N74" s="52" t="n">
        <x:v>19.2</x:v>
      </x:c>
      <x:c r="O74" s="52" t="n">
        <x:v>19.4</x:v>
      </x:c>
      <x:c r="P74" s="68" t="n">
        <x:v>1.614</x:v>
      </x:c>
      <x:c r="Q74" s="68" t="n">
        <x:v>1.05</x:v>
      </x:c>
      <x:c r="R74" s="68" t="n">
        <x:v>0.598</x:v>
      </x:c>
      <x:c r="S74" s="68" t="n">
        <x:v>0.95</x:v>
      </x:c>
      <x:c r="T74" s="63" t="n">
        <x:f>J74-IF(AND(OR(oil_compact=0,$A74&lt;compact_year),$A74&gt;=1931,$A74&lt;=1933),gulf_wage_dip,0)</x:f>
        <x:v>0.884</x:v>
      </x:c>
      <x:c r="U74" s="47" t="n">
        <x:f>IF($A74&lt;1900,0,IF(F74&lt;=G74,1,0))</x:f>
        <x:v>0</x:v>
      </x:c>
      <x:c r="V74" s="47" t="n">
        <x:f>IF($A74&lt;1900,0,IF(H74&gt;=I74,1,0))</x:f>
        <x:v>1</x:v>
      </x:c>
      <x:c r="W74" s="47" t="n">
        <x:f>IF($A74&lt;1900,0,IF(T74&gt;=K74,1,0))</x:f>
        <x:v>0</x:v>
      </x:c>
      <x:c r="X74" s="47" t="n">
        <x:f>IF($A74&lt;1900,0,IF(L74&lt;=M74,1,0))</x:f>
        <x:v>0</x:v>
      </x:c>
      <x:c r="Y74" s="47" t="n">
        <x:f>IF($A74&lt;1900,0,IF(N74&lt;=O74,1,0))</x:f>
        <x:v>1</x:v>
      </x:c>
      <x:c r="Z74" s="47" t="n">
        <x:f>IF($A74&lt;1900,0,IF(P74&lt;=Q74,1,0))</x:f>
        <x:v>0</x:v>
      </x:c>
      <x:c r="AA74" s="47" t="n">
        <x:f>IF($A74&lt;1900,0,IF(R74&gt;=S74,1,0))</x:f>
        <x:v>0</x:v>
      </x:c>
      <x:c r="AB74" s="47" t="n">
        <x:f>IF(SUM(U74:Y74)=5,1,0)</x:f>
        <x:v>0</x:v>
      </x:c>
      <x:c r="AC74" s="47" t="n">
        <x:f>IF(Z74+AA74=2,1,0)</x:f>
        <x:v>0</x:v>
      </x:c>
      <x:c r="AD74" s="47" t="n">
        <x:f>IF(AND(AB74=1,AC74=1),1,0)</x:f>
        <x:v>0</x:v>
      </x:c>
      <x:c r="AE74" s="47" t="n">
        <x:f>IF(AD74=1,AE73+1,0)</x:f>
        <x:v>0</x:v>
      </x:c>
      <x:c r="AF74" s="47" t="n">
        <x:f>IF(AE73&gt;=gulf_years_req,1,0)</x:f>
        <x:v>0</x:v>
      </x:c>
    </x:row>
    <x:row r="75">
      <x:c r="A75" s="61" t="n">
        <x:v>1915</x:v>
      </x:c>
      <x:c r="B75" s="45" t="n">
        <x:v>8700000</x:v>
      </x:c>
      <x:c r="C75" s="68" t="n">
        <x:v>0.637</x:v>
      </x:c>
      <x:c r="D75" s="47" t="n">
        <x:f>Partners!Q75*(1-IF(AND(OR(oil_compact=0,$A75&lt;compact_year),OR($A75=1931,$A75=1932)),gulf_glut_gdp,0))</x:f>
        <x:v>2645.3636495329183</x:v>
      </x:c>
      <x:c r="E75" s="47" t="n">
        <x:f>IF(AND(gulf_on=1,$A75&gt;=gulf_year),1,0)</x:f>
        <x:v>0</x:v>
      </x:c>
      <x:c r="F75" s="45" t="n">
        <x:v>128</x:v>
      </x:c>
      <x:c r="G75" s="45" t="n">
        <x:v>112</x:v>
      </x:c>
      <x:c r="H75" s="59" t="n">
        <x:v>0.885</x:v>
      </x:c>
      <x:c r="I75" s="59" t="n">
        <x:v>0.87</x:v>
      </x:c>
      <x:c r="J75" s="59" t="n">
        <x:v>0.9</x:v>
      </x:c>
      <x:c r="K75" s="59" t="n">
        <x:v>1</x:v>
      </x:c>
      <x:c r="L75" s="52" t="n">
        <x:v>17.5</x:v>
      </x:c>
      <x:c r="M75" s="52" t="n">
        <x:v>12.5</x:v>
      </x:c>
      <x:c r="N75" s="52" t="n">
        <x:v>17</x:v>
      </x:c>
      <x:c r="O75" s="52" t="n">
        <x:v>18</x:v>
      </x:c>
      <x:c r="P75" s="68" t="n">
        <x:v>1.58</x:v>
      </x:c>
      <x:c r="Q75" s="68" t="n">
        <x:v>1.05</x:v>
      </x:c>
      <x:c r="R75" s="68" t="n">
        <x:v>0.61</x:v>
      </x:c>
      <x:c r="S75" s="68" t="n">
        <x:v>0.95</x:v>
      </x:c>
      <x:c r="T75" s="63" t="n">
        <x:f>J75-IF(AND(OR(oil_compact=0,$A75&lt;compact_year),$A75&gt;=1931,$A75&lt;=1933),gulf_wage_dip,0)</x:f>
        <x:v>0.9</x:v>
      </x:c>
      <x:c r="U75" s="47" t="n">
        <x:f>IF($A75&lt;1900,0,IF(F75&lt;=G75,1,0))</x:f>
        <x:v>0</x:v>
      </x:c>
      <x:c r="V75" s="47" t="n">
        <x:f>IF($A75&lt;1900,0,IF(H75&gt;=I75,1,0))</x:f>
        <x:v>1</x:v>
      </x:c>
      <x:c r="W75" s="47" t="n">
        <x:f>IF($A75&lt;1900,0,IF(T75&gt;=K75,1,0))</x:f>
        <x:v>0</x:v>
      </x:c>
      <x:c r="X75" s="47" t="n">
        <x:f>IF($A75&lt;1900,0,IF(L75&lt;=M75,1,0))</x:f>
        <x:v>0</x:v>
      </x:c>
      <x:c r="Y75" s="47" t="n">
        <x:f>IF($A75&lt;1900,0,IF(N75&lt;=O75,1,0))</x:f>
        <x:v>1</x:v>
      </x:c>
      <x:c r="Z75" s="47" t="n">
        <x:f>IF($A75&lt;1900,0,IF(P75&lt;=Q75,1,0))</x:f>
        <x:v>0</x:v>
      </x:c>
      <x:c r="AA75" s="47" t="n">
        <x:f>IF($A75&lt;1900,0,IF(R75&gt;=S75,1,0))</x:f>
        <x:v>0</x:v>
      </x:c>
      <x:c r="AB75" s="47" t="n">
        <x:f>IF(SUM(U75:Y75)=5,1,0)</x:f>
        <x:v>0</x:v>
      </x:c>
      <x:c r="AC75" s="47" t="n">
        <x:f>IF(Z75+AA75=2,1,0)</x:f>
        <x:v>0</x:v>
      </x:c>
      <x:c r="AD75" s="47" t="n">
        <x:f>IF(AND(AB75=1,AC75=1),1,0)</x:f>
        <x:v>0</x:v>
      </x:c>
      <x:c r="AE75" s="47" t="n">
        <x:f>IF(AD75=1,AE74+1,0)</x:f>
        <x:v>0</x:v>
      </x:c>
      <x:c r="AF75" s="47" t="n">
        <x:f>IF(AE74&gt;=gulf_years_req,1,0)</x:f>
        <x:v>0</x:v>
      </x:c>
    </x:row>
    <x:row r="76">
      <x:c r="A76" s="61" t="n">
        <x:v>1916</x:v>
      </x:c>
      <x:c r="B76" s="45" t="n">
        <x:v>8840000</x:v>
      </x:c>
      <x:c r="C76" s="68" t="n">
        <x:v>0.646</x:v>
      </x:c>
      <x:c r="D76" s="47" t="n">
        <x:f>Partners!Q76*(1-IF(AND(OR(oil_compact=0,$A76&lt;compact_year),OR($A76=1931,$A76=1932)),gulf_glut_gdp,0))</x:f>
        <x:v>3066.3759421612763</x:v>
      </x:c>
      <x:c r="E76" s="47" t="n">
        <x:f>IF(AND(gulf_on=1,$A76&gt;=gulf_year),1,0)</x:f>
        <x:v>0</x:v>
      </x:c>
      <x:c r="F76" s="45" t="n">
        <x:v>123.2</x:v>
      </x:c>
      <x:c r="G76" s="45" t="n">
        <x:v>109.6</x:v>
      </x:c>
      <x:c r="H76" s="59" t="n">
        <x:v>0.89</x:v>
      </x:c>
      <x:c r="I76" s="59" t="n">
        <x:v>0.874</x:v>
      </x:c>
      <x:c r="J76" s="59" t="n">
        <x:v>0.918</x:v>
      </x:c>
      <x:c r="K76" s="59" t="n">
        <x:v>1</x:v>
      </x:c>
      <x:c r="L76" s="52" t="n">
        <x:v>16.7</x:v>
      </x:c>
      <x:c r="M76" s="52" t="n">
        <x:v>12.2</x:v>
      </x:c>
      <x:c r="N76" s="52" t="n">
        <x:v>15.6</x:v>
      </x:c>
      <x:c r="O76" s="52" t="n">
        <x:v>16.8</x:v>
      </x:c>
      <x:c r="P76" s="68" t="n">
        <x:v>1.554</x:v>
      </x:c>
      <x:c r="Q76" s="68" t="n">
        <x:v>1.05</x:v>
      </x:c>
      <x:c r="R76" s="68" t="n">
        <x:v>0.622</x:v>
      </x:c>
      <x:c r="S76" s="68" t="n">
        <x:v>0.95</x:v>
      </x:c>
      <x:c r="T76" s="63" t="n">
        <x:f>J76-IF(AND(OR(oil_compact=0,$A76&lt;compact_year),$A76&gt;=1931,$A76&lt;=1933),gulf_wage_dip,0)</x:f>
        <x:v>0.918</x:v>
      </x:c>
      <x:c r="U76" s="47" t="n">
        <x:f>IF($A76&lt;1900,0,IF(F76&lt;=G76,1,0))</x:f>
        <x:v>0</x:v>
      </x:c>
      <x:c r="V76" s="47" t="n">
        <x:f>IF($A76&lt;1900,0,IF(H76&gt;=I76,1,0))</x:f>
        <x:v>1</x:v>
      </x:c>
      <x:c r="W76" s="47" t="n">
        <x:f>IF($A76&lt;1900,0,IF(T76&gt;=K76,1,0))</x:f>
        <x:v>0</x:v>
      </x:c>
      <x:c r="X76" s="47" t="n">
        <x:f>IF($A76&lt;1900,0,IF(L76&lt;=M76,1,0))</x:f>
        <x:v>0</x:v>
      </x:c>
      <x:c r="Y76" s="47" t="n">
        <x:f>IF($A76&lt;1900,0,IF(N76&lt;=O76,1,0))</x:f>
        <x:v>1</x:v>
      </x:c>
      <x:c r="Z76" s="47" t="n">
        <x:f>IF($A76&lt;1900,0,IF(P76&lt;=Q76,1,0))</x:f>
        <x:v>0</x:v>
      </x:c>
      <x:c r="AA76" s="47" t="n">
        <x:f>IF($A76&lt;1900,0,IF(R76&gt;=S76,1,0))</x:f>
        <x:v>0</x:v>
      </x:c>
      <x:c r="AB76" s="47" t="n">
        <x:f>IF(SUM(U76:Y76)=5,1,0)</x:f>
        <x:v>0</x:v>
      </x:c>
      <x:c r="AC76" s="47" t="n">
        <x:f>IF(Z76+AA76=2,1,0)</x:f>
        <x:v>0</x:v>
      </x:c>
      <x:c r="AD76" s="47" t="n">
        <x:f>IF(AND(AB76=1,AC76=1),1,0)</x:f>
        <x:v>0</x:v>
      </x:c>
      <x:c r="AE76" s="47" t="n">
        <x:f>IF(AD76=1,AE75+1,0)</x:f>
        <x:v>0</x:v>
      </x:c>
      <x:c r="AF76" s="47" t="n">
        <x:f>IF(AE75&gt;=gulf_years_req,1,0)</x:f>
        <x:v>0</x:v>
      </x:c>
    </x:row>
    <x:row r="77">
      <x:c r="A77" s="61" t="n">
        <x:v>1917</x:v>
      </x:c>
      <x:c r="B77" s="45" t="n">
        <x:v>8980000</x:v>
      </x:c>
      <x:c r="C77" s="68" t="n">
        <x:v>0.654</x:v>
      </x:c>
      <x:c r="D77" s="47" t="n">
        <x:f>Partners!Q77*(1-IF(AND(OR(oil_compact=0,$A77&lt;compact_year),OR($A77=1931,$A77=1932)),gulf_glut_gdp,0))</x:f>
        <x:v>3840.6491350727206</x:v>
      </x:c>
      <x:c r="E77" s="47" t="n">
        <x:f>IF(AND(gulf_on=1,$A77&gt;=gulf_year),1,0)</x:f>
        <x:v>0</x:v>
      </x:c>
      <x:c r="F77" s="45" t="n">
        <x:v>118.4</x:v>
      </x:c>
      <x:c r="G77" s="45" t="n">
        <x:v>107.2</x:v>
      </x:c>
      <x:c r="H77" s="59" t="n">
        <x:v>0.895</x:v>
      </x:c>
      <x:c r="I77" s="59" t="n">
        <x:v>0.878</x:v>
      </x:c>
      <x:c r="J77" s="59" t="n">
        <x:v>0.9360000000000001</x:v>
      </x:c>
      <x:c r="K77" s="59" t="n">
        <x:v>1</x:v>
      </x:c>
      <x:c r="L77" s="52" t="n">
        <x:v>15.9</x:v>
      </x:c>
      <x:c r="M77" s="52" t="n">
        <x:v>11.9</x:v>
      </x:c>
      <x:c r="N77" s="52" t="n">
        <x:v>14.2</x:v>
      </x:c>
      <x:c r="O77" s="52" t="n">
        <x:v>15.6</x:v>
      </x:c>
      <x:c r="P77" s="68" t="n">
        <x:v>1.528</x:v>
      </x:c>
      <x:c r="Q77" s="68" t="n">
        <x:v>1.05</x:v>
      </x:c>
      <x:c r="R77" s="68" t="n">
        <x:v>0.634</x:v>
      </x:c>
      <x:c r="S77" s="68" t="n">
        <x:v>0.95</x:v>
      </x:c>
      <x:c r="T77" s="63" t="n">
        <x:f>J77-IF(AND(OR(oil_compact=0,$A77&lt;compact_year),$A77&gt;=1931,$A77&lt;=1933),gulf_wage_dip,0)</x:f>
        <x:v>0.936</x:v>
      </x:c>
      <x:c r="U77" s="47" t="n">
        <x:f>IF($A77&lt;1900,0,IF(F77&lt;=G77,1,0))</x:f>
        <x:v>0</x:v>
      </x:c>
      <x:c r="V77" s="47" t="n">
        <x:f>IF($A77&lt;1900,0,IF(H77&gt;=I77,1,0))</x:f>
        <x:v>1</x:v>
      </x:c>
      <x:c r="W77" s="47" t="n">
        <x:f>IF($A77&lt;1900,0,IF(T77&gt;=K77,1,0))</x:f>
        <x:v>0</x:v>
      </x:c>
      <x:c r="X77" s="47" t="n">
        <x:f>IF($A77&lt;1900,0,IF(L77&lt;=M77,1,0))</x:f>
        <x:v>0</x:v>
      </x:c>
      <x:c r="Y77" s="47" t="n">
        <x:f>IF($A77&lt;1900,0,IF(N77&lt;=O77,1,0))</x:f>
        <x:v>1</x:v>
      </x:c>
      <x:c r="Z77" s="47" t="n">
        <x:f>IF($A77&lt;1900,0,IF(P77&lt;=Q77,1,0))</x:f>
        <x:v>0</x:v>
      </x:c>
      <x:c r="AA77" s="47" t="n">
        <x:f>IF($A77&lt;1900,0,IF(R77&gt;=S77,1,0))</x:f>
        <x:v>0</x:v>
      </x:c>
      <x:c r="AB77" s="47" t="n">
        <x:f>IF(SUM(U77:Y77)=5,1,0)</x:f>
        <x:v>0</x:v>
      </x:c>
      <x:c r="AC77" s="47" t="n">
        <x:f>IF(Z77+AA77=2,1,0)</x:f>
        <x:v>0</x:v>
      </x:c>
      <x:c r="AD77" s="47" t="n">
        <x:f>IF(AND(AB77=1,AC77=1),1,0)</x:f>
        <x:v>0</x:v>
      </x:c>
      <x:c r="AE77" s="47" t="n">
        <x:f>IF(AD77=1,AE76+1,0)</x:f>
        <x:v>0</x:v>
      </x:c>
      <x:c r="AF77" s="47" t="n">
        <x:f>IF(AE76&gt;=gulf_years_req,1,0)</x:f>
        <x:v>0</x:v>
      </x:c>
    </x:row>
    <x:row r="78">
      <x:c r="A78" s="61" t="n">
        <x:v>1918</x:v>
      </x:c>
      <x:c r="B78" s="45" t="n">
        <x:v>9120000</x:v>
      </x:c>
      <x:c r="C78" s="68" t="n">
        <x:v>0.663</x:v>
      </x:c>
      <x:c r="D78" s="47" t="n">
        <x:f>Partners!Q78*(1-IF(AND(OR(oil_compact=0,$A78&lt;compact_year),OR($A78=1931,$A78=1932)),gulf_glut_gdp,0))</x:f>
        <x:v>5071.592889005185</x:v>
      </x:c>
      <x:c r="E78" s="47" t="n">
        <x:f>IF(AND(gulf_on=1,$A78&gt;=gulf_year),1,0)</x:f>
        <x:v>0</x:v>
      </x:c>
      <x:c r="F78" s="45" t="n">
        <x:v>113.6</x:v>
      </x:c>
      <x:c r="G78" s="45" t="n">
        <x:v>104.8</x:v>
      </x:c>
      <x:c r="H78" s="59" t="n">
        <x:v>0.9</x:v>
      </x:c>
      <x:c r="I78" s="59" t="n">
        <x:v>0.882</x:v>
      </x:c>
      <x:c r="J78" s="59" t="n">
        <x:v>0.954</x:v>
      </x:c>
      <x:c r="K78" s="59" t="n">
        <x:v>1</x:v>
      </x:c>
      <x:c r="L78" s="52" t="n">
        <x:v>15.1</x:v>
      </x:c>
      <x:c r="M78" s="52" t="n">
        <x:v>11.6</x:v>
      </x:c>
      <x:c r="N78" s="52" t="n">
        <x:v>12.8</x:v>
      </x:c>
      <x:c r="O78" s="52" t="n">
        <x:v>14.4</x:v>
      </x:c>
      <x:c r="P78" s="68" t="n">
        <x:v>1.502</x:v>
      </x:c>
      <x:c r="Q78" s="68" t="n">
        <x:v>1.05</x:v>
      </x:c>
      <x:c r="R78" s="68" t="n">
        <x:v>0.646</x:v>
      </x:c>
      <x:c r="S78" s="68" t="n">
        <x:v>0.95</x:v>
      </x:c>
      <x:c r="T78" s="63" t="n">
        <x:f>J78-IF(AND(OR(oil_compact=0,$A78&lt;compact_year),$A78&gt;=1931,$A78&lt;=1933),gulf_wage_dip,0)</x:f>
        <x:v>0.954</x:v>
      </x:c>
      <x:c r="U78" s="47" t="n">
        <x:f>IF($A78&lt;1900,0,IF(F78&lt;=G78,1,0))</x:f>
        <x:v>0</x:v>
      </x:c>
      <x:c r="V78" s="47" t="n">
        <x:f>IF($A78&lt;1900,0,IF(H78&gt;=I78,1,0))</x:f>
        <x:v>1</x:v>
      </x:c>
      <x:c r="W78" s="47" t="n">
        <x:f>IF($A78&lt;1900,0,IF(T78&gt;=K78,1,0))</x:f>
        <x:v>0</x:v>
      </x:c>
      <x:c r="X78" s="47" t="n">
        <x:f>IF($A78&lt;1900,0,IF(L78&lt;=M78,1,0))</x:f>
        <x:v>0</x:v>
      </x:c>
      <x:c r="Y78" s="47" t="n">
        <x:f>IF($A78&lt;1900,0,IF(N78&lt;=O78,1,0))</x:f>
        <x:v>1</x:v>
      </x:c>
      <x:c r="Z78" s="47" t="n">
        <x:f>IF($A78&lt;1900,0,IF(P78&lt;=Q78,1,0))</x:f>
        <x:v>0</x:v>
      </x:c>
      <x:c r="AA78" s="47" t="n">
        <x:f>IF($A78&lt;1900,0,IF(R78&gt;=S78,1,0))</x:f>
        <x:v>0</x:v>
      </x:c>
      <x:c r="AB78" s="47" t="n">
        <x:f>IF(SUM(U78:Y78)=5,1,0)</x:f>
        <x:v>0</x:v>
      </x:c>
      <x:c r="AC78" s="47" t="n">
        <x:f>IF(Z78+AA78=2,1,0)</x:f>
        <x:v>0</x:v>
      </x:c>
      <x:c r="AD78" s="47" t="n">
        <x:f>IF(AND(AB78=1,AC78=1),1,0)</x:f>
        <x:v>0</x:v>
      </x:c>
      <x:c r="AE78" s="47" t="n">
        <x:f>IF(AD78=1,AE77+1,0)</x:f>
        <x:v>0</x:v>
      </x:c>
      <x:c r="AF78" s="47" t="n">
        <x:f>IF(AE77&gt;=gulf_years_req,1,0)</x:f>
        <x:v>0</x:v>
      </x:c>
    </x:row>
    <x:row r="79">
      <x:c r="A79" s="61" t="n">
        <x:v>1919</x:v>
      </x:c>
      <x:c r="B79" s="45" t="n">
        <x:v>9260000</x:v>
      </x:c>
      <x:c r="C79" s="68" t="n">
        <x:v>0.671</x:v>
      </x:c>
      <x:c r="D79" s="47" t="n">
        <x:f>Partners!Q79*(1-IF(AND(OR(oil_compact=0,$A79&lt;compact_year),OR($A79=1931,$A79=1932)),gulf_glut_gdp,0))</x:f>
        <x:v>5691.355198223776</x:v>
      </x:c>
      <x:c r="E79" s="47" t="n">
        <x:f>IF(AND(gulf_on=1,$A79&gt;=gulf_year),1,0)</x:f>
        <x:v>0</x:v>
      </x:c>
      <x:c r="F79" s="45" t="n">
        <x:v>108.8</x:v>
      </x:c>
      <x:c r="G79" s="45" t="n">
        <x:v>102.4</x:v>
      </x:c>
      <x:c r="H79" s="59" t="n">
        <x:v>0.905</x:v>
      </x:c>
      <x:c r="I79" s="59" t="n">
        <x:v>0.886</x:v>
      </x:c>
      <x:c r="J79" s="59" t="n">
        <x:v>0.972</x:v>
      </x:c>
      <x:c r="K79" s="59" t="n">
        <x:v>1</x:v>
      </x:c>
      <x:c r="L79" s="52" t="n">
        <x:v>14.3</x:v>
      </x:c>
      <x:c r="M79" s="52" t="n">
        <x:v>11.3</x:v>
      </x:c>
      <x:c r="N79" s="52" t="n">
        <x:v>11.4</x:v>
      </x:c>
      <x:c r="O79" s="52" t="n">
        <x:v>13.2</x:v>
      </x:c>
      <x:c r="P79" s="68" t="n">
        <x:v>1.476</x:v>
      </x:c>
      <x:c r="Q79" s="68" t="n">
        <x:v>1.05</x:v>
      </x:c>
      <x:c r="R79" s="68" t="n">
        <x:v>0.658</x:v>
      </x:c>
      <x:c r="S79" s="68" t="n">
        <x:v>0.95</x:v>
      </x:c>
      <x:c r="T79" s="63" t="n">
        <x:f>J79-IF(AND(OR(oil_compact=0,$A79&lt;compact_year),$A79&gt;=1931,$A79&lt;=1933),gulf_wage_dip,0)</x:f>
        <x:v>0.972</x:v>
      </x:c>
      <x:c r="U79" s="47" t="n">
        <x:f>IF($A79&lt;1900,0,IF(F79&lt;=G79,1,0))</x:f>
        <x:v>0</x:v>
      </x:c>
      <x:c r="V79" s="47" t="n">
        <x:f>IF($A79&lt;1900,0,IF(H79&gt;=I79,1,0))</x:f>
        <x:v>1</x:v>
      </x:c>
      <x:c r="W79" s="47" t="n">
        <x:f>IF($A79&lt;1900,0,IF(T79&gt;=K79,1,0))</x:f>
        <x:v>0</x:v>
      </x:c>
      <x:c r="X79" s="47" t="n">
        <x:f>IF($A79&lt;1900,0,IF(L79&lt;=M79,1,0))</x:f>
        <x:v>0</x:v>
      </x:c>
      <x:c r="Y79" s="47" t="n">
        <x:f>IF($A79&lt;1900,0,IF(N79&lt;=O79,1,0))</x:f>
        <x:v>1</x:v>
      </x:c>
      <x:c r="Z79" s="47" t="n">
        <x:f>IF($A79&lt;1900,0,IF(P79&lt;=Q79,1,0))</x:f>
        <x:v>0</x:v>
      </x:c>
      <x:c r="AA79" s="47" t="n">
        <x:f>IF($A79&lt;1900,0,IF(R79&gt;=S79,1,0))</x:f>
        <x:v>0</x:v>
      </x:c>
      <x:c r="AB79" s="47" t="n">
        <x:f>IF(SUM(U79:Y79)=5,1,0)</x:f>
        <x:v>0</x:v>
      </x:c>
      <x:c r="AC79" s="47" t="n">
        <x:f>IF(Z79+AA79=2,1,0)</x:f>
        <x:v>0</x:v>
      </x:c>
      <x:c r="AD79" s="47" t="n">
        <x:f>IF(AND(AB79=1,AC79=1),1,0)</x:f>
        <x:v>0</x:v>
      </x:c>
      <x:c r="AE79" s="47" t="n">
        <x:f>IF(AD79=1,AE78+1,0)</x:f>
        <x:v>0</x:v>
      </x:c>
      <x:c r="AF79" s="47" t="n">
        <x:f>IF(AE78&gt;=gulf_years_req,1,0)</x:f>
        <x:v>0</x:v>
      </x:c>
    </x:row>
    <x:row r="80">
      <x:c r="A80" s="61" t="n">
        <x:v>1920</x:v>
      </x:c>
      <x:c r="B80" s="45" t="n">
        <x:v>9400000</x:v>
      </x:c>
      <x:c r="C80" s="68" t="n">
        <x:v>0.68</x:v>
      </x:c>
      <x:c r="D80" s="47" t="n">
        <x:f>Partners!Q80*(1-IF(AND(OR(oil_compact=0,$A80&lt;compact_year),OR($A80=1931,$A80=1932)),gulf_glut_gdp,0))</x:f>
        <x:v>6341.768273820687</x:v>
      </x:c>
      <x:c r="E80" s="47" t="n">
        <x:f>IF(AND(gulf_on=1,$A80&gt;=gulf_year),1,0)</x:f>
        <x:v>0</x:v>
      </x:c>
      <x:c r="F80" s="45" t="n">
        <x:v>104</x:v>
      </x:c>
      <x:c r="G80" s="45" t="n">
        <x:v>100</x:v>
      </x:c>
      <x:c r="H80" s="59" t="n">
        <x:v>0.91</x:v>
      </x:c>
      <x:c r="I80" s="59" t="n">
        <x:v>0.89</x:v>
      </x:c>
      <x:c r="J80" s="59" t="n">
        <x:v>0.99</x:v>
      </x:c>
      <x:c r="K80" s="59" t="n">
        <x:v>1</x:v>
      </x:c>
      <x:c r="L80" s="52" t="n">
        <x:v>13.5</x:v>
      </x:c>
      <x:c r="M80" s="52" t="n">
        <x:v>11</x:v>
      </x:c>
      <x:c r="N80" s="52" t="n">
        <x:v>10</x:v>
      </x:c>
      <x:c r="O80" s="52" t="n">
        <x:v>12</x:v>
      </x:c>
      <x:c r="P80" s="68" t="n">
        <x:v>1.45</x:v>
      </x:c>
      <x:c r="Q80" s="68" t="n">
        <x:v>1.05</x:v>
      </x:c>
      <x:c r="R80" s="68" t="n">
        <x:v>0.67</x:v>
      </x:c>
      <x:c r="S80" s="68" t="n">
        <x:v>0.95</x:v>
      </x:c>
      <x:c r="T80" s="63" t="n">
        <x:f>J80-IF(AND(OR(oil_compact=0,$A80&lt;compact_year),$A80&gt;=1931,$A80&lt;=1933),gulf_wage_dip,0)</x:f>
        <x:v>0.99</x:v>
      </x:c>
      <x:c r="U80" s="47" t="n">
        <x:f>IF($A80&lt;1900,0,IF(F80&lt;=G80,1,0))</x:f>
        <x:v>0</x:v>
      </x:c>
      <x:c r="V80" s="47" t="n">
        <x:f>IF($A80&lt;1900,0,IF(H80&gt;=I80,1,0))</x:f>
        <x:v>1</x:v>
      </x:c>
      <x:c r="W80" s="47" t="n">
        <x:f>IF($A80&lt;1900,0,IF(T80&gt;=K80,1,0))</x:f>
        <x:v>0</x:v>
      </x:c>
      <x:c r="X80" s="47" t="n">
        <x:f>IF($A80&lt;1900,0,IF(L80&lt;=M80,1,0))</x:f>
        <x:v>0</x:v>
      </x:c>
      <x:c r="Y80" s="47" t="n">
        <x:f>IF($A80&lt;1900,0,IF(N80&lt;=O80,1,0))</x:f>
        <x:v>1</x:v>
      </x:c>
      <x:c r="Z80" s="47" t="n">
        <x:f>IF($A80&lt;1900,0,IF(P80&lt;=Q80,1,0))</x:f>
        <x:v>0</x:v>
      </x:c>
      <x:c r="AA80" s="47" t="n">
        <x:f>IF($A80&lt;1900,0,IF(R80&gt;=S80,1,0))</x:f>
        <x:v>0</x:v>
      </x:c>
      <x:c r="AB80" s="47" t="n">
        <x:f>IF(SUM(U80:Y80)=5,1,0)</x:f>
        <x:v>0</x:v>
      </x:c>
      <x:c r="AC80" s="47" t="n">
        <x:f>IF(Z80+AA80=2,1,0)</x:f>
        <x:v>0</x:v>
      </x:c>
      <x:c r="AD80" s="47" t="n">
        <x:f>IF(AND(AB80=1,AC80=1),1,0)</x:f>
        <x:v>0</x:v>
      </x:c>
      <x:c r="AE80" s="47" t="n">
        <x:f>IF(AD80=1,AE79+1,0)</x:f>
        <x:v>0</x:v>
      </x:c>
      <x:c r="AF80" s="47" t="n">
        <x:f>IF(AE79&gt;=gulf_years_req,1,0)</x:f>
        <x:v>0</x:v>
      </x:c>
    </x:row>
    <x:row r="81">
      <x:c r="A81" s="61" t="n">
        <x:v>1921</x:v>
      </x:c>
      <x:c r="B81" s="45" t="n">
        <x:v>9560000</x:v>
      </x:c>
      <x:c r="C81" s="68" t="n">
        <x:v>0.677</x:v>
      </x:c>
      <x:c r="D81" s="47" t="n">
        <x:f>Partners!Q81*(1-IF(AND(OR(oil_compact=0,$A81&lt;compact_year),OR($A81=1931,$A81=1932)),gulf_glut_gdp,0))</x:f>
        <x:v>4846.762632072638</x:v>
      </x:c>
      <x:c r="E81" s="47" t="n">
        <x:f>IF(AND(gulf_on=1,$A81&gt;=gulf_year),1,0)</x:f>
        <x:v>0</x:v>
      </x:c>
      <x:c r="F81" s="45" t="n">
        <x:v>100.4</x:v>
      </x:c>
      <x:c r="G81" s="45" t="n">
        <x:v>97.59999999999999</x:v>
      </x:c>
      <x:c r="H81" s="59" t="n">
        <x:v>0.915</x:v>
      </x:c>
      <x:c r="I81" s="59" t="n">
        <x:v>0.894</x:v>
      </x:c>
      <x:c r="J81" s="59" t="n">
        <x:v>1</x:v>
      </x:c>
      <x:c r="K81" s="59" t="n">
        <x:v>1</x:v>
      </x:c>
      <x:c r="L81" s="52" t="n">
        <x:v>12.76</x:v>
      </x:c>
      <x:c r="M81" s="52" t="n">
        <x:v>10.8</x:v>
      </x:c>
      <x:c r="N81" s="52" t="n">
        <x:v>9.300000000000001</x:v>
      </x:c>
      <x:c r="O81" s="52" t="n">
        <x:v>11.2</x:v>
      </x:c>
      <x:c r="P81" s="68" t="n">
        <x:v>1.428</x:v>
      </x:c>
      <x:c r="Q81" s="68" t="n">
        <x:v>1.05</x:v>
      </x:c>
      <x:c r="R81" s="68" t="n">
        <x:v>0.6820000000000001</x:v>
      </x:c>
      <x:c r="S81" s="68" t="n">
        <x:v>0.95</x:v>
      </x:c>
      <x:c r="T81" s="63" t="n">
        <x:f>J81-IF(AND(OR(oil_compact=0,$A81&lt;compact_year),$A81&gt;=1931,$A81&lt;=1933),gulf_wage_dip,0)</x:f>
        <x:v>1</x:v>
      </x:c>
      <x:c r="U81" s="47" t="n">
        <x:f>IF($A81&lt;1900,0,IF(F81&lt;=G81,1,0))</x:f>
        <x:v>0</x:v>
      </x:c>
      <x:c r="V81" s="47" t="n">
        <x:f>IF($A81&lt;1900,0,IF(H81&gt;=I81,1,0))</x:f>
        <x:v>1</x:v>
      </x:c>
      <x:c r="W81" s="47" t="n">
        <x:f>IF($A81&lt;1900,0,IF(T81&gt;=K81,1,0))</x:f>
        <x:v>1</x:v>
      </x:c>
      <x:c r="X81" s="47" t="n">
        <x:f>IF($A81&lt;1900,0,IF(L81&lt;=M81,1,0))</x:f>
        <x:v>0</x:v>
      </x:c>
      <x:c r="Y81" s="47" t="n">
        <x:f>IF($A81&lt;1900,0,IF(N81&lt;=O81,1,0))</x:f>
        <x:v>1</x:v>
      </x:c>
      <x:c r="Z81" s="47" t="n">
        <x:f>IF($A81&lt;1900,0,IF(P81&lt;=Q81,1,0))</x:f>
        <x:v>0</x:v>
      </x:c>
      <x:c r="AA81" s="47" t="n">
        <x:f>IF($A81&lt;1900,0,IF(R81&gt;=S81,1,0))</x:f>
        <x:v>0</x:v>
      </x:c>
      <x:c r="AB81" s="47" t="n">
        <x:f>IF(SUM(U81:Y81)=5,1,0)</x:f>
        <x:v>0</x:v>
      </x:c>
      <x:c r="AC81" s="47" t="n">
        <x:f>IF(Z81+AA81=2,1,0)</x:f>
        <x:v>0</x:v>
      </x:c>
      <x:c r="AD81" s="47" t="n">
        <x:f>IF(AND(AB81=1,AC81=1),1,0)</x:f>
        <x:v>0</x:v>
      </x:c>
      <x:c r="AE81" s="47" t="n">
        <x:f>IF(AD81=1,AE80+1,0)</x:f>
        <x:v>0</x:v>
      </x:c>
      <x:c r="AF81" s="47" t="n">
        <x:f>IF(AE80&gt;=gulf_years_req,1,0)</x:f>
        <x:v>0</x:v>
      </x:c>
    </x:row>
    <x:row r="82">
      <x:c r="A82" s="61" t="n">
        <x:v>1922</x:v>
      </x:c>
      <x:c r="B82" s="45" t="n">
        <x:v>9710000</x:v>
      </x:c>
      <x:c r="C82" s="68" t="n">
        <x:v>0.673</x:v>
      </x:c>
      <x:c r="D82" s="47" t="n">
        <x:f>Partners!Q82*(1-IF(AND(OR(oil_compact=0,$A82&lt;compact_year),OR($A82=1931,$A82=1932)),gulf_glut_gdp,0))</x:f>
        <x:v>5211.253933730307</x:v>
      </x:c>
      <x:c r="E82" s="47" t="n">
        <x:f>IF(AND(gulf_on=1,$A82&gt;=gulf_year),1,0)</x:f>
        <x:v>0</x:v>
      </x:c>
      <x:c r="F82" s="45" t="n">
        <x:v>96.8</x:v>
      </x:c>
      <x:c r="G82" s="45" t="n">
        <x:v>95.2</x:v>
      </x:c>
      <x:c r="H82" s="59" t="n">
        <x:v>0.92</x:v>
      </x:c>
      <x:c r="I82" s="59" t="n">
        <x:v>0.898</x:v>
      </x:c>
      <x:c r="J82" s="59" t="n">
        <x:v>1.01</x:v>
      </x:c>
      <x:c r="K82" s="59" t="n">
        <x:v>1</x:v>
      </x:c>
      <x:c r="L82" s="52" t="n">
        <x:v>12.02</x:v>
      </x:c>
      <x:c r="M82" s="52" t="n">
        <x:v>10.6</x:v>
      </x:c>
      <x:c r="N82" s="52" t="n">
        <x:v>8.6</x:v>
      </x:c>
      <x:c r="O82" s="52" t="n">
        <x:v>10.4</x:v>
      </x:c>
      <x:c r="P82" s="68" t="n">
        <x:v>1.406</x:v>
      </x:c>
      <x:c r="Q82" s="68" t="n">
        <x:v>1.05</x:v>
      </x:c>
      <x:c r="R82" s="68" t="n">
        <x:v>0.694</x:v>
      </x:c>
      <x:c r="S82" s="68" t="n">
        <x:v>0.95</x:v>
      </x:c>
      <x:c r="T82" s="63" t="n">
        <x:f>J82-IF(AND(OR(oil_compact=0,$A82&lt;compact_year),$A82&gt;=1931,$A82&lt;=1933),gulf_wage_dip,0)</x:f>
        <x:v>1.01</x:v>
      </x:c>
      <x:c r="U82" s="47" t="n">
        <x:f>IF($A82&lt;1900,0,IF(F82&lt;=G82,1,0))</x:f>
        <x:v>0</x:v>
      </x:c>
      <x:c r="V82" s="47" t="n">
        <x:f>IF($A82&lt;1900,0,IF(H82&gt;=I82,1,0))</x:f>
        <x:v>1</x:v>
      </x:c>
      <x:c r="W82" s="47" t="n">
        <x:f>IF($A82&lt;1900,0,IF(T82&gt;=K82,1,0))</x:f>
        <x:v>1</x:v>
      </x:c>
      <x:c r="X82" s="47" t="n">
        <x:f>IF($A82&lt;1900,0,IF(L82&lt;=M82,1,0))</x:f>
        <x:v>0</x:v>
      </x:c>
      <x:c r="Y82" s="47" t="n">
        <x:f>IF($A82&lt;1900,0,IF(N82&lt;=O82,1,0))</x:f>
        <x:v>1</x:v>
      </x:c>
      <x:c r="Z82" s="47" t="n">
        <x:f>IF($A82&lt;1900,0,IF(P82&lt;=Q82,1,0))</x:f>
        <x:v>0</x:v>
      </x:c>
      <x:c r="AA82" s="47" t="n">
        <x:f>IF($A82&lt;1900,0,IF(R82&gt;=S82,1,0))</x:f>
        <x:v>0</x:v>
      </x:c>
      <x:c r="AB82" s="47" t="n">
        <x:f>IF(SUM(U82:Y82)=5,1,0)</x:f>
        <x:v>0</x:v>
      </x:c>
      <x:c r="AC82" s="47" t="n">
        <x:f>IF(Z82+AA82=2,1,0)</x:f>
        <x:v>0</x:v>
      </x:c>
      <x:c r="AD82" s="47" t="n">
        <x:f>IF(AND(AB82=1,AC82=1),1,0)</x:f>
        <x:v>0</x:v>
      </x:c>
      <x:c r="AE82" s="47" t="n">
        <x:f>IF(AD82=1,AE81+1,0)</x:f>
        <x:v>0</x:v>
      </x:c>
      <x:c r="AF82" s="47" t="n">
        <x:f>IF(AE81&gt;=gulf_years_req,1,0)</x:f>
        <x:v>0</x:v>
      </x:c>
    </x:row>
    <x:row r="83">
      <x:c r="A83" s="58" t="n">
        <x:v>1923</x:v>
      </x:c>
      <x:c r="B83" s="45" t="n">
        <x:v>9870000</x:v>
      </x:c>
      <x:c r="C83" s="68" t="n">
        <x:v>0.67</x:v>
      </x:c>
      <x:c r="D83" s="47" t="n">
        <x:f>Partners!Q83*(1-IF(AND(OR(oil_compact=0,$A83&lt;compact_year),OR($A83=1931,$A83=1932)),gulf_glut_gdp,0))</x:f>
        <x:v>6020.375353542926</x:v>
      </x:c>
      <x:c r="E83" s="47" t="n">
        <x:f>IF(AND(gulf_on=1,$A83&gt;=gulf_year),1,0)</x:f>
        <x:v>0</x:v>
      </x:c>
      <x:c r="F83" s="45" t="n">
        <x:v>93.2</x:v>
      </x:c>
      <x:c r="G83" s="45" t="n">
        <x:v>92.8</x:v>
      </x:c>
      <x:c r="H83" s="59" t="n">
        <x:v>0.925</x:v>
      </x:c>
      <x:c r="I83" s="59" t="n">
        <x:v>0.902</x:v>
      </x:c>
      <x:c r="J83" s="59" t="n">
        <x:v>1.02</x:v>
      </x:c>
      <x:c r="K83" s="59" t="n">
        <x:v>1</x:v>
      </x:c>
      <x:c r="L83" s="52" t="n">
        <x:v>11.28</x:v>
      </x:c>
      <x:c r="M83" s="52" t="n">
        <x:v>10.4</x:v>
      </x:c>
      <x:c r="N83" s="52" t="n">
        <x:v>7.9</x:v>
      </x:c>
      <x:c r="O83" s="52" t="n">
        <x:v>9.6</x:v>
      </x:c>
      <x:c r="P83" s="68" t="n">
        <x:v>1.384</x:v>
      </x:c>
      <x:c r="Q83" s="68" t="n">
        <x:v>1.05</x:v>
      </x:c>
      <x:c r="R83" s="68" t="n">
        <x:v>0.706</x:v>
      </x:c>
      <x:c r="S83" s="68" t="n">
        <x:v>0.95</x:v>
      </x:c>
      <x:c r="T83" s="63" t="n">
        <x:f>J83-IF(AND(OR(oil_compact=0,$A83&lt;compact_year),$A83&gt;=1931,$A83&lt;=1933),gulf_wage_dip,0)</x:f>
        <x:v>1.02</x:v>
      </x:c>
      <x:c r="U83" s="47" t="n">
        <x:f>IF($A83&lt;1900,0,IF(F83&lt;=G83,1,0))</x:f>
        <x:v>0</x:v>
      </x:c>
      <x:c r="V83" s="47" t="n">
        <x:f>IF($A83&lt;1900,0,IF(H83&gt;=I83,1,0))</x:f>
        <x:v>1</x:v>
      </x:c>
      <x:c r="W83" s="47" t="n">
        <x:f>IF($A83&lt;1900,0,IF(T83&gt;=K83,1,0))</x:f>
        <x:v>1</x:v>
      </x:c>
      <x:c r="X83" s="47" t="n">
        <x:f>IF($A83&lt;1900,0,IF(L83&lt;=M83,1,0))</x:f>
        <x:v>0</x:v>
      </x:c>
      <x:c r="Y83" s="47" t="n">
        <x:f>IF($A83&lt;1900,0,IF(N83&lt;=O83,1,0))</x:f>
        <x:v>1</x:v>
      </x:c>
      <x:c r="Z83" s="47" t="n">
        <x:f>IF($A83&lt;1900,0,IF(P83&lt;=Q83,1,0))</x:f>
        <x:v>0</x:v>
      </x:c>
      <x:c r="AA83" s="47" t="n">
        <x:f>IF($A83&lt;1900,0,IF(R83&gt;=S83,1,0))</x:f>
        <x:v>0</x:v>
      </x:c>
      <x:c r="AB83" s="47" t="n">
        <x:f>IF(SUM(U83:Y83)=5,1,0)</x:f>
        <x:v>0</x:v>
      </x:c>
      <x:c r="AC83" s="47" t="n">
        <x:f>IF(Z83+AA83=2,1,0)</x:f>
        <x:v>0</x:v>
      </x:c>
      <x:c r="AD83" s="47" t="n">
        <x:f>IF(AND(AB83=1,AC83=1),1,0)</x:f>
        <x:v>0</x:v>
      </x:c>
      <x:c r="AE83" s="47" t="n">
        <x:f>IF(AD83=1,AE82+1,0)</x:f>
        <x:v>0</x:v>
      </x:c>
      <x:c r="AF83" s="47" t="n">
        <x:f>IF(AE82&gt;=gulf_years_req,1,0)</x:f>
        <x:v>0</x:v>
      </x:c>
    </x:row>
    <x:row r="84">
      <x:c r="A84" s="58" t="n">
        <x:v>1924</x:v>
      </x:c>
      <x:c r="B84" s="45" t="n">
        <x:v>10020000</x:v>
      </x:c>
      <x:c r="C84" s="68" t="n">
        <x:v>0.667</x:v>
      </x:c>
      <x:c r="D84" s="47" t="n">
        <x:f>Partners!Q84*(1-IF(AND(OR(oil_compact=0,$A84&lt;compact_year),OR($A84=1931,$A84=1932)),gulf_glut_gdp,0))</x:f>
        <x:v>6053.243326090648</x:v>
      </x:c>
      <x:c r="E84" s="47" t="n">
        <x:f>IF(AND(gulf_on=1,$A84&gt;=gulf_year),1,0)</x:f>
        <x:v>0</x:v>
      </x:c>
      <x:c r="F84" s="45" t="n">
        <x:v>89.59999999999999</x:v>
      </x:c>
      <x:c r="G84" s="45" t="n">
        <x:v>90.40000000000001</x:v>
      </x:c>
      <x:c r="H84" s="59" t="n">
        <x:v>0.93</x:v>
      </x:c>
      <x:c r="I84" s="59" t="n">
        <x:v>0.906</x:v>
      </x:c>
      <x:c r="J84" s="59" t="n">
        <x:v>1.03</x:v>
      </x:c>
      <x:c r="K84" s="59" t="n">
        <x:v>1</x:v>
      </x:c>
      <x:c r="L84" s="52" t="n">
        <x:v>10.54</x:v>
      </x:c>
      <x:c r="M84" s="52" t="n">
        <x:v>10.2</x:v>
      </x:c>
      <x:c r="N84" s="52" t="n">
        <x:v>7.2</x:v>
      </x:c>
      <x:c r="O84" s="52" t="n">
        <x:v>8.800000000000001</x:v>
      </x:c>
      <x:c r="P84" s="68" t="n">
        <x:v>1.362</x:v>
      </x:c>
      <x:c r="Q84" s="68" t="n">
        <x:v>1.05</x:v>
      </x:c>
      <x:c r="R84" s="68" t="n">
        <x:v>0.718</x:v>
      </x:c>
      <x:c r="S84" s="68" t="n">
        <x:v>0.95</x:v>
      </x:c>
      <x:c r="T84" s="63" t="n">
        <x:f>J84-IF(AND(OR(oil_compact=0,$A84&lt;compact_year),$A84&gt;=1931,$A84&lt;=1933),gulf_wage_dip,0)</x:f>
        <x:v>1.03</x:v>
      </x:c>
      <x:c r="U84" s="47" t="n">
        <x:f>IF($A84&lt;1900,0,IF(F84&lt;=G84,1,0))</x:f>
        <x:v>1</x:v>
      </x:c>
      <x:c r="V84" s="47" t="n">
        <x:f>IF($A84&lt;1900,0,IF(H84&gt;=I84,1,0))</x:f>
        <x:v>1</x:v>
      </x:c>
      <x:c r="W84" s="47" t="n">
        <x:f>IF($A84&lt;1900,0,IF(T84&gt;=K84,1,0))</x:f>
        <x:v>1</x:v>
      </x:c>
      <x:c r="X84" s="47" t="n">
        <x:f>IF($A84&lt;1900,0,IF(L84&lt;=M84,1,0))</x:f>
        <x:v>0</x:v>
      </x:c>
      <x:c r="Y84" s="47" t="n">
        <x:f>IF($A84&lt;1900,0,IF(N84&lt;=O84,1,0))</x:f>
        <x:v>1</x:v>
      </x:c>
      <x:c r="Z84" s="47" t="n">
        <x:f>IF($A84&lt;1900,0,IF(P84&lt;=Q84,1,0))</x:f>
        <x:v>0</x:v>
      </x:c>
      <x:c r="AA84" s="47" t="n">
        <x:f>IF($A84&lt;1900,0,IF(R84&gt;=S84,1,0))</x:f>
        <x:v>0</x:v>
      </x:c>
      <x:c r="AB84" s="47" t="n">
        <x:f>IF(SUM(U84:Y84)=5,1,0)</x:f>
        <x:v>0</x:v>
      </x:c>
      <x:c r="AC84" s="47" t="n">
        <x:f>IF(Z84+AA84=2,1,0)</x:f>
        <x:v>0</x:v>
      </x:c>
      <x:c r="AD84" s="47" t="n">
        <x:f>IF(AND(AB84=1,AC84=1),1,0)</x:f>
        <x:v>0</x:v>
      </x:c>
      <x:c r="AE84" s="47" t="n">
        <x:f>IF(AD84=1,AE83+1,0)</x:f>
        <x:v>0</x:v>
      </x:c>
      <x:c r="AF84" s="47" t="n">
        <x:f>IF(AE83&gt;=gulf_years_req,1,0)</x:f>
        <x:v>0</x:v>
      </x:c>
    </x:row>
    <x:row r="85">
      <x:c r="A85" s="58" t="n">
        <x:v>1925</x:v>
      </x:c>
      <x:c r="B85" s="45" t="n">
        <x:v>10180000</x:v>
      </x:c>
      <x:c r="C85" s="68" t="n">
        <x:v>0.663</x:v>
      </x:c>
      <x:c r="D85" s="47" t="n">
        <x:f>Partners!Q85*(1-IF(AND(OR(oil_compact=0,$A85&lt;compact_year),OR($A85=1931,$A85=1932)),gulf_glut_gdp,0))</x:f>
        <x:v>6383.290510078456</x:v>
      </x:c>
      <x:c r="E85" s="47" t="n">
        <x:f>IF(AND(gulf_on=1,$A85&gt;=gulf_year),1,0)</x:f>
        <x:v>0</x:v>
      </x:c>
      <x:c r="F85" s="45" t="n">
        <x:v>86</x:v>
      </x:c>
      <x:c r="G85" s="45" t="n">
        <x:v>88</x:v>
      </x:c>
      <x:c r="H85" s="59" t="n">
        <x:v>0.9350000000000001</x:v>
      </x:c>
      <x:c r="I85" s="59" t="n">
        <x:v>0.91</x:v>
      </x:c>
      <x:c r="J85" s="59" t="n">
        <x:v>1.04</x:v>
      </x:c>
      <x:c r="K85" s="59" t="n">
        <x:v>1</x:v>
      </x:c>
      <x:c r="L85" s="52" t="n">
        <x:v>9.800000000000001</x:v>
      </x:c>
      <x:c r="M85" s="52" t="n">
        <x:v>10</x:v>
      </x:c>
      <x:c r="N85" s="52" t="n">
        <x:v>6.5</x:v>
      </x:c>
      <x:c r="O85" s="52" t="n">
        <x:v>8</x:v>
      </x:c>
      <x:c r="P85" s="68" t="n">
        <x:v>1.34</x:v>
      </x:c>
      <x:c r="Q85" s="68" t="n">
        <x:v>1.05</x:v>
      </x:c>
      <x:c r="R85" s="68" t="n">
        <x:v>0.73</x:v>
      </x:c>
      <x:c r="S85" s="68" t="n">
        <x:v>0.95</x:v>
      </x:c>
      <x:c r="T85" s="63" t="n">
        <x:f>J85-IF(AND(OR(oil_compact=0,$A85&lt;compact_year),$A85&gt;=1931,$A85&lt;=1933),gulf_wage_dip,0)</x:f>
        <x:v>1.04</x:v>
      </x:c>
      <x:c r="U85" s="47" t="n">
        <x:f>IF($A85&lt;1900,0,IF(F85&lt;=G85,1,0))</x:f>
        <x:v>1</x:v>
      </x:c>
      <x:c r="V85" s="47" t="n">
        <x:f>IF($A85&lt;1900,0,IF(H85&gt;=I85,1,0))</x:f>
        <x:v>1</x:v>
      </x:c>
      <x:c r="W85" s="47" t="n">
        <x:f>IF($A85&lt;1900,0,IF(T85&gt;=K85,1,0))</x:f>
        <x:v>1</x:v>
      </x:c>
      <x:c r="X85" s="47" t="n">
        <x:f>IF($A85&lt;1900,0,IF(L85&lt;=M85,1,0))</x:f>
        <x:v>1</x:v>
      </x:c>
      <x:c r="Y85" s="47" t="n">
        <x:f>IF($A85&lt;1900,0,IF(N85&lt;=O85,1,0))</x:f>
        <x:v>1</x:v>
      </x:c>
      <x:c r="Z85" s="47" t="n">
        <x:f>IF($A85&lt;1900,0,IF(P85&lt;=Q85,1,0))</x:f>
        <x:v>0</x:v>
      </x:c>
      <x:c r="AA85" s="47" t="n">
        <x:f>IF($A85&lt;1900,0,IF(R85&gt;=S85,1,0))</x:f>
        <x:v>0</x:v>
      </x:c>
      <x:c r="AB85" s="47" t="n">
        <x:f>IF(SUM(U85:Y85)=5,1,0)</x:f>
        <x:v>1</x:v>
      </x:c>
      <x:c r="AC85" s="47" t="n">
        <x:f>IF(Z85+AA85=2,1,0)</x:f>
        <x:v>0</x:v>
      </x:c>
      <x:c r="AD85" s="47" t="n">
        <x:f>IF(AND(AB85=1,AC85=1),1,0)</x:f>
        <x:v>0</x:v>
      </x:c>
      <x:c r="AE85" s="47" t="n">
        <x:f>IF(AD85=1,AE84+1,0)</x:f>
        <x:v>0</x:v>
      </x:c>
      <x:c r="AF85" s="47" t="n">
        <x:f>IF(AE84&gt;=gulf_years_req,1,0)</x:f>
        <x:v>0</x:v>
      </x:c>
    </x:row>
    <x:row r="86">
      <x:c r="A86" s="58" t="n">
        <x:v>1926</x:v>
      </x:c>
      <x:c r="B86" s="45" t="n">
        <x:v>10330000</x:v>
      </x:c>
      <x:c r="C86" s="68" t="n">
        <x:v>0.66</x:v>
      </x:c>
      <x:c r="D86" s="47" t="n">
        <x:f>Partners!Q86*(1-IF(AND(OR(oil_compact=0,$A86&lt;compact_year),OR($A86=1931,$A86=1932)),gulf_glut_gdp,0))</x:f>
        <x:v>6775.855940647415</x:v>
      </x:c>
      <x:c r="E86" s="47" t="n">
        <x:f>IF(AND(gulf_on=1,$A86&gt;=gulf_year),1,0)</x:f>
        <x:v>0</x:v>
      </x:c>
      <x:c r="F86" s="45" t="n">
        <x:v>82.66670000000001</x:v>
      </x:c>
      <x:c r="G86" s="45" t="n">
        <x:v>86</x:v>
      </x:c>
      <x:c r="H86" s="59" t="n">
        <x:v>0.9399999999999999</x:v>
      </x:c>
      <x:c r="I86" s="59" t="n">
        <x:v>0.9133</x:v>
      </x:c>
      <x:c r="J86" s="59" t="n">
        <x:v>1.05</x:v>
      </x:c>
      <x:c r="K86" s="59" t="n">
        <x:v>1</x:v>
      </x:c>
      <x:c r="L86" s="52" t="n">
        <x:v>9.5</x:v>
      </x:c>
      <x:c r="M86" s="52" t="n">
        <x:v>9.833299999999999</x:v>
      </x:c>
      <x:c r="N86" s="52" t="n">
        <x:v>6.1667</x:v>
      </x:c>
      <x:c r="O86" s="52" t="n">
        <x:v>7.5</x:v>
      </x:c>
      <x:c r="P86" s="68" t="n">
        <x:v>1.32</x:v>
      </x:c>
      <x:c r="Q86" s="68" t="n">
        <x:v>1.05</x:v>
      </x:c>
      <x:c r="R86" s="68" t="n">
        <x:v>0.7433</x:v>
      </x:c>
      <x:c r="S86" s="68" t="n">
        <x:v>0.95</x:v>
      </x:c>
      <x:c r="T86" s="63" t="n">
        <x:f>J86-IF(AND(OR(oil_compact=0,$A86&lt;compact_year),$A86&gt;=1931,$A86&lt;=1933),gulf_wage_dip,0)</x:f>
        <x:v>1.05</x:v>
      </x:c>
      <x:c r="U86" s="47" t="n">
        <x:f>IF($A86&lt;1900,0,IF(F86&lt;=G86,1,0))</x:f>
        <x:v>1</x:v>
      </x:c>
      <x:c r="V86" s="47" t="n">
        <x:f>IF($A86&lt;1900,0,IF(H86&gt;=I86,1,0))</x:f>
        <x:v>1</x:v>
      </x:c>
      <x:c r="W86" s="47" t="n">
        <x:f>IF($A86&lt;1900,0,IF(T86&gt;=K86,1,0))</x:f>
        <x:v>1</x:v>
      </x:c>
      <x:c r="X86" s="47" t="n">
        <x:f>IF($A86&lt;1900,0,IF(L86&lt;=M86,1,0))</x:f>
        <x:v>1</x:v>
      </x:c>
      <x:c r="Y86" s="47" t="n">
        <x:f>IF($A86&lt;1900,0,IF(N86&lt;=O86,1,0))</x:f>
        <x:v>1</x:v>
      </x:c>
      <x:c r="Z86" s="47" t="n">
        <x:f>IF($A86&lt;1900,0,IF(P86&lt;=Q86,1,0))</x:f>
        <x:v>0</x:v>
      </x:c>
      <x:c r="AA86" s="47" t="n">
        <x:f>IF($A86&lt;1900,0,IF(R86&gt;=S86,1,0))</x:f>
        <x:v>0</x:v>
      </x:c>
      <x:c r="AB86" s="47" t="n">
        <x:f>IF(SUM(U86:Y86)=5,1,0)</x:f>
        <x:v>1</x:v>
      </x:c>
      <x:c r="AC86" s="47" t="n">
        <x:f>IF(Z86+AA86=2,1,0)</x:f>
        <x:v>0</x:v>
      </x:c>
      <x:c r="AD86" s="47" t="n">
        <x:f>IF(AND(AB86=1,AC86=1),1,0)</x:f>
        <x:v>0</x:v>
      </x:c>
      <x:c r="AE86" s="47" t="n">
        <x:f>IF(AD86=1,AE85+1,0)</x:f>
        <x:v>0</x:v>
      </x:c>
      <x:c r="AF86" s="47" t="n">
        <x:f>IF(AE85&gt;=gulf_years_req,1,0)</x:f>
        <x:v>0</x:v>
      </x:c>
    </x:row>
    <x:row r="87">
      <x:c r="A87" s="58" t="n">
        <x:v>1927</x:v>
      </x:c>
      <x:c r="B87" s="45" t="n">
        <x:v>10490000</x:v>
      </x:c>
      <x:c r="C87" s="68" t="n">
        <x:v>0.657</x:v>
      </x:c>
      <x:c r="D87" s="47" t="n">
        <x:f>Partners!Q87*(1-IF(AND(OR(oil_compact=0,$A87&lt;compact_year),OR($A87=1931,$A87=1932)),gulf_glut_gdp,0))</x:f>
        <x:v>6780.507965941379</x:v>
      </x:c>
      <x:c r="E87" s="47" t="n">
        <x:f>IF(AND(gulf_on=1,$A87&gt;=gulf_year),1,0)</x:f>
        <x:v>0</x:v>
      </x:c>
      <x:c r="F87" s="45" t="n">
        <x:v>79.33329999999999</x:v>
      </x:c>
      <x:c r="G87" s="45" t="n">
        <x:v>84</x:v>
      </x:c>
      <x:c r="H87" s="59" t="n">
        <x:v>0.945</x:v>
      </x:c>
      <x:c r="I87" s="59" t="n">
        <x:v>0.9167</x:v>
      </x:c>
      <x:c r="J87" s="59" t="n">
        <x:v>1.06</x:v>
      </x:c>
      <x:c r="K87" s="59" t="n">
        <x:v>1</x:v>
      </x:c>
      <x:c r="L87" s="52" t="n">
        <x:v>9.199999999999999</x:v>
      </x:c>
      <x:c r="M87" s="52" t="n">
        <x:v>9.666700000000001</x:v>
      </x:c>
      <x:c r="N87" s="52" t="n">
        <x:v>5.8333</x:v>
      </x:c>
      <x:c r="O87" s="52" t="n">
        <x:v>7</x:v>
      </x:c>
      <x:c r="P87" s="68" t="n">
        <x:v>1.3</x:v>
      </x:c>
      <x:c r="Q87" s="68" t="n">
        <x:v>1.05</x:v>
      </x:c>
      <x:c r="R87" s="68" t="n">
        <x:v>0.7567</x:v>
      </x:c>
      <x:c r="S87" s="68" t="n">
        <x:v>0.95</x:v>
      </x:c>
      <x:c r="T87" s="63" t="n">
        <x:f>J87-IF(AND(OR(oil_compact=0,$A87&lt;compact_year),$A87&gt;=1931,$A87&lt;=1933),gulf_wage_dip,0)</x:f>
        <x:v>1.06</x:v>
      </x:c>
      <x:c r="U87" s="47" t="n">
        <x:f>IF($A87&lt;1900,0,IF(F87&lt;=G87,1,0))</x:f>
        <x:v>1</x:v>
      </x:c>
      <x:c r="V87" s="47" t="n">
        <x:f>IF($A87&lt;1900,0,IF(H87&gt;=I87,1,0))</x:f>
        <x:v>1</x:v>
      </x:c>
      <x:c r="W87" s="47" t="n">
        <x:f>IF($A87&lt;1900,0,IF(T87&gt;=K87,1,0))</x:f>
        <x:v>1</x:v>
      </x:c>
      <x:c r="X87" s="47" t="n">
        <x:f>IF($A87&lt;1900,0,IF(L87&lt;=M87,1,0))</x:f>
        <x:v>1</x:v>
      </x:c>
      <x:c r="Y87" s="47" t="n">
        <x:f>IF($A87&lt;1900,0,IF(N87&lt;=O87,1,0))</x:f>
        <x:v>1</x:v>
      </x:c>
      <x:c r="Z87" s="47" t="n">
        <x:f>IF($A87&lt;1900,0,IF(P87&lt;=Q87,1,0))</x:f>
        <x:v>0</x:v>
      </x:c>
      <x:c r="AA87" s="47" t="n">
        <x:f>IF($A87&lt;1900,0,IF(R87&gt;=S87,1,0))</x:f>
        <x:v>0</x:v>
      </x:c>
      <x:c r="AB87" s="47" t="n">
        <x:f>IF(SUM(U87:Y87)=5,1,0)</x:f>
        <x:v>1</x:v>
      </x:c>
      <x:c r="AC87" s="47" t="n">
        <x:f>IF(Z87+AA87=2,1,0)</x:f>
        <x:v>0</x:v>
      </x:c>
      <x:c r="AD87" s="47" t="n">
        <x:f>IF(AND(AB87=1,AC87=1),1,0)</x:f>
        <x:v>0</x:v>
      </x:c>
      <x:c r="AE87" s="47" t="n">
        <x:f>IF(AD87=1,AE86+1,0)</x:f>
        <x:v>0</x:v>
      </x:c>
      <x:c r="AF87" s="47" t="n">
        <x:f>IF(AE86&gt;=gulf_years_req,1,0)</x:f>
        <x:v>0</x:v>
      </x:c>
    </x:row>
    <x:row r="88">
      <x:c r="A88" s="58" t="n">
        <x:v>1928</x:v>
      </x:c>
      <x:c r="B88" s="45" t="n">
        <x:v>10640000</x:v>
      </x:c>
      <x:c r="C88" s="68" t="n">
        <x:v>0.653</x:v>
      </x:c>
      <x:c r="D88" s="47" t="n">
        <x:f>Partners!Q88*(1-IF(AND(OR(oil_compact=0,$A88&lt;compact_year),OR($A88=1931,$A88=1932)),gulf_glut_gdp,0))</x:f>
        <x:v>6980.259714424978</x:v>
      </x:c>
      <x:c r="E88" s="47" t="n">
        <x:f>IF(AND(gulf_on=1,$A88&gt;=gulf_year),1,0)</x:f>
        <x:v>0</x:v>
      </x:c>
      <x:c r="F88" s="45" t="n">
        <x:v>76</x:v>
      </x:c>
      <x:c r="G88" s="45" t="n">
        <x:v>82</x:v>
      </x:c>
      <x:c r="H88" s="59" t="n">
        <x:v>0.95</x:v>
      </x:c>
      <x:c r="I88" s="59" t="n">
        <x:v>0.92</x:v>
      </x:c>
      <x:c r="J88" s="59" t="n">
        <x:v>1.07</x:v>
      </x:c>
      <x:c r="K88" s="59" t="n">
        <x:v>1</x:v>
      </x:c>
      <x:c r="L88" s="52" t="n">
        <x:v>8.9</x:v>
      </x:c>
      <x:c r="M88" s="52" t="n">
        <x:v>9.5</x:v>
      </x:c>
      <x:c r="N88" s="52" t="n">
        <x:v>5.5</x:v>
      </x:c>
      <x:c r="O88" s="52" t="n">
        <x:v>6.5</x:v>
      </x:c>
      <x:c r="P88" s="68" t="n">
        <x:v>1.28</x:v>
      </x:c>
      <x:c r="Q88" s="68" t="n">
        <x:v>1.05</x:v>
      </x:c>
      <x:c r="R88" s="68" t="n">
        <x:v>0.77</x:v>
      </x:c>
      <x:c r="S88" s="68" t="n">
        <x:v>0.95</x:v>
      </x:c>
      <x:c r="T88" s="63" t="n">
        <x:f>J88-IF(AND(OR(oil_compact=0,$A88&lt;compact_year),$A88&gt;=1931,$A88&lt;=1933),gulf_wage_dip,0)</x:f>
        <x:v>1.07</x:v>
      </x:c>
      <x:c r="U88" s="47" t="n">
        <x:f>IF($A88&lt;1900,0,IF(F88&lt;=G88,1,0))</x:f>
        <x:v>1</x:v>
      </x:c>
      <x:c r="V88" s="47" t="n">
        <x:f>IF($A88&lt;1900,0,IF(H88&gt;=I88,1,0))</x:f>
        <x:v>1</x:v>
      </x:c>
      <x:c r="W88" s="47" t="n">
        <x:f>IF($A88&lt;1900,0,IF(T88&gt;=K88,1,0))</x:f>
        <x:v>1</x:v>
      </x:c>
      <x:c r="X88" s="47" t="n">
        <x:f>IF($A88&lt;1900,0,IF(L88&lt;=M88,1,0))</x:f>
        <x:v>1</x:v>
      </x:c>
      <x:c r="Y88" s="47" t="n">
        <x:f>IF($A88&lt;1900,0,IF(N88&lt;=O88,1,0))</x:f>
        <x:v>1</x:v>
      </x:c>
      <x:c r="Z88" s="47" t="n">
        <x:f>IF($A88&lt;1900,0,IF(P88&lt;=Q88,1,0))</x:f>
        <x:v>0</x:v>
      </x:c>
      <x:c r="AA88" s="47" t="n">
        <x:f>IF($A88&lt;1900,0,IF(R88&gt;=S88,1,0))</x:f>
        <x:v>0</x:v>
      </x:c>
      <x:c r="AB88" s="47" t="n">
        <x:f>IF(SUM(U88:Y88)=5,1,0)</x:f>
        <x:v>1</x:v>
      </x:c>
      <x:c r="AC88" s="47" t="n">
        <x:f>IF(Z88+AA88=2,1,0)</x:f>
        <x:v>0</x:v>
      </x:c>
      <x:c r="AD88" s="47" t="n">
        <x:f>IF(AND(AB88=1,AC88=1),1,0)</x:f>
        <x:v>0</x:v>
      </x:c>
      <x:c r="AE88" s="47" t="n">
        <x:f>IF(AD88=1,AE87+1,0)</x:f>
        <x:v>0</x:v>
      </x:c>
      <x:c r="AF88" s="47" t="n">
        <x:f>IF(AE87&gt;=gulf_years_req,1,0)</x:f>
        <x:v>0</x:v>
      </x:c>
    </x:row>
    <x:row r="89">
      <x:c r="A89" s="58" t="n">
        <x:v>1929</x:v>
      </x:c>
      <x:c r="B89" s="45" t="n">
        <x:v>10800000</x:v>
      </x:c>
      <x:c r="C89" s="68" t="n">
        <x:v>0.65</x:v>
      </x:c>
      <x:c r="D89" s="47" t="n">
        <x:f>Partners!Q89*(1-IF(AND(OR(oil_compact=0,$A89&lt;compact_year),OR($A89=1931,$A89=1932)),gulf_glut_gdp,0))</x:f>
        <x:v>7499.885766764052</x:v>
      </x:c>
      <x:c r="E89" s="47" t="n">
        <x:f>IF(AND(gulf_on=1,$A89&gt;=gulf_year),1,0)</x:f>
        <x:v>0</x:v>
      </x:c>
      <x:c r="F89" s="45" t="n">
        <x:v>74.5</x:v>
      </x:c>
      <x:c r="G89" s="45" t="n">
        <x:v>81</x:v>
      </x:c>
      <x:c r="H89" s="59" t="n">
        <x:v>0.9525</x:v>
      </x:c>
      <x:c r="I89" s="59" t="n">
        <x:v>0.9225</x:v>
      </x:c>
      <x:c r="J89" s="59" t="n">
        <x:v>1.0725</x:v>
      </x:c>
      <x:c r="K89" s="59" t="n">
        <x:v>1</x:v>
      </x:c>
      <x:c r="L89" s="52" t="n">
        <x:v>8.800000000000001</x:v>
      </x:c>
      <x:c r="M89" s="52" t="n">
        <x:v>9.425000000000001</x:v>
      </x:c>
      <x:c r="N89" s="52" t="n">
        <x:v>5.25</x:v>
      </x:c>
      <x:c r="O89" s="52" t="n">
        <x:v>6.25</x:v>
      </x:c>
      <x:c r="P89" s="68" t="n">
        <x:v>1.265</x:v>
      </x:c>
      <x:c r="Q89" s="68" t="n">
        <x:v>1.05</x:v>
      </x:c>
      <x:c r="R89" s="68" t="n">
        <x:v>0.7775</x:v>
      </x:c>
      <x:c r="S89" s="68" t="n">
        <x:v>0.95</x:v>
      </x:c>
      <x:c r="T89" s="63" t="n">
        <x:f>J89-IF(AND(OR(oil_compact=0,$A89&lt;compact_year),$A89&gt;=1931,$A89&lt;=1933),gulf_wage_dip,0)</x:f>
        <x:v>1.0725</x:v>
      </x:c>
      <x:c r="U89" s="47" t="n">
        <x:f>IF($A89&lt;1900,0,IF(F89&lt;=G89,1,0))</x:f>
        <x:v>1</x:v>
      </x:c>
      <x:c r="V89" s="47" t="n">
        <x:f>IF($A89&lt;1900,0,IF(H89&gt;=I89,1,0))</x:f>
        <x:v>1</x:v>
      </x:c>
      <x:c r="W89" s="47" t="n">
        <x:f>IF($A89&lt;1900,0,IF(T89&gt;=K89,1,0))</x:f>
        <x:v>1</x:v>
      </x:c>
      <x:c r="X89" s="47" t="n">
        <x:f>IF($A89&lt;1900,0,IF(L89&lt;=M89,1,0))</x:f>
        <x:v>1</x:v>
      </x:c>
      <x:c r="Y89" s="47" t="n">
        <x:f>IF($A89&lt;1900,0,IF(N89&lt;=O89,1,0))</x:f>
        <x:v>1</x:v>
      </x:c>
      <x:c r="Z89" s="47" t="n">
        <x:f>IF($A89&lt;1900,0,IF(P89&lt;=Q89,1,0))</x:f>
        <x:v>0</x:v>
      </x:c>
      <x:c r="AA89" s="47" t="n">
        <x:f>IF($A89&lt;1900,0,IF(R89&gt;=S89,1,0))</x:f>
        <x:v>0</x:v>
      </x:c>
      <x:c r="AB89" s="47" t="n">
        <x:f>IF(SUM(U89:Y89)=5,1,0)</x:f>
        <x:v>1</x:v>
      </x:c>
      <x:c r="AC89" s="47" t="n">
        <x:f>IF(Z89+AA89=2,1,0)</x:f>
        <x:v>0</x:v>
      </x:c>
      <x:c r="AD89" s="47" t="n">
        <x:f>IF(AND(AB89=1,AC89=1),1,0)</x:f>
        <x:v>0</x:v>
      </x:c>
      <x:c r="AE89" s="47" t="n">
        <x:f>IF(AD89=1,AE88+1,0)</x:f>
        <x:v>0</x:v>
      </x:c>
      <x:c r="AF89" s="47" t="n">
        <x:f>IF(AE88&gt;=gulf_years_req,1,0)</x:f>
        <x:v>0</x:v>
      </x:c>
    </x:row>
    <x:row r="90">
      <x:c r="A90" s="58" t="n">
        <x:v>1930</x:v>
      </x:c>
      <x:c r="B90" s="45" t="n">
        <x:v>10930000</x:v>
      </x:c>
      <x:c r="C90" s="68" t="n">
        <x:v>0.64</x:v>
      </x:c>
      <x:c r="D90" s="47" t="n">
        <x:f>Partners!Q90*(1-IF(AND(OR(oil_compact=0,$A90&lt;compact_year),OR($A90=1931,$A90=1932)),gulf_glut_gdp,0))</x:f>
        <x:v>6564.182749646294</x:v>
      </x:c>
      <x:c r="E90" s="47" t="n">
        <x:f>IF(AND(gulf_on=1,$A90&gt;=gulf_year),1,0)</x:f>
        <x:v>0</x:v>
      </x:c>
      <x:c r="F90" s="45" t="n">
        <x:v>73</x:v>
      </x:c>
      <x:c r="G90" s="45" t="n">
        <x:v>80</x:v>
      </x:c>
      <x:c r="H90" s="59" t="n">
        <x:v>0.955</x:v>
      </x:c>
      <x:c r="I90" s="59" t="n">
        <x:v>0.925</x:v>
      </x:c>
      <x:c r="J90" s="59" t="n">
        <x:v>1.075</x:v>
      </x:c>
      <x:c r="K90" s="59" t="n">
        <x:v>1</x:v>
      </x:c>
      <x:c r="L90" s="52" t="n">
        <x:v>8.699999999999999</x:v>
      </x:c>
      <x:c r="M90" s="52" t="n">
        <x:v>9.35</x:v>
      </x:c>
      <x:c r="N90" s="52" t="n">
        <x:v>5</x:v>
      </x:c>
      <x:c r="O90" s="52" t="n">
        <x:v>6</x:v>
      </x:c>
      <x:c r="P90" s="68" t="n">
        <x:v>1.25</x:v>
      </x:c>
      <x:c r="Q90" s="68" t="n">
        <x:v>1.05</x:v>
      </x:c>
      <x:c r="R90" s="68" t="n">
        <x:v>0.785</x:v>
      </x:c>
      <x:c r="S90" s="68" t="n">
        <x:v>0.95</x:v>
      </x:c>
      <x:c r="T90" s="63" t="n">
        <x:f>J90-IF(AND(OR(oil_compact=0,$A90&lt;compact_year),$A90&gt;=1931,$A90&lt;=1933),gulf_wage_dip,0)</x:f>
        <x:v>1.075</x:v>
      </x:c>
      <x:c r="U90" s="47" t="n">
        <x:f>IF($A90&lt;1900,0,IF(F90&lt;=G90,1,0))</x:f>
        <x:v>1</x:v>
      </x:c>
      <x:c r="V90" s="47" t="n">
        <x:f>IF($A90&lt;1900,0,IF(H90&gt;=I90,1,0))</x:f>
        <x:v>1</x:v>
      </x:c>
      <x:c r="W90" s="47" t="n">
        <x:f>IF($A90&lt;1900,0,IF(T90&gt;=K90,1,0))</x:f>
        <x:v>1</x:v>
      </x:c>
      <x:c r="X90" s="47" t="n">
        <x:f>IF($A90&lt;1900,0,IF(L90&lt;=M90,1,0))</x:f>
        <x:v>1</x:v>
      </x:c>
      <x:c r="Y90" s="47" t="n">
        <x:f>IF($A90&lt;1900,0,IF(N90&lt;=O90,1,0))</x:f>
        <x:v>1</x:v>
      </x:c>
      <x:c r="Z90" s="47" t="n">
        <x:f>IF($A90&lt;1900,0,IF(P90&lt;=Q90,1,0))</x:f>
        <x:v>0</x:v>
      </x:c>
      <x:c r="AA90" s="47" t="n">
        <x:f>IF($A90&lt;1900,0,IF(R90&gt;=S90,1,0))</x:f>
        <x:v>0</x:v>
      </x:c>
      <x:c r="AB90" s="47" t="n">
        <x:f>IF(SUM(U90:Y90)=5,1,0)</x:f>
        <x:v>1</x:v>
      </x:c>
      <x:c r="AC90" s="47" t="n">
        <x:f>IF(Z90+AA90=2,1,0)</x:f>
        <x:v>0</x:v>
      </x:c>
      <x:c r="AD90" s="47" t="n">
        <x:f>IF(AND(AB90=1,AC90=1),1,0)</x:f>
        <x:v>0</x:v>
      </x:c>
      <x:c r="AE90" s="47" t="n">
        <x:f>IF(AD90=1,AE89+1,0)</x:f>
        <x:v>0</x:v>
      </x:c>
      <x:c r="AF90" s="47" t="n">
        <x:f>IF(AE89&gt;=gulf_years_req,1,0)</x:f>
        <x:v>0</x:v>
      </x:c>
    </x:row>
    <x:row r="91">
      <x:c r="A91" s="58" t="n">
        <x:v>1931</x:v>
      </x:c>
      <x:c r="B91" s="45" t="n">
        <x:v>11070000</x:v>
      </x:c>
      <x:c r="C91" s="68" t="n">
        <x:v>0.63</x:v>
      </x:c>
      <x:c r="D91" s="47" t="n">
        <x:f>Partners!Q91*(1-IF(AND(OR(oil_compact=0,$A91&lt;compact_year),OR($A91=1931,$A91=1932)),gulf_glut_gdp,0))</x:f>
        <x:v>5234.040224780208</x:v>
      </x:c>
      <x:c r="E91" s="47" t="n">
        <x:f>IF(AND(gulf_on=1,$A91&gt;=gulf_year),1,0)</x:f>
        <x:v>0</x:v>
      </x:c>
      <x:c r="F91" s="45" t="n">
        <x:v>71.5</x:v>
      </x:c>
      <x:c r="G91" s="45" t="n">
        <x:v>79</x:v>
      </x:c>
      <x:c r="H91" s="59" t="n">
        <x:v>0.9575</x:v>
      </x:c>
      <x:c r="I91" s="59" t="n">
        <x:v>0.9275</x:v>
      </x:c>
      <x:c r="J91" s="59" t="n">
        <x:v>1.0775</x:v>
      </x:c>
      <x:c r="K91" s="59" t="n">
        <x:v>1</x:v>
      </x:c>
      <x:c r="L91" s="52" t="n">
        <x:v>8.6</x:v>
      </x:c>
      <x:c r="M91" s="52" t="n">
        <x:v>9.275</x:v>
      </x:c>
      <x:c r="N91" s="52" t="n">
        <x:v>4.75</x:v>
      </x:c>
      <x:c r="O91" s="52" t="n">
        <x:v>5.75</x:v>
      </x:c>
      <x:c r="P91" s="68" t="n">
        <x:v>1.235</x:v>
      </x:c>
      <x:c r="Q91" s="68" t="n">
        <x:v>1.05</x:v>
      </x:c>
      <x:c r="R91" s="68" t="n">
        <x:v>0.7925</x:v>
      </x:c>
      <x:c r="S91" s="68" t="n">
        <x:v>0.95</x:v>
      </x:c>
      <x:c r="T91" s="63" t="n">
        <x:f>J91-IF(AND(OR(oil_compact=0,$A91&lt;compact_year),$A91&gt;=1931,$A91&lt;=1933),gulf_wage_dip,0)</x:f>
        <x:v>0.9874999999999999</x:v>
      </x:c>
      <x:c r="U91" s="47" t="n">
        <x:f>IF($A91&lt;1900,0,IF(F91&lt;=G91,1,0))</x:f>
        <x:v>1</x:v>
      </x:c>
      <x:c r="V91" s="47" t="n">
        <x:f>IF($A91&lt;1900,0,IF(H91&gt;=I91,1,0))</x:f>
        <x:v>1</x:v>
      </x:c>
      <x:c r="W91" s="47" t="n">
        <x:f>IF($A91&lt;1900,0,IF(T91&gt;=K91,1,0))</x:f>
        <x:v>0</x:v>
      </x:c>
      <x:c r="X91" s="47" t="n">
        <x:f>IF($A91&lt;1900,0,IF(L91&lt;=M91,1,0))</x:f>
        <x:v>1</x:v>
      </x:c>
      <x:c r="Y91" s="47" t="n">
        <x:f>IF($A91&lt;1900,0,IF(N91&lt;=O91,1,0))</x:f>
        <x:v>1</x:v>
      </x:c>
      <x:c r="Z91" s="47" t="n">
        <x:f>IF($A91&lt;1900,0,IF(P91&lt;=Q91,1,0))</x:f>
        <x:v>0</x:v>
      </x:c>
      <x:c r="AA91" s="47" t="n">
        <x:f>IF($A91&lt;1900,0,IF(R91&gt;=S91,1,0))</x:f>
        <x:v>0</x:v>
      </x:c>
      <x:c r="AB91" s="47" t="n">
        <x:f>IF(SUM(U91:Y91)=5,1,0)</x:f>
        <x:v>0</x:v>
      </x:c>
      <x:c r="AC91" s="47" t="n">
        <x:f>IF(Z91+AA91=2,1,0)</x:f>
        <x:v>0</x:v>
      </x:c>
      <x:c r="AD91" s="47" t="n">
        <x:f>IF(AND(AB91=1,AC91=1),1,0)</x:f>
        <x:v>0</x:v>
      </x:c>
      <x:c r="AE91" s="47" t="n">
        <x:f>IF(AD91=1,AE90+1,0)</x:f>
        <x:v>0</x:v>
      </x:c>
      <x:c r="AF91" s="47" t="n">
        <x:f>IF(AE90&gt;=gulf_years_req,1,0)</x:f>
        <x:v>0</x:v>
      </x:c>
    </x:row>
    <x:row r="92">
      <x:c r="A92" s="58" t="n">
        <x:v>1932</x:v>
      </x:c>
      <x:c r="B92" s="45" t="n">
        <x:v>11200000</x:v>
      </x:c>
      <x:c r="C92" s="68" t="n">
        <x:v>0.62</x:v>
      </x:c>
      <x:c r="D92" s="47" t="n">
        <x:f>Partners!Q92*(1-IF(AND(OR(oil_compact=0,$A92&lt;compact_year),OR($A92=1931,$A92=1932)),gulf_glut_gdp,0))</x:f>
        <x:v>4225.394052630801</x:v>
      </x:c>
      <x:c r="E92" s="47" t="n">
        <x:f>IF(AND(gulf_on=1,$A92&gt;=gulf_year),1,0)</x:f>
        <x:v>0</x:v>
      </x:c>
      <x:c r="F92" s="45" t="n">
        <x:v>70</x:v>
      </x:c>
      <x:c r="G92" s="45" t="n">
        <x:v>78</x:v>
      </x:c>
      <x:c r="H92" s="59" t="n">
        <x:v>0.96</x:v>
      </x:c>
      <x:c r="I92" s="59" t="n">
        <x:v>0.93</x:v>
      </x:c>
      <x:c r="J92" s="59" t="n">
        <x:v>1.08</x:v>
      </x:c>
      <x:c r="K92" s="59" t="n">
        <x:v>1</x:v>
      </x:c>
      <x:c r="L92" s="52" t="n">
        <x:v>8.5</x:v>
      </x:c>
      <x:c r="M92" s="52" t="n">
        <x:v>9.199999999999999</x:v>
      </x:c>
      <x:c r="N92" s="52" t="n">
        <x:v>4.5</x:v>
      </x:c>
      <x:c r="O92" s="52" t="n">
        <x:v>5.5</x:v>
      </x:c>
      <x:c r="P92" s="68" t="n">
        <x:v>1.22</x:v>
      </x:c>
      <x:c r="Q92" s="68" t="n">
        <x:v>1.05</x:v>
      </x:c>
      <x:c r="R92" s="68" t="n">
        <x:v>0.8</x:v>
      </x:c>
      <x:c r="S92" s="68" t="n">
        <x:v>0.95</x:v>
      </x:c>
      <x:c r="T92" s="63" t="n">
        <x:f>J92-IF(AND(OR(oil_compact=0,$A92&lt;compact_year),$A92&gt;=1931,$A92&lt;=1933),gulf_wage_dip,0)</x:f>
        <x:v>1.08</x:v>
      </x:c>
      <x:c r="U92" s="47" t="n">
        <x:f>IF($A92&lt;1900,0,IF(F92&lt;=G92,1,0))</x:f>
        <x:v>1</x:v>
      </x:c>
      <x:c r="V92" s="47" t="n">
        <x:f>IF($A92&lt;1900,0,IF(H92&gt;=I92,1,0))</x:f>
        <x:v>1</x:v>
      </x:c>
      <x:c r="W92" s="47" t="n">
        <x:f>IF($A92&lt;1900,0,IF(T92&gt;=K92,1,0))</x:f>
        <x:v>1</x:v>
      </x:c>
      <x:c r="X92" s="47" t="n">
        <x:f>IF($A92&lt;1900,0,IF(L92&lt;=M92,1,0))</x:f>
        <x:v>1</x:v>
      </x:c>
      <x:c r="Y92" s="47" t="n">
        <x:f>IF($A92&lt;1900,0,IF(N92&lt;=O92,1,0))</x:f>
        <x:v>1</x:v>
      </x:c>
      <x:c r="Z92" s="47" t="n">
        <x:f>IF($A92&lt;1900,0,IF(P92&lt;=Q92,1,0))</x:f>
        <x:v>0</x:v>
      </x:c>
      <x:c r="AA92" s="47" t="n">
        <x:f>IF($A92&lt;1900,0,IF(R92&gt;=S92,1,0))</x:f>
        <x:v>0</x:v>
      </x:c>
      <x:c r="AB92" s="47" t="n">
        <x:f>IF(SUM(U92:Y92)=5,1,0)</x:f>
        <x:v>1</x:v>
      </x:c>
      <x:c r="AC92" s="47" t="n">
        <x:f>IF(Z92+AA92=2,1,0)</x:f>
        <x:v>0</x:v>
      </x:c>
      <x:c r="AD92" s="47" t="n">
        <x:f>IF(AND(AB92=1,AC92=1),1,0)</x:f>
        <x:v>0</x:v>
      </x:c>
      <x:c r="AE92" s="47" t="n">
        <x:f>IF(AD92=1,AE91+1,0)</x:f>
        <x:v>0</x:v>
      </x:c>
      <x:c r="AF92" s="47" t="n">
        <x:f>IF(AE91&gt;=gulf_years_req,1,0)</x:f>
        <x:v>0</x:v>
      </x:c>
    </x:row>
  </x:sheetData>
  <x:mergeCells>
    <x:mergeCell ref="F4:T4"/>
    <x:mergeCell ref="U4:AF4"/>
    <x:mergeCell ref="B4:E4"/>
  </x:mergeCells>
  <x:pageMargins left="0.7" right="0.7" top="0.75" bottom="0.75" header="0.3" footer="0.3"/>
  <x:legacyDrawing xmlns:r="http://schemas.openxmlformats.org/officeDocument/2006/relationships" r:id="Rc431de11c9b64e5c"/>
</x:worksheet>
</file>

<file path=xl/worksheets/sheet21.xml><?xml version="1.0" encoding="utf-8"?>
<x:worksheet xmlns:x="http://schemas.openxmlformats.org/spreadsheetml/2006/main">
  <x:sheetPr>
    <x:tabColor rgb="FF7030A0"/>
  </x:sheetPr>
  <x:sheetViews>
    <x:sheetView showGridLines="0" workbookViewId="0">
      <x:pane xSplit="2" ySplit="5" topLeftCell="C6" activePane="bottomRight" state="frozen"/>
    </x:sheetView>
  </x:sheetViews>
  <x:sheetFormatPr baseColWidth="8" defaultRowHeight="15"/>
  <x:cols>
    <x:col min="1" max="1" width="3" customWidth="1"/>
    <x:col min="2" max="2" width="44" customWidth="1"/>
    <x:col min="3" max="3" width="11" customWidth="1"/>
    <x:col min="4" max="4" width="11" customWidth="1"/>
    <x:col min="5" max="5" width="11" customWidth="1"/>
    <x:col min="6" max="6" width="11" customWidth="1"/>
    <x:col min="7" max="7" width="11" customWidth="1"/>
    <x:col min="8" max="8" width="95" customWidth="1"/>
  </x:cols>
  <x:sheetData>
    <x:row r="1">
      <x:c r="A1" s="18" t="inlineStr">
        <x:is>
          <x:t xml:space="preserve">Pacifica against the world</x:t>
        </x:is>
      </x:c>
    </x:row>
    <x:row r="2">
      <x:c r="A2" s="2" t="inlineStr">
        <x:is>
          <x:t xml:space="preserve">GDP, population and capital ships for benchmark years, in billions of gold dollars at market exchange rates.</x:t>
        </x:is>
      </x:c>
    </x:row>
    <x:row r="3">
      <x:c r="A3" s="19" t="inlineStr">
        <x:is>
          <x:t xml:space="preserve">Pacifica and Japan come from the model. Everyone else is a rounded historical estimate, adjusted where the alternate borders change things (notes at right). Blue = input.</x:t>
        </x:is>
      </x:c>
    </x:row>
    <x:row r="5">
      <x:c r="B5" s="5" t="inlineStr">
        <x:is>
          <x:t xml:space="preserve">Output, $bn (gold dollars)</x:t>
        </x:is>
      </x:c>
      <x:c r="C5" s="71" t="n">
        <x:v>1870</x:v>
      </x:c>
      <x:c r="D5" s="71" t="n">
        <x:v>1900</x:v>
      </x:c>
      <x:c r="E5" s="71" t="n">
        <x:v>1913</x:v>
      </x:c>
      <x:c r="F5" s="71" t="n">
        <x:v>1929</x:v>
      </x:c>
      <x:c r="G5" s="71" t="n">
        <x:v>1932</x:v>
      </x:c>
      <x:c r="H5" s="5" t="inlineStr">
        <x:is>
          <x:t xml:space="preserve">Basis</x:t>
        </x:is>
      </x:c>
    </x:row>
    <x:row r="6">
      <x:c r="B6" s="3" t="inlineStr">
        <x:is>
          <x:t xml:space="preserve">Pacifica (core, incl. the Gulf once it joins)</x:t>
        </x:is>
      </x:c>
      <x:c r="C6" s="16" t="n">
        <x:f>INDEX(Economy!$O$6:$O$92,MATCH(C$5,Economy!$A$6:$A$92,0))/1000</x:f>
        <x:v>0.514476949344264</x:v>
      </x:c>
      <x:c r="D6" s="16" t="n">
        <x:f>INDEX(Economy!$O$6:$O$92,MATCH(D$5,Economy!$A$6:$A$92,0))/1000</x:f>
        <x:v>4.030993042012734</x:v>
      </x:c>
      <x:c r="E6" s="16" t="n">
        <x:f>INDEX(Economy!$O$6:$O$92,MATCH(E$5,Economy!$A$6:$A$92,0))/1000</x:f>
        <x:v>13.236367352670444</x:v>
      </x:c>
      <x:c r="F6" s="16" t="n">
        <x:f>INDEX(Economy!$O$6:$O$92,MATCH(F$5,Economy!$A$6:$A$92,0))/1000</x:f>
        <x:v>50.54824095734033</x:v>
      </x:c>
      <x:c r="G6" s="16" t="n">
        <x:f>INDEX(Economy!$O$6:$O$92,MATCH(G$5,Economy!$A$6:$A$92,0))/1000</x:f>
        <x:v>39.30556253422824</x:v>
      </x:c>
      <x:c r="H6" s="72" t="inlineStr">
        <x:is>
          <x:t xml:space="preserve">From the model (Economy sheet).</x:t>
        </x:is>
      </x:c>
    </x:row>
    <x:row r="7">
      <x:c r="B7" s="9" t="inlineStr">
        <x:is>
          <x:t xml:space="preserve">Japan</x:t>
        </x:is>
      </x:c>
      <x:c r="C7" s="16" t="n">
        <x:f>INDEX(Japan!$D$6:$D$92,MATCH(C$5,Japan!$A$6:$A$92,0))/1000</x:f>
        <x:v>0.47300125025561907</x:v>
      </x:c>
      <x:c r="D7" s="16" t="n">
        <x:f>INDEX(Japan!$D$6:$D$92,MATCH(D$5,Japan!$A$6:$A$92,0))/1000</x:f>
        <x:v>1.8456540706348594</x:v>
      </x:c>
      <x:c r="E7" s="16" t="n">
        <x:f>INDEX(Japan!$D$6:$D$92,MATCH(E$5,Japan!$A$6:$A$92,0))/1000</x:f>
        <x:v>4.840050183749647</x:v>
      </x:c>
      <x:c r="F7" s="16" t="n">
        <x:f>INDEX(Japan!$D$6:$D$92,MATCH(F$5,Japan!$A$6:$A$92,0))/1000</x:f>
        <x:v>20.54118843029949</x:v>
      </x:c>
      <x:c r="G7" s="16" t="n">
        <x:f>INDEX(Japan!$D$6:$D$92,MATCH(G$5,Japan!$A$6:$A$92,0))/1000</x:f>
        <x:v>17.265390431674696</x:v>
      </x:c>
      <x:c r="H7" s="72" t="inlineStr">
        <x:is>
          <x:t xml:space="preserve">From the model (Japan sheet).</x:t>
        </x:is>
      </x:c>
    </x:row>
    <x:row r="8">
      <x:c r="B8" s="3" t="inlineStr">
        <x:is>
          <x:t xml:space="preserve">Pacifica + Japan (the 1927 Concord)</x:t>
        </x:is>
      </x:c>
      <x:c r="C8" s="73" t="n">
        <x:f>C6+C7</x:f>
        <x:v>0.9874781995998831</x:v>
      </x:c>
      <x:c r="D8" s="73" t="n">
        <x:f>D6+D7</x:f>
        <x:v>5.876647112647594</x:v>
      </x:c>
      <x:c r="E8" s="73" t="n">
        <x:f>E6+E7</x:f>
        <x:v>18.07641753642009</x:v>
      </x:c>
      <x:c r="F8" s="73" t="n">
        <x:f>F6+F7</x:f>
        <x:v>71.08942938763983</x:v>
      </x:c>
      <x:c r="G8" s="73" t="n">
        <x:f>G6+G7</x:f>
        <x:v>56.57095296590293</x:v>
      </x:c>
      <x:c r="H8" s="72" t="inlineStr">
        <x:is>
          <x:t xml:space="preserve"/>
        </x:is>
      </x:c>
    </x:row>
    <x:row r="9">
      <x:c r="B9" s="9" t="inlineStr">
        <x:is>
          <x:t xml:space="preserve">Philippine crown</x:t>
        </x:is>
      </x:c>
      <x:c r="C9" s="16" t="n">
        <x:f>INDEX(Partners!$Y$6:$Y$92,MATCH(C$5,Partners!$A$6:$A$92,0))/1000</x:f>
        <x:v>0</x:v>
      </x:c>
      <x:c r="D9" s="16" t="n">
        <x:f>INDEX(Partners!$Y$6:$Y$92,MATCH(D$5,Partners!$A$6:$A$92,0))/1000</x:f>
        <x:v>0.3236117983235984</x:v>
      </x:c>
      <x:c r="E9" s="16" t="n">
        <x:f>INDEX(Partners!$Y$6:$Y$92,MATCH(E$5,Partners!$A$6:$A$92,0))/1000</x:f>
        <x:v>0.6465487107845189</x:v>
      </x:c>
      <x:c r="F9" s="16" t="n">
        <x:f>INDEX(Partners!$Y$6:$Y$92,MATCH(F$5,Partners!$A$6:$A$92,0))/1000</x:f>
        <x:v>2.498086398944248</x:v>
      </x:c>
      <x:c r="G9" s="16" t="n">
        <x:f>INDEX(Partners!$Y$6:$Y$92,MATCH(G$5,Partners!$A$6:$A$92,0))/1000</x:f>
        <x:v>1.9329702148583259</x:v>
      </x:c>
      <x:c r="H9" s="72" t="inlineStr">
        <x:is>
          <x:t xml:space="preserve">From the Partners sheet (CR-020 B14).</x:t>
        </x:is>
      </x:c>
    </x:row>
    <x:row r="10">
      <x:c r="B10" s="9" t="inlineStr">
        <x:is>
          <x:t xml:space="preserve">Gulf Republic (allied, from 1900)</x:t>
        </x:is>
      </x:c>
      <x:c r="C10" s="16" t="n">
        <x:f>IF(INDEX(Gulf!$E$6:$E$92,MATCH(C$5,Gulf!$A$6:$A$92,0))=1,0,INDEX(Gulf!$D$6:$D$92,MATCH(C$5,Gulf!$A$6:$A$92,0))/1000)</x:f>
        <x:v>0</x:v>
      </x:c>
      <x:c r="D10" s="16" t="n">
        <x:f>IF(INDEX(Gulf!$E$6:$E$92,MATCH(D$5,Gulf!$A$6:$A$92,0))=1,0,INDEX(Gulf!$D$6:$D$92,MATCH(D$5,Gulf!$A$6:$A$92,0))/1000)</x:f>
        <x:v>0.8703479999999998</x:v>
      </x:c>
      <x:c r="E10" s="16" t="n">
        <x:f>IF(INDEX(Gulf!$E$6:$E$92,MATCH(E$5,Gulf!$A$6:$A$92,0))=1,0,INDEX(Gulf!$D$6:$D$92,MATCH(E$5,Gulf!$A$6:$A$92,0))/1000)</x:f>
        <x:v>2.2993711570098982</x:v>
      </x:c>
      <x:c r="F10" s="16" t="n">
        <x:f>IF(INDEX(Gulf!$E$6:$E$92,MATCH(F$5,Gulf!$A$6:$A$92,0))=1,0,INDEX(Gulf!$D$6:$D$92,MATCH(F$5,Gulf!$A$6:$A$92,0))/1000)</x:f>
        <x:v>7.499885766764052</x:v>
      </x:c>
      <x:c r="G10" s="16" t="n">
        <x:f>IF(INDEX(Gulf!$E$6:$E$92,MATCH(G$5,Gulf!$A$6:$A$92,0))=1,0,INDEX(Gulf!$D$6:$D$92,MATCH(G$5,Gulf!$A$6:$A$92,0))/1000)</x:f>
        <x:v>4.225394052630801</x:v>
      </x:c>
      <x:c r="H10" s="72" t="inlineStr">
        <x:is>
          <x:t xml:space="preserve">From the Gulf sheet. Zero once the Gulf joins Pacifica, because it is then inside Pacifica's row.</x:t>
        </x:is>
      </x:c>
    </x:row>
    <x:row r="11">
      <x:c r="B11" s="9" t="inlineStr">
        <x:is>
          <x:t xml:space="preserve">Siberian Republic (from 1921)</x:t>
        </x:is>
      </x:c>
      <x:c r="C11" s="16" t="n">
        <x:f>INDEX(Partners!$AG$6:$AG$92,MATCH(C$5,Partners!$A$6:$A$92,0))/1000</x:f>
        <x:v>0</x:v>
      </x:c>
      <x:c r="D11" s="16" t="n">
        <x:f>INDEX(Partners!$AG$6:$AG$92,MATCH(D$5,Partners!$A$6:$A$92,0))/1000</x:f>
        <x:v>0</x:v>
      </x:c>
      <x:c r="E11" s="16" t="n">
        <x:f>INDEX(Partners!$AG$6:$AG$92,MATCH(E$5,Partners!$A$6:$A$92,0))/1000</x:f>
        <x:v>0</x:v>
      </x:c>
      <x:c r="F11" s="16" t="n">
        <x:f>INDEX(Partners!$AG$6:$AG$92,MATCH(F$5,Partners!$A$6:$A$92,0))/1000</x:f>
        <x:v>1.6811995825808752</x:v>
      </x:c>
      <x:c r="G11" s="16" t="n">
        <x:f>INDEX(Partners!$AG$6:$AG$92,MATCH(G$5,Partners!$A$6:$A$92,0))/1000</x:f>
        <x:v>1.4125101442361898</x:v>
      </x:c>
      <x:c r="H11" s="72" t="inlineStr">
        <x:is>
          <x:t xml:space="preserve">From the Partners sheet (CR-020 B14).</x:t>
        </x:is>
      </x:c>
    </x:row>
    <x:row r="12">
      <x:c r="B12" s="3" t="inlineStr">
        <x:is>
          <x:t xml:space="preserve">The Pacific order</x:t>
        </x:is>
      </x:c>
      <x:c r="C12" s="73" t="n">
        <x:f>C8+C9+C10+C11</x:f>
        <x:v>0.9874781995998831</x:v>
      </x:c>
      <x:c r="D12" s="73" t="n">
        <x:f>D8+D9+D10+D11</x:f>
        <x:v>7.0706069109711915</x:v>
      </x:c>
      <x:c r="E12" s="73" t="n">
        <x:f>E8+E9+E10+E11</x:f>
        <x:v>21.022337404214507</x:v>
      </x:c>
      <x:c r="F12" s="73" t="n">
        <x:f>F8+F9+F10+F11</x:f>
        <x:v>82.768601135929</x:v>
      </x:c>
      <x:c r="G12" s="73" t="n">
        <x:f>G8+G9+G10+G11</x:f>
        <x:v>64.14182737762826</x:v>
      </x:c>
      <x:c r="H12" s="72" t="inlineStr">
        <x:is>
          <x:t xml:space="preserve">The Pacific Concord of Pacifica and Japan, plus the Philippine crown and the allied Gulf and Siberian republics.</x:t>
        </x:is>
      </x:c>
    </x:row>
    <x:row r="13">
      <x:c r="B13" s="3" t="inlineStr">
        <x:is>
          <x:t xml:space="preserve">The Union (United States)</x:t>
        </x:is>
      </x:c>
      <x:c r="C13" s="16" t="n">
        <x:f>INDEX(Labour!$BK$6:$BK$92,MATCH(C$5,Labour!$A$6:$A$92,0))/1000</x:f>
        <x:v>5.613978998721888</x:v>
      </x:c>
      <x:c r="D13" s="16" t="n">
        <x:f>INDEX(Labour!$BK$6:$BK$92,MATCH(D$5,Labour!$A$6:$A$92,0))/1000</x:f>
        <x:v>15.229335013673296</x:v>
      </x:c>
      <x:c r="E13" s="16" t="n">
        <x:f>INDEX(Labour!$BK$6:$BK$92,MATCH(E$5,Labour!$A$6:$A$92,0))/1000</x:f>
        <x:v>29.28086739301478</x:v>
      </x:c>
      <x:c r="F13" s="16" t="n">
        <x:f>INDEX(Labour!$BK$6:$BK$92,MATCH(F$5,Labour!$A$6:$A$92,0))/1000</x:f>
        <x:v>71.37906698801169</x:v>
      </x:c>
      <x:c r="G13" s="16" t="n">
        <x:f>INDEX(Labour!$BK$6:$BK$92,MATCH(G$5,Labour!$A$6:$A$92,0))/1000</x:f>
        <x:v>36.787734824098536</x:v>
      </x:c>
      <x:c r="H13" s="72" t="inlineStr">
        <x:is>
          <x:t xml:space="preserve">Modelled year by year on the Labour sheet (CR-020 B12): historical output of the states it holds, less everything Pacifica draws away.</x:t>
        </x:is>
      </x:c>
    </x:row>
    <x:row r="14">
      <x:c r="B14" s="9" t="inlineStr">
        <x:is>
          <x:t xml:space="preserve">Confederacy</x:t>
        </x:is>
      </x:c>
      <x:c r="C14" s="74" t="n">
        <x:f>C$41*(C$45+C$46+IF(C$5&lt;1900,C$44,0))*C$52</x:f>
        <x:v>0.792</x:v>
      </x:c>
      <x:c r="D14" s="74" t="n">
        <x:f>D$41*(D$45+D$46+IF(D$5&lt;1900,D$44,0))*D$52</x:f>
        <x:v>0.6732</x:v>
      </x:c>
      <x:c r="E14" s="74" t="n">
        <x:f>E$41*(E$45+E$46+IF(E$5&lt;1900,E$44,0))*E$52</x:f>
        <x:v>1.47798</x:v>
      </x:c>
      <x:c r="F14" s="74" t="n">
        <x:f>F$41*(F$45+F$46+IF(F$5&lt;1900,F$44,0))*F$52</x:f>
        <x:v>3.7656</x:v>
      </x:c>
      <x:c r="G14" s="74" t="n">
        <x:f>G$41*(G$45+G$46+IF(G$5&lt;1900,G$44,0))*G$52</x:f>
        <x:v>2.0349000000000004</x:v>
      </x:c>
      <x:c r="H14" s="72" t="inlineStr">
        <x:is>
          <x:t xml:space="preserve">1870 includes the Gulf states and Virginia/North Carolina; from 1900 the rump of five states.</x:t>
        </x:is>
      </x:c>
    </x:row>
    <x:row r="15">
      <x:c r="B15" s="3" t="inlineStr">
        <x:is>
          <x:t xml:space="preserve">Britain</x:t>
        </x:is>
      </x:c>
      <x:c r="C15" s="73" t="n">
        <x:f>C$53</x:f>
        <x:v>4.9</x:v>
      </x:c>
      <x:c r="D15" s="73" t="n">
        <x:f>D$53</x:f>
        <x:v>9.4</x:v>
      </x:c>
      <x:c r="E15" s="73" t="n">
        <x:f>E$53</x:f>
        <x:v>12.2</x:v>
      </x:c>
      <x:c r="F15" s="73" t="n">
        <x:f>F$53</x:f>
        <x:v>22.9</x:v>
      </x:c>
      <x:c r="G15" s="73" t="n">
        <x:f>G$53</x:f>
        <x:v>15.3</x:v>
      </x:c>
      <x:c r="H15" s="72" t="inlineStr">
        <x:is>
          <x:t xml:space="preserve"/>
        </x:is>
      </x:c>
    </x:row>
    <x:row r="16">
      <x:c r="B16" s="9" t="inlineStr">
        <x:is>
          <x:t xml:space="preserve">Germany</x:t>
        </x:is>
      </x:c>
      <x:c r="C16" s="74" t="n">
        <x:f>C$54</x:f>
        <x:v>3.3</x:v>
      </x:c>
      <x:c r="D16" s="74" t="n">
        <x:f>D$54</x:f>
        <x:v>7.9</x:v>
      </x:c>
      <x:c r="E16" s="74" t="n">
        <x:f>E$54</x:f>
        <x:v>12.4</x:v>
      </x:c>
      <x:c r="F16" s="74" t="n">
        <x:f>F$54</x:f>
        <x:v>23.3</x:v>
      </x:c>
      <x:c r="G16" s="74" t="n">
        <x:f>G$54</x:f>
        <x:v>15.2</x:v>
      </x:c>
      <x:c r="H16" s="72" t="inlineStr">
        <x:is>
          <x:t xml:space="preserve"/>
        </x:is>
      </x:c>
    </x:row>
    <x:row r="17">
      <x:c r="B17" s="9" t="inlineStr">
        <x:is>
          <x:t xml:space="preserve">France</x:t>
        </x:is>
      </x:c>
      <x:c r="C17" s="74" t="n">
        <x:f>C$55</x:f>
        <x:v>4.2</x:v>
      </x:c>
      <x:c r="D17" s="74" t="n">
        <x:f>D$55</x:f>
        <x:v>6.4</x:v>
      </x:c>
      <x:c r="E17" s="74" t="n">
        <x:f>E$55</x:f>
        <x:v>10</x:v>
      </x:c>
      <x:c r="F17" s="74" t="n">
        <x:f>F$55</x:f>
        <x:v>16.7</x:v>
      </x:c>
      <x:c r="G17" s="74" t="n">
        <x:f>G$55</x:f>
        <x:v>14.2</x:v>
      </x:c>
      <x:c r="H17" s="72" t="inlineStr">
        <x:is>
          <x:t xml:space="preserve"/>
        </x:is>
      </x:c>
    </x:row>
    <x:row r="18">
      <x:c r="B18" s="9" t="inlineStr">
        <x:is>
          <x:t xml:space="preserve">Russia / USSR</x:t>
        </x:is>
      </x:c>
      <x:c r="C18" s="74" t="n">
        <x:f>C$56</x:f>
        <x:v>5</x:v>
      </x:c>
      <x:c r="D18" s="74" t="n">
        <x:f>D$56</x:f>
        <x:v>8</x:v>
      </x:c>
      <x:c r="E18" s="74" t="n">
        <x:f>E$56</x:f>
        <x:v>10.3</x:v>
      </x:c>
      <x:c r="F18" s="74" t="n">
        <x:f>F$56</x:f>
        <x:v>8</x:v>
      </x:c>
      <x:c r="G18" s="74" t="n">
        <x:f>G$56</x:f>
        <x:v>7</x:v>
      </x:c>
      <x:c r="H18" s="72" t="inlineStr">
        <x:is>
          <x:t xml:space="preserve"/>
        </x:is>
      </x:c>
    </x:row>
    <x:row r="19">
      <x:c r="B19" s="9" t="inlineStr">
        <x:is>
          <x:t xml:space="preserve">China</x:t>
        </x:is>
      </x:c>
      <x:c r="C19" s="16" t="n">
        <x:f>INDEX(Partners!$AO$6:$AO$92,MATCH(C$5,Partners!$A$6:$A$92,0))/1000</x:f>
        <x:v>3.564063780193213</x:v>
      </x:c>
      <x:c r="D19" s="16" t="n">
        <x:f>INDEX(Partners!$AO$6:$AO$92,MATCH(D$5,Partners!$A$6:$A$92,0))/1000</x:f>
        <x:v>4.723930952936993</x:v>
      </x:c>
      <x:c r="E19" s="16" t="n">
        <x:f>INDEX(Partners!$AO$6:$AO$92,MATCH(E$5,Partners!$A$6:$A$92,0))/1000</x:f>
        <x:v>6.619895721490614</x:v>
      </x:c>
      <x:c r="F19" s="16" t="n">
        <x:f>INDEX(Partners!$AO$6:$AO$92,MATCH(F$5,Partners!$A$6:$A$92,0))/1000</x:f>
        <x:v>13.000264338607627</x:v>
      </x:c>
      <x:c r="G19" s="16" t="n">
        <x:f>INDEX(Partners!$AO$6:$AO$92,MATCH(G$5,Partners!$A$6:$A$92,0))/1000</x:f>
        <x:v>11.887033745601073</x:v>
      </x:c>
      <x:c r="H19" s="72" t="inlineStr">
        <x:is>
          <x:t xml:space="preserve">From the Partners sheet (CR-020 B15). Outside the order.</x:t>
        </x:is>
      </x:c>
    </x:row>
    <x:row r="20">
      <x:c r="B20" s="9" t="inlineStr">
        <x:is>
          <x:t xml:space="preserve">Korea</x:t>
        </x:is>
      </x:c>
      <x:c r="C20" s="16" t="n">
        <x:f>INDEX(Partners!$AW$6:$AW$92,MATCH(C$5,Partners!$A$6:$A$92,0))/1000</x:f>
        <x:v>0.15</x:v>
      </x:c>
      <x:c r="D20" s="16" t="n">
        <x:f>INDEX(Partners!$AW$6:$AW$92,MATCH(D$5,Partners!$A$6:$A$92,0))/1000</x:f>
        <x:v>0.30154397549062706</x:v>
      </x:c>
      <x:c r="E20" s="16" t="n">
        <x:f>INDEX(Partners!$AW$6:$AW$92,MATCH(E$5,Partners!$A$6:$A$92,0))/1000</x:f>
        <x:v>0.5863797612506111</x:v>
      </x:c>
      <x:c r="F20" s="16" t="n">
        <x:f>INDEX(Partners!$AW$6:$AW$92,MATCH(F$5,Partners!$A$6:$A$92,0))/1000</x:f>
        <x:v>1.9421217971922535</x:v>
      </x:c>
      <x:c r="G20" s="16" t="n">
        <x:f>INDEX(Partners!$AW$6:$AW$92,MATCH(G$5,Partners!$A$6:$A$92,0))/1000</x:f>
        <x:v>1.6379312705739046</x:v>
      </x:c>
      <x:c r="H20" s="72" t="inlineStr">
        <x:is>
          <x:t xml:space="preserve">Under the Pacifican guarantee; outside the order.</x:t>
        </x:is>
      </x:c>
    </x:row>
    <x:row r="21">
      <x:c r="B21" s="9" t="inlineStr">
        <x:is>
          <x:t xml:space="preserve">Southeast Asia</x:t>
        </x:is>
      </x:c>
      <x:c r="C21" s="16" t="n">
        <x:f>INDEX(Partners!$BE$6:$BE$92,MATCH(C$5,Partners!$A$6:$A$92,0))/1000</x:f>
        <x:v>0.9</x:v>
      </x:c>
      <x:c r="D21" s="16" t="n">
        <x:f>INDEX(Partners!$BE$6:$BE$92,MATCH(D$5,Partners!$A$6:$A$92,0))/1000</x:f>
        <x:v>2.0875930169301236</x:v>
      </x:c>
      <x:c r="E21" s="16" t="n">
        <x:f>INDEX(Partners!$BE$6:$BE$92,MATCH(E$5,Partners!$A$6:$A$92,0))/1000</x:f>
        <x:v>3.292450192306286</x:v>
      </x:c>
      <x:c r="F21" s="16" t="n">
        <x:f>INDEX(Partners!$BE$6:$BE$92,MATCH(F$5,Partners!$A$6:$A$92,0))/1000</x:f>
        <x:v>7.360987103429253</x:v>
      </x:c>
      <x:c r="G21" s="16" t="n">
        <x:f>INDEX(Partners!$BE$6:$BE$92,MATCH(G$5,Partners!$A$6:$A$92,0))/1000</x:f>
        <x:v>4.409338834518783</x:v>
      </x:c>
      <x:c r="H21" s="72" t="inlineStr">
        <x:is>
          <x:t xml:space="preserve"/>
        </x:is>
      </x:c>
    </x:row>
    <x:row r="22">
      <x:c r="B22" s="9" t="inlineStr">
        <x:is>
          <x:t xml:space="preserve">Mexico and Pacific South America</x:t>
        </x:is>
      </x:c>
      <x:c r="C22" s="16" t="n">
        <x:f>INDEX(Partners!$BM$6:$BM$92,MATCH(C$5,Partners!$A$6:$A$92,0))/1000</x:f>
        <x:v>1</x:v>
      </x:c>
      <x:c r="D22" s="16" t="n">
        <x:f>INDEX(Partners!$BM$6:$BM$92,MATCH(D$5,Partners!$A$6:$A$92,0))/1000</x:f>
        <x:v>2.3305262360827244</x:v>
      </x:c>
      <x:c r="E22" s="16" t="n">
        <x:f>INDEX(Partners!$BM$6:$BM$92,MATCH(E$5,Partners!$A$6:$A$92,0))/1000</x:f>
        <x:v>4.1692482522469065</x:v>
      </x:c>
      <x:c r="F22" s="16" t="n">
        <x:f>INDEX(Partners!$BM$6:$BM$92,MATCH(F$5,Partners!$A$6:$A$92,0))/1000</x:f>
        <x:v>8.970148581261935</x:v>
      </x:c>
      <x:c r="G22" s="16" t="n">
        <x:f>INDEX(Partners!$BM$6:$BM$92,MATCH(G$5,Partners!$A$6:$A$92,0))/1000</x:f>
        <x:v>5.27240766978633</x:v>
      </x:c>
      <x:c r="H22" s="72" t="inlineStr">
        <x:is>
          <x:t xml:space="preserve"/>
        </x:is>
      </x:c>
    </x:row>
    <x:row r="23">
      <x:c r="B23" s="9" t="inlineStr">
        <x:is>
          <x:t xml:space="preserve">Persian Gulf and Middle East</x:t>
        </x:is>
      </x:c>
      <x:c r="C23" s="16" t="n">
        <x:f>INDEX(Partners!$BU$6:$BU$92,MATCH(C$5,Partners!$A$6:$A$92,0))/1000</x:f>
        <x:v>0.5</x:v>
      </x:c>
      <x:c r="D23" s="16" t="n">
        <x:f>INDEX(Partners!$BU$6:$BU$92,MATCH(D$5,Partners!$A$6:$A$92,0))/1000</x:f>
        <x:v>0.8</x:v>
      </x:c>
      <x:c r="E23" s="16" t="n">
        <x:f>INDEX(Partners!$BU$6:$BU$92,MATCH(E$5,Partners!$A$6:$A$92,0))/1000</x:f>
        <x:v>1.1176910097123263</x:v>
      </x:c>
      <x:c r="F23" s="16" t="n">
        <x:f>INDEX(Partners!$BU$6:$BU$92,MATCH(F$5,Partners!$A$6:$A$92,0))/1000</x:f>
        <x:v>1.9611366837210822</x:v>
      </x:c>
      <x:c r="G23" s="16" t="n">
        <x:f>INDEX(Partners!$BU$6:$BU$92,MATCH(G$5,Partners!$A$6:$A$92,0))/1000</x:f>
        <x:v>1.5566969792720078</x:v>
      </x:c>
      <x:c r="H23" s="72" t="inlineStr">
        <x:is>
          <x:t xml:space="preserve"/>
        </x:is>
      </x:c>
    </x:row>
    <x:row r="25">
      <x:c r="B25" s="5" t="inlineStr">
        <x:is>
          <x:t xml:space="preserve">Ratios</x:t>
        </x:is>
      </x:c>
      <x:c r="C25" s="71" t="n">
        <x:v>1870</x:v>
      </x:c>
      <x:c r="D25" s="71" t="n">
        <x:v>1900</x:v>
      </x:c>
      <x:c r="E25" s="71" t="n">
        <x:v>1913</x:v>
      </x:c>
      <x:c r="F25" s="71" t="n">
        <x:v>1929</x:v>
      </x:c>
      <x:c r="G25" s="71" t="n">
        <x:v>1932</x:v>
      </x:c>
      <x:c r="H25" s="5" t="inlineStr">
        <x:is>
          <x:t xml:space="preserve">Basis</x:t>
        </x:is>
      </x:c>
    </x:row>
    <x:row r="26">
      <x:c r="B26" s="9" t="inlineStr">
        <x:is>
          <x:t xml:space="preserve">Pacifica / Britain</x:t>
        </x:is>
      </x:c>
      <x:c r="C26" s="75" t="n">
        <x:f>C6/C15</x:f>
        <x:v>0.10499529578454367</x:v>
      </x:c>
      <x:c r="D26" s="75" t="n">
        <x:f>D6/D15</x:f>
        <x:v>0.4288290470226313</x:v>
      </x:c>
      <x:c r="E26" s="75" t="n">
        <x:f>E6/E15</x:f>
        <x:v>1.0849481436615118</x:v>
      </x:c>
      <x:c r="F26" s="75" t="n">
        <x:f>F6/F15</x:f>
        <x:v>2.2073467666960847</x:v>
      </x:c>
      <x:c r="G26" s="75" t="n">
        <x:f>G6/G15</x:f>
        <x:v>2.568991015309035</x:v>
      </x:c>
      <x:c r="H26" s="72" t="inlineStr">
        <x:is>
          <x:t xml:space="preserve"/>
        </x:is>
      </x:c>
    </x:row>
    <x:row r="27">
      <x:c r="B27" s="3" t="inlineStr">
        <x:is>
          <x:t xml:space="preserve">Pacifica + Japan / Britain</x:t>
        </x:is>
      </x:c>
      <x:c r="C27" s="32" t="n">
        <x:f>C8/C15</x:f>
        <x:v>0.2015261631836496</x:v>
      </x:c>
      <x:c r="D27" s="32" t="n">
        <x:f>D8/D15</x:f>
        <x:v>0.625175224749744</x:v>
      </x:c>
      <x:c r="E27" s="32" t="n">
        <x:f>E8/E15</x:f>
        <x:v>1.481673568559024</x:v>
      </x:c>
      <x:c r="F27" s="32" t="n">
        <x:f>F8/F15</x:f>
        <x:v>3.104341894656761</x:v>
      </x:c>
      <x:c r="G27" s="32" t="n">
        <x:f>G8/G15</x:f>
        <x:v>3.6974479062681653</x:v>
      </x:c>
      <x:c r="H27" s="72" t="inlineStr">
        <x:is>
          <x:t xml:space="preserve"/>
        </x:is>
      </x:c>
    </x:row>
    <x:row r="28">
      <x:c r="B28" s="9" t="inlineStr">
        <x:is>
          <x:t xml:space="preserve">Pacifica / the Union</x:t>
        </x:is>
      </x:c>
      <x:c r="C28" s="75" t="n">
        <x:f>C6/C13</x:f>
        <x:v>0.09164212218488757</x:v>
      </x:c>
      <x:c r="D28" s="75" t="n">
        <x:f>D6/D13</x:f>
        <x:v>0.26468608369266305</x:v>
      </x:c>
      <x:c r="E28" s="75" t="n">
        <x:f>E6/E13</x:f>
        <x:v>0.4520483350103249</x:v>
      </x:c>
      <x:c r="F28" s="75" t="n">
        <x:f>F6/F13</x:f>
        <x:v>0.7081661765882994</x:v>
      </x:c>
      <x:c r="G28" s="75" t="n">
        <x:f>G6/G13</x:f>
        <x:v>1.0684420424951075</x:v>
      </x:c>
      <x:c r="H28" s="72" t="inlineStr">
        <x:is>
          <x:t xml:space="preserve"/>
        </x:is>
      </x:c>
    </x:row>
    <x:row r="29">
      <x:c r="B29" s="3" t="inlineStr">
        <x:is>
          <x:t xml:space="preserve">Pacific order / the Union</x:t>
        </x:is>
      </x:c>
      <x:c r="C29" s="32" t="n">
        <x:f>C12/C13</x:f>
        <x:v>0.17589631165786304</x:v>
      </x:c>
      <x:c r="D29" s="32" t="n">
        <x:f>D12/D13</x:f>
        <x:v>0.46427548574005467</x:v>
      </x:c>
      <x:c r="E29" s="32" t="n">
        <x:f>E12/E13</x:f>
        <x:v>0.7179547354949457</x:v>
      </x:c>
      <x:c r="F29" s="32" t="n">
        <x:f>F12/F13</x:f>
        <x:v>1.1595640658882558</x:v>
      </x:c>
      <x:c r="G29" s="32" t="n">
        <x:f>G12/G13</x:f>
        <x:v>1.743565557496921</x:v>
      </x:c>
      <x:c r="H29" s="72" t="inlineStr">
        <x:is>
          <x:t xml:space="preserve"/>
        </x:is>
      </x:c>
    </x:row>
    <x:row r="30">
      <x:c r="B30" s="9" t="inlineStr">
        <x:is>
          <x:t xml:space="preserve">Pacific order / Britain + Germany + France</x:t>
        </x:is>
      </x:c>
      <x:c r="C30" s="75" t="n">
        <x:f>C12/(C15+C16+C17)</x:f>
        <x:v>0.07963533867740993</x:v>
      </x:c>
      <x:c r="D30" s="75" t="n">
        <x:f>D12/(D15+D16+D17)</x:f>
        <x:v>0.298337844344776</x:v>
      </x:c>
      <x:c r="E30" s="75" t="n">
        <x:f>E12/(E15+E16+E17)</x:f>
        <x:v>0.6075820059021534</x:v>
      </x:c>
      <x:c r="F30" s="75" t="n">
        <x:f>F12/(F15+F16+F17)</x:f>
        <x:v>1.3158760116999841</x:v>
      </x:c>
      <x:c r="G30" s="75" t="n">
        <x:f>G12/(G15+G16+G17)</x:f>
        <x:v>1.4349402097903412</x:v>
      </x:c>
      <x:c r="H30" s="72" t="inlineStr">
        <x:is>
          <x:t xml:space="preserve"/>
        </x:is>
      </x:c>
    </x:row>
    <x:row r="32">
      <x:c r="B32" s="5" t="inlineStr">
        <x:is>
          <x:t xml:space="preserve">Population, millions</x:t>
        </x:is>
      </x:c>
      <x:c r="C32" s="71" t="n">
        <x:v>1870</x:v>
      </x:c>
      <x:c r="D32" s="71" t="n">
        <x:v>1900</x:v>
      </x:c>
      <x:c r="E32" s="71" t="n">
        <x:v>1913</x:v>
      </x:c>
      <x:c r="F32" s="71" t="n">
        <x:v>1929</x:v>
      </x:c>
      <x:c r="G32" s="71" t="n">
        <x:v>1932</x:v>
      </x:c>
      <x:c r="H32" s="5" t="inlineStr">
        <x:is>
          <x:t xml:space="preserve">Basis</x:t>
        </x:is>
      </x:c>
    </x:row>
    <x:row r="33">
      <x:c r="B33" s="9" t="inlineStr">
        <x:is>
          <x:t xml:space="preserve">Pacifica (core, incl. the Gulf once it joins)</x:t>
        </x:is>
      </x:c>
      <x:c r="C33" s="16" t="n">
        <x:f>INDEX(People!$X$6:$X$92,MATCH(C$5,People!$A$6:$A$92,0))/1000000</x:f>
        <x:v>1.771149592509705</x:v>
      </x:c>
      <x:c r="D33" s="16" t="n">
        <x:f>INDEX(People!$X$6:$X$92,MATCH(D$5,People!$A$6:$A$92,0))/1000000</x:f>
        <x:v>8.457102173784174</x:v>
      </x:c>
      <x:c r="E33" s="16" t="n">
        <x:f>INDEX(People!$X$6:$X$92,MATCH(E$5,People!$A$6:$A$92,0))/1000000</x:f>
        <x:v>15.772783704024933</x:v>
      </x:c>
      <x:c r="F33" s="16" t="n">
        <x:f>INDEX(People!$X$6:$X$92,MATCH(F$5,People!$A$6:$A$92,0))/1000000</x:f>
        <x:v>26.607206601660014</x:v>
      </x:c>
      <x:c r="G33" s="16" t="n">
        <x:f>INDEX(People!$X$6:$X$92,MATCH(G$5,People!$A$6:$A$92,0))/1000000</x:f>
        <x:v>28.080168716545337</x:v>
      </x:c>
      <x:c r="H33" s="72" t="inlineStr">
        <x:is>
          <x:t xml:space="preserve"/>
        </x:is>
      </x:c>
    </x:row>
    <x:row r="34">
      <x:c r="B34" s="9" t="inlineStr">
        <x:is>
          <x:t xml:space="preserve">Japan</x:t>
        </x:is>
      </x:c>
      <x:c r="C34" s="74" t="n">
        <x:f>C$57</x:f>
        <x:v>34.8</x:v>
      </x:c>
      <x:c r="D34" s="74" t="n">
        <x:f>D$57</x:f>
        <x:v>44</x:v>
      </x:c>
      <x:c r="E34" s="74" t="n">
        <x:f>E$57</x:f>
        <x:v>51.3</x:v>
      </x:c>
      <x:c r="F34" s="74" t="n">
        <x:f>F$57</x:f>
        <x:v>63.5</x:v>
      </x:c>
      <x:c r="G34" s="74" t="n">
        <x:f>G$57</x:f>
        <x:v>66.4</x:v>
      </x:c>
      <x:c r="H34" s="72" t="inlineStr">
        <x:is>
          <x:t xml:space="preserve"/>
        </x:is>
      </x:c>
    </x:row>
    <x:row r="35">
      <x:c r="B35" s="9" t="inlineStr">
        <x:is>
          <x:t xml:space="preserve">The Union</x:t>
        </x:is>
      </x:c>
      <x:c r="C35" s="16" t="n">
        <x:f>INDEX(Labour!$AX$6:$AX$92,MATCH(C$5,Labour!$A$6:$A$92,0))</x:f>
        <x:v>29.4</x:v>
      </x:c>
      <x:c r="D35" s="16" t="n">
        <x:f>INDEX(Labour!$AX$6:$AX$92,MATCH(D$5,Labour!$A$6:$A$92,0))</x:f>
        <x:v>58.6986073247563</x:v>
      </x:c>
      <x:c r="E35" s="16" t="n">
        <x:f>INDEX(Labour!$AX$6:$AX$92,MATCH(E$5,Labour!$A$6:$A$92,0))</x:f>
        <x:v>73.42495314998793</x:v>
      </x:c>
      <x:c r="F35" s="16" t="n">
        <x:f>INDEX(Labour!$AX$6:$AX$92,MATCH(F$5,Labour!$A$6:$A$92,0))</x:f>
        <x:v>86.13586872484262</x:v>
      </x:c>
      <x:c r="G35" s="16" t="n">
        <x:f>INDEX(Labour!$AX$6:$AX$92,MATCH(G$5,Labour!$A$6:$A$92,0))</x:f>
        <x:v>88.01456441932655</x:v>
      </x:c>
      <x:c r="H35" s="72" t="inlineStr">
        <x:is>
          <x:t xml:space="preserve"/>
        </x:is>
      </x:c>
    </x:row>
    <x:row r="36">
      <x:c r="B36" s="9" t="inlineStr">
        <x:is>
          <x:t xml:space="preserve">Britain</x:t>
        </x:is>
      </x:c>
      <x:c r="C36" s="74" t="n">
        <x:f>C$58</x:f>
        <x:v>31.3</x:v>
      </x:c>
      <x:c r="D36" s="74" t="n">
        <x:f>D$58</x:f>
        <x:v>41.5</x:v>
      </x:c>
      <x:c r="E36" s="74" t="n">
        <x:f>E$58</x:f>
        <x:v>46</x:v>
      </x:c>
      <x:c r="F36" s="74" t="n">
        <x:f>F$58</x:f>
        <x:v>46</x:v>
      </x:c>
      <x:c r="G36" s="74" t="n">
        <x:f>G$58</x:f>
        <x:v>46.3</x:v>
      </x:c>
      <x:c r="H36" s="72" t="inlineStr">
        <x:is>
          <x:t xml:space="preserve"/>
        </x:is>
      </x:c>
    </x:row>
    <x:row r="37">
      <x:c r="B37" s="9" t="inlineStr">
        <x:is>
          <x:t xml:space="preserve">Germany</x:t>
        </x:is>
      </x:c>
      <x:c r="C37" s="74" t="n">
        <x:f>C$59</x:f>
        <x:v>40.8</x:v>
      </x:c>
      <x:c r="D37" s="74" t="n">
        <x:f>D$59</x:f>
        <x:v>56</x:v>
      </x:c>
      <x:c r="E37" s="74" t="n">
        <x:f>E$59</x:f>
        <x:v>66</x:v>
      </x:c>
      <x:c r="F37" s="74" t="n">
        <x:f>F$59</x:f>
        <x:v>66.5</x:v>
      </x:c>
      <x:c r="G37" s="74" t="n">
        <x:f>G$59</x:f>
        <x:v>67</x:v>
      </x:c>
      <x:c r="H37" s="72" t="inlineStr">
        <x:is>
          <x:t xml:space="preserve"/>
        </x:is>
      </x:c>
    </x:row>
    <x:row r="40">
      <x:c r="B40" s="5" t="inlineStr">
        <x:is>
          <x:t xml:space="preserve">Inputs: historical United States and regional shares</x:t>
        </x:is>
      </x:c>
      <x:c r="C40" s="71" t="n">
        <x:v>1870</x:v>
      </x:c>
      <x:c r="D40" s="71" t="n">
        <x:v>1900</x:v>
      </x:c>
      <x:c r="E40" s="71" t="n">
        <x:v>1913</x:v>
      </x:c>
      <x:c r="F40" s="71" t="n">
        <x:v>1929</x:v>
      </x:c>
      <x:c r="G40" s="71" t="n">
        <x:v>1932</x:v>
      </x:c>
      <x:c r="H40" s="5" t="inlineStr">
        <x:is>
          <x:t xml:space="preserve">Basis</x:t>
        </x:is>
      </x:c>
    </x:row>
    <x:row r="41">
      <x:c r="B41" s="9" t="inlineStr">
        <x:is>
          <x:t xml:space="preserve">United States GDP, historical ($bn)</x:t>
        </x:is>
      </x:c>
      <x:c r="C41" s="76" t="n">
        <x:v>6.6</x:v>
      </x:c>
      <x:c r="D41" s="76" t="n">
        <x:v>18.7</x:v>
      </x:c>
      <x:c r="E41" s="76" t="n">
        <x:v>39.1</x:v>
      </x:c>
      <x:c r="F41" s="76" t="n">
        <x:v>104.6</x:v>
      </x:c>
      <x:c r="G41" s="76" t="n">
        <x:v>59.5</x:v>
      </x:c>
      <x:c r="H41" s="72" t="inlineStr">
        <x:is>
          <x:t xml:space="preserve">MeasuringWorth nominal GDP; 1870 restated in gold dollars.</x:t>
        </x:is>
      </x:c>
    </x:row>
    <x:row r="42">
      <x:c r="B42" s="9" t="inlineStr">
        <x:is>
          <x:t xml:space="preserve">United States population, historical (m)</x:t>
        </x:is>
      </x:c>
      <x:c r="C42" s="76" t="n">
        <x:v>38.6</x:v>
      </x:c>
      <x:c r="D42" s="76" t="n">
        <x:v>76.2</x:v>
      </x:c>
      <x:c r="E42" s="76" t="n">
        <x:v>97.2</x:v>
      </x:c>
      <x:c r="F42" s="76" t="n">
        <x:v>121.8</x:v>
      </x:c>
      <x:c r="G42" s="76" t="n">
        <x:v>124.8</x:v>
      </x:c>
      <x:c r="H42" s="72" t="inlineStr">
        <x:is>
          <x:t xml:space="preserve">Census.</x:t>
        </x:is>
      </x:c>
    </x:row>
    <x:row r="43">
      <x:c r="B43" s="9" t="inlineStr">
        <x:is>
          <x:t xml:space="preserve">Share of US output: the West Pacifica holds</x:t>
        </x:is>
      </x:c>
      <x:c r="C43" s="77" t="n">
        <x:v>0.03</x:v>
      </x:c>
      <x:c r="D43" s="77" t="n">
        <x:v>0.06</x:v>
      </x:c>
      <x:c r="E43" s="77" t="n">
        <x:v>0.08</x:v>
      </x:c>
      <x:c r="F43" s="77" t="n">
        <x:v>0.105</x:v>
      </x:c>
      <x:c r="G43" s="77" t="n">
        <x:v>0.105</x:v>
      </x:c>
      <x:c r="H43" s="72" t="inlineStr">
        <x:is>
          <x:t xml:space="preserve">Pacific and Mountain states less Colorado's Front Range; state personal income shares (Easterlin, BEA).</x:t>
        </x:is>
      </x:c>
    </x:row>
    <x:row r="44">
      <x:c r="B44" s="9" t="inlineStr">
        <x:is>
          <x:t xml:space="preserve">Share of US output: Texas, Louisiana, Arkansas</x:t>
        </x:is>
      </x:c>
      <x:c r="C44" s="77" t="n">
        <x:v>0.035</x:v>
      </x:c>
      <x:c r="D44" s="77" t="n">
        <x:v>0.048</x:v>
      </x:c>
      <x:c r="E44" s="77" t="n">
        <x:v>0.055</x:v>
      </x:c>
      <x:c r="F44" s="77" t="n">
        <x:v>0.06</x:v>
      </x:c>
      <x:c r="G44" s="77" t="n">
        <x:v>0.058</x:v>
      </x:c>
      <x:c r="H44" s="72" t="inlineStr">
        <x:is>
          <x:t xml:space="preserve">State income shares.</x:t>
        </x:is>
      </x:c>
    </x:row>
    <x:row r="45">
      <x:c r="B45" s="9" t="inlineStr">
        <x:is>
          <x:t xml:space="preserve">Share of US output: SC, GA, AL, MS, FL</x:t>
        </x:is>
      </x:c>
      <x:c r="C45" s="77" t="n">
        <x:v>0.05</x:v>
      </x:c>
      <x:c r="D45" s="77" t="n">
        <x:v>0.04</x:v>
      </x:c>
      <x:c r="E45" s="77" t="n">
        <x:v>0.042</x:v>
      </x:c>
      <x:c r="F45" s="77" t="n">
        <x:v>0.04</x:v>
      </x:c>
      <x:c r="G45" s="77" t="n">
        <x:v>0.038</x:v>
      </x:c>
      <x:c r="H45" s="72" t="inlineStr">
        <x:is>
          <x:t xml:space="preserve">State income shares.</x:t>
        </x:is>
      </x:c>
    </x:row>
    <x:row r="46">
      <x:c r="B46" s="9" t="inlineStr">
        <x:is>
          <x:t xml:space="preserve">Share of US output: Virginia, North Carolina (Confederate to 1898)</x:t>
        </x:is>
      </x:c>
      <x:c r="C46" s="77" t="n">
        <x:v>0.035</x:v>
      </x:c>
      <x:c r="D46" s="77" t="n">
        <x:v>0</x:v>
      </x:c>
      <x:c r="E46" s="77" t="n">
        <x:v>0</x:v>
      </x:c>
      <x:c r="F46" s="77" t="n">
        <x:v>0</x:v>
      </x:c>
      <x:c r="G46" s="77" t="n">
        <x:v>0</x:v>
      </x:c>
      <x:c r="H46" s="72" t="inlineStr">
        <x:is>
          <x:t xml:space="preserve">They return to the Union in 1898-99, so zero afterwards.</x:t>
        </x:is>
      </x:c>
    </x:row>
    <x:row r="47">
      <x:c r="B47" s="9" t="inlineStr">
        <x:is>
          <x:t xml:space="preserve">Share of US population: the West</x:t>
        </x:is>
      </x:c>
      <x:c r="C47" s="77" t="n">
        <x:v>0.024</x:v>
      </x:c>
      <x:c r="D47" s="77" t="n">
        <x:v>0.047</x:v>
      </x:c>
      <x:c r="E47" s="77" t="n">
        <x:v>0.058</x:v>
      </x:c>
      <x:c r="F47" s="77" t="n">
        <x:v>0.08699999999999999</x:v>
      </x:c>
      <x:c r="G47" s="77" t="n">
        <x:v>0.08799999999999999</x:v>
      </x:c>
      <x:c r="H47" s="72" t="inlineStr">
        <x:is>
          <x:t xml:space="preserve">Census.</x:t>
        </x:is>
      </x:c>
    </x:row>
    <x:row r="48">
      <x:c r="B48" s="9" t="inlineStr">
        <x:is>
          <x:t xml:space="preserve">Share of US population: Gulf states</x:t>
        </x:is>
      </x:c>
      <x:c r="C48" s="77" t="n">
        <x:v>0.053</x:v>
      </x:c>
      <x:c r="D48" s="77" t="n">
        <x:v>0.075</x:v>
      </x:c>
      <x:c r="E48" s="77" t="n">
        <x:v>0.07199999999999999</x:v>
      </x:c>
      <x:c r="F48" s="77" t="n">
        <x:v>0.08</x:v>
      </x:c>
      <x:c r="G48" s="77" t="n">
        <x:v>0.08</x:v>
      </x:c>
      <x:c r="H48" s="72" t="inlineStr">
        <x:is>
          <x:t xml:space="preserve">Census.</x:t>
        </x:is>
      </x:c>
    </x:row>
    <x:row r="49">
      <x:c r="B49" s="9" t="inlineStr">
        <x:is>
          <x:t xml:space="preserve">Share of US population: rump Confederacy</x:t>
        </x:is>
      </x:c>
      <x:c r="C49" s="77" t="n">
        <x:v>0.101</x:v>
      </x:c>
      <x:c r="D49" s="77" t="n">
        <x:v>0.098</x:v>
      </x:c>
      <x:c r="E49" s="77" t="n">
        <x:v>0.08699999999999999</x:v>
      </x:c>
      <x:c r="F49" s="77" t="n">
        <x:v>0.08799999999999999</x:v>
      </x:c>
      <x:c r="G49" s="77" t="n">
        <x:v>0.08799999999999999</x:v>
      </x:c>
      <x:c r="H49" s="72" t="inlineStr">
        <x:is>
          <x:t xml:space="preserve">Census.</x:t>
        </x:is>
      </x:c>
    </x:row>
    <x:row r="50">
      <x:c r="B50" s="9" t="inlineStr">
        <x:is>
          <x:t xml:space="preserve">Share of US population: Virginia, North Carolina</x:t>
        </x:is>
      </x:c>
      <x:c r="C50" s="77" t="n">
        <x:v>0.06</x:v>
      </x:c>
      <x:c r="D50" s="77" t="n">
        <x:v>0</x:v>
      </x:c>
      <x:c r="E50" s="77" t="n">
        <x:v>0</x:v>
      </x:c>
      <x:c r="F50" s="77" t="n">
        <x:v>0</x:v>
      </x:c>
      <x:c r="G50" s="77" t="n">
        <x:v>0</x:v>
      </x:c>
      <x:c r="H50" s="72" t="inlineStr">
        <x:is>
          <x:t xml:space="preserve">Census.</x:t>
        </x:is>
      </x:c>
    </x:row>
    <x:row r="51">
      <x:c r="B51" s="9" t="inlineStr">
        <x:is>
          <x:t xml:space="preserve">Gulf Republic output vs history</x:t>
        </x:is>
      </x:c>
      <x:c r="C51" s="20" t="n">
        <x:v>1</x:v>
      </x:c>
      <x:c r="D51" s="20" t="n">
        <x:v>1</x:v>
      </x:c>
      <x:c r="E51" s="20" t="n">
        <x:v>1.1</x:v>
      </x:c>
      <x:c r="F51" s="20" t="n">
        <x:v>1.1</x:v>
      </x:c>
      <x:c r="G51" s="20" t="n">
        <x:v>1.15</x:v>
      </x:c>
      <x:c r="H51" s="72" t="inlineStr">
        <x:is>
          <x:t xml:space="preserve">Oil partnership with Pacifica and the canal; fell less in the depression. Model estimate.</x:t>
        </x:is>
      </x:c>
    </x:row>
    <x:row r="52">
      <x:c r="B52" s="9" t="inlineStr">
        <x:is>
          <x:t xml:space="preserve">Rump Confederacy output vs history</x:t>
        </x:is>
      </x:c>
      <x:c r="C52" s="20" t="n">
        <x:v>1</x:v>
      </x:c>
      <x:c r="D52" s="20" t="n">
        <x:v>0.9</x:v>
      </x:c>
      <x:c r="E52" s="20" t="n">
        <x:v>0.9</x:v>
      </x:c>
      <x:c r="F52" s="20" t="n">
        <x:v>0.9</x:v>
      </x:c>
      <x:c r="G52" s="20" t="n">
        <x:v>0.9</x:v>
      </x:c>
      <x:c r="H52" s="72" t="inlineStr">
        <x:is>
          <x:t xml:space="preserve">Debt crisis, sharecropping and fracture after 1897. Model estimate.</x:t>
        </x:is>
      </x:c>
    </x:row>
    <x:row r="53">
      <x:c r="B53" s="9" t="inlineStr">
        <x:is>
          <x:t xml:space="preserve">Britain GDP ($bn)</x:t>
        </x:is>
      </x:c>
      <x:c r="C53" s="76" t="n">
        <x:v>4.9</x:v>
      </x:c>
      <x:c r="D53" s="76" t="n">
        <x:v>9.4</x:v>
      </x:c>
      <x:c r="E53" s="76" t="n">
        <x:v>12.2</x:v>
      </x:c>
      <x:c r="F53" s="76" t="n">
        <x:v>22.9</x:v>
      </x:c>
      <x:c r="G53" s="76" t="n">
        <x:v>15.3</x:v>
      </x:c>
      <x:c r="H53" s="72" t="inlineStr">
        <x:is>
          <x:t xml:space="preserve">UK nominal GDP at $4.87/£; 1932 at $3.50/£ after Britain leaves gold (§34).</x:t>
        </x:is>
      </x:c>
    </x:row>
    <x:row r="54">
      <x:c r="B54" s="9" t="inlineStr">
        <x:is>
          <x:t xml:space="preserve">Germany GDP ($bn)</x:t>
        </x:is>
      </x:c>
      <x:c r="C54" s="76" t="n">
        <x:v>3.3</x:v>
      </x:c>
      <x:c r="D54" s="76" t="n">
        <x:v>7.9</x:v>
      </x:c>
      <x:c r="E54" s="76" t="n">
        <x:v>12.4</x:v>
      </x:c>
      <x:c r="F54" s="76" t="n">
        <x:v>23.3</x:v>
      </x:c>
      <x:c r="G54" s="76" t="n">
        <x:v>15.2</x:v>
      </x:c>
      <x:c r="H54" s="72" t="inlineStr">
        <x:is>
          <x:t xml:space="preserve">Historical, +10% from 1919: undefeated, keeps Alsace-Lorraine and eastern clients, no reparations (§30).</x:t>
        </x:is>
      </x:c>
    </x:row>
    <x:row r="55">
      <x:c r="B55" s="9" t="inlineStr">
        <x:is>
          <x:t xml:space="preserve">France GDP ($bn)</x:t>
        </x:is>
      </x:c>
      <x:c r="C55" s="76" t="n">
        <x:v>4.2</x:v>
      </x:c>
      <x:c r="D55" s="76" t="n">
        <x:v>6.4</x:v>
      </x:c>
      <x:c r="E55" s="76" t="n">
        <x:v>10</x:v>
      </x:c>
      <x:c r="F55" s="76" t="n">
        <x:v>16.7</x:v>
      </x:c>
      <x:c r="G55" s="76" t="n">
        <x:v>14.2</x:v>
      </x:c>
      <x:c r="H55" s="72" t="inlineStr">
        <x:is>
          <x:t xml:space="preserve">Historical, −5% from 1919: Alsace-Lorraine not recovered.</x:t>
        </x:is>
      </x:c>
    </x:row>
    <x:row r="56">
      <x:c r="B56" s="9" t="inlineStr">
        <x:is>
          <x:t xml:space="preserve">Russia / USSR GDP ($bn)</x:t>
        </x:is>
      </x:c>
      <x:c r="C56" s="76" t="n">
        <x:v>5</x:v>
      </x:c>
      <x:c r="D56" s="76" t="n">
        <x:v>8</x:v>
      </x:c>
      <x:c r="E56" s="76" t="n">
        <x:v>10.3</x:v>
      </x:c>
      <x:c r="F56" s="76" t="n">
        <x:v>8</x:v>
      </x:c>
      <x:c r="G56" s="76" t="n">
        <x:v>7</x:v>
      </x:c>
      <x:c r="H56" s="72" t="inlineStr">
        <x:is>
          <x:t xml:space="preserve">Very rough. After 1921 the Soviet state has lost Siberia beyond the Ob, Ukraine, the Baltic and Finland.</x:t>
        </x:is>
      </x:c>
    </x:row>
    <x:row r="57">
      <x:c r="B57" s="9" t="inlineStr">
        <x:is>
          <x:t xml:space="preserve">Japan population (m)</x:t>
        </x:is>
      </x:c>
      <x:c r="C57" s="76" t="n">
        <x:v>34.8</x:v>
      </x:c>
      <x:c r="D57" s="76" t="n">
        <x:v>44</x:v>
      </x:c>
      <x:c r="E57" s="76" t="n">
        <x:v>51.3</x:v>
      </x:c>
      <x:c r="F57" s="76" t="n">
        <x:v>63.5</x:v>
      </x:c>
      <x:c r="G57" s="76" t="n">
        <x:v>66.40000000000001</x:v>
      </x:c>
      <x:c r="H57" s="72" t="inlineStr">
        <x:is>
          <x:t xml:space="preserve">Historical, plus Ussuri, Sakhalin and Siberian settlers later.</x:t>
        </x:is>
      </x:c>
    </x:row>
    <x:row r="58">
      <x:c r="B58" s="9" t="inlineStr">
        <x:is>
          <x:t xml:space="preserve">Britain population (m)</x:t>
        </x:is>
      </x:c>
      <x:c r="C58" s="76" t="n">
        <x:v>31.3</x:v>
      </x:c>
      <x:c r="D58" s="76" t="n">
        <x:v>41.5</x:v>
      </x:c>
      <x:c r="E58" s="76" t="n">
        <x:v>46</x:v>
      </x:c>
      <x:c r="F58" s="76" t="n">
        <x:v>46</x:v>
      </x:c>
      <x:c r="G58" s="76" t="n">
        <x:v>46.3</x:v>
      </x:c>
      <x:c r="H58" s="72" t="inlineStr">
        <x:is>
          <x:t xml:space="preserve">UK incl. Ireland to 1913, then GB and Northern Ireland.</x:t>
        </x:is>
      </x:c>
    </x:row>
    <x:row r="59">
      <x:c r="B59" s="9" t="inlineStr">
        <x:is>
          <x:t xml:space="preserve">Germany population (m)</x:t>
        </x:is>
      </x:c>
      <x:c r="C59" s="76" t="n">
        <x:v>40.8</x:v>
      </x:c>
      <x:c r="D59" s="76" t="n">
        <x:v>56</x:v>
      </x:c>
      <x:c r="E59" s="76" t="n">
        <x:v>66</x:v>
      </x:c>
      <x:c r="F59" s="76" t="n">
        <x:v>66.5</x:v>
      </x:c>
      <x:c r="G59" s="76" t="n">
        <x:v>67</x:v>
      </x:c>
      <x:c r="H59" s="72" t="inlineStr">
        <x:is>
          <x:t xml:space="preserve">Keeps Alsace-Lorraine after 1919.</x:t>
        </x:is>
      </x:c>
    </x:row>
    <x:row r="60">
      <x:c r="B60" s="9" t="inlineStr">
        <x:is>
          <x:t xml:space="preserve">Union output lost to Pacifica (all channels)</x:t>
        </x:is>
      </x:c>
      <x:c r="C60" s="78" t="n">
        <x:f>INDEX(Labour!$BL$6:$BL$92,MATCH(C$5,Labour!$A$6:$A$92,0))</x:f>
        <x:v>0.004319185404143111</x:v>
      </x:c>
      <x:c r="D60" s="78" t="n">
        <x:f>INDEX(Labour!$BL$6:$BL$92,MATCH(D$5,Labour!$A$6:$A$92,0))</x:f>
        <x:v>0.04558611281864677</x:v>
      </x:c>
      <x:c r="E60" s="78" t="n">
        <x:f>INDEX(Labour!$BL$6:$BL$92,MATCH(E$5,Labour!$A$6:$A$92,0))</x:f>
        <x:v>0.09156989352956768</x:v>
      </x:c>
      <x:c r="F60" s="78" t="n">
        <x:f>INDEX(Labour!$BL$6:$BL$92,MATCH(F$5,Labour!$A$6:$A$92,0))</x:f>
        <x:v>0.14137012220131673</x:v>
      </x:c>
      <x:c r="G60" s="78" t="n">
        <x:f>INDEX(Labour!$BL$6:$BL$92,MATCH(G$5,Labour!$A$6:$A$92,0))</x:f>
        <x:v>0.2254024852669485</x:v>
      </x:c>
      <x:c r="H60" s="72" t="inlineStr">
        <x:is>
          <x:t xml:space="preserve">CR-020 B12, from the Labour sheet: people diverted or gone west, the compounding brain drain, lost Pacific trade and gold, the champions' markets, guest workers, and the 1930-32 German loan crash.</x:t>
        </x:is>
      </x:c>
    </x:row>
    <x:row r="80">
      <x:c r="B80" s="5" t="inlineStr">
        <x:is>
          <x:t xml:space="preserve">Capital ships in service</x:t>
        </x:is>
      </x:c>
      <x:c r="C80" s="6" t="n">
        <x:v>1905</x:v>
      </x:c>
      <x:c r="D80" s="6" t="n">
        <x:v>1913</x:v>
      </x:c>
      <x:c r="E80" s="6" t="n">
        <x:v>1919</x:v>
      </x:c>
      <x:c r="F80" s="6" t="n">
        <x:v>1929</x:v>
      </x:c>
      <x:c r="G80" s="6" t="n">
        <x:v>1932</x:v>
      </x:c>
      <x:c r="H80" s="6" t="inlineStr">
        <x:is>
          <x:t xml:space="preserve">Basis</x:t>
        </x:is>
      </x:c>
    </x:row>
    <x:row r="81">
      <x:c r="B81" s="9" t="inlineStr">
        <x:is>
          <x:t xml:space="preserve">Pacifica</x:t>
        </x:is>
      </x:c>
      <x:c r="C81" s="79" t="n">
        <x:f>INDEX(Navy!$AA$6:$AA$92,MATCH(C$80,Navy!$A$6:$A$92,0))</x:f>
        <x:v>2</x:v>
      </x:c>
      <x:c r="D81" s="79" t="n">
        <x:f>INDEX(Navy!$AA$6:$AA$92,MATCH(D$80,Navy!$A$6:$A$92,0))</x:f>
        <x:v>9</x:v>
      </x:c>
      <x:c r="E81" s="79" t="n">
        <x:f>INDEX(Navy!$AA$6:$AA$92,MATCH(E$80,Navy!$A$6:$A$92,0))</x:f>
        <x:v>14</x:v>
      </x:c>
      <x:c r="F81" s="79" t="n">
        <x:f>INDEX(Navy!$AA$6:$AA$92,MATCH(F$80,Navy!$A$6:$A$92,0))</x:f>
        <x:v>14</x:v>
      </x:c>
      <x:c r="G81" s="79" t="n">
        <x:f>INDEX(Navy!$AA$6:$AA$92,MATCH(G$80,Navy!$A$6:$A$92,0))</x:f>
        <x:v>14</x:v>
      </x:c>
      <x:c r="H81" s="72" t="inlineStr">
        <x:is>
          <x:t xml:space="preserve">Dreadnought-type ships only. From the Navy and Navy plan sheets.</x:t>
        </x:is>
      </x:c>
    </x:row>
    <x:row r="82">
      <x:c r="B82" s="9" t="inlineStr">
        <x:is>
          <x:t xml:space="preserve">Japan</x:t>
        </x:is>
      </x:c>
      <x:c r="C82" s="79" t="n">
        <x:f>INDEX('Navy plan'!$T$6:$T$92,MATCH(C$80,'Navy plan'!$A$6:$A$92,0))</x:f>
        <x:v>0</x:v>
      </x:c>
      <x:c r="D82" s="79" t="n">
        <x:f>INDEX('Navy plan'!$T$6:$T$92,MATCH(D$80,'Navy plan'!$A$6:$A$92,0))</x:f>
        <x:v>4</x:v>
      </x:c>
      <x:c r="E82" s="79" t="n">
        <x:f>INDEX('Navy plan'!$T$6:$T$92,MATCH(E$80,'Navy plan'!$A$6:$A$92,0))</x:f>
        <x:v>10</x:v>
      </x:c>
      <x:c r="F82" s="79" t="n">
        <x:f>INDEX('Navy plan'!$T$6:$T$92,MATCH(F$80,'Navy plan'!$A$6:$A$92,0))</x:f>
        <x:v>10</x:v>
      </x:c>
      <x:c r="G82" s="79" t="n">
        <x:f>INDEX('Navy plan'!$T$6:$T$92,MATCH(G$80,'Navy plan'!$A$6:$A$92,0))</x:f>
        <x:v>10</x:v>
      </x:c>
    </x:row>
    <x:row r="83">
      <x:c r="B83" s="3" t="inlineStr">
        <x:is>
          <x:t xml:space="preserve">Pacifica + Japan</x:t>
        </x:is>
      </x:c>
      <x:c r="C83" s="79" t="n">
        <x:f>INDEX(Navy!$AB$6:$AB$92,MATCH(C$80,Navy!$A$6:$A$92,0))</x:f>
        <x:v>2</x:v>
      </x:c>
      <x:c r="D83" s="79" t="n">
        <x:f>INDEX(Navy!$AB$6:$AB$92,MATCH(D$80,Navy!$A$6:$A$92,0))</x:f>
        <x:v>13</x:v>
      </x:c>
      <x:c r="E83" s="79" t="n">
        <x:f>INDEX(Navy!$AB$6:$AB$92,MATCH(E$80,Navy!$A$6:$A$92,0))</x:f>
        <x:v>24</x:v>
      </x:c>
      <x:c r="F83" s="79" t="n">
        <x:f>INDEX(Navy!$AB$6:$AB$92,MATCH(F$80,Navy!$A$6:$A$92,0))</x:f>
        <x:v>24</x:v>
      </x:c>
      <x:c r="G83" s="79" t="n">
        <x:f>INDEX(Navy!$AB$6:$AB$92,MATCH(G$80,Navy!$A$6:$A$92,0))</x:f>
        <x:v>24</x:v>
      </x:c>
    </x:row>
    <x:row r="84">
      <x:c r="B84" s="9" t="inlineStr">
        <x:is>
          <x:t xml:space="preserve">Britain</x:t>
        </x:is>
      </x:c>
      <x:c r="C84" s="79" t="n">
        <x:f>INDEX(Navy!$AC$6:$AC$92,MATCH(C$80,Navy!$A$6:$A$92,0))</x:f>
        <x:v>0</x:v>
      </x:c>
      <x:c r="D84" s="79" t="n">
        <x:f>INDEX(Navy!$AC$6:$AC$92,MATCH(D$80,Navy!$A$6:$A$92,0))</x:f>
        <x:v>22</x:v>
      </x:c>
      <x:c r="E84" s="79" t="n">
        <x:f>INDEX(Navy!$AC$6:$AC$92,MATCH(E$80,Navy!$A$6:$A$92,0))</x:f>
        <x:v>42</x:v>
      </x:c>
      <x:c r="F84" s="79" t="n">
        <x:f>INDEX(Navy!$AC$6:$AC$92,MATCH(F$80,Navy!$A$6:$A$92,0))</x:f>
        <x:v>24</x:v>
      </x:c>
      <x:c r="G84" s="79" t="n">
        <x:f>INDEX(Navy!$AC$6:$AC$92,MATCH(G$80,Navy!$A$6:$A$92,0))</x:f>
        <x:v>24</x:v>
      </x:c>
    </x:row>
    <x:row r="85">
      <x:c r="B85" s="9" t="inlineStr">
        <x:is>
          <x:t xml:space="preserve">The Union</x:t>
        </x:is>
      </x:c>
      <x:c r="C85" s="79" t="n">
        <x:f>INDEX(Navy!$AD$6:$AD$92,MATCH(C$80,Navy!$A$6:$A$92,0))</x:f>
        <x:v>0</x:v>
      </x:c>
      <x:c r="D85" s="79" t="n">
        <x:f>INDEX(Navy!$AD$6:$AD$92,MATCH(D$80,Navy!$A$6:$A$92,0))</x:f>
        <x:v>6</x:v>
      </x:c>
      <x:c r="E85" s="79" t="n">
        <x:f>INDEX(Navy!$AD$6:$AD$92,MATCH(E$80,Navy!$A$6:$A$92,0))</x:f>
        <x:v>12</x:v>
      </x:c>
      <x:c r="F85" s="79" t="n">
        <x:f>INDEX(Navy!$AD$6:$AD$92,MATCH(F$80,Navy!$A$6:$A$92,0))</x:f>
        <x:v>21</x:v>
      </x:c>
      <x:c r="G85" s="79" t="n">
        <x:f>INDEX(Navy!$AD$6:$AD$92,MATCH(G$80,Navy!$A$6:$A$92,0))</x:f>
        <x:v>21</x:v>
      </x:c>
    </x:row>
    <x:row r="86">
      <x:c r="B86" s="9" t="inlineStr">
        <x:is>
          <x:t xml:space="preserve">Germany</x:t>
        </x:is>
      </x:c>
      <x:c r="C86" s="79" t="n">
        <x:f>INDEX('Navy plan'!$W$6:$W$92,MATCH(C$80,'Navy plan'!$A$6:$A$92,0))</x:f>
        <x:v>0</x:v>
      </x:c>
      <x:c r="D86" s="79" t="n">
        <x:f>INDEX('Navy plan'!$W$6:$W$92,MATCH(D$80,'Navy plan'!$A$6:$A$92,0))</x:f>
        <x:v>12</x:v>
      </x:c>
      <x:c r="E86" s="79" t="n">
        <x:f>INDEX('Navy plan'!$W$6:$W$92,MATCH(E$80,'Navy plan'!$A$6:$A$92,0))</x:f>
        <x:v>24</x:v>
      </x:c>
      <x:c r="F86" s="79" t="n">
        <x:f>INDEX('Navy plan'!$W$6:$W$92,MATCH(F$80,'Navy plan'!$A$6:$A$92,0))</x:f>
        <x:v>16</x:v>
      </x:c>
      <x:c r="G86" s="79" t="n">
        <x:f>INDEX('Navy plan'!$W$6:$W$92,MATCH(G$80,'Navy plan'!$A$6:$A$92,0))</x:f>
        <x:v>16</x:v>
      </x:c>
    </x:row>
  </x:sheetData>
  <x:pageMargins left="0.7" right="0.7" top="0.75" bottom="0.75" header="0.3" footer="0.3"/>
</x:worksheet>
</file>

<file path=xl/worksheets/sheet22.xml><?xml version="1.0" encoding="utf-8"?>
<x:worksheet xmlns:x="http://schemas.openxmlformats.org/spreadsheetml/2006/main">
  <x:sheetPr>
    <x:tabColor rgb="FF00B050"/>
  </x:sheetPr>
  <x:sheetViews>
    <x:sheetView showGridLines="0" workbookViewId="0">
      <x:pane xSplit="1" ySplit="5" topLeftCell="B6" activePane="bottomRight" state="frozen"/>
    </x:sheetView>
  </x:sheetViews>
  <x:sheetFormatPr baseColWidth="8" defaultRowHeight="15"/>
  <x:cols>
    <x:col min="1" max="1" width="7" customWidth="1"/>
    <x:col min="2" max="2" width="12.5" customWidth="1"/>
    <x:col min="3" max="3" width="12.5" customWidth="1"/>
    <x:col min="4" max="4" width="12.5" customWidth="1"/>
    <x:col min="5" max="5" width="12.5" customWidth="1"/>
    <x:col min="6" max="6" width="12.5" customWidth="1"/>
    <x:col min="7" max="7" width="12.5" customWidth="1"/>
    <x:col min="8" max="8" width="12.5" customWidth="1"/>
    <x:col min="9" max="9" width="12.5" customWidth="1"/>
    <x:col min="10" max="10" width="12.5" customWidth="1"/>
    <x:col min="11" max="11" width="12.5" customWidth="1"/>
    <x:col min="12" max="12" width="12.5" customWidth="1"/>
    <x:col min="13" max="13" width="12.5" customWidth="1"/>
    <x:col min="14" max="14" width="12.5" customWidth="1"/>
    <x:col min="15" max="15" width="12.5" customWidth="1"/>
    <x:col min="16" max="16" width="12.5" customWidth="1"/>
    <x:col min="17" max="17" width="12.5" customWidth="1"/>
    <x:col min="18" max="18" width="12.5" customWidth="1"/>
    <x:col min="19" max="19" width="12.5" customWidth="1"/>
    <x:col min="20" max="20" width="20" hidden="0" customWidth="1"/>
    <x:col min="21" max="21" width="20" hidden="0" customWidth="1"/>
    <x:col min="22" max="22" width="20" hidden="0" customWidth="1"/>
    <x:col min="23" max="23" width="20" hidden="0" customWidth="1"/>
    <x:col min="24" max="24" width="20" hidden="0" customWidth="1"/>
    <x:col min="25" max="25" width="20" hidden="0" customWidth="1"/>
    <x:col min="26" max="26" width="20" hidden="0" customWidth="1"/>
  </x:cols>
  <x:sheetData>
    <x:row r="1">
      <x:c r="A1" s="18" t="inlineStr">
        <x:is>
          <x:t xml:space="preserve">Checks</x:t>
        </x:is>
      </x:c>
    </x:row>
    <x:row r="2">
      <x:c r="A2" s="2" t="inlineStr">
        <x:is>
          <x:t xml:space="preserve">Every year tested against the arithmetic, the canon ceilings and story consistency. 'Check' marks a problem.</x:t>
        </x:is>
      </x:c>
    </x:row>
    <x:row r="3">
      <x:c r="A3" s="19" t="inlineStr">
        <x:is>
          <x:t xml:space="preserve">Years run down the page. Blue = input you can change · black = formula · green = link to another sheet. Hover a column heading for its definition.</x:t>
        </x:is>
      </x:c>
    </x:row>
    <x:row r="4">
      <x:c r="B4" s="56" t="inlineStr">
        <x:is>
          <x:t xml:space="preserve">Arithmetic</x:t>
        </x:is>
      </x:c>
      <x:c r="E4" s="56" t="inlineStr">
        <x:is>
          <x:t xml:space="preserve">Canon ceilings</x:t>
        </x:is>
      </x:c>
      <x:c r="K4" s="56" t="inlineStr">
        <x:is>
          <x:t xml:space="preserve">Feasibility</x:t>
        </x:is>
      </x:c>
      <x:c r="P4" s="56" t="inlineStr">
        <x:is>
          <x:t xml:space="preserve">Story consistency</x:t>
        </x:is>
      </x:c>
      <x:c r="S4" s="56" t="inlineStr">
        <x:is>
          <x:t xml:space="preserve">Total</x:t>
        </x:is>
      </x:c>
    </x:row>
    <x:row r="5" ht="54" customHeight="1">
      <x:c r="A5" s="57" t="inlineStr">
        <x:is>
          <x:t xml:space="preserve">Year</x:t>
        </x:is>
      </x:c>
      <x:c r="B5" s="6" t="inlineStr">
        <x:is>
          <x:t xml:space="preserve">Population adds up</x:t>
        </x:is>
      </x:c>
      <x:c r="C5" s="6" t="inlineStr">
        <x:is>
          <x:t xml:space="preserve">Cash at target</x:t>
        </x:is>
      </x:c>
      <x:c r="D5" s="6" t="inlineStr">
        <x:is>
          <x:t xml:space="preserve">Reserve Fund not negative</x:t>
        </x:is>
      </x:c>
      <x:c r="E5" s="6" t="inlineStr">
        <x:is>
          <x:t xml:space="preserve">Debt / GDP</x:t>
        </x:is>
      </x:c>
      <x:c r="F5" s="6" t="inlineStr">
        <x:is>
          <x:t xml:space="preserve">Debt within 30% (from 1887)</x:t>
        </x:is>
      </x:c>
      <x:c r="G5" s="6" t="inlineStr">
        <x:is>
          <x:t xml:space="preserve">Interest / receipts</x:t>
        </x:is>
      </x:c>
      <x:c r="H5" s="6" t="inlineStr">
        <x:is>
          <x:t xml:space="preserve">Interest within 15% (from 1887)</x:t>
        </x:is>
      </x:c>
      <x:c r="I5" s="6" t="inlineStr">
        <x:is>
          <x:t xml:space="preserve">Defence &amp; overseas / GDP</x:t>
        </x:is>
      </x:c>
      <x:c r="J5" s="6" t="inlineStr">
        <x:is>
          <x:t xml:space="preserve">Within 4% (from 1887, war years exempt)</x:t>
        </x:is>
      </x:c>
      <x:c r="K5" s="6" t="inlineStr">
        <x:is>
          <x:t xml:space="preserve">Bonds placed / GDP</x:t>
        </x:is>
      </x:c>
      <x:c r="L5" s="6" t="inlineStr">
        <x:is>
          <x:t xml:space="preserve">Bond markets can absorb them</x:t>
        </x:is>
      </x:c>
      <x:c r="M5" s="6" t="inlineStr">
        <x:is>
          <x:t xml:space="preserve">Gold cover met</x:t>
        </x:is>
      </x:c>
      <x:c r="N5" s="6" t="inlineStr">
        <x:is>
          <x:t xml:space="preserve">Japan debt / GDP</x:t>
        </x:is>
      </x:c>
      <x:c r="O5" s="6" t="inlineStr">
        <x:is>
          <x:t xml:space="preserve">Japan debt under 100%</x:t>
        </x:is>
      </x:c>
      <x:c r="P5" s="6" t="inlineStr">
        <x:is>
          <x:t xml:space="preserve">Naval parity with Britain from 1922</x:t>
        </x:is>
      </x:c>
      <x:c r="Q5" s="6" t="inlineStr">
        <x:is>
          <x:t xml:space="preserve">Oil output covers the navy</x:t>
        </x:is>
      </x:c>
      <x:c r="R5" s="6" t="inlineStr">
        <x:is>
          <x:t xml:space="preserve">Gulf admission allowed</x:t>
        </x:is>
      </x:c>
      <x:c r="S5" s="6" t="inlineStr">
        <x:is>
          <x:t xml:space="preserve">Problems this year</x:t>
        </x:is>
      </x:c>
      <x:c r="T5" s="113" t="str">
        <x:v>Japan cash conserved</x:v>
      </x:c>
      <x:c r="U5" s="113" t="str">
        <x:v>Japan bank capital</x:v>
      </x:c>
      <x:c r="V5" s="113" t="str">
        <x:v>Japan yen liquidity</x:v>
      </x:c>
      <x:c r="W5" s="113" t="str">
        <x:v>Japan FX buffer funded</x:v>
      </x:c>
      <x:c r="X5" s="113" t="str">
        <x:v>Japan syndicate reconciles</x:v>
      </x:c>
      <x:c r="Y5" s="113" t="str">
        <x:v>Japan private allocation funded</x:v>
      </x:c>
      <x:c r="Z5" s="113" t="str">
        <x:v>Japan borrower / lenders match</x:v>
      </x:c>
    </x:row>
    <x:row r="6">
      <x:c r="A6" s="58" t="n">
        <x:v>1846</x:v>
      </x:c>
      <x:c r="B6" s="80" t="str">
        <x:f>IF(ABS(People!L6-(People!B6+People!C6+People!D6+People!K6))&lt;1,"OK","Check")</x:f>
        <x:v>OK</x:v>
      </x:c>
      <x:c r="C6" s="80" t="str">
        <x:f>IF(ABS('Debt &amp; cash'!M6-'Debt &amp; cash'!E6)&lt;0.001,"OK","Check")</x:f>
        <x:v>OK</x:v>
      </x:c>
      <x:c r="D6" s="80" t="str">
        <x:f>IF('Debt &amp; cash'!S6&gt;=-0.001,"OK","Check")</x:f>
        <x:v>OK</x:v>
      </x:c>
      <x:c r="E6" s="81" t="n">
        <x:f>'Debt &amp; cash'!V6</x:f>
        <x:v>0.0046876796882376155</x:v>
      </x:c>
      <x:c r="F6" s="80" t="str">
        <x:f>IF($A6&lt;1887,"n/a",IF(E6&lt;=cap_debt,"OK","Check"))</x:f>
        <x:v>n/a</x:v>
      </x:c>
      <x:c r="G6" s="81" t="n">
        <x:f>'Debt &amp; cash'!W6</x:f>
        <x:v>0</x:v>
      </x:c>
      <x:c r="H6" s="80" t="str">
        <x:f>IF($A6&lt;1887,"n/a",IF(G6&lt;=cap_int,"OK","Check"))</x:f>
        <x:v>n/a</x:v>
      </x:c>
      <x:c r="I6" s="81" t="n">
        <x:f>Budget!AC6</x:f>
        <x:v>0.013559978691462056</x:v>
      </x:c>
      <x:c r="J6" s="80" t="str">
        <x:f>IF($A6&lt;1887,"n/a",IF(Paths!AC6=1,"War year",IF(I6&lt;=cap_def,"OK","Check")))</x:f>
        <x:v>n/a</x:v>
      </x:c>
      <x:c r="K6" s="63" t="n">
        <x:f>'Debt &amp; cash'!Y6/Economy!O6</x:f>
        <x:v>0.0046876796882376155</x:v>
      </x:c>
      <x:c r="L6" s="80" t="str">
        <x:f>IF('Debt &amp; cash'!Y6&lt;=mkt_capacity*Economy!O6+foreign_capacity,"OK","Check")</x:f>
        <x:v>OK</x:v>
      </x:c>
      <x:c r="M6" s="80" t="str">
        <x:f>IF($A6&lt;1900,"n/a",IF('Gold &amp; money'!K6&gt;=0,"OK","Check"))</x:f>
        <x:v>n/a</x:v>
      </x:c>
      <x:c r="N6" s="81" t="n">
        <x:f>Japan!AA6</x:f>
        <x:v>0</x:v>
      </x:c>
      <x:c r="O6" s="80" t="str">
        <x:f>IF(N6&lt;=1,"OK","Check")</x:f>
        <x:v>OK</x:v>
      </x:c>
      <x:c r="P6" s="80" t="str">
        <x:f>IF($A6&lt;1922,"n/a",IF(AND(Navy!AE6&gt;=0.95,Navy!AE6&lt;=1.1),"OK","Check"))</x:f>
        <x:v>n/a</x:v>
      </x:c>
      <x:c r="Q6" s="80" t="str">
        <x:f>IF(Navy!Z6=0,"n/a",IF(Resources!K6&gt;=Navy!Z6,"OK","Check"))</x:f>
        <x:v>n/a</x:v>
      </x:c>
      <x:c r="R6" s="80" t="str">
        <x:f>IF(AND(gulf_on=1,$A6=gulf_year),IF(Gulf!AF6=1,"OK","Check"),"n/a")</x:f>
        <x:v>n/a</x:v>
      </x:c>
      <x:c r="S6" s="47" t="n">
        <x:f>COUNTIF(B6:R6,"Check")+COUNTIF(T6:Z6,"Check")</x:f>
        <x:v>0</x:v>
      </x:c>
      <x:c r="T6" t="str">
        <x:f>IF(ABS(Japan!AM6)&lt;0.001,"OK","Check")</x:f>
        <x:v>OK</x:v>
      </x:c>
      <x:c r="U6" t="str">
        <x:f>"n/a"</x:f>
        <x:v>n/a</x:v>
      </x:c>
      <x:c r="V6" t="str">
        <x:f>"n/a"</x:f>
        <x:v>n/a</x:v>
      </x:c>
      <x:c r="W6" t="str">
        <x:f>"n/a"</x:f>
        <x:v>n/a</x:v>
      </x:c>
      <x:c r="X6" t="str">
        <x:f>"n/a"</x:f>
        <x:v>n/a</x:v>
      </x:c>
      <x:c r="Y6" t="str">
        <x:f>IF(Abroad!T6&gt;=-0.001,"OK","Check")</x:f>
        <x:v>OK</x:v>
      </x:c>
      <x:c r="Z6" t="str">
        <x:f>"n/a"</x:f>
        <x:v>n/a</x:v>
      </x:c>
    </x:row>
    <x:row r="7">
      <x:c r="A7" s="58" t="n">
        <x:v>1847</x:v>
      </x:c>
      <x:c r="B7" s="80" t="str">
        <x:f>IF(ABS(People!L7-(People!B7+People!C7+People!D7+People!K7))&lt;1,"OK","Check")</x:f>
        <x:v>OK</x:v>
      </x:c>
      <x:c r="C7" s="80" t="str">
        <x:f>IF(ABS('Debt &amp; cash'!M7-'Debt &amp; cash'!E7)&lt;0.001,"OK","Check")</x:f>
        <x:v>OK</x:v>
      </x:c>
      <x:c r="D7" s="80" t="str">
        <x:f>IF('Debt &amp; cash'!S7&gt;=-0.001,"OK","Check")</x:f>
        <x:v>OK</x:v>
      </x:c>
      <x:c r="E7" s="81" t="n">
        <x:f>'Debt &amp; cash'!V7</x:f>
        <x:v>0.028947437243860168</x:v>
      </x:c>
      <x:c r="F7" s="80" t="str">
        <x:f>IF($A7&lt;1887,"n/a",IF(E7&lt;=cap_debt,"OK","Check"))</x:f>
        <x:v>n/a</x:v>
      </x:c>
      <x:c r="G7" s="81" t="n">
        <x:f>'Debt &amp; cash'!W7</x:f>
        <x:v>0.005645690180880811</x:v>
      </x:c>
      <x:c r="H7" s="80" t="str">
        <x:f>IF($A7&lt;1887,"n/a",IF(G7&lt;=cap_int,"OK","Check"))</x:f>
        <x:v>n/a</x:v>
      </x:c>
      <x:c r="I7" s="81" t="n">
        <x:f>Budget!AC7</x:f>
        <x:v>0.03864526676854865</x:v>
      </x:c>
      <x:c r="J7" s="80" t="str">
        <x:f>IF($A7&lt;1887,"n/a",IF(Paths!AC7=1,"War year",IF(I7&lt;=cap_def,"OK","Check")))</x:f>
        <x:v>n/a</x:v>
      </x:c>
      <x:c r="K7" s="63" t="n">
        <x:f>'Debt &amp; cash'!Y7/Economy!O7</x:f>
        <x:v>0.024644750354362616</x:v>
      </x:c>
      <x:c r="L7" s="80" t="str">
        <x:f>IF('Debt &amp; cash'!Y7&lt;=mkt_capacity*Economy!O7+foreign_capacity,"OK","Check")</x:f>
        <x:v>OK</x:v>
      </x:c>
      <x:c r="M7" s="80" t="str">
        <x:f>IF($A7&lt;1900,"n/a",IF('Gold &amp; money'!K7&gt;=0,"OK","Check"))</x:f>
        <x:v>n/a</x:v>
      </x:c>
      <x:c r="N7" s="81" t="n">
        <x:f>Japan!AA7</x:f>
        <x:v>0</x:v>
      </x:c>
      <x:c r="O7" s="80" t="str">
        <x:f>IF(N7&lt;=1,"OK","Check")</x:f>
        <x:v>OK</x:v>
      </x:c>
      <x:c r="P7" s="80" t="str">
        <x:f>IF($A7&lt;1922,"n/a",IF(AND(Navy!AE7&gt;=0.95,Navy!AE7&lt;=1.1),"OK","Check"))</x:f>
        <x:v>n/a</x:v>
      </x:c>
      <x:c r="Q7" s="80" t="str">
        <x:f>IF(Navy!Z7=0,"n/a",IF(Resources!K7&gt;=Navy!Z7,"OK","Check"))</x:f>
        <x:v>n/a</x:v>
      </x:c>
      <x:c r="R7" s="80" t="str">
        <x:f>IF(AND(gulf_on=1,$A7=gulf_year),IF(Gulf!AF7=1,"OK","Check"),"n/a")</x:f>
        <x:v>n/a</x:v>
      </x:c>
      <x:c r="S7" s="47" t="n">
        <x:f>COUNTIF(B7:R7,"Check")+COUNTIF(T7:Z7,"Check")</x:f>
        <x:v>0</x:v>
      </x:c>
      <x:c r="T7" t="str">
        <x:f>IF(ABS(Japan!AM7)&lt;0.001,"OK","Check")</x:f>
        <x:v>OK</x:v>
      </x:c>
      <x:c r="U7" t="str">
        <x:f>"n/a"</x:f>
        <x:v>n/a</x:v>
      </x:c>
      <x:c r="V7" t="str">
        <x:f>"n/a"</x:f>
        <x:v>n/a</x:v>
      </x:c>
      <x:c r="W7" t="str">
        <x:f>"n/a"</x:f>
        <x:v>n/a</x:v>
      </x:c>
      <x:c r="X7" t="str">
        <x:f>"n/a"</x:f>
        <x:v>n/a</x:v>
      </x:c>
      <x:c r="Y7" t="str">
        <x:f>IF(Abroad!T7&gt;=-0.001,"OK","Check")</x:f>
        <x:v>OK</x:v>
      </x:c>
      <x:c r="Z7" t="str">
        <x:f>"n/a"</x:f>
        <x:v>n/a</x:v>
      </x:c>
    </x:row>
    <x:row r="8">
      <x:c r="A8" s="58" t="n">
        <x:v>1848</x:v>
      </x:c>
      <x:c r="B8" s="80" t="str">
        <x:f>IF(ABS(People!L8-(People!B8+People!C8+People!D8+People!K8))&lt;1,"OK","Check")</x:f>
        <x:v>OK</x:v>
      </x:c>
      <x:c r="C8" s="80" t="str">
        <x:f>IF(ABS('Debt &amp; cash'!M8-'Debt &amp; cash'!E8)&lt;0.001,"OK","Check")</x:f>
        <x:v>OK</x:v>
      </x:c>
      <x:c r="D8" s="80" t="str">
        <x:f>IF('Debt &amp; cash'!S8&gt;=-0.001,"OK","Check")</x:f>
        <x:v>OK</x:v>
      </x:c>
      <x:c r="E8" s="81" t="n">
        <x:f>'Debt &amp; cash'!V8</x:f>
        <x:v>0.5241289718401585</x:v>
      </x:c>
      <x:c r="F8" s="80" t="str">
        <x:f>IF($A8&lt;1887,"n/a",IF(E8&lt;=cap_debt,"OK","Check"))</x:f>
        <x:v>n/a</x:v>
      </x:c>
      <x:c r="G8" s="81" t="n">
        <x:f>'Debt &amp; cash'!W8</x:f>
        <x:v>0.0217802290029189</x:v>
      </x:c>
      <x:c r="H8" s="80" t="str">
        <x:f>IF($A8&lt;1887,"n/a",IF(G8&lt;=cap_int,"OK","Check"))</x:f>
        <x:v>n/a</x:v>
      </x:c>
      <x:c r="I8" s="81" t="n">
        <x:f>Budget!AC8</x:f>
        <x:v>0.018426687967611925</x:v>
      </x:c>
      <x:c r="J8" s="80" t="str">
        <x:f>IF($A8&lt;1887,"n/a",IF(Paths!AC8=1,"War year",IF(I8&lt;=cap_def,"OK","Check")))</x:f>
        <x:v>n/a</x:v>
      </x:c>
      <x:c r="K8" s="63" t="n">
        <x:f>'Debt &amp; cash'!Y8/Economy!O8</x:f>
        <x:v>0.0063764329812293005</x:v>
      </x:c>
      <x:c r="L8" s="80" t="str">
        <x:f>IF('Debt &amp; cash'!Y8&lt;=mkt_capacity*Economy!O8+foreign_capacity,"OK","Check")</x:f>
        <x:v>OK</x:v>
      </x:c>
      <x:c r="M8" s="80" t="str">
        <x:f>IF($A8&lt;1900,"n/a",IF('Gold &amp; money'!K8&gt;=0,"OK","Check"))</x:f>
        <x:v>n/a</x:v>
      </x:c>
      <x:c r="N8" s="81" t="n">
        <x:f>Japan!AA8</x:f>
        <x:v>0</x:v>
      </x:c>
      <x:c r="O8" s="80" t="str">
        <x:f>IF(N8&lt;=1,"OK","Check")</x:f>
        <x:v>OK</x:v>
      </x:c>
      <x:c r="P8" s="80" t="str">
        <x:f>IF($A8&lt;1922,"n/a",IF(AND(Navy!AE8&gt;=0.95,Navy!AE8&lt;=1.1),"OK","Check"))</x:f>
        <x:v>n/a</x:v>
      </x:c>
      <x:c r="Q8" s="80" t="str">
        <x:f>IF(Navy!Z8=0,"n/a",IF(Resources!K8&gt;=Navy!Z8,"OK","Check"))</x:f>
        <x:v>n/a</x:v>
      </x:c>
      <x:c r="R8" s="80" t="str">
        <x:f>IF(AND(gulf_on=1,$A8=gulf_year),IF(Gulf!AF8=1,"OK","Check"),"n/a")</x:f>
        <x:v>n/a</x:v>
      </x:c>
      <x:c r="S8" s="47" t="n">
        <x:f>COUNTIF(B8:R8,"Check")+COUNTIF(T8:Z8,"Check")</x:f>
        <x:v>0</x:v>
      </x:c>
      <x:c r="T8" t="str">
        <x:f>IF(ABS(Japan!AM8)&lt;0.001,"OK","Check")</x:f>
        <x:v>OK</x:v>
      </x:c>
      <x:c r="U8" t="str">
        <x:f>"n/a"</x:f>
        <x:v>n/a</x:v>
      </x:c>
      <x:c r="V8" t="str">
        <x:f>"n/a"</x:f>
        <x:v>n/a</x:v>
      </x:c>
      <x:c r="W8" t="str">
        <x:f>"n/a"</x:f>
        <x:v>n/a</x:v>
      </x:c>
      <x:c r="X8" t="str">
        <x:f>"n/a"</x:f>
        <x:v>n/a</x:v>
      </x:c>
      <x:c r="Y8" t="str">
        <x:f>IF(Abroad!T8&gt;=-0.001,"OK","Check")</x:f>
        <x:v>OK</x:v>
      </x:c>
      <x:c r="Z8" t="str">
        <x:f>"n/a"</x:f>
        <x:v>n/a</x:v>
      </x:c>
    </x:row>
    <x:row r="9">
      <x:c r="A9" s="58" t="n">
        <x:v>1849</x:v>
      </x:c>
      <x:c r="B9" s="80" t="str">
        <x:f>IF(ABS(People!L9-(People!B9+People!C9+People!D9+People!K9))&lt;1,"OK","Check")</x:f>
        <x:v>OK</x:v>
      </x:c>
      <x:c r="C9" s="80" t="str">
        <x:f>IF(ABS('Debt &amp; cash'!M9-'Debt &amp; cash'!E9)&lt;0.001,"OK","Check")</x:f>
        <x:v>OK</x:v>
      </x:c>
      <x:c r="D9" s="80" t="str">
        <x:f>IF('Debt &amp; cash'!S9&gt;=-0.001,"OK","Check")</x:f>
        <x:v>OK</x:v>
      </x:c>
      <x:c r="E9" s="81" t="n">
        <x:f>'Debt &amp; cash'!V9</x:f>
        <x:v>0.21769169952058715</x:v>
      </x:c>
      <x:c r="F9" s="80" t="str">
        <x:f>IF($A9&lt;1887,"n/a",IF(E9&lt;=cap_debt,"OK","Check"))</x:f>
        <x:v>n/a</x:v>
      </x:c>
      <x:c r="G9" s="81" t="n">
        <x:f>'Debt &amp; cash'!W9</x:f>
        <x:v>0.14511883761572453</x:v>
      </x:c>
      <x:c r="H9" s="80" t="str">
        <x:f>IF($A9&lt;1887,"n/a",IF(G9&lt;=cap_int,"OK","Check"))</x:f>
        <x:v>n/a</x:v>
      </x:c>
      <x:c r="I9" s="81" t="n">
        <x:f>Budget!AC9</x:f>
        <x:v>0.014833110011551317</x:v>
      </x:c>
      <x:c r="J9" s="80" t="str">
        <x:f>IF($A9&lt;1887,"n/a",IF(Paths!AC9=1,"War year",IF(I9&lt;=cap_def,"OK","Check")))</x:f>
        <x:v>n/a</x:v>
      </x:c>
      <x:c r="K9" s="63" t="n">
        <x:f>'Debt &amp; cash'!Y9/Economy!O9</x:f>
        <x:v>0.0038076096271826504</x:v>
      </x:c>
      <x:c r="L9" s="80" t="str">
        <x:f>IF('Debt &amp; cash'!Y9&lt;=mkt_capacity*Economy!O9+foreign_capacity,"OK","Check")</x:f>
        <x:v>OK</x:v>
      </x:c>
      <x:c r="M9" s="80" t="str">
        <x:f>IF($A9&lt;1900,"n/a",IF('Gold &amp; money'!K9&gt;=0,"OK","Check"))</x:f>
        <x:v>n/a</x:v>
      </x:c>
      <x:c r="N9" s="81" t="n">
        <x:f>Japan!AA9</x:f>
        <x:v>0</x:v>
      </x:c>
      <x:c r="O9" s="80" t="str">
        <x:f>IF(N9&lt;=1,"OK","Check")</x:f>
        <x:v>OK</x:v>
      </x:c>
      <x:c r="P9" s="80" t="str">
        <x:f>IF($A9&lt;1922,"n/a",IF(AND(Navy!AE9&gt;=0.95,Navy!AE9&lt;=1.1),"OK","Check"))</x:f>
        <x:v>n/a</x:v>
      </x:c>
      <x:c r="Q9" s="80" t="str">
        <x:f>IF(Navy!Z9=0,"n/a",IF(Resources!K9&gt;=Navy!Z9,"OK","Check"))</x:f>
        <x:v>n/a</x:v>
      </x:c>
      <x:c r="R9" s="80" t="str">
        <x:f>IF(AND(gulf_on=1,$A9=gulf_year),IF(Gulf!AF9=1,"OK","Check"),"n/a")</x:f>
        <x:v>n/a</x:v>
      </x:c>
      <x:c r="S9" s="47" t="n">
        <x:f>COUNTIF(B9:R9,"Check")+COUNTIF(T9:Z9,"Check")</x:f>
        <x:v>0</x:v>
      </x:c>
      <x:c r="T9" t="str">
        <x:f>IF(ABS(Japan!AM9)&lt;0.001,"OK","Check")</x:f>
        <x:v>OK</x:v>
      </x:c>
      <x:c r="U9" t="str">
        <x:f>"n/a"</x:f>
        <x:v>n/a</x:v>
      </x:c>
      <x:c r="V9" t="str">
        <x:f>"n/a"</x:f>
        <x:v>n/a</x:v>
      </x:c>
      <x:c r="W9" t="str">
        <x:f>"n/a"</x:f>
        <x:v>n/a</x:v>
      </x:c>
      <x:c r="X9" t="str">
        <x:f>"n/a"</x:f>
        <x:v>n/a</x:v>
      </x:c>
      <x:c r="Y9" t="str">
        <x:f>IF(Abroad!T9&gt;=-0.001,"OK","Check")</x:f>
        <x:v>OK</x:v>
      </x:c>
      <x:c r="Z9" t="str">
        <x:f>"n/a"</x:f>
        <x:v>n/a</x:v>
      </x:c>
    </x:row>
    <x:row r="10">
      <x:c r="A10" s="58" t="n">
        <x:v>1850</x:v>
      </x:c>
      <x:c r="B10" s="80" t="str">
        <x:f>IF(ABS(People!L10-(People!B10+People!C10+People!D10+People!K10))&lt;1,"OK","Check")</x:f>
        <x:v>OK</x:v>
      </x:c>
      <x:c r="C10" s="80" t="str">
        <x:f>IF(ABS('Debt &amp; cash'!M10-'Debt &amp; cash'!E10)&lt;0.001,"OK","Check")</x:f>
        <x:v>OK</x:v>
      </x:c>
      <x:c r="D10" s="80" t="str">
        <x:f>IF('Debt &amp; cash'!S10&gt;=-0.001,"OK","Check")</x:f>
        <x:v>OK</x:v>
      </x:c>
      <x:c r="E10" s="81" t="n">
        <x:f>'Debt &amp; cash'!V10</x:f>
        <x:v>0.1900710561970272</x:v>
      </x:c>
      <x:c r="F10" s="80" t="str">
        <x:f>IF($A10&lt;1887,"n/a",IF(E10&lt;=cap_debt,"OK","Check"))</x:f>
        <x:v>n/a</x:v>
      </x:c>
      <x:c r="G10" s="81" t="n">
        <x:f>'Debt &amp; cash'!W10</x:f>
        <x:v>0.13513124056170436</x:v>
      </x:c>
      <x:c r="H10" s="80" t="str">
        <x:f>IF($A10&lt;1887,"n/a",IF(G10&lt;=cap_int,"OK","Check"))</x:f>
        <x:v>n/a</x:v>
      </x:c>
      <x:c r="I10" s="81" t="n">
        <x:f>Budget!AC10</x:f>
        <x:v>0.01578783374360015</x:v>
      </x:c>
      <x:c r="J10" s="80" t="str">
        <x:f>IF($A10&lt;1887,"n/a",IF(Paths!AC10=1,"War year",IF(I10&lt;=cap_def,"OK","Check")))</x:f>
        <x:v>n/a</x:v>
      </x:c>
      <x:c r="K10" s="63" t="n">
        <x:f>'Debt &amp; cash'!Y10/Economy!O10</x:f>
        <x:v>0</x:v>
      </x:c>
      <x:c r="L10" s="80" t="str">
        <x:f>IF('Debt &amp; cash'!Y10&lt;=mkt_capacity*Economy!O10+foreign_capacity,"OK","Check")</x:f>
        <x:v>OK</x:v>
      </x:c>
      <x:c r="M10" s="80" t="str">
        <x:f>IF($A10&lt;1900,"n/a",IF('Gold &amp; money'!K10&gt;=0,"OK","Check"))</x:f>
        <x:v>n/a</x:v>
      </x:c>
      <x:c r="N10" s="81" t="n">
        <x:f>Japan!AA10</x:f>
        <x:v>0</x:v>
      </x:c>
      <x:c r="O10" s="80" t="str">
        <x:f>IF(N10&lt;=1,"OK","Check")</x:f>
        <x:v>OK</x:v>
      </x:c>
      <x:c r="P10" s="80" t="str">
        <x:f>IF($A10&lt;1922,"n/a",IF(AND(Navy!AE10&gt;=0.95,Navy!AE10&lt;=1.1),"OK","Check"))</x:f>
        <x:v>n/a</x:v>
      </x:c>
      <x:c r="Q10" s="80" t="str">
        <x:f>IF(Navy!Z10=0,"n/a",IF(Resources!K10&gt;=Navy!Z10,"OK","Check"))</x:f>
        <x:v>n/a</x:v>
      </x:c>
      <x:c r="R10" s="80" t="str">
        <x:f>IF(AND(gulf_on=1,$A10=gulf_year),IF(Gulf!AF10=1,"OK","Check"),"n/a")</x:f>
        <x:v>n/a</x:v>
      </x:c>
      <x:c r="S10" s="47" t="n">
        <x:f>COUNTIF(B10:R10,"Check")+COUNTIF(T10:Z10,"Check")</x:f>
        <x:v>0</x:v>
      </x:c>
      <x:c r="T10" t="str">
        <x:f>IF(ABS(Japan!AM10)&lt;0.001,"OK","Check")</x:f>
        <x:v>OK</x:v>
      </x:c>
      <x:c r="U10" t="str">
        <x:f>"n/a"</x:f>
        <x:v>n/a</x:v>
      </x:c>
      <x:c r="V10" t="str">
        <x:f>"n/a"</x:f>
        <x:v>n/a</x:v>
      </x:c>
      <x:c r="W10" t="str">
        <x:f>"n/a"</x:f>
        <x:v>n/a</x:v>
      </x:c>
      <x:c r="X10" t="str">
        <x:f>"n/a"</x:f>
        <x:v>n/a</x:v>
      </x:c>
      <x:c r="Y10" t="str">
        <x:f>IF(Abroad!T10&gt;=-0.001,"OK","Check")</x:f>
        <x:v>OK</x:v>
      </x:c>
      <x:c r="Z10" t="str">
        <x:f>"n/a"</x:f>
        <x:v>n/a</x:v>
      </x:c>
    </x:row>
    <x:row r="11">
      <x:c r="A11" s="58" t="n">
        <x:v>1851</x:v>
      </x:c>
      <x:c r="B11" s="80" t="str">
        <x:f>IF(ABS(People!L11-(People!B11+People!C11+People!D11+People!K11))&lt;1,"OK","Check")</x:f>
        <x:v>OK</x:v>
      </x:c>
      <x:c r="C11" s="80" t="str">
        <x:f>IF(ABS('Debt &amp; cash'!M11-'Debt &amp; cash'!E11)&lt;0.001,"OK","Check")</x:f>
        <x:v>OK</x:v>
      </x:c>
      <x:c r="D11" s="80" t="str">
        <x:f>IF('Debt &amp; cash'!S11&gt;=-0.001,"OK","Check")</x:f>
        <x:v>OK</x:v>
      </x:c>
      <x:c r="E11" s="81" t="n">
        <x:f>'Debt &amp; cash'!V11</x:f>
        <x:v>0.13136410640274473</x:v>
      </x:c>
      <x:c r="F11" s="80" t="str">
        <x:f>IF($A11&lt;1887,"n/a",IF(E11&lt;=cap_debt,"OK","Check"))</x:f>
        <x:v>n/a</x:v>
      </x:c>
      <x:c r="G11" s="81" t="n">
        <x:f>'Debt &amp; cash'!W11</x:f>
        <x:v>0.0973095668326591</x:v>
      </x:c>
      <x:c r="H11" s="80" t="str">
        <x:f>IF($A11&lt;1887,"n/a",IF(G11&lt;=cap_int,"OK","Check"))</x:f>
        <x:v>n/a</x:v>
      </x:c>
      <x:c r="I11" s="81" t="n">
        <x:f>Budget!AC11</x:f>
        <x:v>0.017717199235417713</x:v>
      </x:c>
      <x:c r="J11" s="80" t="str">
        <x:f>IF($A11&lt;1887,"n/a",IF(Paths!AC11=1,"War year",IF(I11&lt;=cap_def,"OK","Check")))</x:f>
        <x:v>n/a</x:v>
      </x:c>
      <x:c r="K11" s="63" t="n">
        <x:f>'Debt &amp; cash'!Y11/Economy!O11</x:f>
        <x:v>0</x:v>
      </x:c>
      <x:c r="L11" s="80" t="str">
        <x:f>IF('Debt &amp; cash'!Y11&lt;=mkt_capacity*Economy!O11+foreign_capacity,"OK","Check")</x:f>
        <x:v>OK</x:v>
      </x:c>
      <x:c r="M11" s="80" t="str">
        <x:f>IF($A11&lt;1900,"n/a",IF('Gold &amp; money'!K11&gt;=0,"OK","Check"))</x:f>
        <x:v>n/a</x:v>
      </x:c>
      <x:c r="N11" s="81" t="n">
        <x:f>Japan!AA11</x:f>
        <x:v>0</x:v>
      </x:c>
      <x:c r="O11" s="80" t="str">
        <x:f>IF(N11&lt;=1,"OK","Check")</x:f>
        <x:v>OK</x:v>
      </x:c>
      <x:c r="P11" s="80" t="str">
        <x:f>IF($A11&lt;1922,"n/a",IF(AND(Navy!AE11&gt;=0.95,Navy!AE11&lt;=1.1),"OK","Check"))</x:f>
        <x:v>n/a</x:v>
      </x:c>
      <x:c r="Q11" s="80" t="str">
        <x:f>IF(Navy!Z11=0,"n/a",IF(Resources!K11&gt;=Navy!Z11,"OK","Check"))</x:f>
        <x:v>n/a</x:v>
      </x:c>
      <x:c r="R11" s="80" t="str">
        <x:f>IF(AND(gulf_on=1,$A11=gulf_year),IF(Gulf!AF11=1,"OK","Check"),"n/a")</x:f>
        <x:v>n/a</x:v>
      </x:c>
      <x:c r="S11" s="47" t="n">
        <x:f>COUNTIF(B11:R11,"Check")+COUNTIF(T11:Z11,"Check")</x:f>
        <x:v>0</x:v>
      </x:c>
      <x:c r="T11" t="str">
        <x:f>IF(ABS(Japan!AM11)&lt;0.001,"OK","Check")</x:f>
        <x:v>OK</x:v>
      </x:c>
      <x:c r="U11" t="str">
        <x:f>"n/a"</x:f>
        <x:v>n/a</x:v>
      </x:c>
      <x:c r="V11" t="str">
        <x:f>"n/a"</x:f>
        <x:v>n/a</x:v>
      </x:c>
      <x:c r="W11" t="str">
        <x:f>"n/a"</x:f>
        <x:v>n/a</x:v>
      </x:c>
      <x:c r="X11" t="str">
        <x:f>"n/a"</x:f>
        <x:v>n/a</x:v>
      </x:c>
      <x:c r="Y11" t="str">
        <x:f>IF(Abroad!T11&gt;=-0.001,"OK","Check")</x:f>
        <x:v>OK</x:v>
      </x:c>
      <x:c r="Z11" t="str">
        <x:f>"n/a"</x:f>
        <x:v>n/a</x:v>
      </x:c>
    </x:row>
    <x:row r="12">
      <x:c r="A12" s="58" t="n">
        <x:v>1852</x:v>
      </x:c>
      <x:c r="B12" s="80" t="str">
        <x:f>IF(ABS(People!L12-(People!B12+People!C12+People!D12+People!K12))&lt;1,"OK","Check")</x:f>
        <x:v>OK</x:v>
      </x:c>
      <x:c r="C12" s="80" t="str">
        <x:f>IF(ABS('Debt &amp; cash'!M12-'Debt &amp; cash'!E12)&lt;0.001,"OK","Check")</x:f>
        <x:v>OK</x:v>
      </x:c>
      <x:c r="D12" s="80" t="str">
        <x:f>IF('Debt &amp; cash'!S12&gt;=-0.001,"OK","Check")</x:f>
        <x:v>OK</x:v>
      </x:c>
      <x:c r="E12" s="81" t="n">
        <x:f>'Debt &amp; cash'!V12</x:f>
        <x:v>0.10671095533842447</x:v>
      </x:c>
      <x:c r="F12" s="80" t="str">
        <x:f>IF($A12&lt;1887,"n/a",IF(E12&lt;=cap_debt,"OK","Check"))</x:f>
        <x:v>n/a</x:v>
      </x:c>
      <x:c r="G12" s="81" t="n">
        <x:f>'Debt &amp; cash'!W12</x:f>
        <x:v>0.06996618918742353</x:v>
      </x:c>
      <x:c r="H12" s="80" t="str">
        <x:f>IF($A12&lt;1887,"n/a",IF(G12&lt;=cap_int,"OK","Check"))</x:f>
        <x:v>n/a</x:v>
      </x:c>
      <x:c r="I12" s="81" t="n">
        <x:f>Budget!AC12</x:f>
        <x:v>0.023193143003332264</x:v>
      </x:c>
      <x:c r="J12" s="80" t="str">
        <x:f>IF($A12&lt;1887,"n/a",IF(Paths!AC12=1,"War year",IF(I12&lt;=cap_def,"OK","Check")))</x:f>
        <x:v>n/a</x:v>
      </x:c>
      <x:c r="K12" s="63" t="n">
        <x:f>'Debt &amp; cash'!Y12/Economy!O12</x:f>
        <x:v>0</x:v>
      </x:c>
      <x:c r="L12" s="80" t="str">
        <x:f>IF('Debt &amp; cash'!Y12&lt;=mkt_capacity*Economy!O12+foreign_capacity,"OK","Check")</x:f>
        <x:v>OK</x:v>
      </x:c>
      <x:c r="M12" s="80" t="str">
        <x:f>IF($A12&lt;1900,"n/a",IF('Gold &amp; money'!K12&gt;=0,"OK","Check"))</x:f>
        <x:v>n/a</x:v>
      </x:c>
      <x:c r="N12" s="81" t="n">
        <x:f>Japan!AA12</x:f>
        <x:v>0</x:v>
      </x:c>
      <x:c r="O12" s="80" t="str">
        <x:f>IF(N12&lt;=1,"OK","Check")</x:f>
        <x:v>OK</x:v>
      </x:c>
      <x:c r="P12" s="80" t="str">
        <x:f>IF($A12&lt;1922,"n/a",IF(AND(Navy!AE12&gt;=0.95,Navy!AE12&lt;=1.1),"OK","Check"))</x:f>
        <x:v>n/a</x:v>
      </x:c>
      <x:c r="Q12" s="80" t="str">
        <x:f>IF(Navy!Z12=0,"n/a",IF(Resources!K12&gt;=Navy!Z12,"OK","Check"))</x:f>
        <x:v>n/a</x:v>
      </x:c>
      <x:c r="R12" s="80" t="str">
        <x:f>IF(AND(gulf_on=1,$A12=gulf_year),IF(Gulf!AF12=1,"OK","Check"),"n/a")</x:f>
        <x:v>n/a</x:v>
      </x:c>
      <x:c r="S12" s="47" t="n">
        <x:f>COUNTIF(B12:R12,"Check")+COUNTIF(T12:Z12,"Check")</x:f>
        <x:v>0</x:v>
      </x:c>
      <x:c r="T12" t="str">
        <x:f>IF(ABS(Japan!AM12)&lt;0.001,"OK","Check")</x:f>
        <x:v>OK</x:v>
      </x:c>
      <x:c r="U12" t="str">
        <x:f>"n/a"</x:f>
        <x:v>n/a</x:v>
      </x:c>
      <x:c r="V12" t="str">
        <x:f>"n/a"</x:f>
        <x:v>n/a</x:v>
      </x:c>
      <x:c r="W12" t="str">
        <x:f>"n/a"</x:f>
        <x:v>n/a</x:v>
      </x:c>
      <x:c r="X12" t="str">
        <x:f>"n/a"</x:f>
        <x:v>n/a</x:v>
      </x:c>
      <x:c r="Y12" t="str">
        <x:f>IF(Abroad!T12&gt;=-0.001,"OK","Check")</x:f>
        <x:v>OK</x:v>
      </x:c>
      <x:c r="Z12" t="str">
        <x:f>"n/a"</x:f>
        <x:v>n/a</x:v>
      </x:c>
    </x:row>
    <x:row r="13">
      <x:c r="A13" s="58" t="n">
        <x:v>1853</x:v>
      </x:c>
      <x:c r="B13" s="80" t="str">
        <x:f>IF(ABS(People!L13-(People!B13+People!C13+People!D13+People!K13))&lt;1,"OK","Check")</x:f>
        <x:v>OK</x:v>
      </x:c>
      <x:c r="C13" s="80" t="str">
        <x:f>IF(ABS('Debt &amp; cash'!M13-'Debt &amp; cash'!E13)&lt;0.001,"OK","Check")</x:f>
        <x:v>OK</x:v>
      </x:c>
      <x:c r="D13" s="80" t="str">
        <x:f>IF('Debt &amp; cash'!S13&gt;=-0.001,"OK","Check")</x:f>
        <x:v>OK</x:v>
      </x:c>
      <x:c r="E13" s="81" t="n">
        <x:f>'Debt &amp; cash'!V13</x:f>
        <x:v>0.0910369972301805</x:v>
      </x:c>
      <x:c r="F13" s="80" t="str">
        <x:f>IF($A13&lt;1887,"n/a",IF(E13&lt;=cap_debt,"OK","Check"))</x:f>
        <x:v>n/a</x:v>
      </x:c>
      <x:c r="G13" s="81" t="n">
        <x:f>'Debt &amp; cash'!W13</x:f>
        <x:v>0.06396290108464806</x:v>
      </x:c>
      <x:c r="H13" s="80" t="str">
        <x:f>IF($A13&lt;1887,"n/a",IF(G13&lt;=cap_int,"OK","Check"))</x:f>
        <x:v>n/a</x:v>
      </x:c>
      <x:c r="I13" s="81" t="n">
        <x:f>Budget!AC13</x:f>
        <x:v>0.027854899045444893</x:v>
      </x:c>
      <x:c r="J13" s="80" t="str">
        <x:f>IF($A13&lt;1887,"n/a",IF(Paths!AC13=1,"War year",IF(I13&lt;=cap_def,"OK","Check")))</x:f>
        <x:v>n/a</x:v>
      </x:c>
      <x:c r="K13" s="63" t="n">
        <x:f>'Debt &amp; cash'!Y13/Economy!O13</x:f>
        <x:v>0</x:v>
      </x:c>
      <x:c r="L13" s="80" t="str">
        <x:f>IF('Debt &amp; cash'!Y13&lt;=mkt_capacity*Economy!O13+foreign_capacity,"OK","Check")</x:f>
        <x:v>OK</x:v>
      </x:c>
      <x:c r="M13" s="80" t="str">
        <x:f>IF($A13&lt;1900,"n/a",IF('Gold &amp; money'!K13&gt;=0,"OK","Check"))</x:f>
        <x:v>n/a</x:v>
      </x:c>
      <x:c r="N13" s="81" t="n">
        <x:f>Japan!AA13</x:f>
        <x:v>0</x:v>
      </x:c>
      <x:c r="O13" s="80" t="str">
        <x:f>IF(N13&lt;=1,"OK","Check")</x:f>
        <x:v>OK</x:v>
      </x:c>
      <x:c r="P13" s="80" t="str">
        <x:f>IF($A13&lt;1922,"n/a",IF(AND(Navy!AE13&gt;=0.95,Navy!AE13&lt;=1.1),"OK","Check"))</x:f>
        <x:v>n/a</x:v>
      </x:c>
      <x:c r="Q13" s="80" t="str">
        <x:f>IF(Navy!Z13=0,"n/a",IF(Resources!K13&gt;=Navy!Z13,"OK","Check"))</x:f>
        <x:v>n/a</x:v>
      </x:c>
      <x:c r="R13" s="80" t="str">
        <x:f>IF(AND(gulf_on=1,$A13=gulf_year),IF(Gulf!AF13=1,"OK","Check"),"n/a")</x:f>
        <x:v>n/a</x:v>
      </x:c>
      <x:c r="S13" s="47" t="n">
        <x:f>COUNTIF(B13:R13,"Check")+COUNTIF(T13:Z13,"Check")</x:f>
        <x:v>0</x:v>
      </x:c>
      <x:c r="T13" t="str">
        <x:f>IF(ABS(Japan!AM13)&lt;0.001,"OK","Check")</x:f>
        <x:v>OK</x:v>
      </x:c>
      <x:c r="U13" t="str">
        <x:f>"n/a"</x:f>
        <x:v>n/a</x:v>
      </x:c>
      <x:c r="V13" t="str">
        <x:f>"n/a"</x:f>
        <x:v>n/a</x:v>
      </x:c>
      <x:c r="W13" t="str">
        <x:f>"n/a"</x:f>
        <x:v>n/a</x:v>
      </x:c>
      <x:c r="X13" t="str">
        <x:f>"n/a"</x:f>
        <x:v>n/a</x:v>
      </x:c>
      <x:c r="Y13" t="str">
        <x:f>IF(Abroad!T13&gt;=-0.001,"OK","Check")</x:f>
        <x:v>OK</x:v>
      </x:c>
      <x:c r="Z13" t="str">
        <x:f>"n/a"</x:f>
        <x:v>n/a</x:v>
      </x:c>
    </x:row>
    <x:row r="14">
      <x:c r="A14" s="58" t="n">
        <x:v>1854</x:v>
      </x:c>
      <x:c r="B14" s="80" t="str">
        <x:f>IF(ABS(People!L14-(People!B14+People!C14+People!D14+People!K14))&lt;1,"OK","Check")</x:f>
        <x:v>OK</x:v>
      </x:c>
      <x:c r="C14" s="80" t="str">
        <x:f>IF(ABS('Debt &amp; cash'!M14-'Debt &amp; cash'!E14)&lt;0.001,"OK","Check")</x:f>
        <x:v>OK</x:v>
      </x:c>
      <x:c r="D14" s="80" t="str">
        <x:f>IF('Debt &amp; cash'!S14&gt;=-0.001,"OK","Check")</x:f>
        <x:v>OK</x:v>
      </x:c>
      <x:c r="E14" s="81" t="n">
        <x:f>'Debt &amp; cash'!V14</x:f>
        <x:v>0.07185905095403451</x:v>
      </x:c>
      <x:c r="F14" s="80" t="str">
        <x:f>IF($A14&lt;1887,"n/a",IF(E14&lt;=cap_debt,"OK","Check"))</x:f>
        <x:v>n/a</x:v>
      </x:c>
      <x:c r="G14" s="81" t="n">
        <x:f>'Debt &amp; cash'!W14</x:f>
        <x:v>0.051448816713727204</x:v>
      </x:c>
      <x:c r="H14" s="80" t="str">
        <x:f>IF($A14&lt;1887,"n/a",IF(G14&lt;=cap_int,"OK","Check"))</x:f>
        <x:v>n/a</x:v>
      </x:c>
      <x:c r="I14" s="81" t="n">
        <x:f>Budget!AC14</x:f>
        <x:v>0.03045966973517761</x:v>
      </x:c>
      <x:c r="J14" s="80" t="str">
        <x:f>IF($A14&lt;1887,"n/a",IF(Paths!AC14=1,"War year",IF(I14&lt;=cap_def,"OK","Check")))</x:f>
        <x:v>n/a</x:v>
      </x:c>
      <x:c r="K14" s="63" t="n">
        <x:f>'Debt &amp; cash'!Y14/Economy!O14</x:f>
        <x:v>0</x:v>
      </x:c>
      <x:c r="L14" s="80" t="str">
        <x:f>IF('Debt &amp; cash'!Y14&lt;=mkt_capacity*Economy!O14+foreign_capacity,"OK","Check")</x:f>
        <x:v>OK</x:v>
      </x:c>
      <x:c r="M14" s="80" t="str">
        <x:f>IF($A14&lt;1900,"n/a",IF('Gold &amp; money'!K14&gt;=0,"OK","Check"))</x:f>
        <x:v>n/a</x:v>
      </x:c>
      <x:c r="N14" s="81" t="n">
        <x:f>Japan!AA14</x:f>
        <x:v>0</x:v>
      </x:c>
      <x:c r="O14" s="80" t="str">
        <x:f>IF(N14&lt;=1,"OK","Check")</x:f>
        <x:v>OK</x:v>
      </x:c>
      <x:c r="P14" s="80" t="str">
        <x:f>IF($A14&lt;1922,"n/a",IF(AND(Navy!AE14&gt;=0.95,Navy!AE14&lt;=1.1),"OK","Check"))</x:f>
        <x:v>n/a</x:v>
      </x:c>
      <x:c r="Q14" s="80" t="str">
        <x:f>IF(Navy!Z14=0,"n/a",IF(Resources!K14&gt;=Navy!Z14,"OK","Check"))</x:f>
        <x:v>n/a</x:v>
      </x:c>
      <x:c r="R14" s="80" t="str">
        <x:f>IF(AND(gulf_on=1,$A14=gulf_year),IF(Gulf!AF14=1,"OK","Check"),"n/a")</x:f>
        <x:v>n/a</x:v>
      </x:c>
      <x:c r="S14" s="47" t="n">
        <x:f>COUNTIF(B14:R14,"Check")+COUNTIF(T14:Z14,"Check")</x:f>
        <x:v>0</x:v>
      </x:c>
      <x:c r="T14" t="str">
        <x:f>IF(ABS(Japan!AM14)&lt;0.001,"OK","Check")</x:f>
        <x:v>OK</x:v>
      </x:c>
      <x:c r="U14" t="str">
        <x:f>"n/a"</x:f>
        <x:v>n/a</x:v>
      </x:c>
      <x:c r="V14" t="str">
        <x:f>"n/a"</x:f>
        <x:v>n/a</x:v>
      </x:c>
      <x:c r="W14" t="str">
        <x:f>"n/a"</x:f>
        <x:v>n/a</x:v>
      </x:c>
      <x:c r="X14" t="str">
        <x:f>"n/a"</x:f>
        <x:v>n/a</x:v>
      </x:c>
      <x:c r="Y14" t="str">
        <x:f>IF(Abroad!T14&gt;=-0.001,"OK","Check")</x:f>
        <x:v>OK</x:v>
      </x:c>
      <x:c r="Z14" t="str">
        <x:f>"n/a"</x:f>
        <x:v>n/a</x:v>
      </x:c>
    </x:row>
    <x:row r="15">
      <x:c r="A15" s="58" t="n">
        <x:v>1855</x:v>
      </x:c>
      <x:c r="B15" s="80" t="str">
        <x:f>IF(ABS(People!L15-(People!B15+People!C15+People!D15+People!K15))&lt;1,"OK","Check")</x:f>
        <x:v>OK</x:v>
      </x:c>
      <x:c r="C15" s="80" t="str">
        <x:f>IF(ABS('Debt &amp; cash'!M15-'Debt &amp; cash'!E15)&lt;0.001,"OK","Check")</x:f>
        <x:v>OK</x:v>
      </x:c>
      <x:c r="D15" s="80" t="str">
        <x:f>IF('Debt &amp; cash'!S15&gt;=-0.001,"OK","Check")</x:f>
        <x:v>OK</x:v>
      </x:c>
      <x:c r="E15" s="81" t="n">
        <x:f>'Debt &amp; cash'!V15</x:f>
        <x:v>0.060929986303922476</x:v>
      </x:c>
      <x:c r="F15" s="80" t="str">
        <x:f>IF($A15&lt;1887,"n/a",IF(E15&lt;=cap_debt,"OK","Check"))</x:f>
        <x:v>n/a</x:v>
      </x:c>
      <x:c r="G15" s="81" t="n">
        <x:f>'Debt &amp; cash'!W15</x:f>
        <x:v>0.04230895977011151</x:v>
      </x:c>
      <x:c r="H15" s="80" t="str">
        <x:f>IF($A15&lt;1887,"n/a",IF(G15&lt;=cap_int,"OK","Check"))</x:f>
        <x:v>n/a</x:v>
      </x:c>
      <x:c r="I15" s="81" t="n">
        <x:f>Budget!AC15</x:f>
        <x:v>0.03454314406410554</x:v>
      </x:c>
      <x:c r="J15" s="80" t="str">
        <x:f>IF($A15&lt;1887,"n/a",IF(Paths!AC15=1,"War year",IF(I15&lt;=cap_def,"OK","Check")))</x:f>
        <x:v>n/a</x:v>
      </x:c>
      <x:c r="K15" s="63" t="n">
        <x:f>'Debt &amp; cash'!Y15/Economy!O15</x:f>
        <x:v>0</x:v>
      </x:c>
      <x:c r="L15" s="80" t="str">
        <x:f>IF('Debt &amp; cash'!Y15&lt;=mkt_capacity*Economy!O15+foreign_capacity,"OK","Check")</x:f>
        <x:v>OK</x:v>
      </x:c>
      <x:c r="M15" s="80" t="str">
        <x:f>IF($A15&lt;1900,"n/a",IF('Gold &amp; money'!K15&gt;=0,"OK","Check"))</x:f>
        <x:v>n/a</x:v>
      </x:c>
      <x:c r="N15" s="81" t="n">
        <x:f>Japan!AA15</x:f>
        <x:v>0</x:v>
      </x:c>
      <x:c r="O15" s="80" t="str">
        <x:f>IF(N15&lt;=1,"OK","Check")</x:f>
        <x:v>OK</x:v>
      </x:c>
      <x:c r="P15" s="80" t="str">
        <x:f>IF($A15&lt;1922,"n/a",IF(AND(Navy!AE15&gt;=0.95,Navy!AE15&lt;=1.1),"OK","Check"))</x:f>
        <x:v>n/a</x:v>
      </x:c>
      <x:c r="Q15" s="80" t="str">
        <x:f>IF(Navy!Z15=0,"n/a",IF(Resources!K15&gt;=Navy!Z15,"OK","Check"))</x:f>
        <x:v>n/a</x:v>
      </x:c>
      <x:c r="R15" s="80" t="str">
        <x:f>IF(AND(gulf_on=1,$A15=gulf_year),IF(Gulf!AF15=1,"OK","Check"),"n/a")</x:f>
        <x:v>n/a</x:v>
      </x:c>
      <x:c r="S15" s="47" t="n">
        <x:f>COUNTIF(B15:R15,"Check")+COUNTIF(T15:Z15,"Check")</x:f>
        <x:v>0</x:v>
      </x:c>
      <x:c r="T15" t="str">
        <x:f>IF(ABS(Japan!AM15)&lt;0.001,"OK","Check")</x:f>
        <x:v>OK</x:v>
      </x:c>
      <x:c r="U15" t="str">
        <x:f>"n/a"</x:f>
        <x:v>n/a</x:v>
      </x:c>
      <x:c r="V15" t="str">
        <x:f>"n/a"</x:f>
        <x:v>n/a</x:v>
      </x:c>
      <x:c r="W15" t="str">
        <x:f>"n/a"</x:f>
        <x:v>n/a</x:v>
      </x:c>
      <x:c r="X15" t="str">
        <x:f>"n/a"</x:f>
        <x:v>n/a</x:v>
      </x:c>
      <x:c r="Y15" t="str">
        <x:f>IF(Abroad!T15&gt;=-0.001,"OK","Check")</x:f>
        <x:v>OK</x:v>
      </x:c>
      <x:c r="Z15" t="str">
        <x:f>"n/a"</x:f>
        <x:v>n/a</x:v>
      </x:c>
    </x:row>
    <x:row r="16">
      <x:c r="A16" s="58" t="n">
        <x:v>1856</x:v>
      </x:c>
      <x:c r="B16" s="80" t="str">
        <x:f>IF(ABS(People!L16-(People!B16+People!C16+People!D16+People!K16))&lt;1,"OK","Check")</x:f>
        <x:v>OK</x:v>
      </x:c>
      <x:c r="C16" s="80" t="str">
        <x:f>IF(ABS('Debt &amp; cash'!M16-'Debt &amp; cash'!E16)&lt;0.001,"OK","Check")</x:f>
        <x:v>OK</x:v>
      </x:c>
      <x:c r="D16" s="80" t="str">
        <x:f>IF('Debt &amp; cash'!S16&gt;=-0.001,"OK","Check")</x:f>
        <x:v>OK</x:v>
      </x:c>
      <x:c r="E16" s="81" t="n">
        <x:f>'Debt &amp; cash'!V16</x:f>
        <x:v>0.044354209640869155</x:v>
      </x:c>
      <x:c r="F16" s="80" t="str">
        <x:f>IF($A16&lt;1887,"n/a",IF(E16&lt;=cap_debt,"OK","Check"))</x:f>
        <x:v>n/a</x:v>
      </x:c>
      <x:c r="G16" s="81" t="n">
        <x:f>'Debt &amp; cash'!W16</x:f>
        <x:v>0.031602235332540536</x:v>
      </x:c>
      <x:c r="H16" s="80" t="str">
        <x:f>IF($A16&lt;1887,"n/a",IF(G16&lt;=cap_int,"OK","Check"))</x:f>
        <x:v>n/a</x:v>
      </x:c>
      <x:c r="I16" s="81" t="n">
        <x:f>Budget!AC16</x:f>
        <x:v>0.035973558523967865</x:v>
      </x:c>
      <x:c r="J16" s="80" t="str">
        <x:f>IF($A16&lt;1887,"n/a",IF(Paths!AC16=1,"War year",IF(I16&lt;=cap_def,"OK","Check")))</x:f>
        <x:v>n/a</x:v>
      </x:c>
      <x:c r="K16" s="63" t="n">
        <x:f>'Debt &amp; cash'!Y16/Economy!O16</x:f>
        <x:v>0</x:v>
      </x:c>
      <x:c r="L16" s="80" t="str">
        <x:f>IF('Debt &amp; cash'!Y16&lt;=mkt_capacity*Economy!O16+foreign_capacity,"OK","Check")</x:f>
        <x:v>OK</x:v>
      </x:c>
      <x:c r="M16" s="80" t="str">
        <x:f>IF($A16&lt;1900,"n/a",IF('Gold &amp; money'!K16&gt;=0,"OK","Check"))</x:f>
        <x:v>n/a</x:v>
      </x:c>
      <x:c r="N16" s="81" t="n">
        <x:f>Japan!AA16</x:f>
        <x:v>0</x:v>
      </x:c>
      <x:c r="O16" s="80" t="str">
        <x:f>IF(N16&lt;=1,"OK","Check")</x:f>
        <x:v>OK</x:v>
      </x:c>
      <x:c r="P16" s="80" t="str">
        <x:f>IF($A16&lt;1922,"n/a",IF(AND(Navy!AE16&gt;=0.95,Navy!AE16&lt;=1.1),"OK","Check"))</x:f>
        <x:v>n/a</x:v>
      </x:c>
      <x:c r="Q16" s="80" t="str">
        <x:f>IF(Navy!Z16=0,"n/a",IF(Resources!K16&gt;=Navy!Z16,"OK","Check"))</x:f>
        <x:v>n/a</x:v>
      </x:c>
      <x:c r="R16" s="80" t="str">
        <x:f>IF(AND(gulf_on=1,$A16=gulf_year),IF(Gulf!AF16=1,"OK","Check"),"n/a")</x:f>
        <x:v>n/a</x:v>
      </x:c>
      <x:c r="S16" s="47" t="n">
        <x:f>COUNTIF(B16:R16,"Check")+COUNTIF(T16:Z16,"Check")</x:f>
        <x:v>0</x:v>
      </x:c>
      <x:c r="T16" t="str">
        <x:f>IF(ABS(Japan!AM16)&lt;0.001,"OK","Check")</x:f>
        <x:v>OK</x:v>
      </x:c>
      <x:c r="U16" t="str">
        <x:f>"n/a"</x:f>
        <x:v>n/a</x:v>
      </x:c>
      <x:c r="V16" t="str">
        <x:f>"n/a"</x:f>
        <x:v>n/a</x:v>
      </x:c>
      <x:c r="W16" t="str">
        <x:f>"n/a"</x:f>
        <x:v>n/a</x:v>
      </x:c>
      <x:c r="X16" t="str">
        <x:f>"n/a"</x:f>
        <x:v>n/a</x:v>
      </x:c>
      <x:c r="Y16" t="str">
        <x:f>IF(Abroad!T16&gt;=-0.001,"OK","Check")</x:f>
        <x:v>OK</x:v>
      </x:c>
      <x:c r="Z16" t="str">
        <x:f>"n/a"</x:f>
        <x:v>n/a</x:v>
      </x:c>
    </x:row>
    <x:row r="17">
      <x:c r="A17" s="58" t="n">
        <x:v>1857</x:v>
      </x:c>
      <x:c r="B17" s="80" t="str">
        <x:f>IF(ABS(People!L17-(People!B17+People!C17+People!D17+People!K17))&lt;1,"OK","Check")</x:f>
        <x:v>OK</x:v>
      </x:c>
      <x:c r="C17" s="80" t="str">
        <x:f>IF(ABS('Debt &amp; cash'!M17-'Debt &amp; cash'!E17)&lt;0.001,"OK","Check")</x:f>
        <x:v>OK</x:v>
      </x:c>
      <x:c r="D17" s="80" t="str">
        <x:f>IF('Debt &amp; cash'!S17&gt;=-0.001,"OK","Check")</x:f>
        <x:v>OK</x:v>
      </x:c>
      <x:c r="E17" s="81" t="n">
        <x:f>'Debt &amp; cash'!V17</x:f>
        <x:v>0.039703400006594725</x:v>
      </x:c>
      <x:c r="F17" s="80" t="str">
        <x:f>IF($A17&lt;1887,"n/a",IF(E17&lt;=cap_debt,"OK","Check"))</x:f>
        <x:v>n/a</x:v>
      </x:c>
      <x:c r="G17" s="81" t="n">
        <x:f>'Debt &amp; cash'!W17</x:f>
        <x:v>0.025547611863322123</x:v>
      </x:c>
      <x:c r="H17" s="80" t="str">
        <x:f>IF($A17&lt;1887,"n/a",IF(G17&lt;=cap_int,"OK","Check"))</x:f>
        <x:v>n/a</x:v>
      </x:c>
      <x:c r="I17" s="81" t="n">
        <x:f>Budget!AC17</x:f>
        <x:v>0.046321251057452266</x:v>
      </x:c>
      <x:c r="J17" s="80" t="str">
        <x:f>IF($A17&lt;1887,"n/a",IF(Paths!AC17=1,"War year",IF(I17&lt;=cap_def,"OK","Check")))</x:f>
        <x:v>n/a</x:v>
      </x:c>
      <x:c r="K17" s="63" t="n">
        <x:f>'Debt &amp; cash'!Y17/Economy!O17</x:f>
        <x:v>0</x:v>
      </x:c>
      <x:c r="L17" s="80" t="str">
        <x:f>IF('Debt &amp; cash'!Y17&lt;=mkt_capacity*Economy!O17+foreign_capacity,"OK","Check")</x:f>
        <x:v>OK</x:v>
      </x:c>
      <x:c r="M17" s="80" t="str">
        <x:f>IF($A17&lt;1900,"n/a",IF('Gold &amp; money'!K17&gt;=0,"OK","Check"))</x:f>
        <x:v>n/a</x:v>
      </x:c>
      <x:c r="N17" s="81" t="n">
        <x:f>Japan!AA17</x:f>
        <x:v>0</x:v>
      </x:c>
      <x:c r="O17" s="80" t="str">
        <x:f>IF(N17&lt;=1,"OK","Check")</x:f>
        <x:v>OK</x:v>
      </x:c>
      <x:c r="P17" s="80" t="str">
        <x:f>IF($A17&lt;1922,"n/a",IF(AND(Navy!AE17&gt;=0.95,Navy!AE17&lt;=1.1),"OK","Check"))</x:f>
        <x:v>n/a</x:v>
      </x:c>
      <x:c r="Q17" s="80" t="str">
        <x:f>IF(Navy!Z17=0,"n/a",IF(Resources!K17&gt;=Navy!Z17,"OK","Check"))</x:f>
        <x:v>n/a</x:v>
      </x:c>
      <x:c r="R17" s="80" t="str">
        <x:f>IF(AND(gulf_on=1,$A17=gulf_year),IF(Gulf!AF17=1,"OK","Check"),"n/a")</x:f>
        <x:v>n/a</x:v>
      </x:c>
      <x:c r="S17" s="47" t="n">
        <x:f>COUNTIF(B17:R17,"Check")+COUNTIF(T17:Z17,"Check")</x:f>
        <x:v>0</x:v>
      </x:c>
      <x:c r="T17" t="str">
        <x:f>IF(ABS(Japan!AM17)&lt;0.001,"OK","Check")</x:f>
        <x:v>OK</x:v>
      </x:c>
      <x:c r="U17" t="str">
        <x:f>"n/a"</x:f>
        <x:v>n/a</x:v>
      </x:c>
      <x:c r="V17" t="str">
        <x:f>"n/a"</x:f>
        <x:v>n/a</x:v>
      </x:c>
      <x:c r="W17" t="str">
        <x:f>"n/a"</x:f>
        <x:v>n/a</x:v>
      </x:c>
      <x:c r="X17" t="str">
        <x:f>"n/a"</x:f>
        <x:v>n/a</x:v>
      </x:c>
      <x:c r="Y17" t="str">
        <x:f>IF(Abroad!T17&gt;=-0.001,"OK","Check")</x:f>
        <x:v>OK</x:v>
      </x:c>
      <x:c r="Z17" t="str">
        <x:f>"n/a"</x:f>
        <x:v>n/a</x:v>
      </x:c>
    </x:row>
    <x:row r="18">
      <x:c r="A18" s="58" t="n">
        <x:v>1858</x:v>
      </x:c>
      <x:c r="B18" s="80" t="str">
        <x:f>IF(ABS(People!L18-(People!B18+People!C18+People!D18+People!K18))&lt;1,"OK","Check")</x:f>
        <x:v>OK</x:v>
      </x:c>
      <x:c r="C18" s="80" t="str">
        <x:f>IF(ABS('Debt &amp; cash'!M18-'Debt &amp; cash'!E18)&lt;0.001,"OK","Check")</x:f>
        <x:v>OK</x:v>
      </x:c>
      <x:c r="D18" s="80" t="str">
        <x:f>IF('Debt &amp; cash'!S18&gt;=-0.001,"OK","Check")</x:f>
        <x:v>OK</x:v>
      </x:c>
      <x:c r="E18" s="81" t="n">
        <x:f>'Debt &amp; cash'!V18</x:f>
        <x:v>0.03586141467380738</x:v>
      </x:c>
      <x:c r="F18" s="80" t="str">
        <x:f>IF($A18&lt;1887,"n/a",IF(E18&lt;=cap_debt,"OK","Check"))</x:f>
        <x:v>n/a</x:v>
      </x:c>
      <x:c r="G18" s="81" t="n">
        <x:f>'Debt &amp; cash'!W18</x:f>
        <x:v>0.021618227946362374</x:v>
      </x:c>
      <x:c r="H18" s="80" t="str">
        <x:f>IF($A18&lt;1887,"n/a",IF(G18&lt;=cap_int,"OK","Check"))</x:f>
        <x:v>n/a</x:v>
      </x:c>
      <x:c r="I18" s="81" t="n">
        <x:f>Budget!AC18</x:f>
        <x:v>0.050594269523284455</x:v>
      </x:c>
      <x:c r="J18" s="80" t="str">
        <x:f>IF($A18&lt;1887,"n/a",IF(Paths!AC18=1,"War year",IF(I18&lt;=cap_def,"OK","Check")))</x:f>
        <x:v>n/a</x:v>
      </x:c>
      <x:c r="K18" s="63" t="n">
        <x:f>'Debt &amp; cash'!Y18/Economy!O18</x:f>
        <x:v>0</x:v>
      </x:c>
      <x:c r="L18" s="80" t="str">
        <x:f>IF('Debt &amp; cash'!Y18&lt;=mkt_capacity*Economy!O18+foreign_capacity,"OK","Check")</x:f>
        <x:v>OK</x:v>
      </x:c>
      <x:c r="M18" s="80" t="str">
        <x:f>IF($A18&lt;1900,"n/a",IF('Gold &amp; money'!K18&gt;=0,"OK","Check"))</x:f>
        <x:v>n/a</x:v>
      </x:c>
      <x:c r="N18" s="81" t="n">
        <x:f>Japan!AA18</x:f>
        <x:v>0</x:v>
      </x:c>
      <x:c r="O18" s="80" t="str">
        <x:f>IF(N18&lt;=1,"OK","Check")</x:f>
        <x:v>OK</x:v>
      </x:c>
      <x:c r="P18" s="80" t="str">
        <x:f>IF($A18&lt;1922,"n/a",IF(AND(Navy!AE18&gt;=0.95,Navy!AE18&lt;=1.1),"OK","Check"))</x:f>
        <x:v>n/a</x:v>
      </x:c>
      <x:c r="Q18" s="80" t="str">
        <x:f>IF(Navy!Z18=0,"n/a",IF(Resources!K18&gt;=Navy!Z18,"OK","Check"))</x:f>
        <x:v>n/a</x:v>
      </x:c>
      <x:c r="R18" s="80" t="str">
        <x:f>IF(AND(gulf_on=1,$A18=gulf_year),IF(Gulf!AF18=1,"OK","Check"),"n/a")</x:f>
        <x:v>n/a</x:v>
      </x:c>
      <x:c r="S18" s="47" t="n">
        <x:f>COUNTIF(B18:R18,"Check")+COUNTIF(T18:Z18,"Check")</x:f>
        <x:v>0</x:v>
      </x:c>
      <x:c r="T18" t="str">
        <x:f>IF(ABS(Japan!AM18)&lt;0.001,"OK","Check")</x:f>
        <x:v>OK</x:v>
      </x:c>
      <x:c r="U18" t="str">
        <x:f>"n/a"</x:f>
        <x:v>n/a</x:v>
      </x:c>
      <x:c r="V18" t="str">
        <x:f>"n/a"</x:f>
        <x:v>n/a</x:v>
      </x:c>
      <x:c r="W18" t="str">
        <x:f>"n/a"</x:f>
        <x:v>n/a</x:v>
      </x:c>
      <x:c r="X18" t="str">
        <x:f>"n/a"</x:f>
        <x:v>n/a</x:v>
      </x:c>
      <x:c r="Y18" t="str">
        <x:f>IF(Abroad!T18&gt;=-0.001,"OK","Check")</x:f>
        <x:v>OK</x:v>
      </x:c>
      <x:c r="Z18" t="str">
        <x:f>"n/a"</x:f>
        <x:v>n/a</x:v>
      </x:c>
    </x:row>
    <x:row r="19">
      <x:c r="A19" s="58" t="n">
        <x:v>1859</x:v>
      </x:c>
      <x:c r="B19" s="80" t="str">
        <x:f>IF(ABS(People!L19-(People!B19+People!C19+People!D19+People!K19))&lt;1,"OK","Check")</x:f>
        <x:v>OK</x:v>
      </x:c>
      <x:c r="C19" s="80" t="str">
        <x:f>IF(ABS('Debt &amp; cash'!M19-'Debt &amp; cash'!E19)&lt;0.001,"OK","Check")</x:f>
        <x:v>OK</x:v>
      </x:c>
      <x:c r="D19" s="80" t="str">
        <x:f>IF('Debt &amp; cash'!S19&gt;=-0.001,"OK","Check")</x:f>
        <x:v>OK</x:v>
      </x:c>
      <x:c r="E19" s="81" t="n">
        <x:f>'Debt &amp; cash'!V19</x:f>
        <x:v>0.03294460846563949</x:v>
      </x:c>
      <x:c r="F19" s="80" t="str">
        <x:f>IF($A19&lt;1887,"n/a",IF(E19&lt;=cap_debt,"OK","Check"))</x:f>
        <x:v>n/a</x:v>
      </x:c>
      <x:c r="G19" s="81" t="n">
        <x:f>'Debt &amp; cash'!W19</x:f>
        <x:v>0.020018112660832255</x:v>
      </x:c>
      <x:c r="H19" s="80" t="str">
        <x:f>IF($A19&lt;1887,"n/a",IF(G19&lt;=cap_int,"OK","Check"))</x:f>
        <x:v>n/a</x:v>
      </x:c>
      <x:c r="I19" s="81" t="n">
        <x:f>Budget!AC19</x:f>
        <x:v>0.05588711728614272</x:v>
      </x:c>
      <x:c r="J19" s="80" t="str">
        <x:f>IF($A19&lt;1887,"n/a",IF(Paths!AC19=1,"War year",IF(I19&lt;=cap_def,"OK","Check")))</x:f>
        <x:v>n/a</x:v>
      </x:c>
      <x:c r="K19" s="63" t="n">
        <x:f>'Debt &amp; cash'!Y19/Economy!O19</x:f>
        <x:v>0</x:v>
      </x:c>
      <x:c r="L19" s="80" t="str">
        <x:f>IF('Debt &amp; cash'!Y19&lt;=mkt_capacity*Economy!O19+foreign_capacity,"OK","Check")</x:f>
        <x:v>OK</x:v>
      </x:c>
      <x:c r="M19" s="80" t="str">
        <x:f>IF($A19&lt;1900,"n/a",IF('Gold &amp; money'!K19&gt;=0,"OK","Check"))</x:f>
        <x:v>n/a</x:v>
      </x:c>
      <x:c r="N19" s="81" t="n">
        <x:f>Japan!AA19</x:f>
        <x:v>0</x:v>
      </x:c>
      <x:c r="O19" s="80" t="str">
        <x:f>IF(N19&lt;=1,"OK","Check")</x:f>
        <x:v>OK</x:v>
      </x:c>
      <x:c r="P19" s="80" t="str">
        <x:f>IF($A19&lt;1922,"n/a",IF(AND(Navy!AE19&gt;=0.95,Navy!AE19&lt;=1.1),"OK","Check"))</x:f>
        <x:v>n/a</x:v>
      </x:c>
      <x:c r="Q19" s="80" t="str">
        <x:f>IF(Navy!Z19=0,"n/a",IF(Resources!K19&gt;=Navy!Z19,"OK","Check"))</x:f>
        <x:v>n/a</x:v>
      </x:c>
      <x:c r="R19" s="80" t="str">
        <x:f>IF(AND(gulf_on=1,$A19=gulf_year),IF(Gulf!AF19=1,"OK","Check"),"n/a")</x:f>
        <x:v>n/a</x:v>
      </x:c>
      <x:c r="S19" s="47" t="n">
        <x:f>COUNTIF(B19:R19,"Check")+COUNTIF(T19:Z19,"Check")</x:f>
        <x:v>0</x:v>
      </x:c>
      <x:c r="T19" t="str">
        <x:f>IF(ABS(Japan!AM19)&lt;0.001,"OK","Check")</x:f>
        <x:v>OK</x:v>
      </x:c>
      <x:c r="U19" t="str">
        <x:f>"n/a"</x:f>
        <x:v>n/a</x:v>
      </x:c>
      <x:c r="V19" t="str">
        <x:f>"n/a"</x:f>
        <x:v>n/a</x:v>
      </x:c>
      <x:c r="W19" t="str">
        <x:f>"n/a"</x:f>
        <x:v>n/a</x:v>
      </x:c>
      <x:c r="X19" t="str">
        <x:f>"n/a"</x:f>
        <x:v>n/a</x:v>
      </x:c>
      <x:c r="Y19" t="str">
        <x:f>IF(Abroad!T19&gt;=-0.001,"OK","Check")</x:f>
        <x:v>OK</x:v>
      </x:c>
      <x:c r="Z19" t="str">
        <x:f>"n/a"</x:f>
        <x:v>n/a</x:v>
      </x:c>
    </x:row>
    <x:row r="20">
      <x:c r="A20" s="58" t="n">
        <x:v>1860</x:v>
      </x:c>
      <x:c r="B20" s="80" t="str">
        <x:f>IF(ABS(People!L20-(People!B20+People!C20+People!D20+People!K20))&lt;1,"OK","Check")</x:f>
        <x:v>OK</x:v>
      </x:c>
      <x:c r="C20" s="80" t="str">
        <x:f>IF(ABS('Debt &amp; cash'!M20-'Debt &amp; cash'!E20)&lt;0.001,"OK","Check")</x:f>
        <x:v>OK</x:v>
      </x:c>
      <x:c r="D20" s="80" t="str">
        <x:f>IF('Debt &amp; cash'!S20&gt;=-0.001,"OK","Check")</x:f>
        <x:v>OK</x:v>
      </x:c>
      <x:c r="E20" s="81" t="n">
        <x:f>'Debt &amp; cash'!V20</x:f>
        <x:v>0.050842713714225614</x:v>
      </x:c>
      <x:c r="F20" s="80" t="str">
        <x:f>IF($A20&lt;1887,"n/a",IF(E20&lt;=cap_debt,"OK","Check"))</x:f>
        <x:v>n/a</x:v>
      </x:c>
      <x:c r="G20" s="81" t="n">
        <x:f>'Debt &amp; cash'!W20</x:f>
        <x:v>0.018809504678070667</x:v>
      </x:c>
      <x:c r="H20" s="80" t="str">
        <x:f>IF($A20&lt;1887,"n/a",IF(G20&lt;=cap_int,"OK","Check"))</x:f>
        <x:v>n/a</x:v>
      </x:c>
      <x:c r="I20" s="81" t="n">
        <x:f>Budget!AC20</x:f>
        <x:v>0.07261234437673461</x:v>
      </x:c>
      <x:c r="J20" s="80" t="str">
        <x:f>IF($A20&lt;1887,"n/a",IF(Paths!AC20=1,"War year",IF(I20&lt;=cap_def,"OK","Check")))</x:f>
        <x:v>n/a</x:v>
      </x:c>
      <x:c r="K20" s="63" t="n">
        <x:f>'Debt &amp; cash'!Y20/Economy!O20</x:f>
        <x:v>0.02020952990154106</x:v>
      </x:c>
      <x:c r="L20" s="80" t="str">
        <x:f>IF('Debt &amp; cash'!Y20&lt;=mkt_capacity*Economy!O20+foreign_capacity,"OK","Check")</x:f>
        <x:v>OK</x:v>
      </x:c>
      <x:c r="M20" s="80" t="str">
        <x:f>IF($A20&lt;1900,"n/a",IF('Gold &amp; money'!K20&gt;=0,"OK","Check"))</x:f>
        <x:v>n/a</x:v>
      </x:c>
      <x:c r="N20" s="81" t="n">
        <x:f>Japan!AA20</x:f>
        <x:v>0</x:v>
      </x:c>
      <x:c r="O20" s="80" t="str">
        <x:f>IF(N20&lt;=1,"OK","Check")</x:f>
        <x:v>OK</x:v>
      </x:c>
      <x:c r="P20" s="80" t="str">
        <x:f>IF($A20&lt;1922,"n/a",IF(AND(Navy!AE20&gt;=0.95,Navy!AE20&lt;=1.1),"OK","Check"))</x:f>
        <x:v>n/a</x:v>
      </x:c>
      <x:c r="Q20" s="80" t="str">
        <x:f>IF(Navy!Z20=0,"n/a",IF(Resources!K20&gt;=Navy!Z20,"OK","Check"))</x:f>
        <x:v>n/a</x:v>
      </x:c>
      <x:c r="R20" s="80" t="str">
        <x:f>IF(AND(gulf_on=1,$A20=gulf_year),IF(Gulf!AF20=1,"OK","Check"),"n/a")</x:f>
        <x:v>n/a</x:v>
      </x:c>
      <x:c r="S20" s="47" t="n">
        <x:f>COUNTIF(B20:R20,"Check")+COUNTIF(T20:Z20,"Check")</x:f>
        <x:v>0</x:v>
      </x:c>
      <x:c r="T20" t="str">
        <x:f>IF(ABS(Japan!AM20)&lt;0.001,"OK","Check")</x:f>
        <x:v>OK</x:v>
      </x:c>
      <x:c r="U20" t="str">
        <x:f>"n/a"</x:f>
        <x:v>n/a</x:v>
      </x:c>
      <x:c r="V20" t="str">
        <x:f>"n/a"</x:f>
        <x:v>n/a</x:v>
      </x:c>
      <x:c r="W20" t="str">
        <x:f>"n/a"</x:f>
        <x:v>n/a</x:v>
      </x:c>
      <x:c r="X20" t="str">
        <x:f>"n/a"</x:f>
        <x:v>n/a</x:v>
      </x:c>
      <x:c r="Y20" t="str">
        <x:f>IF(Abroad!T20&gt;=-0.001,"OK","Check")</x:f>
        <x:v>OK</x:v>
      </x:c>
      <x:c r="Z20" t="str">
        <x:f>"n/a"</x:f>
        <x:v>n/a</x:v>
      </x:c>
    </x:row>
    <x:row r="21">
      <x:c r="A21" s="61" t="n">
        <x:v>1861</x:v>
      </x:c>
      <x:c r="B21" s="80" t="str">
        <x:f>IF(ABS(People!L21-(People!B21+People!C21+People!D21+People!K21))&lt;1,"OK","Check")</x:f>
        <x:v>OK</x:v>
      </x:c>
      <x:c r="C21" s="80" t="str">
        <x:f>IF(ABS('Debt &amp; cash'!M21-'Debt &amp; cash'!E21)&lt;0.001,"OK","Check")</x:f>
        <x:v>OK</x:v>
      </x:c>
      <x:c r="D21" s="80" t="str">
        <x:f>IF('Debt &amp; cash'!S21&gt;=-0.001,"OK","Check")</x:f>
        <x:v>OK</x:v>
      </x:c>
      <x:c r="E21" s="81" t="n">
        <x:f>'Debt &amp; cash'!V21</x:f>
        <x:v>0.10652150540706054</x:v>
      </x:c>
      <x:c r="F21" s="80" t="str">
        <x:f>IF($A21&lt;1887,"n/a",IF(E21&lt;=cap_debt,"OK","Check"))</x:f>
        <x:v>n/a</x:v>
      </x:c>
      <x:c r="G21" s="81" t="n">
        <x:f>'Debt &amp; cash'!W21</x:f>
        <x:v>0.02412995957649766</x:v>
      </x:c>
      <x:c r="H21" s="80" t="str">
        <x:f>IF($A21&lt;1887,"n/a",IF(G21&lt;=cap_int,"OK","Check"))</x:f>
        <x:v>n/a</x:v>
      </x:c>
      <x:c r="I21" s="81" t="n">
        <x:f>Budget!AC21</x:f>
        <x:v>0.12235968036946081</x:v>
      </x:c>
      <x:c r="J21" s="80" t="str">
        <x:f>IF($A21&lt;1887,"n/a",IF(Paths!AC21=1,"War year",IF(I21&lt;=cap_def,"OK","Check")))</x:f>
        <x:v>n/a</x:v>
      </x:c>
      <x:c r="K21" s="63" t="n">
        <x:f>'Debt &amp; cash'!Y21/Economy!O21</x:f>
        <x:v>0.0582035494361423</x:v>
      </x:c>
      <x:c r="L21" s="80" t="str">
        <x:f>IF('Debt &amp; cash'!Y21&lt;=mkt_capacity*Economy!O21+foreign_capacity,"OK","Check")</x:f>
        <x:v>OK</x:v>
      </x:c>
      <x:c r="M21" s="80" t="str">
        <x:f>IF($A21&lt;1900,"n/a",IF('Gold &amp; money'!K21&gt;=0,"OK","Check"))</x:f>
        <x:v>n/a</x:v>
      </x:c>
      <x:c r="N21" s="81" t="n">
        <x:f>Japan!AA21</x:f>
        <x:v>0</x:v>
      </x:c>
      <x:c r="O21" s="80" t="str">
        <x:f>IF(N21&lt;=1,"OK","Check")</x:f>
        <x:v>OK</x:v>
      </x:c>
      <x:c r="P21" s="80" t="str">
        <x:f>IF($A21&lt;1922,"n/a",IF(AND(Navy!AE21&gt;=0.95,Navy!AE21&lt;=1.1),"OK","Check"))</x:f>
        <x:v>n/a</x:v>
      </x:c>
      <x:c r="Q21" s="80" t="str">
        <x:f>IF(Navy!Z21=0,"n/a",IF(Resources!K21&gt;=Navy!Z21,"OK","Check"))</x:f>
        <x:v>n/a</x:v>
      </x:c>
      <x:c r="R21" s="80" t="str">
        <x:f>IF(AND(gulf_on=1,$A21=gulf_year),IF(Gulf!AF21=1,"OK","Check"),"n/a")</x:f>
        <x:v>n/a</x:v>
      </x:c>
      <x:c r="S21" s="47" t="n">
        <x:f>COUNTIF(B21:R21,"Check")+COUNTIF(T21:Z21,"Check")</x:f>
        <x:v>0</x:v>
      </x:c>
      <x:c r="T21" t="str">
        <x:f>IF(ABS(Japan!AM21)&lt;0.001,"OK","Check")</x:f>
        <x:v>OK</x:v>
      </x:c>
      <x:c r="U21" t="str">
        <x:f>"n/a"</x:f>
        <x:v>n/a</x:v>
      </x:c>
      <x:c r="V21" t="str">
        <x:f>"n/a"</x:f>
        <x:v>n/a</x:v>
      </x:c>
      <x:c r="W21" t="str">
        <x:f>"n/a"</x:f>
        <x:v>n/a</x:v>
      </x:c>
      <x:c r="X21" t="str">
        <x:f>"n/a"</x:f>
        <x:v>n/a</x:v>
      </x:c>
      <x:c r="Y21" t="str">
        <x:f>IF(Abroad!T21&gt;=-0.001,"OK","Check")</x:f>
        <x:v>OK</x:v>
      </x:c>
      <x:c r="Z21" t="str">
        <x:f>"n/a"</x:f>
        <x:v>n/a</x:v>
      </x:c>
    </x:row>
    <x:row r="22">
      <x:c r="A22" s="61" t="n">
        <x:v>1862</x:v>
      </x:c>
      <x:c r="B22" s="80" t="str">
        <x:f>IF(ABS(People!L22-(People!B22+People!C22+People!D22+People!K22))&lt;1,"OK","Check")</x:f>
        <x:v>OK</x:v>
      </x:c>
      <x:c r="C22" s="80" t="str">
        <x:f>IF(ABS('Debt &amp; cash'!M22-'Debt &amp; cash'!E22)&lt;0.001,"OK","Check")</x:f>
        <x:v>OK</x:v>
      </x:c>
      <x:c r="D22" s="80" t="str">
        <x:f>IF('Debt &amp; cash'!S22&gt;=-0.001,"OK","Check")</x:f>
        <x:v>OK</x:v>
      </x:c>
      <x:c r="E22" s="81" t="n">
        <x:f>'Debt &amp; cash'!V22</x:f>
        <x:v>0.18818624581280005</x:v>
      </x:c>
      <x:c r="F22" s="80" t="str">
        <x:f>IF($A22&lt;1887,"n/a",IF(E22&lt;=cap_debt,"OK","Check"))</x:f>
        <x:v>n/a</x:v>
      </x:c>
      <x:c r="G22" s="81" t="n">
        <x:f>'Debt &amp; cash'!W22</x:f>
        <x:v>0.04535888645904329</x:v>
      </x:c>
      <x:c r="H22" s="80" t="str">
        <x:f>IF($A22&lt;1887,"n/a",IF(G22&lt;=cap_int,"OK","Check"))</x:f>
        <x:v>n/a</x:v>
      </x:c>
      <x:c r="I22" s="81" t="n">
        <x:f>Budget!AC22</x:f>
        <x:v>0.15852439843169328</x:v>
      </x:c>
      <x:c r="J22" s="80" t="str">
        <x:f>IF($A22&lt;1887,"n/a",IF(Paths!AC22=1,"War year",IF(I22&lt;=cap_def,"OK","Check")))</x:f>
        <x:v>n/a</x:v>
      </x:c>
      <x:c r="K22" s="63" t="n">
        <x:f>'Debt &amp; cash'!Y22/Economy!O22</x:f>
        <x:v>0.09759441173463808</x:v>
      </x:c>
      <x:c r="L22" s="80" t="str">
        <x:f>IF('Debt &amp; cash'!Y22&lt;=mkt_capacity*Economy!O22+foreign_capacity,"OK","Check")</x:f>
        <x:v>OK</x:v>
      </x:c>
      <x:c r="M22" s="80" t="str">
        <x:f>IF($A22&lt;1900,"n/a",IF('Gold &amp; money'!K22&gt;=0,"OK","Check"))</x:f>
        <x:v>n/a</x:v>
      </x:c>
      <x:c r="N22" s="81" t="n">
        <x:f>Japan!AA22</x:f>
        <x:v>0</x:v>
      </x:c>
      <x:c r="O22" s="80" t="str">
        <x:f>IF(N22&lt;=1,"OK","Check")</x:f>
        <x:v>OK</x:v>
      </x:c>
      <x:c r="P22" s="80" t="str">
        <x:f>IF($A22&lt;1922,"n/a",IF(AND(Navy!AE22&gt;=0.95,Navy!AE22&lt;=1.1),"OK","Check"))</x:f>
        <x:v>n/a</x:v>
      </x:c>
      <x:c r="Q22" s="80" t="str">
        <x:f>IF(Navy!Z22=0,"n/a",IF(Resources!K22&gt;=Navy!Z22,"OK","Check"))</x:f>
        <x:v>n/a</x:v>
      </x:c>
      <x:c r="R22" s="80" t="str">
        <x:f>IF(AND(gulf_on=1,$A22=gulf_year),IF(Gulf!AF22=1,"OK","Check"),"n/a")</x:f>
        <x:v>n/a</x:v>
      </x:c>
      <x:c r="S22" s="47" t="n">
        <x:f>COUNTIF(B22:R22,"Check")+COUNTIF(T22:Z22,"Check")</x:f>
        <x:v>0</x:v>
      </x:c>
      <x:c r="T22" t="str">
        <x:f>IF(ABS(Japan!AM22)&lt;0.001,"OK","Check")</x:f>
        <x:v>OK</x:v>
      </x:c>
      <x:c r="U22" t="str">
        <x:f>"n/a"</x:f>
        <x:v>n/a</x:v>
      </x:c>
      <x:c r="V22" t="str">
        <x:f>"n/a"</x:f>
        <x:v>n/a</x:v>
      </x:c>
      <x:c r="W22" t="str">
        <x:f>"n/a"</x:f>
        <x:v>n/a</x:v>
      </x:c>
      <x:c r="X22" t="str">
        <x:f>"n/a"</x:f>
        <x:v>n/a</x:v>
      </x:c>
      <x:c r="Y22" t="str">
        <x:f>IF(Abroad!T22&gt;=-0.001,"OK","Check")</x:f>
        <x:v>OK</x:v>
      </x:c>
      <x:c r="Z22" t="str">
        <x:f>"n/a"</x:f>
        <x:v>n/a</x:v>
      </x:c>
    </x:row>
    <x:row r="23">
      <x:c r="A23" s="61" t="n">
        <x:v>1863</x:v>
      </x:c>
      <x:c r="B23" s="80" t="str">
        <x:f>IF(ABS(People!L23-(People!B23+People!C23+People!D23+People!K23))&lt;1,"OK","Check")</x:f>
        <x:v>OK</x:v>
      </x:c>
      <x:c r="C23" s="80" t="str">
        <x:f>IF(ABS('Debt &amp; cash'!M23-'Debt &amp; cash'!E23)&lt;0.001,"OK","Check")</x:f>
        <x:v>OK</x:v>
      </x:c>
      <x:c r="D23" s="80" t="str">
        <x:f>IF('Debt &amp; cash'!S23&gt;=-0.001,"OK","Check")</x:f>
        <x:v>OK</x:v>
      </x:c>
      <x:c r="E23" s="81" t="n">
        <x:f>'Debt &amp; cash'!V23</x:f>
        <x:v>0.23771566372863834</x:v>
      </x:c>
      <x:c r="F23" s="80" t="str">
        <x:f>IF($A23&lt;1887,"n/a",IF(E23&lt;=cap_debt,"OK","Check"))</x:f>
        <x:v>n/a</x:v>
      </x:c>
      <x:c r="G23" s="81" t="n">
        <x:f>'Debt &amp; cash'!W23</x:f>
        <x:v>0.07453374295215957</x:v>
      </x:c>
      <x:c r="H23" s="80" t="str">
        <x:f>IF($A23&lt;1887,"n/a",IF(G23&lt;=cap_int,"OK","Check"))</x:f>
        <x:v>n/a</x:v>
      </x:c>
      <x:c r="I23" s="81" t="n">
        <x:f>Budget!AC23</x:f>
        <x:v>0.14484879698426448</x:v>
      </x:c>
      <x:c r="J23" s="80" t="str">
        <x:f>IF($A23&lt;1887,"n/a",IF(Paths!AC23=1,"War year",IF(I23&lt;=cap_def,"OK","Check")))</x:f>
        <x:v>n/a</x:v>
      </x:c>
      <x:c r="K23" s="63" t="n">
        <x:f>'Debt &amp; cash'!Y23/Economy!O23</x:f>
        <x:v>0.08972814983805408</x:v>
      </x:c>
      <x:c r="L23" s="80" t="str">
        <x:f>IF('Debt &amp; cash'!Y23&lt;=mkt_capacity*Economy!O23+foreign_capacity,"OK","Check")</x:f>
        <x:v>OK</x:v>
      </x:c>
      <x:c r="M23" s="80" t="str">
        <x:f>IF($A23&lt;1900,"n/a",IF('Gold &amp; money'!K23&gt;=0,"OK","Check"))</x:f>
        <x:v>n/a</x:v>
      </x:c>
      <x:c r="N23" s="81" t="n">
        <x:f>Japan!AA23</x:f>
        <x:v>0</x:v>
      </x:c>
      <x:c r="O23" s="80" t="str">
        <x:f>IF(N23&lt;=1,"OK","Check")</x:f>
        <x:v>OK</x:v>
      </x:c>
      <x:c r="P23" s="80" t="str">
        <x:f>IF($A23&lt;1922,"n/a",IF(AND(Navy!AE23&gt;=0.95,Navy!AE23&lt;=1.1),"OK","Check"))</x:f>
        <x:v>n/a</x:v>
      </x:c>
      <x:c r="Q23" s="80" t="str">
        <x:f>IF(Navy!Z23=0,"n/a",IF(Resources!K23&gt;=Navy!Z23,"OK","Check"))</x:f>
        <x:v>n/a</x:v>
      </x:c>
      <x:c r="R23" s="80" t="str">
        <x:f>IF(AND(gulf_on=1,$A23=gulf_year),IF(Gulf!AF23=1,"OK","Check"),"n/a")</x:f>
        <x:v>n/a</x:v>
      </x:c>
      <x:c r="S23" s="47" t="n">
        <x:f>COUNTIF(B23:R23,"Check")+COUNTIF(T23:Z23,"Check")</x:f>
        <x:v>0</x:v>
      </x:c>
      <x:c r="T23" t="str">
        <x:f>IF(ABS(Japan!AM23)&lt;0.001,"OK","Check")</x:f>
        <x:v>OK</x:v>
      </x:c>
      <x:c r="U23" t="str">
        <x:f>"n/a"</x:f>
        <x:v>n/a</x:v>
      </x:c>
      <x:c r="V23" t="str">
        <x:f>"n/a"</x:f>
        <x:v>n/a</x:v>
      </x:c>
      <x:c r="W23" t="str">
        <x:f>"n/a"</x:f>
        <x:v>n/a</x:v>
      </x:c>
      <x:c r="X23" t="str">
        <x:f>"n/a"</x:f>
        <x:v>n/a</x:v>
      </x:c>
      <x:c r="Y23" t="str">
        <x:f>IF(Abroad!T23&gt;=-0.001,"OK","Check")</x:f>
        <x:v>OK</x:v>
      </x:c>
      <x:c r="Z23" t="str">
        <x:f>"n/a"</x:f>
        <x:v>n/a</x:v>
      </x:c>
    </x:row>
    <x:row r="24">
      <x:c r="A24" s="61" t="n">
        <x:v>1864</x:v>
      </x:c>
      <x:c r="B24" s="80" t="str">
        <x:f>IF(ABS(People!L24-(People!B24+People!C24+People!D24+People!K24))&lt;1,"OK","Check")</x:f>
        <x:v>OK</x:v>
      </x:c>
      <x:c r="C24" s="80" t="str">
        <x:f>IF(ABS('Debt &amp; cash'!M24-'Debt &amp; cash'!E24)&lt;0.001,"OK","Check")</x:f>
        <x:v>OK</x:v>
      </x:c>
      <x:c r="D24" s="80" t="str">
        <x:f>IF('Debt &amp; cash'!S24&gt;=-0.001,"OK","Check")</x:f>
        <x:v>OK</x:v>
      </x:c>
      <x:c r="E24" s="81" t="n">
        <x:f>'Debt &amp; cash'!V24</x:f>
        <x:v>0.2630077265386212</x:v>
      </x:c>
      <x:c r="F24" s="80" t="str">
        <x:f>IF($A24&lt;1887,"n/a",IF(E24&lt;=cap_debt,"OK","Check"))</x:f>
        <x:v>n/a</x:v>
      </x:c>
      <x:c r="G24" s="81" t="n">
        <x:f>'Debt &amp; cash'!W24</x:f>
        <x:v>0.09843369442595913</x:v>
      </x:c>
      <x:c r="H24" s="80" t="str">
        <x:f>IF($A24&lt;1887,"n/a",IF(G24&lt;=cap_int,"OK","Check"))</x:f>
        <x:v>n/a</x:v>
      </x:c>
      <x:c r="I24" s="81" t="n">
        <x:f>Budget!AC24</x:f>
        <x:v>0.12291660690231553</x:v>
      </x:c>
      <x:c r="J24" s="80" t="str">
        <x:f>IF($A24&lt;1887,"n/a",IF(Paths!AC24=1,"War year",IF(I24&lt;=cap_def,"OK","Check")))</x:f>
        <x:v>n/a</x:v>
      </x:c>
      <x:c r="K24" s="63" t="n">
        <x:f>'Debt &amp; cash'!Y24/Economy!O24</x:f>
        <x:v>0.07103342000756013</x:v>
      </x:c>
      <x:c r="L24" s="80" t="str">
        <x:f>IF('Debt &amp; cash'!Y24&lt;=mkt_capacity*Economy!O24+foreign_capacity,"OK","Check")</x:f>
        <x:v>OK</x:v>
      </x:c>
      <x:c r="M24" s="80" t="str">
        <x:f>IF($A24&lt;1900,"n/a",IF('Gold &amp; money'!K24&gt;=0,"OK","Check"))</x:f>
        <x:v>n/a</x:v>
      </x:c>
      <x:c r="N24" s="81" t="n">
        <x:f>Japan!AA24</x:f>
        <x:v>0</x:v>
      </x:c>
      <x:c r="O24" s="80" t="str">
        <x:f>IF(N24&lt;=1,"OK","Check")</x:f>
        <x:v>OK</x:v>
      </x:c>
      <x:c r="P24" s="80" t="str">
        <x:f>IF($A24&lt;1922,"n/a",IF(AND(Navy!AE24&gt;=0.95,Navy!AE24&lt;=1.1),"OK","Check"))</x:f>
        <x:v>n/a</x:v>
      </x:c>
      <x:c r="Q24" s="80" t="str">
        <x:f>IF(Navy!Z24=0,"n/a",IF(Resources!K24&gt;=Navy!Z24,"OK","Check"))</x:f>
        <x:v>n/a</x:v>
      </x:c>
      <x:c r="R24" s="80" t="str">
        <x:f>IF(AND(gulf_on=1,$A24=gulf_year),IF(Gulf!AF24=1,"OK","Check"),"n/a")</x:f>
        <x:v>n/a</x:v>
      </x:c>
      <x:c r="S24" s="47" t="n">
        <x:f>COUNTIF(B24:R24,"Check")+COUNTIF(T24:Z24,"Check")</x:f>
        <x:v>0</x:v>
      </x:c>
      <x:c r="T24" t="str">
        <x:f>IF(ABS(Japan!AM24)&lt;0.001,"OK","Check")</x:f>
        <x:v>OK</x:v>
      </x:c>
      <x:c r="U24" t="str">
        <x:f>"n/a"</x:f>
        <x:v>n/a</x:v>
      </x:c>
      <x:c r="V24" t="str">
        <x:f>"n/a"</x:f>
        <x:v>n/a</x:v>
      </x:c>
      <x:c r="W24" t="str">
        <x:f>"n/a"</x:f>
        <x:v>n/a</x:v>
      </x:c>
      <x:c r="X24" t="str">
        <x:f>"n/a"</x:f>
        <x:v>n/a</x:v>
      </x:c>
      <x:c r="Y24" t="str">
        <x:f>IF(Abroad!T24&gt;=-0.001,"OK","Check")</x:f>
        <x:v>OK</x:v>
      </x:c>
      <x:c r="Z24" t="str">
        <x:f>"n/a"</x:f>
        <x:v>n/a</x:v>
      </x:c>
    </x:row>
    <x:row r="25">
      <x:c r="A25" s="61" t="n">
        <x:v>1865</x:v>
      </x:c>
      <x:c r="B25" s="80" t="str">
        <x:f>IF(ABS(People!L25-(People!B25+People!C25+People!D25+People!K25))&lt;1,"OK","Check")</x:f>
        <x:v>OK</x:v>
      </x:c>
      <x:c r="C25" s="80" t="str">
        <x:f>IF(ABS('Debt &amp; cash'!M25-'Debt &amp; cash'!E25)&lt;0.001,"OK","Check")</x:f>
        <x:v>OK</x:v>
      </x:c>
      <x:c r="D25" s="80" t="str">
        <x:f>IF('Debt &amp; cash'!S25&gt;=-0.001,"OK","Check")</x:f>
        <x:v>OK</x:v>
      </x:c>
      <x:c r="E25" s="81" t="n">
        <x:f>'Debt &amp; cash'!V25</x:f>
        <x:v>0.26574663352964273</x:v>
      </x:c>
      <x:c r="F25" s="80" t="str">
        <x:f>IF($A25&lt;1887,"n/a",IF(E25&lt;=cap_debt,"OK","Check"))</x:f>
        <x:v>n/a</x:v>
      </x:c>
      <x:c r="G25" s="81" t="n">
        <x:f>'Debt &amp; cash'!W25</x:f>
        <x:v>0.12161673814644974</x:v>
      </x:c>
      <x:c r="H25" s="80" t="str">
        <x:f>IF($A25&lt;1887,"n/a",IF(G25&lt;=cap_int,"OK","Check"))</x:f>
        <x:v>n/a</x:v>
      </x:c>
      <x:c r="I25" s="81" t="n">
        <x:f>Budget!AC25</x:f>
        <x:v>0.07799389084313482</x:v>
      </x:c>
      <x:c r="J25" s="80" t="str">
        <x:f>IF($A25&lt;1887,"n/a",IF(Paths!AC25=1,"War year",IF(I25&lt;=cap_def,"OK","Check")))</x:f>
        <x:v>n/a</x:v>
      </x:c>
      <x:c r="K25" s="63" t="n">
        <x:f>'Debt &amp; cash'!Y25/Economy!O25</x:f>
        <x:v>0.029535141969247166</x:v>
      </x:c>
      <x:c r="L25" s="80" t="str">
        <x:f>IF('Debt &amp; cash'!Y25&lt;=mkt_capacity*Economy!O25+foreign_capacity,"OK","Check")</x:f>
        <x:v>OK</x:v>
      </x:c>
      <x:c r="M25" s="80" t="str">
        <x:f>IF($A25&lt;1900,"n/a",IF('Gold &amp; money'!K25&gt;=0,"OK","Check"))</x:f>
        <x:v>n/a</x:v>
      </x:c>
      <x:c r="N25" s="81" t="n">
        <x:f>Japan!AA25</x:f>
        <x:v>0</x:v>
      </x:c>
      <x:c r="O25" s="80" t="str">
        <x:f>IF(N25&lt;=1,"OK","Check")</x:f>
        <x:v>OK</x:v>
      </x:c>
      <x:c r="P25" s="80" t="str">
        <x:f>IF($A25&lt;1922,"n/a",IF(AND(Navy!AE25&gt;=0.95,Navy!AE25&lt;=1.1),"OK","Check"))</x:f>
        <x:v>n/a</x:v>
      </x:c>
      <x:c r="Q25" s="80" t="str">
        <x:f>IF(Navy!Z25=0,"n/a",IF(Resources!K25&gt;=Navy!Z25,"OK","Check"))</x:f>
        <x:v>n/a</x:v>
      </x:c>
      <x:c r="R25" s="80" t="str">
        <x:f>IF(AND(gulf_on=1,$A25=gulf_year),IF(Gulf!AF25=1,"OK","Check"),"n/a")</x:f>
        <x:v>n/a</x:v>
      </x:c>
      <x:c r="S25" s="47" t="n">
        <x:f>COUNTIF(B25:R25,"Check")+COUNTIF(T25:Z25,"Check")</x:f>
        <x:v>0</x:v>
      </x:c>
      <x:c r="T25" t="str">
        <x:f>IF(ABS(Japan!AM25)&lt;0.001,"OK","Check")</x:f>
        <x:v>OK</x:v>
      </x:c>
      <x:c r="U25" t="str">
        <x:f>"n/a"</x:f>
        <x:v>n/a</x:v>
      </x:c>
      <x:c r="V25" t="str">
        <x:f>"n/a"</x:f>
        <x:v>n/a</x:v>
      </x:c>
      <x:c r="W25" t="str">
        <x:f>"n/a"</x:f>
        <x:v>n/a</x:v>
      </x:c>
      <x:c r="X25" t="str">
        <x:f>"n/a"</x:f>
        <x:v>n/a</x:v>
      </x:c>
      <x:c r="Y25" t="str">
        <x:f>IF(Abroad!T25&gt;=-0.001,"OK","Check")</x:f>
        <x:v>OK</x:v>
      </x:c>
      <x:c r="Z25" t="str">
        <x:f>"n/a"</x:f>
        <x:v>n/a</x:v>
      </x:c>
    </x:row>
    <x:row r="26">
      <x:c r="A26" s="58" t="n">
        <x:v>1866</x:v>
      </x:c>
      <x:c r="B26" s="80" t="str">
        <x:f>IF(ABS(People!L26-(People!B26+People!C26+People!D26+People!K26))&lt;1,"OK","Check")</x:f>
        <x:v>OK</x:v>
      </x:c>
      <x:c r="C26" s="80" t="str">
        <x:f>IF(ABS('Debt &amp; cash'!M26-'Debt &amp; cash'!E26)&lt;0.001,"OK","Check")</x:f>
        <x:v>OK</x:v>
      </x:c>
      <x:c r="D26" s="80" t="str">
        <x:f>IF('Debt &amp; cash'!S26&gt;=-0.001,"OK","Check")</x:f>
        <x:v>OK</x:v>
      </x:c>
      <x:c r="E26" s="81" t="n">
        <x:f>'Debt &amp; cash'!V26</x:f>
        <x:v>0.26543224022970535</x:v>
      </x:c>
      <x:c r="F26" s="80" t="str">
        <x:f>IF($A26&lt;1887,"n/a",IF(E26&lt;=cap_debt,"OK","Check"))</x:f>
        <x:v>n/a</x:v>
      </x:c>
      <x:c r="G26" s="81" t="n">
        <x:f>'Debt &amp; cash'!W26</x:f>
        <x:v>0.12778087709411876</x:v>
      </x:c>
      <x:c r="H26" s="80" t="str">
        <x:f>IF($A26&lt;1887,"n/a",IF(G26&lt;=cap_int,"OK","Check"))</x:f>
        <x:v>n/a</x:v>
      </x:c>
      <x:c r="I26" s="81" t="n">
        <x:f>Budget!AC26</x:f>
        <x:v>0.05496439297349149</x:v>
      </x:c>
      <x:c r="J26" s="80" t="str">
        <x:f>IF($A26&lt;1887,"n/a",IF(Paths!AC26=1,"War year",IF(I26&lt;=cap_def,"OK","Check")))</x:f>
        <x:v>n/a</x:v>
      </x:c>
      <x:c r="K26" s="63" t="n">
        <x:f>'Debt &amp; cash'!Y26/Economy!O26</x:f>
        <x:v>0.021753705914986887</x:v>
      </x:c>
      <x:c r="L26" s="80" t="str">
        <x:f>IF('Debt &amp; cash'!Y26&lt;=mkt_capacity*Economy!O26+foreign_capacity,"OK","Check")</x:f>
        <x:v>OK</x:v>
      </x:c>
      <x:c r="M26" s="80" t="str">
        <x:f>IF($A26&lt;1900,"n/a",IF('Gold &amp; money'!K26&gt;=0,"OK","Check"))</x:f>
        <x:v>n/a</x:v>
      </x:c>
      <x:c r="N26" s="81" t="n">
        <x:f>Japan!AA26</x:f>
        <x:v>0</x:v>
      </x:c>
      <x:c r="O26" s="80" t="str">
        <x:f>IF(N26&lt;=1,"OK","Check")</x:f>
        <x:v>OK</x:v>
      </x:c>
      <x:c r="P26" s="80" t="str">
        <x:f>IF($A26&lt;1922,"n/a",IF(AND(Navy!AE26&gt;=0.95,Navy!AE26&lt;=1.1),"OK","Check"))</x:f>
        <x:v>n/a</x:v>
      </x:c>
      <x:c r="Q26" s="80" t="str">
        <x:f>IF(Navy!Z26=0,"n/a",IF(Resources!K26&gt;=Navy!Z26,"OK","Check"))</x:f>
        <x:v>n/a</x:v>
      </x:c>
      <x:c r="R26" s="80" t="str">
        <x:f>IF(AND(gulf_on=1,$A26=gulf_year),IF(Gulf!AF26=1,"OK","Check"),"n/a")</x:f>
        <x:v>n/a</x:v>
      </x:c>
      <x:c r="S26" s="47" t="n">
        <x:f>COUNTIF(B26:R26,"Check")+COUNTIF(T26:Z26,"Check")</x:f>
        <x:v>0</x:v>
      </x:c>
      <x:c r="T26" t="str">
        <x:f>IF(ABS(Japan!AM26)&lt;0.001,"OK","Check")</x:f>
        <x:v>OK</x:v>
      </x:c>
      <x:c r="U26" t="str">
        <x:f>"n/a"</x:f>
        <x:v>n/a</x:v>
      </x:c>
      <x:c r="V26" t="str">
        <x:f>"n/a"</x:f>
        <x:v>n/a</x:v>
      </x:c>
      <x:c r="W26" t="str">
        <x:f>"n/a"</x:f>
        <x:v>n/a</x:v>
      </x:c>
      <x:c r="X26" t="str">
        <x:f>"n/a"</x:f>
        <x:v>n/a</x:v>
      </x:c>
      <x:c r="Y26" t="str">
        <x:f>IF(Abroad!T26&gt;=-0.001,"OK","Check")</x:f>
        <x:v>OK</x:v>
      </x:c>
      <x:c r="Z26" t="str">
        <x:f>"n/a"</x:f>
        <x:v>n/a</x:v>
      </x:c>
    </x:row>
    <x:row r="27">
      <x:c r="A27" s="58" t="n">
        <x:v>1867</x:v>
      </x:c>
      <x:c r="B27" s="80" t="str">
        <x:f>IF(ABS(People!L27-(People!B27+People!C27+People!D27+People!K27))&lt;1,"OK","Check")</x:f>
        <x:v>OK</x:v>
      </x:c>
      <x:c r="C27" s="80" t="str">
        <x:f>IF(ABS('Debt &amp; cash'!M27-'Debt &amp; cash'!E27)&lt;0.001,"OK","Check")</x:f>
        <x:v>OK</x:v>
      </x:c>
      <x:c r="D27" s="80" t="str">
        <x:f>IF('Debt &amp; cash'!S27&gt;=-0.001,"OK","Check")</x:f>
        <x:v>OK</x:v>
      </x:c>
      <x:c r="E27" s="81" t="n">
        <x:f>'Debt &amp; cash'!V27</x:f>
        <x:v>0.3112212070745807</x:v>
      </x:c>
      <x:c r="F27" s="80" t="str">
        <x:f>IF($A27&lt;1887,"n/a",IF(E27&lt;=cap_debt,"OK","Check"))</x:f>
        <x:v>n/a</x:v>
      </x:c>
      <x:c r="G27" s="81" t="n">
        <x:f>'Debt &amp; cash'!W27</x:f>
        <x:v>0.12378497786379723</x:v>
      </x:c>
      <x:c r="H27" s="80" t="str">
        <x:f>IF($A27&lt;1887,"n/a",IF(G27&lt;=cap_int,"OK","Check"))</x:f>
        <x:v>n/a</x:v>
      </x:c>
      <x:c r="I27" s="81" t="n">
        <x:f>Budget!AC27</x:f>
        <x:v>0.046281899934958286</x:v>
      </x:c>
      <x:c r="J27" s="80" t="str">
        <x:f>IF($A27&lt;1887,"n/a",IF(Paths!AC27=1,"War year",IF(I27&lt;=cap_def,"OK","Check")))</x:f>
        <x:v>n/a</x:v>
      </x:c>
      <x:c r="K27" s="63" t="n">
        <x:f>'Debt &amp; cash'!Y27/Economy!O27</x:f>
        <x:v>0.07206075591271409</x:v>
      </x:c>
      <x:c r="L27" s="80" t="str">
        <x:f>IF('Debt &amp; cash'!Y27&lt;=mkt_capacity*Economy!O27+foreign_capacity,"OK","Check")</x:f>
        <x:v>OK</x:v>
      </x:c>
      <x:c r="M27" s="80" t="str">
        <x:f>IF($A27&lt;1900,"n/a",IF('Gold &amp; money'!K27&gt;=0,"OK","Check"))</x:f>
        <x:v>n/a</x:v>
      </x:c>
      <x:c r="N27" s="81" t="n">
        <x:f>Japan!AA27</x:f>
        <x:v>0</x:v>
      </x:c>
      <x:c r="O27" s="80" t="str">
        <x:f>IF(N27&lt;=1,"OK","Check")</x:f>
        <x:v>OK</x:v>
      </x:c>
      <x:c r="P27" s="80" t="str">
        <x:f>IF($A27&lt;1922,"n/a",IF(AND(Navy!AE27&gt;=0.95,Navy!AE27&lt;=1.1),"OK","Check"))</x:f>
        <x:v>n/a</x:v>
      </x:c>
      <x:c r="Q27" s="80" t="str">
        <x:f>IF(Navy!Z27=0,"n/a",IF(Resources!K27&gt;=Navy!Z27,"OK","Check"))</x:f>
        <x:v>n/a</x:v>
      </x:c>
      <x:c r="R27" s="80" t="str">
        <x:f>IF(AND(gulf_on=1,$A27=gulf_year),IF(Gulf!AF27=1,"OK","Check"),"n/a")</x:f>
        <x:v>n/a</x:v>
      </x:c>
      <x:c r="S27" s="47" t="n">
        <x:f>COUNTIF(B27:R27,"Check")+COUNTIF(T27:Z27,"Check")</x:f>
        <x:v>0</x:v>
      </x:c>
      <x:c r="T27" t="str">
        <x:f>IF(ABS(Japan!AM27)&lt;0.001,"OK","Check")</x:f>
        <x:v>OK</x:v>
      </x:c>
      <x:c r="U27" t="str">
        <x:f>"n/a"</x:f>
        <x:v>n/a</x:v>
      </x:c>
      <x:c r="V27" t="str">
        <x:f>"n/a"</x:f>
        <x:v>n/a</x:v>
      </x:c>
      <x:c r="W27" t="str">
        <x:f>"n/a"</x:f>
        <x:v>n/a</x:v>
      </x:c>
      <x:c r="X27" t="str">
        <x:f>"n/a"</x:f>
        <x:v>n/a</x:v>
      </x:c>
      <x:c r="Y27" t="str">
        <x:f>IF(Abroad!T27&gt;=-0.001,"OK","Check")</x:f>
        <x:v>OK</x:v>
      </x:c>
      <x:c r="Z27" t="str">
        <x:f>"n/a"</x:f>
        <x:v>n/a</x:v>
      </x:c>
    </x:row>
    <x:row r="28">
      <x:c r="A28" s="58" t="n">
        <x:v>1868</x:v>
      </x:c>
      <x:c r="B28" s="80" t="str">
        <x:f>IF(ABS(People!L28-(People!B28+People!C28+People!D28+People!K28))&lt;1,"OK","Check")</x:f>
        <x:v>OK</x:v>
      </x:c>
      <x:c r="C28" s="80" t="str">
        <x:f>IF(ABS('Debt &amp; cash'!M28-'Debt &amp; cash'!E28)&lt;0.001,"OK","Check")</x:f>
        <x:v>OK</x:v>
      </x:c>
      <x:c r="D28" s="80" t="str">
        <x:f>IF('Debt &amp; cash'!S28&gt;=-0.001,"OK","Check")</x:f>
        <x:v>OK</x:v>
      </x:c>
      <x:c r="E28" s="81" t="n">
        <x:f>'Debt &amp; cash'!V28</x:f>
        <x:v>0.2956545908094968</x:v>
      </x:c>
      <x:c r="F28" s="80" t="str">
        <x:f>IF($A28&lt;1887,"n/a",IF(E28&lt;=cap_debt,"OK","Check"))</x:f>
        <x:v>n/a</x:v>
      </x:c>
      <x:c r="G28" s="81" t="n">
        <x:f>'Debt &amp; cash'!W28</x:f>
        <x:v>0.14180350002509115</x:v>
      </x:c>
      <x:c r="H28" s="80" t="str">
        <x:f>IF($A28&lt;1887,"n/a",IF(G28&lt;=cap_int,"OK","Check"))</x:f>
        <x:v>n/a</x:v>
      </x:c>
      <x:c r="I28" s="81" t="n">
        <x:f>Budget!AC28</x:f>
        <x:v>0.046701569579389604</x:v>
      </x:c>
      <x:c r="J28" s="80" t="str">
        <x:f>IF($A28&lt;1887,"n/a",IF(Paths!AC28=1,"War year",IF(I28&lt;=cap_def,"OK","Check")))</x:f>
        <x:v>n/a</x:v>
      </x:c>
      <x:c r="K28" s="63" t="n">
        <x:f>'Debt &amp; cash'!Y28/Economy!O28</x:f>
        <x:v>0.015494121346650331</x:v>
      </x:c>
      <x:c r="L28" s="80" t="str">
        <x:f>IF('Debt &amp; cash'!Y28&lt;=mkt_capacity*Economy!O28+foreign_capacity,"OK","Check")</x:f>
        <x:v>OK</x:v>
      </x:c>
      <x:c r="M28" s="80" t="str">
        <x:f>IF($A28&lt;1900,"n/a",IF('Gold &amp; money'!K28&gt;=0,"OK","Check"))</x:f>
        <x:v>n/a</x:v>
      </x:c>
      <x:c r="N28" s="81" t="n">
        <x:f>Japan!AA28</x:f>
        <x:v>0</x:v>
      </x:c>
      <x:c r="O28" s="80" t="str">
        <x:f>IF(N28&lt;=1,"OK","Check")</x:f>
        <x:v>OK</x:v>
      </x:c>
      <x:c r="P28" s="80" t="str">
        <x:f>IF($A28&lt;1922,"n/a",IF(AND(Navy!AE28&gt;=0.95,Navy!AE28&lt;=1.1),"OK","Check"))</x:f>
        <x:v>n/a</x:v>
      </x:c>
      <x:c r="Q28" s="80" t="str">
        <x:f>IF(Navy!Z28=0,"n/a",IF(Resources!K28&gt;=Navy!Z28,"OK","Check"))</x:f>
        <x:v>n/a</x:v>
      </x:c>
      <x:c r="R28" s="80" t="str">
        <x:f>IF(AND(gulf_on=1,$A28=gulf_year),IF(Gulf!AF28=1,"OK","Check"),"n/a")</x:f>
        <x:v>n/a</x:v>
      </x:c>
      <x:c r="S28" s="47" t="n">
        <x:f>COUNTIF(B28:R28,"Check")+COUNTIF(T28:Z28,"Check")</x:f>
        <x:v>0</x:v>
      </x:c>
      <x:c r="T28" t="str">
        <x:f>IF(ABS(Japan!AM28)&lt;0.001,"OK","Check")</x:f>
        <x:v>OK</x:v>
      </x:c>
      <x:c r="U28" t="str">
        <x:f>"n/a"</x:f>
        <x:v>n/a</x:v>
      </x:c>
      <x:c r="V28" t="str">
        <x:f>"n/a"</x:f>
        <x:v>n/a</x:v>
      </x:c>
      <x:c r="W28" t="str">
        <x:f>"n/a"</x:f>
        <x:v>n/a</x:v>
      </x:c>
      <x:c r="X28" t="str">
        <x:f>"n/a"</x:f>
        <x:v>n/a</x:v>
      </x:c>
      <x:c r="Y28" t="str">
        <x:f>IF(Abroad!T28&gt;=-0.001,"OK","Check")</x:f>
        <x:v>OK</x:v>
      </x:c>
      <x:c r="Z28" t="str">
        <x:f>"n/a"</x:f>
        <x:v>n/a</x:v>
      </x:c>
    </x:row>
    <x:row r="29">
      <x:c r="A29" s="58" t="n">
        <x:v>1869</x:v>
      </x:c>
      <x:c r="B29" s="80" t="str">
        <x:f>IF(ABS(People!L29-(People!B29+People!C29+People!D29+People!K29))&lt;1,"OK","Check")</x:f>
        <x:v>OK</x:v>
      </x:c>
      <x:c r="C29" s="80" t="str">
        <x:f>IF(ABS('Debt &amp; cash'!M29-'Debt &amp; cash'!E29)&lt;0.001,"OK","Check")</x:f>
        <x:v>OK</x:v>
      </x:c>
      <x:c r="D29" s="80" t="str">
        <x:f>IF('Debt &amp; cash'!S29&gt;=-0.001,"OK","Check")</x:f>
        <x:v>OK</x:v>
      </x:c>
      <x:c r="E29" s="81" t="n">
        <x:f>'Debt &amp; cash'!V29</x:f>
        <x:v>0.2783099986348225</x:v>
      </x:c>
      <x:c r="F29" s="80" t="str">
        <x:f>IF($A29&lt;1887,"n/a",IF(E29&lt;=cap_debt,"OK","Check"))</x:f>
        <x:v>n/a</x:v>
      </x:c>
      <x:c r="G29" s="81" t="n">
        <x:f>'Debt &amp; cash'!W29</x:f>
        <x:v>0.13360055730911036</x:v>
      </x:c>
      <x:c r="H29" s="80" t="str">
        <x:f>IF($A29&lt;1887,"n/a",IF(G29&lt;=cap_int,"OK","Check"))</x:f>
        <x:v>n/a</x:v>
      </x:c>
      <x:c r="I29" s="81" t="n">
        <x:f>Budget!AC29</x:f>
        <x:v>0.04490835608029709</x:v>
      </x:c>
      <x:c r="J29" s="80" t="str">
        <x:f>IF($A29&lt;1887,"n/a",IF(Paths!AC29=1,"War year",IF(I29&lt;=cap_def,"OK","Check")))</x:f>
        <x:v>n/a</x:v>
      </x:c>
      <x:c r="K29" s="63" t="n">
        <x:f>'Debt &amp; cash'!Y29/Economy!O29</x:f>
        <x:v>0.01151585204041481</x:v>
      </x:c>
      <x:c r="L29" s="80" t="str">
        <x:f>IF('Debt &amp; cash'!Y29&lt;=mkt_capacity*Economy!O29+foreign_capacity,"OK","Check")</x:f>
        <x:v>OK</x:v>
      </x:c>
      <x:c r="M29" s="80" t="str">
        <x:f>IF($A29&lt;1900,"n/a",IF('Gold &amp; money'!K29&gt;=0,"OK","Check"))</x:f>
        <x:v>n/a</x:v>
      </x:c>
      <x:c r="N29" s="81" t="n">
        <x:f>Japan!AA29</x:f>
        <x:v>0</x:v>
      </x:c>
      <x:c r="O29" s="80" t="str">
        <x:f>IF(N29&lt;=1,"OK","Check")</x:f>
        <x:v>OK</x:v>
      </x:c>
      <x:c r="P29" s="80" t="str">
        <x:f>IF($A29&lt;1922,"n/a",IF(AND(Navy!AE29&gt;=0.95,Navy!AE29&lt;=1.1),"OK","Check"))</x:f>
        <x:v>n/a</x:v>
      </x:c>
      <x:c r="Q29" s="80" t="str">
        <x:f>IF(Navy!Z29=0,"n/a",IF(Resources!K29&gt;=Navy!Z29,"OK","Check"))</x:f>
        <x:v>n/a</x:v>
      </x:c>
      <x:c r="R29" s="80" t="str">
        <x:f>IF(AND(gulf_on=1,$A29=gulf_year),IF(Gulf!AF29=1,"OK","Check"),"n/a")</x:f>
        <x:v>n/a</x:v>
      </x:c>
      <x:c r="S29" s="47" t="n">
        <x:f>COUNTIF(B29:R29,"Check")+COUNTIF(T29:Z29,"Check")</x:f>
        <x:v>0</x:v>
      </x:c>
      <x:c r="T29" t="str">
        <x:f>IF(ABS(Japan!AM29)&lt;0.001,"OK","Check")</x:f>
        <x:v>OK</x:v>
      </x:c>
      <x:c r="U29" t="str">
        <x:f>"n/a"</x:f>
        <x:v>n/a</x:v>
      </x:c>
      <x:c r="V29" t="str">
        <x:f>"n/a"</x:f>
        <x:v>n/a</x:v>
      </x:c>
      <x:c r="W29" t="str">
        <x:f>"n/a"</x:f>
        <x:v>n/a</x:v>
      </x:c>
      <x:c r="X29" t="str">
        <x:f>"n/a"</x:f>
        <x:v>n/a</x:v>
      </x:c>
      <x:c r="Y29" t="str">
        <x:f>IF(Abroad!T29&gt;=-0.001,"OK","Check")</x:f>
        <x:v>OK</x:v>
      </x:c>
      <x:c r="Z29" t="str">
        <x:f>"n/a"</x:f>
        <x:v>n/a</x:v>
      </x:c>
    </x:row>
    <x:row r="30">
      <x:c r="A30" s="61" t="n">
        <x:v>1870</x:v>
      </x:c>
      <x:c r="B30" s="80" t="str">
        <x:f>IF(ABS(People!L30-(People!B30+People!C30+People!D30+People!K30))&lt;1,"OK","Check")</x:f>
        <x:v>OK</x:v>
      </x:c>
      <x:c r="C30" s="80" t="str">
        <x:f>IF(ABS('Debt &amp; cash'!M30-'Debt &amp; cash'!E30)&lt;0.001,"OK","Check")</x:f>
        <x:v>OK</x:v>
      </x:c>
      <x:c r="D30" s="80" t="str">
        <x:f>IF('Debt &amp; cash'!S30&gt;=-0.001,"OK","Check")</x:f>
        <x:v>OK</x:v>
      </x:c>
      <x:c r="E30" s="81" t="n">
        <x:f>'Debt &amp; cash'!V30</x:f>
        <x:v>0.2748448625223086</x:v>
      </x:c>
      <x:c r="F30" s="80" t="str">
        <x:f>IF($A30&lt;1887,"n/a",IF(E30&lt;=cap_debt,"OK","Check"))</x:f>
        <x:v>n/a</x:v>
      </x:c>
      <x:c r="G30" s="81" t="n">
        <x:f>'Debt &amp; cash'!W30</x:f>
        <x:v>0.12399066106609072</x:v>
      </x:c>
      <x:c r="H30" s="80" t="str">
        <x:f>IF($A30&lt;1887,"n/a",IF(G30&lt;=cap_int,"OK","Check"))</x:f>
        <x:v>n/a</x:v>
      </x:c>
      <x:c r="I30" s="81" t="n">
        <x:f>Budget!AC30</x:f>
        <x:v>0.05043712849151637</x:v>
      </x:c>
      <x:c r="J30" s="80" t="str">
        <x:f>IF($A30&lt;1887,"n/a",IF(Paths!AC30=1,"War year",IF(I30&lt;=cap_def,"OK","Check")))</x:f>
        <x:v>n/a</x:v>
      </x:c>
      <x:c r="K30" s="63" t="n">
        <x:f>'Debt &amp; cash'!Y30/Economy!O30</x:f>
        <x:v>0.024825369942904008</x:v>
      </x:c>
      <x:c r="L30" s="80" t="str">
        <x:f>IF('Debt &amp; cash'!Y30&lt;=mkt_capacity*Economy!O30+foreign_capacity,"OK","Check")</x:f>
        <x:v>OK</x:v>
      </x:c>
      <x:c r="M30" s="80" t="str">
        <x:f>IF($A30&lt;1900,"n/a",IF('Gold &amp; money'!K30&gt;=0,"OK","Check"))</x:f>
        <x:v>n/a</x:v>
      </x:c>
      <x:c r="N30" s="81" t="n">
        <x:f>Japan!AA30</x:f>
        <x:v>0.010570796583091277</x:v>
      </x:c>
      <x:c r="O30" s="80" t="str">
        <x:f>IF(N30&lt;=1,"OK","Check")</x:f>
        <x:v>OK</x:v>
      </x:c>
      <x:c r="P30" s="80" t="str">
        <x:f>IF($A30&lt;1922,"n/a",IF(AND(Navy!AE30&gt;=0.95,Navy!AE30&lt;=1.1),"OK","Check"))</x:f>
        <x:v>n/a</x:v>
      </x:c>
      <x:c r="Q30" s="80" t="str">
        <x:f>IF(Navy!Z30=0,"n/a",IF(Resources!K30&gt;=Navy!Z30,"OK","Check"))</x:f>
        <x:v>n/a</x:v>
      </x:c>
      <x:c r="R30" s="80" t="str">
        <x:f>IF(AND(gulf_on=1,$A30=gulf_year),IF(Gulf!AF30=1,"OK","Check"),"n/a")</x:f>
        <x:v>n/a</x:v>
      </x:c>
      <x:c r="S30" s="47" t="n">
        <x:f>COUNTIF(B30:R30,"Check")+COUNTIF(T30:Z30,"Check")</x:f>
        <x:v>0</x:v>
      </x:c>
      <x:c r="T30" t="str">
        <x:f>IF(ABS(Japan!AM30)&lt;0.001,"OK","Check")</x:f>
        <x:v>OK</x:v>
      </x:c>
      <x:c r="U30" t="str">
        <x:f>"n/a"</x:f>
        <x:v>n/a</x:v>
      </x:c>
      <x:c r="V30" t="str">
        <x:f>"n/a"</x:f>
        <x:v>n/a</x:v>
      </x:c>
      <x:c r="W30" t="str">
        <x:f>"n/a"</x:f>
        <x:v>n/a</x:v>
      </x:c>
      <x:c r="X30" t="str">
        <x:f>"n/a"</x:f>
        <x:v>n/a</x:v>
      </x:c>
      <x:c r="Y30" t="str">
        <x:f>IF(Abroad!T30&gt;=-0.001,"OK","Check")</x:f>
        <x:v>OK</x:v>
      </x:c>
      <x:c r="Z30" t="str">
        <x:f>"n/a"</x:f>
        <x:v>n/a</x:v>
      </x:c>
    </x:row>
    <x:row r="31">
      <x:c r="A31" s="61" t="n">
        <x:v>1871</x:v>
      </x:c>
      <x:c r="B31" s="80" t="str">
        <x:f>IF(ABS(People!L31-(People!B31+People!C31+People!D31+People!K31))&lt;1,"OK","Check")</x:f>
        <x:v>OK</x:v>
      </x:c>
      <x:c r="C31" s="80" t="str">
        <x:f>IF(ABS('Debt &amp; cash'!M31-'Debt &amp; cash'!E31)&lt;0.001,"OK","Check")</x:f>
        <x:v>OK</x:v>
      </x:c>
      <x:c r="D31" s="80" t="str">
        <x:f>IF('Debt &amp; cash'!S31&gt;=-0.001,"OK","Check")</x:f>
        <x:v>OK</x:v>
      </x:c>
      <x:c r="E31" s="81" t="n">
        <x:f>'Debt &amp; cash'!V31</x:f>
        <x:v>0.285193488913735</x:v>
      </x:c>
      <x:c r="F31" s="80" t="str">
        <x:f>IF($A31&lt;1887,"n/a",IF(E31&lt;=cap_debt,"OK","Check"))</x:f>
        <x:v>n/a</x:v>
      </x:c>
      <x:c r="G31" s="81" t="n">
        <x:f>'Debt &amp; cash'!W31</x:f>
        <x:v>0.12254365404662172</x:v>
      </x:c>
      <x:c r="H31" s="80" t="str">
        <x:f>IF($A31&lt;1887,"n/a",IF(G31&lt;=cap_int,"OK","Check"))</x:f>
        <x:v>n/a</x:v>
      </x:c>
      <x:c r="I31" s="81" t="n">
        <x:f>Budget!AC31</x:f>
        <x:v>0.04717164324417273</x:v>
      </x:c>
      <x:c r="J31" s="80" t="str">
        <x:f>IF($A31&lt;1887,"n/a",IF(Paths!AC31=1,"War year",IF(I31&lt;=cap_def,"OK","Check")))</x:f>
        <x:v>n/a</x:v>
      </x:c>
      <x:c r="K31" s="63" t="n">
        <x:f>'Debt &amp; cash'!Y31/Economy!O31</x:f>
        <x:v>0.03460591836156291</x:v>
      </x:c>
      <x:c r="L31" s="80" t="str">
        <x:f>IF('Debt &amp; cash'!Y31&lt;=mkt_capacity*Economy!O31+foreign_capacity,"OK","Check")</x:f>
        <x:v>OK</x:v>
      </x:c>
      <x:c r="M31" s="80" t="str">
        <x:f>IF($A31&lt;1900,"n/a",IF('Gold &amp; money'!K31&gt;=0,"OK","Check"))</x:f>
        <x:v>n/a</x:v>
      </x:c>
      <x:c r="N31" s="81" t="n">
        <x:f>Japan!AA31</x:f>
        <x:v>0.010000697590621197</x:v>
      </x:c>
      <x:c r="O31" s="80" t="str">
        <x:f>IF(N31&lt;=1,"OK","Check")</x:f>
        <x:v>OK</x:v>
      </x:c>
      <x:c r="P31" s="80" t="str">
        <x:f>IF($A31&lt;1922,"n/a",IF(AND(Navy!AE31&gt;=0.95,Navy!AE31&lt;=1.1),"OK","Check"))</x:f>
        <x:v>n/a</x:v>
      </x:c>
      <x:c r="Q31" s="80" t="str">
        <x:f>IF(Navy!Z31=0,"n/a",IF(Resources!K31&gt;=Navy!Z31,"OK","Check"))</x:f>
        <x:v>n/a</x:v>
      </x:c>
      <x:c r="R31" s="80" t="str">
        <x:f>IF(AND(gulf_on=1,$A31=gulf_year),IF(Gulf!AF31=1,"OK","Check"),"n/a")</x:f>
        <x:v>n/a</x:v>
      </x:c>
      <x:c r="S31" s="47" t="n">
        <x:f>COUNTIF(B31:R31,"Check")+COUNTIF(T31:Z31,"Check")</x:f>
        <x:v>0</x:v>
      </x:c>
      <x:c r="T31" t="str">
        <x:f>IF(ABS(Japan!AM31)&lt;0.001,"OK","Check")</x:f>
        <x:v>OK</x:v>
      </x:c>
      <x:c r="U31" t="str">
        <x:f>"n/a"</x:f>
        <x:v>n/a</x:v>
      </x:c>
      <x:c r="V31" t="str">
        <x:f>"n/a"</x:f>
        <x:v>n/a</x:v>
      </x:c>
      <x:c r="W31" t="str">
        <x:f>"n/a"</x:f>
        <x:v>n/a</x:v>
      </x:c>
      <x:c r="X31" t="str">
        <x:f>"n/a"</x:f>
        <x:v>n/a</x:v>
      </x:c>
      <x:c r="Y31" t="str">
        <x:f>IF(Abroad!T31&gt;=-0.001,"OK","Check")</x:f>
        <x:v>OK</x:v>
      </x:c>
      <x:c r="Z31" t="str">
        <x:f>"n/a"</x:f>
        <x:v>n/a</x:v>
      </x:c>
    </x:row>
    <x:row r="32">
      <x:c r="A32" s="58" t="n">
        <x:v>1872</x:v>
      </x:c>
      <x:c r="B32" s="80" t="str">
        <x:f>IF(ABS(People!L32-(People!B32+People!C32+People!D32+People!K32))&lt;1,"OK","Check")</x:f>
        <x:v>OK</x:v>
      </x:c>
      <x:c r="C32" s="80" t="str">
        <x:f>IF(ABS('Debt &amp; cash'!M32-'Debt &amp; cash'!E32)&lt;0.001,"OK","Check")</x:f>
        <x:v>OK</x:v>
      </x:c>
      <x:c r="D32" s="80" t="str">
        <x:f>IF('Debt &amp; cash'!S32&gt;=-0.001,"OK","Check")</x:f>
        <x:v>OK</x:v>
      </x:c>
      <x:c r="E32" s="81" t="n">
        <x:f>'Debt &amp; cash'!V32</x:f>
        <x:v>0.28615889305419806</x:v>
      </x:c>
      <x:c r="F32" s="80" t="str">
        <x:f>IF($A32&lt;1887,"n/a",IF(E32&lt;=cap_debt,"OK","Check"))</x:f>
        <x:v>n/a</x:v>
      </x:c>
      <x:c r="G32" s="81" t="n">
        <x:f>'Debt &amp; cash'!W32</x:f>
        <x:v>0.12523027227105674</x:v>
      </x:c>
      <x:c r="H32" s="80" t="str">
        <x:f>IF($A32&lt;1887,"n/a",IF(G32&lt;=cap_int,"OK","Check"))</x:f>
        <x:v>n/a</x:v>
      </x:c>
      <x:c r="I32" s="81" t="n">
        <x:f>Budget!AC32</x:f>
        <x:v>0.03461757712467941</x:v>
      </x:c>
      <x:c r="J32" s="80" t="str">
        <x:f>IF($A32&lt;1887,"n/a",IF(Paths!AC32=1,"War year",IF(I32&lt;=cap_def,"OK","Check")))</x:f>
        <x:v>n/a</x:v>
      </x:c>
      <x:c r="K32" s="63" t="n">
        <x:f>'Debt &amp; cash'!Y32/Economy!O32</x:f>
        <x:v>0.02534828626450071</x:v>
      </x:c>
      <x:c r="L32" s="80" t="str">
        <x:f>IF('Debt &amp; cash'!Y32&lt;=mkt_capacity*Economy!O32+foreign_capacity,"OK","Check")</x:f>
        <x:v>OK</x:v>
      </x:c>
      <x:c r="M32" s="80" t="str">
        <x:f>IF($A32&lt;1900,"n/a",IF('Gold &amp; money'!K32&gt;=0,"OK","Check"))</x:f>
        <x:v>n/a</x:v>
      </x:c>
      <x:c r="N32" s="81" t="n">
        <x:f>Japan!AA32</x:f>
        <x:v>0.009441753945744476</x:v>
      </x:c>
      <x:c r="O32" s="80" t="str">
        <x:f>IF(N32&lt;=1,"OK","Check")</x:f>
        <x:v>OK</x:v>
      </x:c>
      <x:c r="P32" s="80" t="str">
        <x:f>IF($A32&lt;1922,"n/a",IF(AND(Navy!AE32&gt;=0.95,Navy!AE32&lt;=1.1),"OK","Check"))</x:f>
        <x:v>n/a</x:v>
      </x:c>
      <x:c r="Q32" s="80" t="str">
        <x:f>IF(Navy!Z32=0,"n/a",IF(Resources!K32&gt;=Navy!Z32,"OK","Check"))</x:f>
        <x:v>n/a</x:v>
      </x:c>
      <x:c r="R32" s="80" t="str">
        <x:f>IF(AND(gulf_on=1,$A32=gulf_year),IF(Gulf!AF32=1,"OK","Check"),"n/a")</x:f>
        <x:v>n/a</x:v>
      </x:c>
      <x:c r="S32" s="47" t="n">
        <x:f>COUNTIF(B32:R32,"Check")+COUNTIF(T32:Z32,"Check")</x:f>
        <x:v>0</x:v>
      </x:c>
      <x:c r="T32" t="str">
        <x:f>IF(ABS(Japan!AM32)&lt;0.001,"OK","Check")</x:f>
        <x:v>OK</x:v>
      </x:c>
      <x:c r="U32" t="str">
        <x:f>"n/a"</x:f>
        <x:v>n/a</x:v>
      </x:c>
      <x:c r="V32" t="str">
        <x:f>"n/a"</x:f>
        <x:v>n/a</x:v>
      </x:c>
      <x:c r="W32" t="str">
        <x:f>"n/a"</x:f>
        <x:v>n/a</x:v>
      </x:c>
      <x:c r="X32" t="str">
        <x:f>"n/a"</x:f>
        <x:v>n/a</x:v>
      </x:c>
      <x:c r="Y32" t="str">
        <x:f>IF(Abroad!T32&gt;=-0.001,"OK","Check")</x:f>
        <x:v>OK</x:v>
      </x:c>
      <x:c r="Z32" t="str">
        <x:f>"n/a"</x:f>
        <x:v>n/a</x:v>
      </x:c>
    </x:row>
    <x:row r="33">
      <x:c r="A33" s="58" t="n">
        <x:v>1873</x:v>
      </x:c>
      <x:c r="B33" s="80" t="str">
        <x:f>IF(ABS(People!L33-(People!B33+People!C33+People!D33+People!K33))&lt;1,"OK","Check")</x:f>
        <x:v>OK</x:v>
      </x:c>
      <x:c r="C33" s="80" t="str">
        <x:f>IF(ABS('Debt &amp; cash'!M33-'Debt &amp; cash'!E33)&lt;0.001,"OK","Check")</x:f>
        <x:v>OK</x:v>
      </x:c>
      <x:c r="D33" s="80" t="str">
        <x:f>IF('Debt &amp; cash'!S33&gt;=-0.001,"OK","Check")</x:f>
        <x:v>OK</x:v>
      </x:c>
      <x:c r="E33" s="81" t="n">
        <x:f>'Debt &amp; cash'!V33</x:f>
        <x:v>0.256407261737656</x:v>
      </x:c>
      <x:c r="F33" s="80" t="str">
        <x:f>IF($A33&lt;1887,"n/a",IF(E33&lt;=cap_debt,"OK","Check"))</x:f>
        <x:v>n/a</x:v>
      </x:c>
      <x:c r="G33" s="81" t="n">
        <x:f>'Debt &amp; cash'!W33</x:f>
        <x:v>0.13289928558508984</x:v>
      </x:c>
      <x:c r="H33" s="80" t="str">
        <x:f>IF($A33&lt;1887,"n/a",IF(G33&lt;=cap_int,"OK","Check"))</x:f>
        <x:v>n/a</x:v>
      </x:c>
      <x:c r="I33" s="81" t="n">
        <x:f>Budget!AC33</x:f>
        <x:v>0.0325157837723681</x:v>
      </x:c>
      <x:c r="J33" s="80" t="str">
        <x:f>IF($A33&lt;1887,"n/a",IF(Paths!AC33=1,"War year",IF(I33&lt;=cap_def,"OK","Check")))</x:f>
        <x:v>n/a</x:v>
      </x:c>
      <x:c r="K33" s="63" t="n">
        <x:f>'Debt &amp; cash'!Y33/Economy!O33</x:f>
        <x:v>0</x:v>
      </x:c>
      <x:c r="L33" s="80" t="str">
        <x:f>IF('Debt &amp; cash'!Y33&lt;=mkt_capacity*Economy!O33+foreign_capacity,"OK","Check")</x:f>
        <x:v>OK</x:v>
      </x:c>
      <x:c r="M33" s="80" t="str">
        <x:f>IF($A33&lt;1900,"n/a",IF('Gold &amp; money'!K33&gt;=0,"OK","Check"))</x:f>
        <x:v>n/a</x:v>
      </x:c>
      <x:c r="N33" s="81" t="n">
        <x:f>Japan!AA33</x:f>
        <x:v>0.008932878970223861</x:v>
      </x:c>
      <x:c r="O33" s="80" t="str">
        <x:f>IF(N33&lt;=1,"OK","Check")</x:f>
        <x:v>OK</x:v>
      </x:c>
      <x:c r="P33" s="80" t="str">
        <x:f>IF($A33&lt;1922,"n/a",IF(AND(Navy!AE33&gt;=0.95,Navy!AE33&lt;=1.1),"OK","Check"))</x:f>
        <x:v>n/a</x:v>
      </x:c>
      <x:c r="Q33" s="80" t="str">
        <x:f>IF(Navy!Z33=0,"n/a",IF(Resources!K33&gt;=Navy!Z33,"OK","Check"))</x:f>
        <x:v>n/a</x:v>
      </x:c>
      <x:c r="R33" s="80" t="str">
        <x:f>IF(AND(gulf_on=1,$A33=gulf_year),IF(Gulf!AF33=1,"OK","Check"),"n/a")</x:f>
        <x:v>n/a</x:v>
      </x:c>
      <x:c r="S33" s="47" t="n">
        <x:f>COUNTIF(B33:R33,"Check")+COUNTIF(T33:Z33,"Check")</x:f>
        <x:v>0</x:v>
      </x:c>
      <x:c r="T33" t="str">
        <x:f>IF(ABS(Japan!AM33)&lt;0.001,"OK","Check")</x:f>
        <x:v>OK</x:v>
      </x:c>
      <x:c r="U33" t="str">
        <x:f>"n/a"</x:f>
        <x:v>n/a</x:v>
      </x:c>
      <x:c r="V33" t="str">
        <x:f>"n/a"</x:f>
        <x:v>n/a</x:v>
      </x:c>
      <x:c r="W33" t="str">
        <x:f>"n/a"</x:f>
        <x:v>n/a</x:v>
      </x:c>
      <x:c r="X33" t="str">
        <x:f>"n/a"</x:f>
        <x:v>n/a</x:v>
      </x:c>
      <x:c r="Y33" t="str">
        <x:f>IF(Abroad!T33&gt;=-0.001,"OK","Check")</x:f>
        <x:v>OK</x:v>
      </x:c>
      <x:c r="Z33" t="str">
        <x:f>"n/a"</x:f>
        <x:v>n/a</x:v>
      </x:c>
    </x:row>
    <x:row r="34">
      <x:c r="A34" s="58" t="n">
        <x:v>1874</x:v>
      </x:c>
      <x:c r="B34" s="80" t="str">
        <x:f>IF(ABS(People!L34-(People!B34+People!C34+People!D34+People!K34))&lt;1,"OK","Check")</x:f>
        <x:v>OK</x:v>
      </x:c>
      <x:c r="C34" s="80" t="str">
        <x:f>IF(ABS('Debt &amp; cash'!M34-'Debt &amp; cash'!E34)&lt;0.001,"OK","Check")</x:f>
        <x:v>OK</x:v>
      </x:c>
      <x:c r="D34" s="80" t="str">
        <x:f>IF('Debt &amp; cash'!S34&gt;=-0.001,"OK","Check")</x:f>
        <x:v>OK</x:v>
      </x:c>
      <x:c r="E34" s="81" t="n">
        <x:f>'Debt &amp; cash'!V34</x:f>
        <x:v>0.2311190363107594</x:v>
      </x:c>
      <x:c r="F34" s="80" t="str">
        <x:f>IF($A34&lt;1887,"n/a",IF(E34&lt;=cap_debt,"OK","Check"))</x:f>
        <x:v>n/a</x:v>
      </x:c>
      <x:c r="G34" s="81" t="n">
        <x:f>'Debt &amp; cash'!W34</x:f>
        <x:v>0.11757349948173133</x:v>
      </x:c>
      <x:c r="H34" s="80" t="str">
        <x:f>IF($A34&lt;1887,"n/a",IF(G34&lt;=cap_int,"OK","Check"))</x:f>
        <x:v>n/a</x:v>
      </x:c>
      <x:c r="I34" s="81" t="n">
        <x:f>Budget!AC34</x:f>
        <x:v>0.03257037496812358</x:v>
      </x:c>
      <x:c r="J34" s="80" t="str">
        <x:f>IF($A34&lt;1887,"n/a",IF(Paths!AC34=1,"War year",IF(I34&lt;=cap_def,"OK","Check")))</x:f>
        <x:v>n/a</x:v>
      </x:c>
      <x:c r="K34" s="63" t="n">
        <x:f>'Debt &amp; cash'!Y34/Economy!O34</x:f>
        <x:v>0</x:v>
      </x:c>
      <x:c r="L34" s="80" t="str">
        <x:f>IF('Debt &amp; cash'!Y34&lt;=mkt_capacity*Economy!O34+foreign_capacity,"OK","Check")</x:f>
        <x:v>OK</x:v>
      </x:c>
      <x:c r="M34" s="80" t="str">
        <x:f>IF($A34&lt;1900,"n/a",IF('Gold &amp; money'!K34&gt;=0,"OK","Check"))</x:f>
        <x:v>n/a</x:v>
      </x:c>
      <x:c r="N34" s="81" t="n">
        <x:f>Japan!AA34</x:f>
        <x:v>0.008451898685923566</x:v>
      </x:c>
      <x:c r="O34" s="80" t="str">
        <x:f>IF(N34&lt;=1,"OK","Check")</x:f>
        <x:v>OK</x:v>
      </x:c>
      <x:c r="P34" s="80" t="str">
        <x:f>IF($A34&lt;1922,"n/a",IF(AND(Navy!AE34&gt;=0.95,Navy!AE34&lt;=1.1),"OK","Check"))</x:f>
        <x:v>n/a</x:v>
      </x:c>
      <x:c r="Q34" s="80" t="str">
        <x:f>IF(Navy!Z34=0,"n/a",IF(Resources!K34&gt;=Navy!Z34,"OK","Check"))</x:f>
        <x:v>n/a</x:v>
      </x:c>
      <x:c r="R34" s="80" t="str">
        <x:f>IF(AND(gulf_on=1,$A34=gulf_year),IF(Gulf!AF34=1,"OK","Check"),"n/a")</x:f>
        <x:v>n/a</x:v>
      </x:c>
      <x:c r="S34" s="47" t="n">
        <x:f>COUNTIF(B34:R34,"Check")+COUNTIF(T34:Z34,"Check")</x:f>
        <x:v>0</x:v>
      </x:c>
      <x:c r="T34" t="str">
        <x:f>IF(ABS(Japan!AM34)&lt;0.001,"OK","Check")</x:f>
        <x:v>OK</x:v>
      </x:c>
      <x:c r="U34" t="str">
        <x:f>"n/a"</x:f>
        <x:v>n/a</x:v>
      </x:c>
      <x:c r="V34" t="str">
        <x:f>"n/a"</x:f>
        <x:v>n/a</x:v>
      </x:c>
      <x:c r="W34" t="str">
        <x:f>"n/a"</x:f>
        <x:v>n/a</x:v>
      </x:c>
      <x:c r="X34" t="str">
        <x:f>"n/a"</x:f>
        <x:v>n/a</x:v>
      </x:c>
      <x:c r="Y34" t="str">
        <x:f>IF(Abroad!T34&gt;=-0.001,"OK","Check")</x:f>
        <x:v>OK</x:v>
      </x:c>
      <x:c r="Z34" t="str">
        <x:f>"n/a"</x:f>
        <x:v>n/a</x:v>
      </x:c>
    </x:row>
    <x:row r="35">
      <x:c r="A35" s="58" t="n">
        <x:v>1875</x:v>
      </x:c>
      <x:c r="B35" s="80" t="str">
        <x:f>IF(ABS(People!L35-(People!B35+People!C35+People!D35+People!K35))&lt;1,"OK","Check")</x:f>
        <x:v>OK</x:v>
      </x:c>
      <x:c r="C35" s="80" t="str">
        <x:f>IF(ABS('Debt &amp; cash'!M35-'Debt &amp; cash'!E35)&lt;0.001,"OK","Check")</x:f>
        <x:v>OK</x:v>
      </x:c>
      <x:c r="D35" s="80" t="str">
        <x:f>IF('Debt &amp; cash'!S35&gt;=-0.001,"OK","Check")</x:f>
        <x:v>OK</x:v>
      </x:c>
      <x:c r="E35" s="81" t="n">
        <x:f>'Debt &amp; cash'!V35</x:f>
        <x:v>0.20111509015413556</x:v>
      </x:c>
      <x:c r="F35" s="80" t="str">
        <x:f>IF($A35&lt;1887,"n/a",IF(E35&lt;=cap_debt,"OK","Check"))</x:f>
        <x:v>n/a</x:v>
      </x:c>
      <x:c r="G35" s="81" t="n">
        <x:f>'Debt &amp; cash'!W35</x:f>
        <x:v>0.10323156955717082</x:v>
      </x:c>
      <x:c r="H35" s="80" t="str">
        <x:f>IF($A35&lt;1887,"n/a",IF(G35&lt;=cap_int,"OK","Check"))</x:f>
        <x:v>n/a</x:v>
      </x:c>
      <x:c r="I35" s="81" t="n">
        <x:f>Budget!AC35</x:f>
        <x:v>0.028547738685151657</x:v>
      </x:c>
      <x:c r="J35" s="80" t="str">
        <x:f>IF($A35&lt;1887,"n/a",IF(Paths!AC35=1,"War year",IF(I35&lt;=cap_def,"OK","Check")))</x:f>
        <x:v>n/a</x:v>
      </x:c>
      <x:c r="K35" s="63" t="n">
        <x:f>'Debt &amp; cash'!Y35/Economy!O35</x:f>
        <x:v>0</x:v>
      </x:c>
      <x:c r="L35" s="80" t="str">
        <x:f>IF('Debt &amp; cash'!Y35&lt;=mkt_capacity*Economy!O35+foreign_capacity,"OK","Check")</x:f>
        <x:v>OK</x:v>
      </x:c>
      <x:c r="M35" s="80" t="str">
        <x:f>IF($A35&lt;1900,"n/a",IF('Gold &amp; money'!K35&gt;=0,"OK","Check"))</x:f>
        <x:v>n/a</x:v>
      </x:c>
      <x:c r="N35" s="81" t="n">
        <x:f>Japan!AA35</x:f>
        <x:v>0.007997163166204782</x:v>
      </x:c>
      <x:c r="O35" s="80" t="str">
        <x:f>IF(N35&lt;=1,"OK","Check")</x:f>
        <x:v>OK</x:v>
      </x:c>
      <x:c r="P35" s="80" t="str">
        <x:f>IF($A35&lt;1922,"n/a",IF(AND(Navy!AE35&gt;=0.95,Navy!AE35&lt;=1.1),"OK","Check"))</x:f>
        <x:v>n/a</x:v>
      </x:c>
      <x:c r="Q35" s="80" t="str">
        <x:f>IF(Navy!Z35=0,"n/a",IF(Resources!K35&gt;=Navy!Z35,"OK","Check"))</x:f>
        <x:v>n/a</x:v>
      </x:c>
      <x:c r="R35" s="80" t="str">
        <x:f>IF(AND(gulf_on=1,$A35=gulf_year),IF(Gulf!AF35=1,"OK","Check"),"n/a")</x:f>
        <x:v>n/a</x:v>
      </x:c>
      <x:c r="S35" s="47" t="n">
        <x:f>COUNTIF(B35:R35,"Check")+COUNTIF(T35:Z35,"Check")</x:f>
        <x:v>0</x:v>
      </x:c>
      <x:c r="T35" t="str">
        <x:f>IF(ABS(Japan!AM35)&lt;0.001,"OK","Check")</x:f>
        <x:v>OK</x:v>
      </x:c>
      <x:c r="U35" t="str">
        <x:f>"n/a"</x:f>
        <x:v>n/a</x:v>
      </x:c>
      <x:c r="V35" t="str">
        <x:f>"n/a"</x:f>
        <x:v>n/a</x:v>
      </x:c>
      <x:c r="W35" t="str">
        <x:f>"n/a"</x:f>
        <x:v>n/a</x:v>
      </x:c>
      <x:c r="X35" t="str">
        <x:f>"n/a"</x:f>
        <x:v>n/a</x:v>
      </x:c>
      <x:c r="Y35" t="str">
        <x:f>IF(Abroad!T35&gt;=-0.001,"OK","Check")</x:f>
        <x:v>OK</x:v>
      </x:c>
      <x:c r="Z35" t="str">
        <x:f>"n/a"</x:f>
        <x:v>n/a</x:v>
      </x:c>
    </x:row>
    <x:row r="36">
      <x:c r="A36" s="58" t="n">
        <x:v>1876</x:v>
      </x:c>
      <x:c r="B36" s="80" t="str">
        <x:f>IF(ABS(People!L36-(People!B36+People!C36+People!D36+People!K36))&lt;1,"OK","Check")</x:f>
        <x:v>OK</x:v>
      </x:c>
      <x:c r="C36" s="80" t="str">
        <x:f>IF(ABS('Debt &amp; cash'!M36-'Debt &amp; cash'!E36)&lt;0.001,"OK","Check")</x:f>
        <x:v>OK</x:v>
      </x:c>
      <x:c r="D36" s="80" t="str">
        <x:f>IF('Debt &amp; cash'!S36&gt;=-0.001,"OK","Check")</x:f>
        <x:v>OK</x:v>
      </x:c>
      <x:c r="E36" s="81" t="n">
        <x:f>'Debt &amp; cash'!V36</x:f>
        <x:v>0.18584406459400127</x:v>
      </x:c>
      <x:c r="F36" s="80" t="str">
        <x:f>IF($A36&lt;1887,"n/a",IF(E36&lt;=cap_debt,"OK","Check"))</x:f>
        <x:v>n/a</x:v>
      </x:c>
      <x:c r="G36" s="81" t="n">
        <x:f>'Debt &amp; cash'!W36</x:f>
        <x:v>0.08850006529544258</x:v>
      </x:c>
      <x:c r="H36" s="80" t="str">
        <x:f>IF($A36&lt;1887,"n/a",IF(G36&lt;=cap_int,"OK","Check"))</x:f>
        <x:v>n/a</x:v>
      </x:c>
      <x:c r="I36" s="81" t="n">
        <x:f>Budget!AC36</x:f>
        <x:v>0.02402864451025746</x:v>
      </x:c>
      <x:c r="J36" s="80" t="str">
        <x:f>IF($A36&lt;1887,"n/a",IF(Paths!AC36=1,"War year",IF(I36&lt;=cap_def,"OK","Check")))</x:f>
        <x:v>n/a</x:v>
      </x:c>
      <x:c r="K36" s="63" t="n">
        <x:f>'Debt &amp; cash'!Y36/Economy!O36</x:f>
        <x:v>0.005057866658160903</x:v>
      </x:c>
      <x:c r="L36" s="80" t="str">
        <x:f>IF('Debt &amp; cash'!Y36&lt;=mkt_capacity*Economy!O36+foreign_capacity,"OK","Check")</x:f>
        <x:v>OK</x:v>
      </x:c>
      <x:c r="M36" s="80" t="str">
        <x:f>IF($A36&lt;1900,"n/a",IF('Gold &amp; money'!K36&gt;=0,"OK","Check"))</x:f>
        <x:v>n/a</x:v>
      </x:c>
      <x:c r="N36" s="81" t="n">
        <x:f>Japan!AA36</x:f>
        <x:v>0.2257551908015076</x:v>
      </x:c>
      <x:c r="O36" s="80" t="str">
        <x:f>IF(N36&lt;=1,"OK","Check")</x:f>
        <x:v>OK</x:v>
      </x:c>
      <x:c r="P36" s="80" t="str">
        <x:f>IF($A36&lt;1922,"n/a",IF(AND(Navy!AE36&gt;=0.95,Navy!AE36&lt;=1.1),"OK","Check"))</x:f>
        <x:v>n/a</x:v>
      </x:c>
      <x:c r="Q36" s="80" t="str">
        <x:f>IF(Navy!Z36=0,"n/a",IF(Resources!K36&gt;=Navy!Z36,"OK","Check"))</x:f>
        <x:v>n/a</x:v>
      </x:c>
      <x:c r="R36" s="80" t="str">
        <x:f>IF(AND(gulf_on=1,$A36=gulf_year),IF(Gulf!AF36=1,"OK","Check"),"n/a")</x:f>
        <x:v>n/a</x:v>
      </x:c>
      <x:c r="S36" s="47" t="n">
        <x:f>COUNTIF(B36:R36,"Check")+COUNTIF(T36:Z36,"Check")</x:f>
        <x:v>0</x:v>
      </x:c>
      <x:c r="T36" t="str">
        <x:f>IF(ABS(Japan!AM36)&lt;0.001,"OK","Check")</x:f>
        <x:v>OK</x:v>
      </x:c>
      <x:c r="U36" t="str">
        <x:f>"n/a"</x:f>
        <x:v>n/a</x:v>
      </x:c>
      <x:c r="V36" t="str">
        <x:f>"n/a"</x:f>
        <x:v>n/a</x:v>
      </x:c>
      <x:c r="W36" t="str">
        <x:f>"n/a"</x:f>
        <x:v>n/a</x:v>
      </x:c>
      <x:c r="X36" t="str">
        <x:f>"n/a"</x:f>
        <x:v>n/a</x:v>
      </x:c>
      <x:c r="Y36" t="str">
        <x:f>IF(Abroad!T36&gt;=-0.001,"OK","Check")</x:f>
        <x:v>OK</x:v>
      </x:c>
      <x:c r="Z36" t="str">
        <x:f>"n/a"</x:f>
        <x:v>n/a</x:v>
      </x:c>
    </x:row>
    <x:row r="37">
      <x:c r="A37" s="58" t="n">
        <x:v>1877</x:v>
      </x:c>
      <x:c r="B37" s="80" t="str">
        <x:f>IF(ABS(People!L37-(People!B37+People!C37+People!D37+People!K37))&lt;1,"OK","Check")</x:f>
        <x:v>OK</x:v>
      </x:c>
      <x:c r="C37" s="80" t="str">
        <x:f>IF(ABS('Debt &amp; cash'!M37-'Debt &amp; cash'!E37)&lt;0.001,"OK","Check")</x:f>
        <x:v>OK</x:v>
      </x:c>
      <x:c r="D37" s="80" t="str">
        <x:f>IF('Debt &amp; cash'!S37&gt;=-0.001,"OK","Check")</x:f>
        <x:v>OK</x:v>
      </x:c>
      <x:c r="E37" s="81" t="n">
        <x:f>'Debt &amp; cash'!V37</x:f>
        <x:v>0.16164136625634268</x:v>
      </x:c>
      <x:c r="F37" s="80" t="str">
        <x:f>IF($A37&lt;1887,"n/a",IF(E37&lt;=cap_debt,"OK","Check"))</x:f>
        <x:v>n/a</x:v>
      </x:c>
      <x:c r="G37" s="81" t="n">
        <x:f>'Debt &amp; cash'!W37</x:f>
        <x:v>0.08446124340430915</x:v>
      </x:c>
      <x:c r="H37" s="80" t="str">
        <x:f>IF($A37&lt;1887,"n/a",IF(G37&lt;=cap_int,"OK","Check"))</x:f>
        <x:v>n/a</x:v>
      </x:c>
      <x:c r="I37" s="81" t="n">
        <x:f>Budget!AC37</x:f>
        <x:v>0.02525376585723269</x:v>
      </x:c>
      <x:c r="J37" s="80" t="str">
        <x:f>IF($A37&lt;1887,"n/a",IF(Paths!AC37=1,"War year",IF(I37&lt;=cap_def,"OK","Check")))</x:f>
        <x:v>n/a</x:v>
      </x:c>
      <x:c r="K37" s="63" t="n">
        <x:f>'Debt &amp; cash'!Y37/Economy!O37</x:f>
        <x:v>0</x:v>
      </x:c>
      <x:c r="L37" s="80" t="str">
        <x:f>IF('Debt &amp; cash'!Y37&lt;=mkt_capacity*Economy!O37+foreign_capacity,"OK","Check")</x:f>
        <x:v>OK</x:v>
      </x:c>
      <x:c r="M37" s="80" t="str">
        <x:f>IF($A37&lt;1900,"n/a",IF('Gold &amp; money'!K37&gt;=0,"OK","Check"))</x:f>
        <x:v>n/a</x:v>
      </x:c>
      <x:c r="N37" s="81" t="n">
        <x:f>Japan!AA37</x:f>
        <x:v>0.21146535192223243</x:v>
      </x:c>
      <x:c r="O37" s="80" t="str">
        <x:f>IF(N37&lt;=1,"OK","Check")</x:f>
        <x:v>OK</x:v>
      </x:c>
      <x:c r="P37" s="80" t="str">
        <x:f>IF($A37&lt;1922,"n/a",IF(AND(Navy!AE37&gt;=0.95,Navy!AE37&lt;=1.1),"OK","Check"))</x:f>
        <x:v>n/a</x:v>
      </x:c>
      <x:c r="Q37" s="80" t="str">
        <x:f>IF(Navy!Z37=0,"n/a",IF(Resources!K37&gt;=Navy!Z37,"OK","Check"))</x:f>
        <x:v>n/a</x:v>
      </x:c>
      <x:c r="R37" s="80" t="str">
        <x:f>IF(AND(gulf_on=1,$A37=gulf_year),IF(Gulf!AF37=1,"OK","Check"),"n/a")</x:f>
        <x:v>n/a</x:v>
      </x:c>
      <x:c r="S37" s="47" t="n">
        <x:f>COUNTIF(B37:R37,"Check")+COUNTIF(T37:Z37,"Check")</x:f>
        <x:v>0</x:v>
      </x:c>
      <x:c r="T37" t="str">
        <x:f>IF(ABS(Japan!AM37)&lt;0.001,"OK","Check")</x:f>
        <x:v>OK</x:v>
      </x:c>
      <x:c r="U37" t="str">
        <x:f>"n/a"</x:f>
        <x:v>n/a</x:v>
      </x:c>
      <x:c r="V37" t="str">
        <x:f>"n/a"</x:f>
        <x:v>n/a</x:v>
      </x:c>
      <x:c r="W37" t="str">
        <x:f>"n/a"</x:f>
        <x:v>n/a</x:v>
      </x:c>
      <x:c r="X37" t="str">
        <x:f>"n/a"</x:f>
        <x:v>n/a</x:v>
      </x:c>
      <x:c r="Y37" t="str">
        <x:f>IF(Abroad!T37&gt;=-0.001,"OK","Check")</x:f>
        <x:v>OK</x:v>
      </x:c>
      <x:c r="Z37" t="str">
        <x:f>"n/a"</x:f>
        <x:v>n/a</x:v>
      </x:c>
    </x:row>
    <x:row r="38">
      <x:c r="A38" s="58" t="n">
        <x:v>1878</x:v>
      </x:c>
      <x:c r="B38" s="80" t="str">
        <x:f>IF(ABS(People!L38-(People!B38+People!C38+People!D38+People!K38))&lt;1,"OK","Check")</x:f>
        <x:v>OK</x:v>
      </x:c>
      <x:c r="C38" s="80" t="str">
        <x:f>IF(ABS('Debt &amp; cash'!M38-'Debt &amp; cash'!E38)&lt;0.001,"OK","Check")</x:f>
        <x:v>OK</x:v>
      </x:c>
      <x:c r="D38" s="80" t="str">
        <x:f>IF('Debt &amp; cash'!S38&gt;=-0.001,"OK","Check")</x:f>
        <x:v>OK</x:v>
      </x:c>
      <x:c r="E38" s="81" t="n">
        <x:f>'Debt &amp; cash'!V38</x:f>
        <x:v>0.1412866844868997</x:v>
      </x:c>
      <x:c r="F38" s="80" t="str">
        <x:f>IF($A38&lt;1887,"n/a",IF(E38&lt;=cap_debt,"OK","Check"))</x:f>
        <x:v>n/a</x:v>
      </x:c>
      <x:c r="G38" s="81" t="n">
        <x:f>'Debt &amp; cash'!W38</x:f>
        <x:v>0.07130901709265633</x:v>
      </x:c>
      <x:c r="H38" s="80" t="str">
        <x:f>IF($A38&lt;1887,"n/a",IF(G38&lt;=cap_int,"OK","Check"))</x:f>
        <x:v>n/a</x:v>
      </x:c>
      <x:c r="I38" s="81" t="n">
        <x:f>Budget!AC38</x:f>
        <x:v>0.030293955733933956</x:v>
      </x:c>
      <x:c r="J38" s="80" t="str">
        <x:f>IF($A38&lt;1887,"n/a",IF(Paths!AC38=1,"War year",IF(I38&lt;=cap_def,"OK","Check")))</x:f>
        <x:v>n/a</x:v>
      </x:c>
      <x:c r="K38" s="63" t="n">
        <x:f>'Debt &amp; cash'!Y38/Economy!O38</x:f>
        <x:v>0</x:v>
      </x:c>
      <x:c r="L38" s="80" t="str">
        <x:f>IF('Debt &amp; cash'!Y38&lt;=mkt_capacity*Economy!O38+foreign_capacity,"OK","Check")</x:f>
        <x:v>OK</x:v>
      </x:c>
      <x:c r="M38" s="80" t="str">
        <x:f>IF($A38&lt;1900,"n/a",IF('Gold &amp; money'!K38&gt;=0,"OK","Check"))</x:f>
        <x:v>n/a</x:v>
      </x:c>
      <x:c r="N38" s="81" t="n">
        <x:f>Japan!AA38</x:f>
        <x:v>0.19751874741821432</x:v>
      </x:c>
      <x:c r="O38" s="80" t="str">
        <x:f>IF(N38&lt;=1,"OK","Check")</x:f>
        <x:v>OK</x:v>
      </x:c>
      <x:c r="P38" s="80" t="str">
        <x:f>IF($A38&lt;1922,"n/a",IF(AND(Navy!AE38&gt;=0.95,Navy!AE38&lt;=1.1),"OK","Check"))</x:f>
        <x:v>n/a</x:v>
      </x:c>
      <x:c r="Q38" s="80" t="str">
        <x:f>IF(Navy!Z38=0,"n/a",IF(Resources!K38&gt;=Navy!Z38,"OK","Check"))</x:f>
        <x:v>n/a</x:v>
      </x:c>
      <x:c r="R38" s="80" t="str">
        <x:f>IF(AND(gulf_on=1,$A38=gulf_year),IF(Gulf!AF38=1,"OK","Check"),"n/a")</x:f>
        <x:v>n/a</x:v>
      </x:c>
      <x:c r="S38" s="47" t="n">
        <x:f>COUNTIF(B38:R38,"Check")+COUNTIF(T38:Z38,"Check")</x:f>
        <x:v>0</x:v>
      </x:c>
      <x:c r="T38" t="str">
        <x:f>IF(ABS(Japan!AM38)&lt;0.001,"OK","Check")</x:f>
        <x:v>OK</x:v>
      </x:c>
      <x:c r="U38" t="str">
        <x:f>"n/a"</x:f>
        <x:v>n/a</x:v>
      </x:c>
      <x:c r="V38" t="str">
        <x:f>"n/a"</x:f>
        <x:v>n/a</x:v>
      </x:c>
      <x:c r="W38" t="str">
        <x:f>"n/a"</x:f>
        <x:v>n/a</x:v>
      </x:c>
      <x:c r="X38" t="str">
        <x:f>"n/a"</x:f>
        <x:v>n/a</x:v>
      </x:c>
      <x:c r="Y38" t="str">
        <x:f>IF(Abroad!T38&gt;=-0.001,"OK","Check")</x:f>
        <x:v>OK</x:v>
      </x:c>
      <x:c r="Z38" t="str">
        <x:f>"n/a"</x:f>
        <x:v>n/a</x:v>
      </x:c>
    </x:row>
    <x:row r="39">
      <x:c r="A39" s="58" t="n">
        <x:v>1879</x:v>
      </x:c>
      <x:c r="B39" s="80" t="str">
        <x:f>IF(ABS(People!L39-(People!B39+People!C39+People!D39+People!K39))&lt;1,"OK","Check")</x:f>
        <x:v>OK</x:v>
      </x:c>
      <x:c r="C39" s="80" t="str">
        <x:f>IF(ABS('Debt &amp; cash'!M39-'Debt &amp; cash'!E39)&lt;0.001,"OK","Check")</x:f>
        <x:v>OK</x:v>
      </x:c>
      <x:c r="D39" s="80" t="str">
        <x:f>IF('Debt &amp; cash'!S39&gt;=-0.001,"OK","Check")</x:f>
        <x:v>OK</x:v>
      </x:c>
      <x:c r="E39" s="81" t="n">
        <x:f>'Debt &amp; cash'!V39</x:f>
        <x:v>0.11523916547328727</x:v>
      </x:c>
      <x:c r="F39" s="80" t="str">
        <x:f>IF($A39&lt;1887,"n/a",IF(E39&lt;=cap_debt,"OK","Check"))</x:f>
        <x:v>n/a</x:v>
      </x:c>
      <x:c r="G39" s="81" t="n">
        <x:f>'Debt &amp; cash'!W39</x:f>
        <x:v>0.06248673479748675</x:v>
      </x:c>
      <x:c r="H39" s="80" t="str">
        <x:f>IF($A39&lt;1887,"n/a",IF(G39&lt;=cap_int,"OK","Check"))</x:f>
        <x:v>n/a</x:v>
      </x:c>
      <x:c r="I39" s="81" t="n">
        <x:f>Budget!AC39</x:f>
        <x:v>0.020467586763345584</x:v>
      </x:c>
      <x:c r="J39" s="80" t="str">
        <x:f>IF($A39&lt;1887,"n/a",IF(Paths!AC39=1,"War year",IF(I39&lt;=cap_def,"OK","Check")))</x:f>
        <x:v>n/a</x:v>
      </x:c>
      <x:c r="K39" s="63" t="n">
        <x:f>'Debt &amp; cash'!Y39/Economy!O39</x:f>
        <x:v>0</x:v>
      </x:c>
      <x:c r="L39" s="80" t="str">
        <x:f>IF('Debt &amp; cash'!Y39&lt;=mkt_capacity*Economy!O39+foreign_capacity,"OK","Check")</x:f>
        <x:v>OK</x:v>
      </x:c>
      <x:c r="M39" s="80" t="str">
        <x:f>IF($A39&lt;1900,"n/a",IF('Gold &amp; money'!K39&gt;=0,"OK","Check"))</x:f>
        <x:v>n/a</x:v>
      </x:c>
      <x:c r="N39" s="81" t="n">
        <x:f>Japan!AA39</x:f>
        <x:v>0.18382826091090504</x:v>
      </x:c>
      <x:c r="O39" s="80" t="str">
        <x:f>IF(N39&lt;=1,"OK","Check")</x:f>
        <x:v>OK</x:v>
      </x:c>
      <x:c r="P39" s="80" t="str">
        <x:f>IF($A39&lt;1922,"n/a",IF(AND(Navy!AE39&gt;=0.95,Navy!AE39&lt;=1.1),"OK","Check"))</x:f>
        <x:v>n/a</x:v>
      </x:c>
      <x:c r="Q39" s="80" t="str">
        <x:f>IF(Navy!Z39=0,"n/a",IF(Resources!K39&gt;=Navy!Z39,"OK","Check"))</x:f>
        <x:v>n/a</x:v>
      </x:c>
      <x:c r="R39" s="80" t="str">
        <x:f>IF(AND(gulf_on=1,$A39=gulf_year),IF(Gulf!AF39=1,"OK","Check"),"n/a")</x:f>
        <x:v>n/a</x:v>
      </x:c>
      <x:c r="S39" s="47" t="n">
        <x:f>COUNTIF(B39:R39,"Check")+COUNTIF(T39:Z39,"Check")</x:f>
        <x:v>0</x:v>
      </x:c>
      <x:c r="T39" t="str">
        <x:f>IF(ABS(Japan!AM39)&lt;0.001,"OK","Check")</x:f>
        <x:v>OK</x:v>
      </x:c>
      <x:c r="U39" t="str">
        <x:f>"n/a"</x:f>
        <x:v>n/a</x:v>
      </x:c>
      <x:c r="V39" t="str">
        <x:f>"n/a"</x:f>
        <x:v>n/a</x:v>
      </x:c>
      <x:c r="W39" t="str">
        <x:f>"n/a"</x:f>
        <x:v>n/a</x:v>
      </x:c>
      <x:c r="X39" t="str">
        <x:f>"n/a"</x:f>
        <x:v>n/a</x:v>
      </x:c>
      <x:c r="Y39" t="str">
        <x:f>IF(Abroad!T39&gt;=-0.001,"OK","Check")</x:f>
        <x:v>OK</x:v>
      </x:c>
      <x:c r="Z39" t="str">
        <x:f>"n/a"</x:f>
        <x:v>n/a</x:v>
      </x:c>
    </x:row>
    <x:row r="40">
      <x:c r="A40" s="58" t="n">
        <x:v>1880</x:v>
      </x:c>
      <x:c r="B40" s="80" t="str">
        <x:f>IF(ABS(People!L40-(People!B40+People!C40+People!D40+People!K40))&lt;1,"OK","Check")</x:f>
        <x:v>OK</x:v>
      </x:c>
      <x:c r="C40" s="80" t="str">
        <x:f>IF(ABS('Debt &amp; cash'!M40-'Debt &amp; cash'!E40)&lt;0.001,"OK","Check")</x:f>
        <x:v>OK</x:v>
      </x:c>
      <x:c r="D40" s="80" t="str">
        <x:f>IF('Debt &amp; cash'!S40&gt;=-0.001,"OK","Check")</x:f>
        <x:v>OK</x:v>
      </x:c>
      <x:c r="E40" s="81" t="n">
        <x:f>'Debt &amp; cash'!V40</x:f>
        <x:v>0.10328416998626093</x:v>
      </x:c>
      <x:c r="F40" s="80" t="str">
        <x:f>IF($A40&lt;1887,"n/a",IF(E40&lt;=cap_debt,"OK","Check"))</x:f>
        <x:v>n/a</x:v>
      </x:c>
      <x:c r="G40" s="81" t="n">
        <x:f>'Debt &amp; cash'!W40</x:f>
        <x:v>0.04964784991879833</x:v>
      </x:c>
      <x:c r="H40" s="80" t="str">
        <x:f>IF($A40&lt;1887,"n/a",IF(G40&lt;=cap_int,"OK","Check"))</x:f>
        <x:v>n/a</x:v>
      </x:c>
      <x:c r="I40" s="81" t="n">
        <x:f>Budget!AC40</x:f>
        <x:v>0.020849375374038765</x:v>
      </x:c>
      <x:c r="J40" s="80" t="str">
        <x:f>IF($A40&lt;1887,"n/a",IF(Paths!AC40=1,"War year",IF(I40&lt;=cap_def,"OK","Check")))</x:f>
        <x:v>n/a</x:v>
      </x:c>
      <x:c r="K40" s="63" t="n">
        <x:f>'Debt &amp; cash'!Y40/Economy!O40</x:f>
        <x:v>0</x:v>
      </x:c>
      <x:c r="L40" s="80" t="str">
        <x:f>IF('Debt &amp; cash'!Y40&lt;=mkt_capacity*Economy!O40+foreign_capacity,"OK","Check")</x:f>
        <x:v>OK</x:v>
      </x:c>
      <x:c r="M40" s="80" t="str">
        <x:f>IF($A40&lt;1900,"n/a",IF('Gold &amp; money'!K40&gt;=0,"OK","Check"))</x:f>
        <x:v>n/a</x:v>
      </x:c>
      <x:c r="N40" s="81" t="n">
        <x:f>Japan!AA40</x:f>
        <x:v>0.17035332866861683</x:v>
      </x:c>
      <x:c r="O40" s="80" t="str">
        <x:f>IF(N40&lt;=1,"OK","Check")</x:f>
        <x:v>OK</x:v>
      </x:c>
      <x:c r="P40" s="80" t="str">
        <x:f>IF($A40&lt;1922,"n/a",IF(AND(Navy!AE40&gt;=0.95,Navy!AE40&lt;=1.1),"OK","Check"))</x:f>
        <x:v>n/a</x:v>
      </x:c>
      <x:c r="Q40" s="80" t="str">
        <x:f>IF(Navy!Z40=0,"n/a",IF(Resources!K40&gt;=Navy!Z40,"OK","Check"))</x:f>
        <x:v>n/a</x:v>
      </x:c>
      <x:c r="R40" s="80" t="str">
        <x:f>IF(AND(gulf_on=1,$A40=gulf_year),IF(Gulf!AF40=1,"OK","Check"),"n/a")</x:f>
        <x:v>n/a</x:v>
      </x:c>
      <x:c r="S40" s="47" t="n">
        <x:f>COUNTIF(B40:R40,"Check")+COUNTIF(T40:Z40,"Check")</x:f>
        <x:v>0</x:v>
      </x:c>
      <x:c r="T40" t="str">
        <x:f>IF(ABS(Japan!AM40)&lt;0.001,"OK","Check")</x:f>
        <x:v>OK</x:v>
      </x:c>
      <x:c r="U40" t="str">
        <x:f>"n/a"</x:f>
        <x:v>n/a</x:v>
      </x:c>
      <x:c r="V40" t="str">
        <x:f>"n/a"</x:f>
        <x:v>n/a</x:v>
      </x:c>
      <x:c r="W40" t="str">
        <x:f>"n/a"</x:f>
        <x:v>n/a</x:v>
      </x:c>
      <x:c r="X40" t="str">
        <x:f>"n/a"</x:f>
        <x:v>n/a</x:v>
      </x:c>
      <x:c r="Y40" t="str">
        <x:f>IF(Abroad!T40&gt;=-0.001,"OK","Check")</x:f>
        <x:v>OK</x:v>
      </x:c>
      <x:c r="Z40" t="str">
        <x:f>"n/a"</x:f>
        <x:v>n/a</x:v>
      </x:c>
    </x:row>
    <x:row r="41">
      <x:c r="A41" s="58" t="n">
        <x:v>1881</x:v>
      </x:c>
      <x:c r="B41" s="80" t="str">
        <x:f>IF(ABS(People!L41-(People!B41+People!C41+People!D41+People!K41))&lt;1,"OK","Check")</x:f>
        <x:v>OK</x:v>
      </x:c>
      <x:c r="C41" s="80" t="str">
        <x:f>IF(ABS('Debt &amp; cash'!M41-'Debt &amp; cash'!E41)&lt;0.001,"OK","Check")</x:f>
        <x:v>OK</x:v>
      </x:c>
      <x:c r="D41" s="80" t="str">
        <x:f>IF('Debt &amp; cash'!S41&gt;=-0.001,"OK","Check")</x:f>
        <x:v>OK</x:v>
      </x:c>
      <x:c r="E41" s="81" t="n">
        <x:f>'Debt &amp; cash'!V41</x:f>
        <x:v>0.09100271218284446</x:v>
      </x:c>
      <x:c r="F41" s="80" t="str">
        <x:f>IF($A41&lt;1887,"n/a",IF(E41&lt;=cap_debt,"OK","Check"))</x:f>
        <x:v>n/a</x:v>
      </x:c>
      <x:c r="G41" s="81" t="n">
        <x:f>'Debt &amp; cash'!W41</x:f>
        <x:v>0.04880609032116881</x:v>
      </x:c>
      <x:c r="H41" s="80" t="str">
        <x:f>IF($A41&lt;1887,"n/a",IF(G41&lt;=cap_int,"OK","Check"))</x:f>
        <x:v>n/a</x:v>
      </x:c>
      <x:c r="I41" s="81" t="n">
        <x:f>Budget!AC41</x:f>
        <x:v>0.020082886313528406</x:v>
      </x:c>
      <x:c r="J41" s="80" t="str">
        <x:f>IF($A41&lt;1887,"n/a",IF(Paths!AC41=1,"War year",IF(I41&lt;=cap_def,"OK","Check")))</x:f>
        <x:v>n/a</x:v>
      </x:c>
      <x:c r="K41" s="63" t="n">
        <x:f>'Debt &amp; cash'!Y41/Economy!O41</x:f>
        <x:v>0</x:v>
      </x:c>
      <x:c r="L41" s="80" t="str">
        <x:f>IF('Debt &amp; cash'!Y41&lt;=mkt_capacity*Economy!O41+foreign_capacity,"OK","Check")</x:f>
        <x:v>OK</x:v>
      </x:c>
      <x:c r="M41" s="80" t="str">
        <x:f>IF($A41&lt;1900,"n/a",IF('Gold &amp; money'!K41&gt;=0,"OK","Check"))</x:f>
        <x:v>n/a</x:v>
      </x:c>
      <x:c r="N41" s="81" t="n">
        <x:f>Japan!AA41</x:f>
        <x:v>0.1606593678946472</x:v>
      </x:c>
      <x:c r="O41" s="80" t="str">
        <x:f>IF(N41&lt;=1,"OK","Check")</x:f>
        <x:v>OK</x:v>
      </x:c>
      <x:c r="P41" s="80" t="str">
        <x:f>IF($A41&lt;1922,"n/a",IF(AND(Navy!AE41&gt;=0.95,Navy!AE41&lt;=1.1),"OK","Check"))</x:f>
        <x:v>n/a</x:v>
      </x:c>
      <x:c r="Q41" s="80" t="str">
        <x:f>IF(Navy!Z41=0,"n/a",IF(Resources!K41&gt;=Navy!Z41,"OK","Check"))</x:f>
        <x:v>n/a</x:v>
      </x:c>
      <x:c r="R41" s="80" t="str">
        <x:f>IF(AND(gulf_on=1,$A41=gulf_year),IF(Gulf!AF41=1,"OK","Check"),"n/a")</x:f>
        <x:v>n/a</x:v>
      </x:c>
      <x:c r="S41" s="47" t="n">
        <x:f>COUNTIF(B41:R41,"Check")+COUNTIF(T41:Z41,"Check")</x:f>
        <x:v>0</x:v>
      </x:c>
      <x:c r="T41" t="str">
        <x:f>IF(ABS(Japan!AM41)&lt;0.001,"OK","Check")</x:f>
        <x:v>OK</x:v>
      </x:c>
      <x:c r="U41" t="str">
        <x:f>"n/a"</x:f>
        <x:v>n/a</x:v>
      </x:c>
      <x:c r="V41" t="str">
        <x:f>"n/a"</x:f>
        <x:v>n/a</x:v>
      </x:c>
      <x:c r="W41" t="str">
        <x:f>"n/a"</x:f>
        <x:v>n/a</x:v>
      </x:c>
      <x:c r="X41" t="str">
        <x:f>"n/a"</x:f>
        <x:v>n/a</x:v>
      </x:c>
      <x:c r="Y41" t="str">
        <x:f>IF(Abroad!T41&gt;=-0.001,"OK","Check")</x:f>
        <x:v>OK</x:v>
      </x:c>
      <x:c r="Z41" t="str">
        <x:f>"n/a"</x:f>
        <x:v>n/a</x:v>
      </x:c>
    </x:row>
    <x:row r="42">
      <x:c r="A42" s="58" t="n">
        <x:v>1882</x:v>
      </x:c>
      <x:c r="B42" s="80" t="str">
        <x:f>IF(ABS(People!L42-(People!B42+People!C42+People!D42+People!K42))&lt;1,"OK","Check")</x:f>
        <x:v>OK</x:v>
      </x:c>
      <x:c r="C42" s="80" t="str">
        <x:f>IF(ABS('Debt &amp; cash'!M42-'Debt &amp; cash'!E42)&lt;0.001,"OK","Check")</x:f>
        <x:v>OK</x:v>
      </x:c>
      <x:c r="D42" s="80" t="str">
        <x:f>IF('Debt &amp; cash'!S42&gt;=-0.001,"OK","Check")</x:f>
        <x:v>OK</x:v>
      </x:c>
      <x:c r="E42" s="81" t="n">
        <x:f>'Debt &amp; cash'!V42</x:f>
        <x:v>0.07992326211949392</x:v>
      </x:c>
      <x:c r="F42" s="80" t="str">
        <x:f>IF($A42&lt;1887,"n/a",IF(E42&lt;=cap_debt,"OK","Check"))</x:f>
        <x:v>n/a</x:v>
      </x:c>
      <x:c r="G42" s="81" t="n">
        <x:f>'Debt &amp; cash'!W42</x:f>
        <x:v>0.04275343260410113</x:v>
      </x:c>
      <x:c r="H42" s="80" t="str">
        <x:f>IF($A42&lt;1887,"n/a",IF(G42&lt;=cap_int,"OK","Check"))</x:f>
        <x:v>n/a</x:v>
      </x:c>
      <x:c r="I42" s="81" t="n">
        <x:f>Budget!AC42</x:f>
        <x:v>0.01768715609395838</x:v>
      </x:c>
      <x:c r="J42" s="80" t="str">
        <x:f>IF($A42&lt;1887,"n/a",IF(Paths!AC42=1,"War year",IF(I42&lt;=cap_def,"OK","Check")))</x:f>
        <x:v>n/a</x:v>
      </x:c>
      <x:c r="K42" s="63" t="n">
        <x:f>'Debt &amp; cash'!Y42/Economy!O42</x:f>
        <x:v>0</x:v>
      </x:c>
      <x:c r="L42" s="80" t="str">
        <x:f>IF('Debt &amp; cash'!Y42&lt;=mkt_capacity*Economy!O42+foreign_capacity,"OK","Check")</x:f>
        <x:v>OK</x:v>
      </x:c>
      <x:c r="M42" s="80" t="str">
        <x:f>IF($A42&lt;1900,"n/a",IF('Gold &amp; money'!K42&gt;=0,"OK","Check"))</x:f>
        <x:v>n/a</x:v>
      </x:c>
      <x:c r="N42" s="81" t="n">
        <x:f>Japan!AA42</x:f>
        <x:v>0.1515946925905399</x:v>
      </x:c>
      <x:c r="O42" s="80" t="str">
        <x:f>IF(N42&lt;=1,"OK","Check")</x:f>
        <x:v>OK</x:v>
      </x:c>
      <x:c r="P42" s="80" t="str">
        <x:f>IF($A42&lt;1922,"n/a",IF(AND(Navy!AE42&gt;=0.95,Navy!AE42&lt;=1.1),"OK","Check"))</x:f>
        <x:v>n/a</x:v>
      </x:c>
      <x:c r="Q42" s="80" t="str">
        <x:f>IF(Navy!Z42=0,"n/a",IF(Resources!K42&gt;=Navy!Z42,"OK","Check"))</x:f>
        <x:v>OK</x:v>
      </x:c>
      <x:c r="R42" s="80" t="str">
        <x:f>IF(AND(gulf_on=1,$A42=gulf_year),IF(Gulf!AF42=1,"OK","Check"),"n/a")</x:f>
        <x:v>n/a</x:v>
      </x:c>
      <x:c r="S42" s="47" t="n">
        <x:f>COUNTIF(B42:R42,"Check")+COUNTIF(T42:Z42,"Check")</x:f>
        <x:v>0</x:v>
      </x:c>
      <x:c r="T42" t="str">
        <x:f>IF(ABS(Japan!AM42)&lt;0.001,"OK","Check")</x:f>
        <x:v>OK</x:v>
      </x:c>
      <x:c r="U42" t="str">
        <x:f>"n/a"</x:f>
        <x:v>n/a</x:v>
      </x:c>
      <x:c r="V42" t="str">
        <x:f>"n/a"</x:f>
        <x:v>n/a</x:v>
      </x:c>
      <x:c r="W42" t="str">
        <x:f>"n/a"</x:f>
        <x:v>n/a</x:v>
      </x:c>
      <x:c r="X42" t="str">
        <x:f>"n/a"</x:f>
        <x:v>n/a</x:v>
      </x:c>
      <x:c r="Y42" t="str">
        <x:f>IF(Abroad!T42&gt;=-0.001,"OK","Check")</x:f>
        <x:v>OK</x:v>
      </x:c>
      <x:c r="Z42" t="str">
        <x:f>"n/a"</x:f>
        <x:v>n/a</x:v>
      </x:c>
    </x:row>
    <x:row r="43">
      <x:c r="A43" s="58" t="n">
        <x:v>1883</x:v>
      </x:c>
      <x:c r="B43" s="80" t="str">
        <x:f>IF(ABS(People!L43-(People!B43+People!C43+People!D43+People!K43))&lt;1,"OK","Check")</x:f>
        <x:v>OK</x:v>
      </x:c>
      <x:c r="C43" s="80" t="str">
        <x:f>IF(ABS('Debt &amp; cash'!M43-'Debt &amp; cash'!E43)&lt;0.001,"OK","Check")</x:f>
        <x:v>OK</x:v>
      </x:c>
      <x:c r="D43" s="80" t="str">
        <x:f>IF('Debt &amp; cash'!S43&gt;=-0.001,"OK","Check")</x:f>
        <x:v>OK</x:v>
      </x:c>
      <x:c r="E43" s="81" t="n">
        <x:f>'Debt &amp; cash'!V43</x:f>
        <x:v>0.06968108444194383</x:v>
      </x:c>
      <x:c r="F43" s="80" t="str">
        <x:f>IF($A43&lt;1887,"n/a",IF(E43&lt;=cap_debt,"OK","Check"))</x:f>
        <x:v>n/a</x:v>
      </x:c>
      <x:c r="G43" s="81" t="n">
        <x:f>'Debt &amp; cash'!W43</x:f>
        <x:v>0.03719700905261377</x:v>
      </x:c>
      <x:c r="H43" s="80" t="str">
        <x:f>IF($A43&lt;1887,"n/a",IF(G43&lt;=cap_int,"OK","Check"))</x:f>
        <x:v>n/a</x:v>
      </x:c>
      <x:c r="I43" s="81" t="n">
        <x:f>Budget!AC43</x:f>
        <x:v>0.018362014943734413</x:v>
      </x:c>
      <x:c r="J43" s="80" t="str">
        <x:f>IF($A43&lt;1887,"n/a",IF(Paths!AC43=1,"War year",IF(I43&lt;=cap_def,"OK","Check")))</x:f>
        <x:v>n/a</x:v>
      </x:c>
      <x:c r="K43" s="63" t="n">
        <x:f>'Debt &amp; cash'!Y43/Economy!O43</x:f>
        <x:v>0</x:v>
      </x:c>
      <x:c r="L43" s="80" t="str">
        <x:f>IF('Debt &amp; cash'!Y43&lt;=mkt_capacity*Economy!O43+foreign_capacity,"OK","Check")</x:f>
        <x:v>OK</x:v>
      </x:c>
      <x:c r="M43" s="80" t="str">
        <x:f>IF($A43&lt;1900,"n/a",IF('Gold &amp; money'!K43&gt;=0,"OK","Check"))</x:f>
        <x:v>n/a</x:v>
      </x:c>
      <x:c r="N43" s="81" t="n">
        <x:f>Japan!AA43</x:f>
        <x:v>0.14315458554861488</x:v>
      </x:c>
      <x:c r="O43" s="80" t="str">
        <x:f>IF(N43&lt;=1,"OK","Check")</x:f>
        <x:v>OK</x:v>
      </x:c>
      <x:c r="P43" s="80" t="str">
        <x:f>IF($A43&lt;1922,"n/a",IF(AND(Navy!AE43&gt;=0.95,Navy!AE43&lt;=1.1),"OK","Check"))</x:f>
        <x:v>n/a</x:v>
      </x:c>
      <x:c r="Q43" s="80" t="str">
        <x:f>IF(Navy!Z43=0,"n/a",IF(Resources!K43&gt;=Navy!Z43,"OK","Check"))</x:f>
        <x:v>OK</x:v>
      </x:c>
      <x:c r="R43" s="80" t="str">
        <x:f>IF(AND(gulf_on=1,$A43=gulf_year),IF(Gulf!AF43=1,"OK","Check"),"n/a")</x:f>
        <x:v>n/a</x:v>
      </x:c>
      <x:c r="S43" s="47" t="n">
        <x:f>COUNTIF(B43:R43,"Check")+COUNTIF(T43:Z43,"Check")</x:f>
        <x:v>0</x:v>
      </x:c>
      <x:c r="T43" t="str">
        <x:f>IF(ABS(Japan!AM43)&lt;0.001,"OK","Check")</x:f>
        <x:v>OK</x:v>
      </x:c>
      <x:c r="U43" t="str">
        <x:f>"n/a"</x:f>
        <x:v>n/a</x:v>
      </x:c>
      <x:c r="V43" t="str">
        <x:f>"n/a"</x:f>
        <x:v>n/a</x:v>
      </x:c>
      <x:c r="W43" t="str">
        <x:f>"n/a"</x:f>
        <x:v>n/a</x:v>
      </x:c>
      <x:c r="X43" t="str">
        <x:f>"n/a"</x:f>
        <x:v>n/a</x:v>
      </x:c>
      <x:c r="Y43" t="str">
        <x:f>IF(Abroad!T43&gt;=-0.001,"OK","Check")</x:f>
        <x:v>OK</x:v>
      </x:c>
      <x:c r="Z43" t="str">
        <x:f>"n/a"</x:f>
        <x:v>n/a</x:v>
      </x:c>
    </x:row>
    <x:row r="44">
      <x:c r="A44" s="58" t="n">
        <x:v>1884</x:v>
      </x:c>
      <x:c r="B44" s="80" t="str">
        <x:f>IF(ABS(People!L44-(People!B44+People!C44+People!D44+People!K44))&lt;1,"OK","Check")</x:f>
        <x:v>OK</x:v>
      </x:c>
      <x:c r="C44" s="80" t="str">
        <x:f>IF(ABS('Debt &amp; cash'!M44-'Debt &amp; cash'!E44)&lt;0.001,"OK","Check")</x:f>
        <x:v>OK</x:v>
      </x:c>
      <x:c r="D44" s="80" t="str">
        <x:f>IF('Debt &amp; cash'!S44&gt;=-0.001,"OK","Check")</x:f>
        <x:v>OK</x:v>
      </x:c>
      <x:c r="E44" s="81" t="n">
        <x:f>'Debt &amp; cash'!V44</x:f>
        <x:v>0.0616246083026411</x:v>
      </x:c>
      <x:c r="F44" s="80" t="str">
        <x:f>IF($A44&lt;1887,"n/a",IF(E44&lt;=cap_debt,"OK","Check"))</x:f>
        <x:v>n/a</x:v>
      </x:c>
      <x:c r="G44" s="81" t="n">
        <x:f>'Debt &amp; cash'!W44</x:f>
        <x:v>0.032746204457607085</x:v>
      </x:c>
      <x:c r="H44" s="80" t="str">
        <x:f>IF($A44&lt;1887,"n/a",IF(G44&lt;=cap_int,"OK","Check"))</x:f>
        <x:v>n/a</x:v>
      </x:c>
      <x:c r="I44" s="81" t="n">
        <x:f>Budget!AC44</x:f>
        <x:v>0.019179591883480628</x:v>
      </x:c>
      <x:c r="J44" s="80" t="str">
        <x:f>IF($A44&lt;1887,"n/a",IF(Paths!AC44=1,"War year",IF(I44&lt;=cap_def,"OK","Check")))</x:f>
        <x:v>n/a</x:v>
      </x:c>
      <x:c r="K44" s="63" t="n">
        <x:f>'Debt &amp; cash'!Y44/Economy!O44</x:f>
        <x:v>0</x:v>
      </x:c>
      <x:c r="L44" s="80" t="str">
        <x:f>IF('Debt &amp; cash'!Y44&lt;=mkt_capacity*Economy!O44+foreign_capacity,"OK","Check")</x:f>
        <x:v>OK</x:v>
      </x:c>
      <x:c r="M44" s="80" t="str">
        <x:f>IF($A44&lt;1900,"n/a",IF('Gold &amp; money'!K44&gt;=0,"OK","Check"))</x:f>
        <x:v>n/a</x:v>
      </x:c>
      <x:c r="N44" s="81" t="n">
        <x:f>Japan!AA44</x:f>
        <x:v>0.13532495480777493</x:v>
      </x:c>
      <x:c r="O44" s="80" t="str">
        <x:f>IF(N44&lt;=1,"OK","Check")</x:f>
        <x:v>OK</x:v>
      </x:c>
      <x:c r="P44" s="80" t="str">
        <x:f>IF($A44&lt;1922,"n/a",IF(AND(Navy!AE44&gt;=0.95,Navy!AE44&lt;=1.1),"OK","Check"))</x:f>
        <x:v>n/a</x:v>
      </x:c>
      <x:c r="Q44" s="80" t="str">
        <x:f>IF(Navy!Z44=0,"n/a",IF(Resources!K44&gt;=Navy!Z44,"OK","Check"))</x:f>
        <x:v>OK</x:v>
      </x:c>
      <x:c r="R44" s="80" t="str">
        <x:f>IF(AND(gulf_on=1,$A44=gulf_year),IF(Gulf!AF44=1,"OK","Check"),"n/a")</x:f>
        <x:v>n/a</x:v>
      </x:c>
      <x:c r="S44" s="47" t="n">
        <x:f>COUNTIF(B44:R44,"Check")+COUNTIF(T44:Z44,"Check")</x:f>
        <x:v>0</x:v>
      </x:c>
      <x:c r="T44" t="str">
        <x:f>IF(ABS(Japan!AM44)&lt;0.001,"OK","Check")</x:f>
        <x:v>OK</x:v>
      </x:c>
      <x:c r="U44" t="str">
        <x:f>"n/a"</x:f>
        <x:v>n/a</x:v>
      </x:c>
      <x:c r="V44" t="str">
        <x:f>"n/a"</x:f>
        <x:v>n/a</x:v>
      </x:c>
      <x:c r="W44" t="str">
        <x:f>"n/a"</x:f>
        <x:v>n/a</x:v>
      </x:c>
      <x:c r="X44" t="str">
        <x:f>"n/a"</x:f>
        <x:v>n/a</x:v>
      </x:c>
      <x:c r="Y44" t="str">
        <x:f>IF(Abroad!T44&gt;=-0.001,"OK","Check")</x:f>
        <x:v>OK</x:v>
      </x:c>
      <x:c r="Z44" t="str">
        <x:f>"n/a"</x:f>
        <x:v>n/a</x:v>
      </x:c>
    </x:row>
    <x:row r="45">
      <x:c r="A45" s="58" t="n">
        <x:v>1885</x:v>
      </x:c>
      <x:c r="B45" s="80" t="str">
        <x:f>IF(ABS(People!L45-(People!B45+People!C45+People!D45+People!K45))&lt;1,"OK","Check")</x:f>
        <x:v>OK</x:v>
      </x:c>
      <x:c r="C45" s="80" t="str">
        <x:f>IF(ABS('Debt &amp; cash'!M45-'Debt &amp; cash'!E45)&lt;0.001,"OK","Check")</x:f>
        <x:v>OK</x:v>
      </x:c>
      <x:c r="D45" s="80" t="str">
        <x:f>IF('Debt &amp; cash'!S45&gt;=-0.001,"OK","Check")</x:f>
        <x:v>OK</x:v>
      </x:c>
      <x:c r="E45" s="81" t="n">
        <x:f>'Debt &amp; cash'!V45</x:f>
        <x:v>0.05293305314599403</x:v>
      </x:c>
      <x:c r="F45" s="80" t="str">
        <x:f>IF($A45&lt;1887,"n/a",IF(E45&lt;=cap_debt,"OK","Check"))</x:f>
        <x:v>n/a</x:v>
      </x:c>
      <x:c r="G45" s="81" t="n">
        <x:f>'Debt &amp; cash'!W45</x:f>
        <x:v>0.0280538671052799</x:v>
      </x:c>
      <x:c r="H45" s="80" t="str">
        <x:f>IF($A45&lt;1887,"n/a",IF(G45&lt;=cap_int,"OK","Check"))</x:f>
        <x:v>n/a</x:v>
      </x:c>
      <x:c r="I45" s="81" t="n">
        <x:f>Budget!AC45</x:f>
        <x:v>0.01781941917079431</x:v>
      </x:c>
      <x:c r="J45" s="80" t="str">
        <x:f>IF($A45&lt;1887,"n/a",IF(Paths!AC45=1,"War year",IF(I45&lt;=cap_def,"OK","Check")))</x:f>
        <x:v>n/a</x:v>
      </x:c>
      <x:c r="K45" s="63" t="n">
        <x:f>'Debt &amp; cash'!Y45/Economy!O45</x:f>
        <x:v>0</x:v>
      </x:c>
      <x:c r="L45" s="80" t="str">
        <x:f>IF('Debt &amp; cash'!Y45&lt;=mkt_capacity*Economy!O45+foreign_capacity,"OK","Check")</x:f>
        <x:v>OK</x:v>
      </x:c>
      <x:c r="M45" s="80" t="str">
        <x:f>IF($A45&lt;1900,"n/a",IF('Gold &amp; money'!K45&gt;=0,"OK","Check"))</x:f>
        <x:v>n/a</x:v>
      </x:c>
      <x:c r="N45" s="81" t="n">
        <x:f>Japan!AA45</x:f>
        <x:v>0.12811459782643267</x:v>
      </x:c>
      <x:c r="O45" s="80" t="str">
        <x:f>IF(N45&lt;=1,"OK","Check")</x:f>
        <x:v>OK</x:v>
      </x:c>
      <x:c r="P45" s="80" t="str">
        <x:f>IF($A45&lt;1922,"n/a",IF(AND(Navy!AE45&gt;=0.95,Navy!AE45&lt;=1.1),"OK","Check"))</x:f>
        <x:v>n/a</x:v>
      </x:c>
      <x:c r="Q45" s="80" t="str">
        <x:f>IF(Navy!Z45=0,"n/a",IF(Resources!K45&gt;=Navy!Z45,"OK","Check"))</x:f>
        <x:v>OK</x:v>
      </x:c>
      <x:c r="R45" s="80" t="str">
        <x:f>IF(AND(gulf_on=1,$A45=gulf_year),IF(Gulf!AF45=1,"OK","Check"),"n/a")</x:f>
        <x:v>n/a</x:v>
      </x:c>
      <x:c r="S45" s="47" t="n">
        <x:f>COUNTIF(B45:R45,"Check")+COUNTIF(T45:Z45,"Check")</x:f>
        <x:v>0</x:v>
      </x:c>
      <x:c r="T45" t="str">
        <x:f>IF(ABS(Japan!AM45)&lt;0.001,"OK","Check")</x:f>
        <x:v>OK</x:v>
      </x:c>
      <x:c r="U45" t="str">
        <x:f>"n/a"</x:f>
        <x:v>n/a</x:v>
      </x:c>
      <x:c r="V45" t="str">
        <x:f>"n/a"</x:f>
        <x:v>n/a</x:v>
      </x:c>
      <x:c r="W45" t="str">
        <x:f>"n/a"</x:f>
        <x:v>n/a</x:v>
      </x:c>
      <x:c r="X45" t="str">
        <x:f>"n/a"</x:f>
        <x:v>n/a</x:v>
      </x:c>
      <x:c r="Y45" t="str">
        <x:f>IF(Abroad!T45&gt;=-0.001,"OK","Check")</x:f>
        <x:v>OK</x:v>
      </x:c>
      <x:c r="Z45" t="str">
        <x:f>"n/a"</x:f>
        <x:v>n/a</x:v>
      </x:c>
    </x:row>
    <x:row r="46">
      <x:c r="A46" s="58" t="n">
        <x:v>1886</x:v>
      </x:c>
      <x:c r="B46" s="80" t="str">
        <x:f>IF(ABS(People!L46-(People!B46+People!C46+People!D46+People!K46))&lt;1,"OK","Check")</x:f>
        <x:v>OK</x:v>
      </x:c>
      <x:c r="C46" s="80" t="str">
        <x:f>IF(ABS('Debt &amp; cash'!M46-'Debt &amp; cash'!E46)&lt;0.001,"OK","Check")</x:f>
        <x:v>OK</x:v>
      </x:c>
      <x:c r="D46" s="80" t="str">
        <x:f>IF('Debt &amp; cash'!S46&gt;=-0.001,"OK","Check")</x:f>
        <x:v>OK</x:v>
      </x:c>
      <x:c r="E46" s="81" t="n">
        <x:f>'Debt &amp; cash'!V46</x:f>
        <x:v>0.042960099253199206</x:v>
      </x:c>
      <x:c r="F46" s="80" t="str">
        <x:f>IF($A46&lt;1887,"n/a",IF(E46&lt;=cap_debt,"OK","Check"))</x:f>
        <x:v>n/a</x:v>
      </x:c>
      <x:c r="G46" s="81" t="n">
        <x:f>'Debt &amp; cash'!W46</x:f>
        <x:v>0.023138878061538675</x:v>
      </x:c>
      <x:c r="H46" s="80" t="str">
        <x:f>IF($A46&lt;1887,"n/a",IF(G46&lt;=cap_int,"OK","Check"))</x:f>
        <x:v>n/a</x:v>
      </x:c>
      <x:c r="I46" s="81" t="n">
        <x:f>Budget!AC46</x:f>
        <x:v>0.016803801712550873</x:v>
      </x:c>
      <x:c r="J46" s="80" t="str">
        <x:f>IF($A46&lt;1887,"n/a",IF(Paths!AC46=1,"War year",IF(I46&lt;=cap_def,"OK","Check")))</x:f>
        <x:v>n/a</x:v>
      </x:c>
      <x:c r="K46" s="63" t="n">
        <x:f>'Debt &amp; cash'!Y46/Economy!O46</x:f>
        <x:v>0</x:v>
      </x:c>
      <x:c r="L46" s="80" t="str">
        <x:f>IF('Debt &amp; cash'!Y46&lt;=mkt_capacity*Economy!O46+foreign_capacity,"OK","Check")</x:f>
        <x:v>OK</x:v>
      </x:c>
      <x:c r="M46" s="80" t="str">
        <x:f>IF($A46&lt;1900,"n/a",IF('Gold &amp; money'!K46&gt;=0,"OK","Check"))</x:f>
        <x:v>n/a</x:v>
      </x:c>
      <x:c r="N46" s="81" t="n">
        <x:f>Japan!AA46</x:f>
        <x:v>0.11742223766072137</x:v>
      </x:c>
      <x:c r="O46" s="80" t="str">
        <x:f>IF(N46&lt;=1,"OK","Check")</x:f>
        <x:v>OK</x:v>
      </x:c>
      <x:c r="P46" s="80" t="str">
        <x:f>IF($A46&lt;1922,"n/a",IF(AND(Navy!AE46&gt;=0.95,Navy!AE46&lt;=1.1),"OK","Check"))</x:f>
        <x:v>n/a</x:v>
      </x:c>
      <x:c r="Q46" s="80" t="str">
        <x:f>IF(Navy!Z46=0,"n/a",IF(Resources!K46&gt;=Navy!Z46,"OK","Check"))</x:f>
        <x:v>OK</x:v>
      </x:c>
      <x:c r="R46" s="80" t="str">
        <x:f>IF(AND(gulf_on=1,$A46=gulf_year),IF(Gulf!AF46=1,"OK","Check"),"n/a")</x:f>
        <x:v>n/a</x:v>
      </x:c>
      <x:c r="S46" s="47" t="n">
        <x:f>COUNTIF(B46:R46,"Check")+COUNTIF(T46:Z46,"Check")</x:f>
        <x:v>0</x:v>
      </x:c>
      <x:c r="T46" t="str">
        <x:f>IF(ABS(Japan!AM46)&lt;0.001,"OK","Check")</x:f>
        <x:v>OK</x:v>
      </x:c>
      <x:c r="U46" t="str">
        <x:f>"n/a"</x:f>
        <x:v>n/a</x:v>
      </x:c>
      <x:c r="V46" t="str">
        <x:f>"n/a"</x:f>
        <x:v>n/a</x:v>
      </x:c>
      <x:c r="W46" t="str">
        <x:f>"n/a"</x:f>
        <x:v>n/a</x:v>
      </x:c>
      <x:c r="X46" t="str">
        <x:f>"n/a"</x:f>
        <x:v>n/a</x:v>
      </x:c>
      <x:c r="Y46" t="str">
        <x:f>IF(Abroad!T46&gt;=-0.001,"OK","Check")</x:f>
        <x:v>OK</x:v>
      </x:c>
      <x:c r="Z46" t="str">
        <x:f>"n/a"</x:f>
        <x:v>n/a</x:v>
      </x:c>
    </x:row>
    <x:row r="47">
      <x:c r="A47" s="58" t="n">
        <x:v>1887</x:v>
      </x:c>
      <x:c r="B47" s="80" t="str">
        <x:f>IF(ABS(People!L47-(People!B47+People!C47+People!D47+People!K47))&lt;1,"OK","Check")</x:f>
        <x:v>OK</x:v>
      </x:c>
      <x:c r="C47" s="80" t="str">
        <x:f>IF(ABS('Debt &amp; cash'!M47-'Debt &amp; cash'!E47)&lt;0.001,"OK","Check")</x:f>
        <x:v>OK</x:v>
      </x:c>
      <x:c r="D47" s="80" t="str">
        <x:f>IF('Debt &amp; cash'!S47&gt;=-0.001,"OK","Check")</x:f>
        <x:v>OK</x:v>
      </x:c>
      <x:c r="E47" s="81" t="n">
        <x:f>'Debt &amp; cash'!V47</x:f>
        <x:v>0.05</x:v>
      </x:c>
      <x:c r="F47" s="80" t="str">
        <x:f>IF($A47&lt;1887,"n/a",IF(E47&lt;=cap_debt,"OK","Check"))</x:f>
        <x:v>OK</x:v>
      </x:c>
      <x:c r="G47" s="81" t="n">
        <x:f>'Debt &amp; cash'!W47</x:f>
        <x:v>0.018914250370616694</x:v>
      </x:c>
      <x:c r="H47" s="80" t="str">
        <x:f>IF($A47&lt;1887,"n/a",IF(G47&lt;=cap_int,"OK","Check"))</x:f>
        <x:v>OK</x:v>
      </x:c>
      <x:c r="I47" s="81" t="n">
        <x:f>Budget!AC47</x:f>
        <x:v>0.01677420025861504</x:v>
      </x:c>
      <x:c r="J47" s="80" t="str">
        <x:f>IF($A47&lt;1887,"n/a",IF(Paths!AC47=1,"War year",IF(I47&lt;=cap_def,"OK","Check")))</x:f>
        <x:v>OK</x:v>
      </x:c>
      <x:c r="K47" s="63" t="n">
        <x:f>'Debt &amp; cash'!Y47/Economy!O47</x:f>
        <x:v>0.015409680843120483</x:v>
      </x:c>
      <x:c r="L47" s="80" t="str">
        <x:f>IF('Debt &amp; cash'!Y47&lt;=mkt_capacity*Economy!O47+foreign_capacity,"OK","Check")</x:f>
        <x:v>OK</x:v>
      </x:c>
      <x:c r="M47" s="80" t="str">
        <x:f>IF($A47&lt;1900,"n/a",IF('Gold &amp; money'!K47&gt;=0,"OK","Check"))</x:f>
        <x:v>n/a</x:v>
      </x:c>
      <x:c r="N47" s="81" t="n">
        <x:f>Japan!AA47</x:f>
        <x:v>0.10753115159988572</x:v>
      </x:c>
      <x:c r="O47" s="80" t="str">
        <x:f>IF(N47&lt;=1,"OK","Check")</x:f>
        <x:v>OK</x:v>
      </x:c>
      <x:c r="P47" s="80" t="str">
        <x:f>IF($A47&lt;1922,"n/a",IF(AND(Navy!AE47&gt;=0.95,Navy!AE47&lt;=1.1),"OK","Check"))</x:f>
        <x:v>n/a</x:v>
      </x:c>
      <x:c r="Q47" s="80" t="str">
        <x:f>IF(Navy!Z47=0,"n/a",IF(Resources!K47&gt;=Navy!Z47,"OK","Check"))</x:f>
        <x:v>OK</x:v>
      </x:c>
      <x:c r="R47" s="80" t="str">
        <x:f>IF(AND(gulf_on=1,$A47=gulf_year),IF(Gulf!AF47=1,"OK","Check"),"n/a")</x:f>
        <x:v>n/a</x:v>
      </x:c>
      <x:c r="S47" s="47" t="n">
        <x:f>COUNTIF(B47:R47,"Check")+COUNTIF(T47:Z47,"Check")</x:f>
        <x:v>0</x:v>
      </x:c>
      <x:c r="T47" t="str">
        <x:f>IF(ABS(Japan!AM47)&lt;0.001,"OK","Check")</x:f>
        <x:v>OK</x:v>
      </x:c>
      <x:c r="U47" t="str">
        <x:f>"n/a"</x:f>
        <x:v>n/a</x:v>
      </x:c>
      <x:c r="V47" t="str">
        <x:f>"n/a"</x:f>
        <x:v>n/a</x:v>
      </x:c>
      <x:c r="W47" t="str">
        <x:f>"n/a"</x:f>
        <x:v>n/a</x:v>
      </x:c>
      <x:c r="X47" t="str">
        <x:f>"n/a"</x:f>
        <x:v>n/a</x:v>
      </x:c>
      <x:c r="Y47" t="str">
        <x:f>IF(Abroad!T47&gt;=-0.001,"OK","Check")</x:f>
        <x:v>OK</x:v>
      </x:c>
      <x:c r="Z47" t="str">
        <x:f>"n/a"</x:f>
        <x:v>n/a</x:v>
      </x:c>
    </x:row>
    <x:row r="48">
      <x:c r="A48" s="58" t="n">
        <x:v>1888</x:v>
      </x:c>
      <x:c r="B48" s="80" t="str">
        <x:f>IF(ABS(People!L48-(People!B48+People!C48+People!D48+People!K48))&lt;1,"OK","Check")</x:f>
        <x:v>OK</x:v>
      </x:c>
      <x:c r="C48" s="80" t="str">
        <x:f>IF(ABS('Debt &amp; cash'!M48-'Debt &amp; cash'!E48)&lt;0.001,"OK","Check")</x:f>
        <x:v>OK</x:v>
      </x:c>
      <x:c r="D48" s="80" t="str">
        <x:f>IF('Debt &amp; cash'!S48&gt;=-0.001,"OK","Check")</x:f>
        <x:v>OK</x:v>
      </x:c>
      <x:c r="E48" s="81" t="n">
        <x:f>'Debt &amp; cash'!V48</x:f>
        <x:v>0.05</x:v>
      </x:c>
      <x:c r="F48" s="80" t="str">
        <x:f>IF($A48&lt;1887,"n/a",IF(E48&lt;=cap_debt,"OK","Check"))</x:f>
        <x:v>OK</x:v>
      </x:c>
      <x:c r="G48" s="81" t="n">
        <x:f>'Debt &amp; cash'!W48</x:f>
        <x:v>0.02262785207067961</x:v>
      </x:c>
      <x:c r="H48" s="80" t="str">
        <x:f>IF($A48&lt;1887,"n/a",IF(G48&lt;=cap_int,"OK","Check"))</x:f>
        <x:v>OK</x:v>
      </x:c>
      <x:c r="I48" s="81" t="n">
        <x:f>Budget!AC48</x:f>
        <x:v>0.013845504349604581</x:v>
      </x:c>
      <x:c r="J48" s="80" t="str">
        <x:f>IF($A48&lt;1887,"n/a",IF(Paths!AC48=1,"War year",IF(I48&lt;=cap_def,"OK","Check")))</x:f>
        <x:v>OK</x:v>
      </x:c>
      <x:c r="K48" s="63" t="n">
        <x:f>'Debt &amp; cash'!Y48/Economy!O48</x:f>
        <x:v>0.008487372595111974</x:v>
      </x:c>
      <x:c r="L48" s="80" t="str">
        <x:f>IF('Debt &amp; cash'!Y48&lt;=mkt_capacity*Economy!O48+foreign_capacity,"OK","Check")</x:f>
        <x:v>OK</x:v>
      </x:c>
      <x:c r="M48" s="80" t="str">
        <x:f>IF($A48&lt;1900,"n/a",IF('Gold &amp; money'!K48&gt;=0,"OK","Check"))</x:f>
        <x:v>n/a</x:v>
      </x:c>
      <x:c r="N48" s="81" t="n">
        <x:f>Japan!AA48</x:f>
        <x:v>0.09840998617017484</x:v>
      </x:c>
      <x:c r="O48" s="80" t="str">
        <x:f>IF(N48&lt;=1,"OK","Check")</x:f>
        <x:v>OK</x:v>
      </x:c>
      <x:c r="P48" s="80" t="str">
        <x:f>IF($A48&lt;1922,"n/a",IF(AND(Navy!AE48&gt;=0.95,Navy!AE48&lt;=1.1),"OK","Check"))</x:f>
        <x:v>n/a</x:v>
      </x:c>
      <x:c r="Q48" s="80" t="str">
        <x:f>IF(Navy!Z48=0,"n/a",IF(Resources!K48&gt;=Navy!Z48,"OK","Check"))</x:f>
        <x:v>OK</x:v>
      </x:c>
      <x:c r="R48" s="80" t="str">
        <x:f>IF(AND(gulf_on=1,$A48=gulf_year),IF(Gulf!AF48=1,"OK","Check"),"n/a")</x:f>
        <x:v>n/a</x:v>
      </x:c>
      <x:c r="S48" s="47" t="n">
        <x:f>COUNTIF(B48:R48,"Check")+COUNTIF(T48:Z48,"Check")</x:f>
        <x:v>0</x:v>
      </x:c>
      <x:c r="T48" t="str">
        <x:f>IF(ABS(Japan!AM48)&lt;0.001,"OK","Check")</x:f>
        <x:v>OK</x:v>
      </x:c>
      <x:c r="U48" t="str">
        <x:f>"n/a"</x:f>
        <x:v>n/a</x:v>
      </x:c>
      <x:c r="V48" t="str">
        <x:f>"n/a"</x:f>
        <x:v>n/a</x:v>
      </x:c>
      <x:c r="W48" t="str">
        <x:f>"n/a"</x:f>
        <x:v>n/a</x:v>
      </x:c>
      <x:c r="X48" t="str">
        <x:f>"n/a"</x:f>
        <x:v>n/a</x:v>
      </x:c>
      <x:c r="Y48" t="str">
        <x:f>IF(Abroad!T48&gt;=-0.001,"OK","Check")</x:f>
        <x:v>OK</x:v>
      </x:c>
      <x:c r="Z48" t="str">
        <x:f>"n/a"</x:f>
        <x:v>n/a</x:v>
      </x:c>
    </x:row>
    <x:row r="49">
      <x:c r="A49" s="58" t="n">
        <x:v>1889</x:v>
      </x:c>
      <x:c r="B49" s="80" t="str">
        <x:f>IF(ABS(People!L49-(People!B49+People!C49+People!D49+People!K49))&lt;1,"OK","Check")</x:f>
        <x:v>OK</x:v>
      </x:c>
      <x:c r="C49" s="80" t="str">
        <x:f>IF(ABS('Debt &amp; cash'!M49-'Debt &amp; cash'!E49)&lt;0.001,"OK","Check")</x:f>
        <x:v>OK</x:v>
      </x:c>
      <x:c r="D49" s="80" t="str">
        <x:f>IF('Debt &amp; cash'!S49&gt;=-0.001,"OK","Check")</x:f>
        <x:v>OK</x:v>
      </x:c>
      <x:c r="E49" s="81" t="n">
        <x:f>'Debt &amp; cash'!V49</x:f>
        <x:v>0.05</x:v>
      </x:c>
      <x:c r="F49" s="80" t="str">
        <x:f>IF($A49&lt;1887,"n/a",IF(E49&lt;=cap_debt,"OK","Check"))</x:f>
        <x:v>OK</x:v>
      </x:c>
      <x:c r="G49" s="81" t="n">
        <x:f>'Debt &amp; cash'!W49</x:f>
        <x:v>0.02245745162588381</x:v>
      </x:c>
      <x:c r="H49" s="80" t="str">
        <x:f>IF($A49&lt;1887,"n/a",IF(G49&lt;=cap_int,"OK","Check"))</x:f>
        <x:v>OK</x:v>
      </x:c>
      <x:c r="I49" s="81" t="n">
        <x:f>Budget!AC49</x:f>
        <x:v>0.013448266168347796</x:v>
      </x:c>
      <x:c r="J49" s="80" t="str">
        <x:f>IF($A49&lt;1887,"n/a",IF(Paths!AC49=1,"War year",IF(I49&lt;=cap_def,"OK","Check")))</x:f>
        <x:v>OK</x:v>
      </x:c>
      <x:c r="K49" s="63" t="n">
        <x:f>'Debt &amp; cash'!Y49/Economy!O49</x:f>
        <x:v>0.004108335665618903</x:v>
      </x:c>
      <x:c r="L49" s="80" t="str">
        <x:f>IF('Debt &amp; cash'!Y49&lt;=mkt_capacity*Economy!O49+foreign_capacity,"OK","Check")</x:f>
        <x:v>OK</x:v>
      </x:c>
      <x:c r="M49" s="80" t="str">
        <x:f>IF($A49&lt;1900,"n/a",IF('Gold &amp; money'!K49&gt;=0,"OK","Check"))</x:f>
        <x:v>n/a</x:v>
      </x:c>
      <x:c r="N49" s="81" t="n">
        <x:f>Japan!AA49</x:f>
        <x:v>0.08999015207135805</x:v>
      </x:c>
      <x:c r="O49" s="80" t="str">
        <x:f>IF(N49&lt;=1,"OK","Check")</x:f>
        <x:v>OK</x:v>
      </x:c>
      <x:c r="P49" s="80" t="str">
        <x:f>IF($A49&lt;1922,"n/a",IF(AND(Navy!AE49&gt;=0.95,Navy!AE49&lt;=1.1),"OK","Check"))</x:f>
        <x:v>n/a</x:v>
      </x:c>
      <x:c r="Q49" s="80" t="str">
        <x:f>IF(Navy!Z49=0,"n/a",IF(Resources!K49&gt;=Navy!Z49,"OK","Check"))</x:f>
        <x:v>OK</x:v>
      </x:c>
      <x:c r="R49" s="80" t="str">
        <x:f>IF(AND(gulf_on=1,$A49=gulf_year),IF(Gulf!AF49=1,"OK","Check"),"n/a")</x:f>
        <x:v>n/a</x:v>
      </x:c>
      <x:c r="S49" s="47" t="n">
        <x:f>COUNTIF(B49:R49,"Check")+COUNTIF(T49:Z49,"Check")</x:f>
        <x:v>0</x:v>
      </x:c>
      <x:c r="T49" t="str">
        <x:f>IF(ABS(Japan!AM49)&lt;0.001,"OK","Check")</x:f>
        <x:v>OK</x:v>
      </x:c>
      <x:c r="U49" t="str">
        <x:f>"n/a"</x:f>
        <x:v>n/a</x:v>
      </x:c>
      <x:c r="V49" t="str">
        <x:f>"n/a"</x:f>
        <x:v>n/a</x:v>
      </x:c>
      <x:c r="W49" t="str">
        <x:f>"n/a"</x:f>
        <x:v>n/a</x:v>
      </x:c>
      <x:c r="X49" t="str">
        <x:f>"n/a"</x:f>
        <x:v>n/a</x:v>
      </x:c>
      <x:c r="Y49" t="str">
        <x:f>IF(Abroad!T49&gt;=-0.001,"OK","Check")</x:f>
        <x:v>OK</x:v>
      </x:c>
      <x:c r="Z49" t="str">
        <x:f>"n/a"</x:f>
        <x:v>n/a</x:v>
      </x:c>
    </x:row>
    <x:row r="50">
      <x:c r="A50" s="58" t="n">
        <x:v>1890</x:v>
      </x:c>
      <x:c r="B50" s="80" t="str">
        <x:f>IF(ABS(People!L50-(People!B50+People!C50+People!D50+People!K50))&lt;1,"OK","Check")</x:f>
        <x:v>OK</x:v>
      </x:c>
      <x:c r="C50" s="80" t="str">
        <x:f>IF(ABS('Debt &amp; cash'!M50-'Debt &amp; cash'!E50)&lt;0.001,"OK","Check")</x:f>
        <x:v>OK</x:v>
      </x:c>
      <x:c r="D50" s="80" t="str">
        <x:f>IF('Debt &amp; cash'!S50&gt;=-0.001,"OK","Check")</x:f>
        <x:v>OK</x:v>
      </x:c>
      <x:c r="E50" s="81" t="n">
        <x:f>'Debt &amp; cash'!V50</x:f>
        <x:v>0.05</x:v>
      </x:c>
      <x:c r="F50" s="80" t="str">
        <x:f>IF($A50&lt;1887,"n/a",IF(E50&lt;=cap_debt,"OK","Check"))</x:f>
        <x:v>OK</x:v>
      </x:c>
      <x:c r="G50" s="81" t="n">
        <x:f>'Debt &amp; cash'!W50</x:f>
        <x:v>0.021093528762310108</x:v>
      </x:c>
      <x:c r="H50" s="80" t="str">
        <x:f>IF($A50&lt;1887,"n/a",IF(G50&lt;=cap_int,"OK","Check"))</x:f>
        <x:v>OK</x:v>
      </x:c>
      <x:c r="I50" s="81" t="n">
        <x:f>Budget!AC50</x:f>
        <x:v>0.01212988810739473</x:v>
      </x:c>
      <x:c r="J50" s="80" t="str">
        <x:f>IF($A50&lt;1887,"n/a",IF(Paths!AC50=1,"War year",IF(I50&lt;=cap_def,"OK","Check")))</x:f>
        <x:v>OK</x:v>
      </x:c>
      <x:c r="K50" s="63" t="n">
        <x:f>'Debt &amp; cash'!Y50/Economy!O50</x:f>
        <x:v>0.0073485840137394905</x:v>
      </x:c>
      <x:c r="L50" s="80" t="str">
        <x:f>IF('Debt &amp; cash'!Y50&lt;=mkt_capacity*Economy!O50+foreign_capacity,"OK","Check")</x:f>
        <x:v>OK</x:v>
      </x:c>
      <x:c r="M50" s="80" t="str">
        <x:f>IF($A50&lt;1900,"n/a",IF('Gold &amp; money'!K50&gt;=0,"OK","Check"))</x:f>
        <x:v>n/a</x:v>
      </x:c>
      <x:c r="N50" s="81" t="n">
        <x:f>Japan!AA50</x:f>
        <x:v>0.08222088448034073</x:v>
      </x:c>
      <x:c r="O50" s="80" t="str">
        <x:f>IF(N50&lt;=1,"OK","Check")</x:f>
        <x:v>OK</x:v>
      </x:c>
      <x:c r="P50" s="80" t="str">
        <x:f>IF($A50&lt;1922,"n/a",IF(AND(Navy!AE50&gt;=0.95,Navy!AE50&lt;=1.1),"OK","Check"))</x:f>
        <x:v>n/a</x:v>
      </x:c>
      <x:c r="Q50" s="80" t="str">
        <x:f>IF(Navy!Z50=0,"n/a",IF(Resources!K50&gt;=Navy!Z50,"OK","Check"))</x:f>
        <x:v>OK</x:v>
      </x:c>
      <x:c r="R50" s="80" t="str">
        <x:f>IF(AND(gulf_on=1,$A50=gulf_year),IF(Gulf!AF50=1,"OK","Check"),"n/a")</x:f>
        <x:v>n/a</x:v>
      </x:c>
      <x:c r="S50" s="47" t="n">
        <x:f>COUNTIF(B50:R50,"Check")+COUNTIF(T50:Z50,"Check")</x:f>
        <x:v>0</x:v>
      </x:c>
      <x:c r="T50" t="str">
        <x:f>IF(ABS(Japan!AM50)&lt;0.001,"OK","Check")</x:f>
        <x:v>OK</x:v>
      </x:c>
      <x:c r="U50" t="str">
        <x:f>"n/a"</x:f>
        <x:v>n/a</x:v>
      </x:c>
      <x:c r="V50" t="str">
        <x:f>"n/a"</x:f>
        <x:v>n/a</x:v>
      </x:c>
      <x:c r="W50" t="str">
        <x:f>"n/a"</x:f>
        <x:v>n/a</x:v>
      </x:c>
      <x:c r="X50" t="str">
        <x:f>"n/a"</x:f>
        <x:v>n/a</x:v>
      </x:c>
      <x:c r="Y50" t="str">
        <x:f>IF(Abroad!T50&gt;=-0.001,"OK","Check")</x:f>
        <x:v>OK</x:v>
      </x:c>
      <x:c r="Z50" t="str">
        <x:f>"n/a"</x:f>
        <x:v>n/a</x:v>
      </x:c>
    </x:row>
    <x:row r="51">
      <x:c r="A51" s="58" t="n">
        <x:v>1891</x:v>
      </x:c>
      <x:c r="B51" s="80" t="str">
        <x:f>IF(ABS(People!L51-(People!B51+People!C51+People!D51+People!K51))&lt;1,"OK","Check")</x:f>
        <x:v>OK</x:v>
      </x:c>
      <x:c r="C51" s="80" t="str">
        <x:f>IF(ABS('Debt &amp; cash'!M51-'Debt &amp; cash'!E51)&lt;0.001,"OK","Check")</x:f>
        <x:v>OK</x:v>
      </x:c>
      <x:c r="D51" s="80" t="str">
        <x:f>IF('Debt &amp; cash'!S51&gt;=-0.001,"OK","Check")</x:f>
        <x:v>OK</x:v>
      </x:c>
      <x:c r="E51" s="81" t="n">
        <x:f>'Debt &amp; cash'!V51</x:f>
        <x:v>0.05</x:v>
      </x:c>
      <x:c r="F51" s="80" t="str">
        <x:f>IF($A51&lt;1887,"n/a",IF(E51&lt;=cap_debt,"OK","Check"))</x:f>
        <x:v>OK</x:v>
      </x:c>
      <x:c r="G51" s="81" t="n">
        <x:f>'Debt &amp; cash'!W51</x:f>
        <x:v>0.020691912285618508</x:v>
      </x:c>
      <x:c r="H51" s="80" t="str">
        <x:f>IF($A51&lt;1887,"n/a",IF(G51&lt;=cap_int,"OK","Check"))</x:f>
        <x:v>OK</x:v>
      </x:c>
      <x:c r="I51" s="81" t="n">
        <x:f>Budget!AC51</x:f>
        <x:v>0.011347954121913854</x:v>
      </x:c>
      <x:c r="J51" s="80" t="str">
        <x:f>IF($A51&lt;1887,"n/a",IF(Paths!AC51=1,"War year",IF(I51&lt;=cap_def,"OK","Check")))</x:f>
        <x:v>OK</x:v>
      </x:c>
      <x:c r="K51" s="63" t="n">
        <x:f>'Debt &amp; cash'!Y51/Economy!O51</x:f>
        <x:v>0.007588655774578724</x:v>
      </x:c>
      <x:c r="L51" s="80" t="str">
        <x:f>IF('Debt &amp; cash'!Y51&lt;=mkt_capacity*Economy!O51+foreign_capacity,"OK","Check")</x:f>
        <x:v>OK</x:v>
      </x:c>
      <x:c r="M51" s="80" t="str">
        <x:f>IF($A51&lt;1900,"n/a",IF('Gold &amp; money'!K51&gt;=0,"OK","Check"))</x:f>
        <x:v>n/a</x:v>
      </x:c>
      <x:c r="N51" s="81" t="n">
        <x:f>Japan!AA51</x:f>
        <x:v>0.0770194749728071</x:v>
      </x:c>
      <x:c r="O51" s="80" t="str">
        <x:f>IF(N51&lt;=1,"OK","Check")</x:f>
        <x:v>OK</x:v>
      </x:c>
      <x:c r="P51" s="80" t="str">
        <x:f>IF($A51&lt;1922,"n/a",IF(AND(Navy!AE51&gt;=0.95,Navy!AE51&lt;=1.1),"OK","Check"))</x:f>
        <x:v>n/a</x:v>
      </x:c>
      <x:c r="Q51" s="80" t="str">
        <x:f>IF(Navy!Z51=0,"n/a",IF(Resources!K51&gt;=Navy!Z51,"OK","Check"))</x:f>
        <x:v>OK</x:v>
      </x:c>
      <x:c r="R51" s="80" t="str">
        <x:f>IF(AND(gulf_on=1,$A51=gulf_year),IF(Gulf!AF51=1,"OK","Check"),"n/a")</x:f>
        <x:v>n/a</x:v>
      </x:c>
      <x:c r="S51" s="47" t="n">
        <x:f>COUNTIF(B51:R51,"Check")+COUNTIF(T51:Z51,"Check")</x:f>
        <x:v>0</x:v>
      </x:c>
      <x:c r="T51" t="str">
        <x:f>IF(ABS(Japan!AM51)&lt;0.001,"OK","Check")</x:f>
        <x:v>OK</x:v>
      </x:c>
      <x:c r="U51" t="str">
        <x:f>"n/a"</x:f>
        <x:v>n/a</x:v>
      </x:c>
      <x:c r="V51" t="str">
        <x:f>"n/a"</x:f>
        <x:v>n/a</x:v>
      </x:c>
      <x:c r="W51" t="str">
        <x:f>"n/a"</x:f>
        <x:v>n/a</x:v>
      </x:c>
      <x:c r="X51" t="str">
        <x:f>"n/a"</x:f>
        <x:v>n/a</x:v>
      </x:c>
      <x:c r="Y51" t="str">
        <x:f>IF(Abroad!T51&gt;=-0.001,"OK","Check")</x:f>
        <x:v>OK</x:v>
      </x:c>
      <x:c r="Z51" t="str">
        <x:f>"n/a"</x:f>
        <x:v>n/a</x:v>
      </x:c>
    </x:row>
    <x:row r="52">
      <x:c r="A52" s="58" t="n">
        <x:v>1892</x:v>
      </x:c>
      <x:c r="B52" s="80" t="str">
        <x:f>IF(ABS(People!L52-(People!B52+People!C52+People!D52+People!K52))&lt;1,"OK","Check")</x:f>
        <x:v>OK</x:v>
      </x:c>
      <x:c r="C52" s="80" t="str">
        <x:f>IF(ABS('Debt &amp; cash'!M52-'Debt &amp; cash'!E52)&lt;0.001,"OK","Check")</x:f>
        <x:v>OK</x:v>
      </x:c>
      <x:c r="D52" s="80" t="str">
        <x:f>IF('Debt &amp; cash'!S52&gt;=-0.001,"OK","Check")</x:f>
        <x:v>OK</x:v>
      </x:c>
      <x:c r="E52" s="81" t="n">
        <x:f>'Debt &amp; cash'!V52</x:f>
        <x:v>0.05</x:v>
      </x:c>
      <x:c r="F52" s="80" t="str">
        <x:f>IF($A52&lt;1887,"n/a",IF(E52&lt;=cap_debt,"OK","Check"))</x:f>
        <x:v>OK</x:v>
      </x:c>
      <x:c r="G52" s="81" t="n">
        <x:f>'Debt &amp; cash'!W52</x:f>
        <x:v>0.02029273347926454</x:v>
      </x:c>
      <x:c r="H52" s="80" t="str">
        <x:f>IF($A52&lt;1887,"n/a",IF(G52&lt;=cap_int,"OK","Check"))</x:f>
        <x:v>OK</x:v>
      </x:c>
      <x:c r="I52" s="81" t="n">
        <x:f>Budget!AC52</x:f>
        <x:v>0.010658734982825666</x:v>
      </x:c>
      <x:c r="J52" s="80" t="str">
        <x:f>IF($A52&lt;1887,"n/a",IF(Paths!AC52=1,"War year",IF(I52&lt;=cap_def,"OK","Check")))</x:f>
        <x:v>OK</x:v>
      </x:c>
      <x:c r="K52" s="63" t="n">
        <x:f>'Debt &amp; cash'!Y52/Economy!O52</x:f>
        <x:v>0.008115737281824778</x:v>
      </x:c>
      <x:c r="L52" s="80" t="str">
        <x:f>IF('Debt &amp; cash'!Y52&lt;=mkt_capacity*Economy!O52+foreign_capacity,"OK","Check")</x:f>
        <x:v>OK</x:v>
      </x:c>
      <x:c r="M52" s="80" t="str">
        <x:f>IF($A52&lt;1900,"n/a",IF('Gold &amp; money'!K52&gt;=0,"OK","Check"))</x:f>
        <x:v>n/a</x:v>
      </x:c>
      <x:c r="N52" s="81" t="n">
        <x:f>Japan!AA52</x:f>
        <x:v>0.07138450864866422</x:v>
      </x:c>
      <x:c r="O52" s="80" t="str">
        <x:f>IF(N52&lt;=1,"OK","Check")</x:f>
        <x:v>OK</x:v>
      </x:c>
      <x:c r="P52" s="80" t="str">
        <x:f>IF($A52&lt;1922,"n/a",IF(AND(Navy!AE52&gt;=0.95,Navy!AE52&lt;=1.1),"OK","Check"))</x:f>
        <x:v>n/a</x:v>
      </x:c>
      <x:c r="Q52" s="80" t="str">
        <x:f>IF(Navy!Z52=0,"n/a",IF(Resources!K52&gt;=Navy!Z52,"OK","Check"))</x:f>
        <x:v>OK</x:v>
      </x:c>
      <x:c r="R52" s="80" t="str">
        <x:f>IF(AND(gulf_on=1,$A52=gulf_year),IF(Gulf!AF52=1,"OK","Check"),"n/a")</x:f>
        <x:v>n/a</x:v>
      </x:c>
      <x:c r="S52" s="47" t="n">
        <x:f>COUNTIF(B52:R52,"Check")+COUNTIF(T52:Z52,"Check")</x:f>
        <x:v>0</x:v>
      </x:c>
      <x:c r="T52" t="str">
        <x:f>IF(ABS(Japan!AM52)&lt;0.001,"OK","Check")</x:f>
        <x:v>OK</x:v>
      </x:c>
      <x:c r="U52" t="str">
        <x:f>"n/a"</x:f>
        <x:v>n/a</x:v>
      </x:c>
      <x:c r="V52" t="str">
        <x:f>"n/a"</x:f>
        <x:v>n/a</x:v>
      </x:c>
      <x:c r="W52" t="str">
        <x:f>"n/a"</x:f>
        <x:v>n/a</x:v>
      </x:c>
      <x:c r="X52" t="str">
        <x:f>"n/a"</x:f>
        <x:v>n/a</x:v>
      </x:c>
      <x:c r="Y52" t="str">
        <x:f>IF(Abroad!T52&gt;=-0.001,"OK","Check")</x:f>
        <x:v>OK</x:v>
      </x:c>
      <x:c r="Z52" t="str">
        <x:f>"n/a"</x:f>
        <x:v>n/a</x:v>
      </x:c>
    </x:row>
    <x:row r="53">
      <x:c r="A53" s="58" t="n">
        <x:v>1893</x:v>
      </x:c>
      <x:c r="B53" s="80" t="str">
        <x:f>IF(ABS(People!L53-(People!B53+People!C53+People!D53+People!K53))&lt;1,"OK","Check")</x:f>
        <x:v>OK</x:v>
      </x:c>
      <x:c r="C53" s="80" t="str">
        <x:f>IF(ABS('Debt &amp; cash'!M53-'Debt &amp; cash'!E53)&lt;0.001,"OK","Check")</x:f>
        <x:v>OK</x:v>
      </x:c>
      <x:c r="D53" s="80" t="str">
        <x:f>IF('Debt &amp; cash'!S53&gt;=-0.001,"OK","Check")</x:f>
        <x:v>OK</x:v>
      </x:c>
      <x:c r="E53" s="81" t="n">
        <x:f>'Debt &amp; cash'!V53</x:f>
        <x:v>0.05</x:v>
      </x:c>
      <x:c r="F53" s="80" t="str">
        <x:f>IF($A53&lt;1887,"n/a",IF(E53&lt;=cap_debt,"OK","Check"))</x:f>
        <x:v>OK</x:v>
      </x:c>
      <x:c r="G53" s="81" t="n">
        <x:f>'Debt &amp; cash'!W53</x:f>
        <x:v>0.021009756048464313</x:v>
      </x:c>
      <x:c r="H53" s="80" t="str">
        <x:f>IF($A53&lt;1887,"n/a",IF(G53&lt;=cap_int,"OK","Check"))</x:f>
        <x:v>OK</x:v>
      </x:c>
      <x:c r="I53" s="81" t="n">
        <x:f>Budget!AC53</x:f>
        <x:v>0.010596759452041624</x:v>
      </x:c>
      <x:c r="J53" s="80" t="str">
        <x:f>IF($A53&lt;1887,"n/a",IF(Paths!AC53=1,"War year",IF(I53&lt;=cap_def,"OK","Check")))</x:f>
        <x:v>OK</x:v>
      </x:c>
      <x:c r="K53" s="63" t="n">
        <x:f>'Debt &amp; cash'!Y53/Economy!O53</x:f>
        <x:v>0.005705725632647943</x:v>
      </x:c>
      <x:c r="L53" s="80" t="str">
        <x:f>IF('Debt &amp; cash'!Y53&lt;=mkt_capacity*Economy!O53+foreign_capacity,"OK","Check")</x:f>
        <x:v>OK</x:v>
      </x:c>
      <x:c r="M53" s="80" t="str">
        <x:f>IF($A53&lt;1900,"n/a",IF('Gold &amp; money'!K53&gt;=0,"OK","Check"))</x:f>
        <x:v>n/a</x:v>
      </x:c>
      <x:c r="N53" s="81" t="n">
        <x:f>Japan!AA53</x:f>
        <x:v>0.06527225696617449</x:v>
      </x:c>
      <x:c r="O53" s="80" t="str">
        <x:f>IF(N53&lt;=1,"OK","Check")</x:f>
        <x:v>OK</x:v>
      </x:c>
      <x:c r="P53" s="80" t="str">
        <x:f>IF($A53&lt;1922,"n/a",IF(AND(Navy!AE53&gt;=0.95,Navy!AE53&lt;=1.1),"OK","Check"))</x:f>
        <x:v>n/a</x:v>
      </x:c>
      <x:c r="Q53" s="80" t="str">
        <x:f>IF(Navy!Z53=0,"n/a",IF(Resources!K53&gt;=Navy!Z53,"OK","Check"))</x:f>
        <x:v>OK</x:v>
      </x:c>
      <x:c r="R53" s="80" t="str">
        <x:f>IF(AND(gulf_on=1,$A53=gulf_year),IF(Gulf!AF53=1,"OK","Check"),"n/a")</x:f>
        <x:v>n/a</x:v>
      </x:c>
      <x:c r="S53" s="47" t="n">
        <x:f>COUNTIF(B53:R53,"Check")+COUNTIF(T53:Z53,"Check")</x:f>
        <x:v>0</x:v>
      </x:c>
      <x:c r="T53" t="str">
        <x:f>IF(ABS(Japan!AM53)&lt;0.001,"OK","Check")</x:f>
        <x:v>OK</x:v>
      </x:c>
      <x:c r="U53" t="str">
        <x:f>"n/a"</x:f>
        <x:v>n/a</x:v>
      </x:c>
      <x:c r="V53" t="str">
        <x:f>"n/a"</x:f>
        <x:v>n/a</x:v>
      </x:c>
      <x:c r="W53" t="str">
        <x:f>"n/a"</x:f>
        <x:v>n/a</x:v>
      </x:c>
      <x:c r="X53" t="str">
        <x:f>"n/a"</x:f>
        <x:v>n/a</x:v>
      </x:c>
      <x:c r="Y53" t="str">
        <x:f>IF(Abroad!T53&gt;=-0.001,"OK","Check")</x:f>
        <x:v>OK</x:v>
      </x:c>
      <x:c r="Z53" t="str">
        <x:f>"n/a"</x:f>
        <x:v>n/a</x:v>
      </x:c>
    </x:row>
    <x:row r="54">
      <x:c r="A54" s="58" t="n">
        <x:v>1894</x:v>
      </x:c>
      <x:c r="B54" s="80" t="str">
        <x:f>IF(ABS(People!L54-(People!B54+People!C54+People!D54+People!K54))&lt;1,"OK","Check")</x:f>
        <x:v>OK</x:v>
      </x:c>
      <x:c r="C54" s="80" t="str">
        <x:f>IF(ABS('Debt &amp; cash'!M54-'Debt &amp; cash'!E54)&lt;0.001,"OK","Check")</x:f>
        <x:v>OK</x:v>
      </x:c>
      <x:c r="D54" s="80" t="str">
        <x:f>IF('Debt &amp; cash'!S54&gt;=-0.001,"OK","Check")</x:f>
        <x:v>OK</x:v>
      </x:c>
      <x:c r="E54" s="81" t="n">
        <x:f>'Debt &amp; cash'!V54</x:f>
        <x:v>0.05</x:v>
      </x:c>
      <x:c r="F54" s="80" t="str">
        <x:f>IF($A54&lt;1887,"n/a",IF(E54&lt;=cap_debt,"OK","Check"))</x:f>
        <x:v>OK</x:v>
      </x:c>
      <x:c r="G54" s="81" t="n">
        <x:f>'Debt &amp; cash'!W54</x:f>
        <x:v>0.01998792537712497</x:v>
      </x:c>
      <x:c r="H54" s="80" t="str">
        <x:f>IF($A54&lt;1887,"n/a",IF(G54&lt;=cap_int,"OK","Check"))</x:f>
        <x:v>OK</x:v>
      </x:c>
      <x:c r="I54" s="81" t="n">
        <x:f>Budget!AC54</x:f>
        <x:v>0.010694035119894425</x:v>
      </x:c>
      <x:c r="J54" s="80" t="str">
        <x:f>IF($A54&lt;1887,"n/a",IF(Paths!AC54=1,"War year",IF(I54&lt;=cap_def,"OK","Check")))</x:f>
        <x:v>OK</x:v>
      </x:c>
      <x:c r="K54" s="63" t="n">
        <x:f>'Debt &amp; cash'!Y54/Economy!O54</x:f>
        <x:v>0.00602249468877843</x:v>
      </x:c>
      <x:c r="L54" s="80" t="str">
        <x:f>IF('Debt &amp; cash'!Y54&lt;=mkt_capacity*Economy!O54+foreign_capacity,"OK","Check")</x:f>
        <x:v>OK</x:v>
      </x:c>
      <x:c r="M54" s="80" t="str">
        <x:f>IF($A54&lt;1900,"n/a",IF('Gold &amp; money'!K54&gt;=0,"OK","Check"))</x:f>
        <x:v>n/a</x:v>
      </x:c>
      <x:c r="N54" s="81" t="n">
        <x:f>Japan!AA54</x:f>
        <x:v>0.09388831674503473</x:v>
      </x:c>
      <x:c r="O54" s="80" t="str">
        <x:f>IF(N54&lt;=1,"OK","Check")</x:f>
        <x:v>OK</x:v>
      </x:c>
      <x:c r="P54" s="80" t="str">
        <x:f>IF($A54&lt;1922,"n/a",IF(AND(Navy!AE54&gt;=0.95,Navy!AE54&lt;=1.1),"OK","Check"))</x:f>
        <x:v>n/a</x:v>
      </x:c>
      <x:c r="Q54" s="80" t="str">
        <x:f>IF(Navy!Z54=0,"n/a",IF(Resources!K54&gt;=Navy!Z54,"OK","Check"))</x:f>
        <x:v>OK</x:v>
      </x:c>
      <x:c r="R54" s="80" t="str">
        <x:f>IF(AND(gulf_on=1,$A54=gulf_year),IF(Gulf!AF54=1,"OK","Check"),"n/a")</x:f>
        <x:v>n/a</x:v>
      </x:c>
      <x:c r="S54" s="47" t="n">
        <x:f>COUNTIF(B54:R54,"Check")+COUNTIF(T54:Z54,"Check")</x:f>
        <x:v>0</x:v>
      </x:c>
      <x:c r="T54" t="str">
        <x:f>IF(ABS(Japan!AM54)&lt;0.001,"OK","Check")</x:f>
        <x:v>OK</x:v>
      </x:c>
      <x:c r="U54" t="str">
        <x:f>"n/a"</x:f>
        <x:v>n/a</x:v>
      </x:c>
      <x:c r="V54" t="str">
        <x:f>"n/a"</x:f>
        <x:v>n/a</x:v>
      </x:c>
      <x:c r="W54" t="str">
        <x:f>"n/a"</x:f>
        <x:v>n/a</x:v>
      </x:c>
      <x:c r="X54" t="str">
        <x:f>"n/a"</x:f>
        <x:v>n/a</x:v>
      </x:c>
      <x:c r="Y54" t="str">
        <x:f>IF(Abroad!T54&gt;=-0.001,"OK","Check")</x:f>
        <x:v>OK</x:v>
      </x:c>
      <x:c r="Z54" t="str">
        <x:f>"n/a"</x:f>
        <x:v>n/a</x:v>
      </x:c>
    </x:row>
    <x:row r="55">
      <x:c r="A55" s="58" t="n">
        <x:v>1895</x:v>
      </x:c>
      <x:c r="B55" s="80" t="str">
        <x:f>IF(ABS(People!L55-(People!B55+People!C55+People!D55+People!K55))&lt;1,"OK","Check")</x:f>
        <x:v>OK</x:v>
      </x:c>
      <x:c r="C55" s="80" t="str">
        <x:f>IF(ABS('Debt &amp; cash'!M55-'Debt &amp; cash'!E55)&lt;0.001,"OK","Check")</x:f>
        <x:v>OK</x:v>
      </x:c>
      <x:c r="D55" s="80" t="str">
        <x:f>IF('Debt &amp; cash'!S55&gt;=-0.001,"OK","Check")</x:f>
        <x:v>OK</x:v>
      </x:c>
      <x:c r="E55" s="81" t="n">
        <x:f>'Debt &amp; cash'!V55</x:f>
        <x:v>0.05</x:v>
      </x:c>
      <x:c r="F55" s="80" t="str">
        <x:f>IF($A55&lt;1887,"n/a",IF(E55&lt;=cap_debt,"OK","Check"))</x:f>
        <x:v>OK</x:v>
      </x:c>
      <x:c r="G55" s="81" t="n">
        <x:f>'Debt &amp; cash'!W55</x:f>
        <x:v>0.01885000348233046</x:v>
      </x:c>
      <x:c r="H55" s="80" t="str">
        <x:f>IF($A55&lt;1887,"n/a",IF(G55&lt;=cap_int,"OK","Check"))</x:f>
        <x:v>OK</x:v>
      </x:c>
      <x:c r="I55" s="81" t="n">
        <x:f>Budget!AC55</x:f>
        <x:v>0.009620546776339346</x:v>
      </x:c>
      <x:c r="J55" s="80" t="str">
        <x:f>IF($A55&lt;1887,"n/a",IF(Paths!AC55=1,"War year",IF(I55&lt;=cap_def,"OK","Check")))</x:f>
        <x:v>OK</x:v>
      </x:c>
      <x:c r="K55" s="63" t="n">
        <x:f>'Debt &amp; cash'!Y55/Economy!O55</x:f>
        <x:v>0.005328852712237299</x:v>
      </x:c>
      <x:c r="L55" s="80" t="str">
        <x:f>IF('Debt &amp; cash'!Y55&lt;=mkt_capacity*Economy!O55+foreign_capacity,"OK","Check")</x:f>
        <x:v>OK</x:v>
      </x:c>
      <x:c r="M55" s="80" t="str">
        <x:f>IF($A55&lt;1900,"n/a",IF('Gold &amp; money'!K55&gt;=0,"OK","Check"))</x:f>
        <x:v>n/a</x:v>
      </x:c>
      <x:c r="N55" s="81" t="n">
        <x:f>Japan!AA55</x:f>
        <x:v>0.14224237031750617</x:v>
      </x:c>
      <x:c r="O55" s="80" t="str">
        <x:f>IF(N55&lt;=1,"OK","Check")</x:f>
        <x:v>OK</x:v>
      </x:c>
      <x:c r="P55" s="80" t="str">
        <x:f>IF($A55&lt;1922,"n/a",IF(AND(Navy!AE55&gt;=0.95,Navy!AE55&lt;=1.1),"OK","Check"))</x:f>
        <x:v>n/a</x:v>
      </x:c>
      <x:c r="Q55" s="80" t="str">
        <x:f>IF(Navy!Z55=0,"n/a",IF(Resources!K55&gt;=Navy!Z55,"OK","Check"))</x:f>
        <x:v>OK</x:v>
      </x:c>
      <x:c r="R55" s="80" t="str">
        <x:f>IF(AND(gulf_on=1,$A55=gulf_year),IF(Gulf!AF55=1,"OK","Check"),"n/a")</x:f>
        <x:v>n/a</x:v>
      </x:c>
      <x:c r="S55" s="47" t="n">
        <x:f>COUNTIF(B55:R55,"Check")+COUNTIF(T55:Z55,"Check")</x:f>
        <x:v>0</x:v>
      </x:c>
      <x:c r="T55" t="str">
        <x:f>IF(ABS(Japan!AM55)&lt;0.001,"OK","Check")</x:f>
        <x:v>OK</x:v>
      </x:c>
      <x:c r="U55" t="str">
        <x:f>"n/a"</x:f>
        <x:v>n/a</x:v>
      </x:c>
      <x:c r="V55" t="str">
        <x:f>"n/a"</x:f>
        <x:v>n/a</x:v>
      </x:c>
      <x:c r="W55" t="str">
        <x:f>"n/a"</x:f>
        <x:v>n/a</x:v>
      </x:c>
      <x:c r="X55" t="str">
        <x:f>"n/a"</x:f>
        <x:v>n/a</x:v>
      </x:c>
      <x:c r="Y55" t="str">
        <x:f>IF(Abroad!T55&gt;=-0.001,"OK","Check")</x:f>
        <x:v>OK</x:v>
      </x:c>
      <x:c r="Z55" t="str">
        <x:f>"n/a"</x:f>
        <x:v>n/a</x:v>
      </x:c>
    </x:row>
    <x:row r="56">
      <x:c r="A56" s="58" t="n">
        <x:v>1896</x:v>
      </x:c>
      <x:c r="B56" s="80" t="str">
        <x:f>IF(ABS(People!L56-(People!B56+People!C56+People!D56+People!K56))&lt;1,"OK","Check")</x:f>
        <x:v>OK</x:v>
      </x:c>
      <x:c r="C56" s="80" t="str">
        <x:f>IF(ABS('Debt &amp; cash'!M56-'Debt &amp; cash'!E56)&lt;0.001,"OK","Check")</x:f>
        <x:v>OK</x:v>
      </x:c>
      <x:c r="D56" s="80" t="str">
        <x:f>IF('Debt &amp; cash'!S56&gt;=-0.001,"OK","Check")</x:f>
        <x:v>OK</x:v>
      </x:c>
      <x:c r="E56" s="81" t="n">
        <x:f>'Debt &amp; cash'!V56</x:f>
        <x:v>0.049999999999999996</x:v>
      </x:c>
      <x:c r="F56" s="80" t="str">
        <x:f>IF($A56&lt;1887,"n/a",IF(E56&lt;=cap_debt,"OK","Check"))</x:f>
        <x:v>OK</x:v>
      </x:c>
      <x:c r="G56" s="81" t="n">
        <x:f>'Debt &amp; cash'!W56</x:f>
        <x:v>0.02060128977619483</x:v>
      </x:c>
      <x:c r="H56" s="80" t="str">
        <x:f>IF($A56&lt;1887,"n/a",IF(G56&lt;=cap_int,"OK","Check"))</x:f>
        <x:v>OK</x:v>
      </x:c>
      <x:c r="I56" s="81" t="n">
        <x:f>Budget!AC56</x:f>
        <x:v>0.009218519068922116</x:v>
      </x:c>
      <x:c r="J56" s="80" t="str">
        <x:f>IF($A56&lt;1887,"n/a",IF(Paths!AC56=1,"War year",IF(I56&lt;=cap_def,"OK","Check")))</x:f>
        <x:v>OK</x:v>
      </x:c>
      <x:c r="K56" s="63" t="n">
        <x:f>'Debt &amp; cash'!Y56/Economy!O56</x:f>
        <x:v>0.007114589314967636</x:v>
      </x:c>
      <x:c r="L56" s="80" t="str">
        <x:f>IF('Debt &amp; cash'!Y56&lt;=mkt_capacity*Economy!O56+foreign_capacity,"OK","Check")</x:f>
        <x:v>OK</x:v>
      </x:c>
      <x:c r="M56" s="80" t="str">
        <x:f>IF($A56&lt;1900,"n/a",IF('Gold &amp; money'!K56&gt;=0,"OK","Check"))</x:f>
        <x:v>n/a</x:v>
      </x:c>
      <x:c r="N56" s="81" t="n">
        <x:f>Japan!AA56</x:f>
        <x:v>0.11938082107292991</x:v>
      </x:c>
      <x:c r="O56" s="80" t="str">
        <x:f>IF(N56&lt;=1,"OK","Check")</x:f>
        <x:v>OK</x:v>
      </x:c>
      <x:c r="P56" s="80" t="str">
        <x:f>IF($A56&lt;1922,"n/a",IF(AND(Navy!AE56&gt;=0.95,Navy!AE56&lt;=1.1),"OK","Check"))</x:f>
        <x:v>n/a</x:v>
      </x:c>
      <x:c r="Q56" s="80" t="str">
        <x:f>IF(Navy!Z56=0,"n/a",IF(Resources!K56&gt;=Navy!Z56,"OK","Check"))</x:f>
        <x:v>OK</x:v>
      </x:c>
      <x:c r="R56" s="80" t="str">
        <x:f>IF(AND(gulf_on=1,$A56=gulf_year),IF(Gulf!AF56=1,"OK","Check"),"n/a")</x:f>
        <x:v>n/a</x:v>
      </x:c>
      <x:c r="S56" s="47" t="n">
        <x:f>COUNTIF(B56:R56,"Check")+COUNTIF(T56:Z56,"Check")</x:f>
        <x:v>0</x:v>
      </x:c>
      <x:c r="T56" t="str">
        <x:f>IF(ABS(Japan!AM56)&lt;0.001,"OK","Check")</x:f>
        <x:v>OK</x:v>
      </x:c>
      <x:c r="U56" t="str">
        <x:f>"n/a"</x:f>
        <x:v>n/a</x:v>
      </x:c>
      <x:c r="V56" t="str">
        <x:f>"n/a"</x:f>
        <x:v>n/a</x:v>
      </x:c>
      <x:c r="W56" t="str">
        <x:f>"n/a"</x:f>
        <x:v>n/a</x:v>
      </x:c>
      <x:c r="X56" t="str">
        <x:f>"n/a"</x:f>
        <x:v>n/a</x:v>
      </x:c>
      <x:c r="Y56" t="str">
        <x:f>IF(Abroad!T56&gt;=-0.001,"OK","Check")</x:f>
        <x:v>OK</x:v>
      </x:c>
      <x:c r="Z56" t="str">
        <x:f>"n/a"</x:f>
        <x:v>n/a</x:v>
      </x:c>
    </x:row>
    <x:row r="57">
      <x:c r="A57" s="58" t="n">
        <x:v>1897</x:v>
      </x:c>
      <x:c r="B57" s="80" t="str">
        <x:f>IF(ABS(People!L57-(People!B57+People!C57+People!D57+People!K57))&lt;1,"OK","Check")</x:f>
        <x:v>OK</x:v>
      </x:c>
      <x:c r="C57" s="80" t="str">
        <x:f>IF(ABS('Debt &amp; cash'!M57-'Debt &amp; cash'!E57)&lt;0.001,"OK","Check")</x:f>
        <x:v>OK</x:v>
      </x:c>
      <x:c r="D57" s="80" t="str">
        <x:f>IF('Debt &amp; cash'!S57&gt;=-0.001,"OK","Check")</x:f>
        <x:v>OK</x:v>
      </x:c>
      <x:c r="E57" s="81" t="n">
        <x:f>'Debt &amp; cash'!V57</x:f>
        <x:v>0.05</x:v>
      </x:c>
      <x:c r="F57" s="80" t="str">
        <x:f>IF($A57&lt;1887,"n/a",IF(E57&lt;=cap_debt,"OK","Check"))</x:f>
        <x:v>OK</x:v>
      </x:c>
      <x:c r="G57" s="81" t="n">
        <x:f>'Debt &amp; cash'!W57</x:f>
        <x:v>0.019318094866355405</x:v>
      </x:c>
      <x:c r="H57" s="80" t="str">
        <x:f>IF($A57&lt;1887,"n/a",IF(G57&lt;=cap_int,"OK","Check"))</x:f>
        <x:v>OK</x:v>
      </x:c>
      <x:c r="I57" s="81" t="n">
        <x:f>Budget!AC57</x:f>
        <x:v>0.008787661512127494</x:v>
      </x:c>
      <x:c r="J57" s="80" t="str">
        <x:f>IF($A57&lt;1887,"n/a",IF(Paths!AC57=1,"War year",IF(I57&lt;=cap_def,"OK","Check")))</x:f>
        <x:v>OK</x:v>
      </x:c>
      <x:c r="K57" s="63" t="n">
        <x:f>'Debt &amp; cash'!Y57/Economy!O57</x:f>
        <x:v>0.007497377479857421</x:v>
      </x:c>
      <x:c r="L57" s="80" t="str">
        <x:f>IF('Debt &amp; cash'!Y57&lt;=mkt_capacity*Economy!O57+foreign_capacity,"OK","Check")</x:f>
        <x:v>OK</x:v>
      </x:c>
      <x:c r="M57" s="80" t="str">
        <x:f>IF($A57&lt;1900,"n/a",IF('Gold &amp; money'!K57&gt;=0,"OK","Check"))</x:f>
        <x:v>n/a</x:v>
      </x:c>
      <x:c r="N57" s="81" t="n">
        <x:f>Japan!AA57</x:f>
        <x:v>0.10113844609904007</x:v>
      </x:c>
      <x:c r="O57" s="80" t="str">
        <x:f>IF(N57&lt;=1,"OK","Check")</x:f>
        <x:v>OK</x:v>
      </x:c>
      <x:c r="P57" s="80" t="str">
        <x:f>IF($A57&lt;1922,"n/a",IF(AND(Navy!AE57&gt;=0.95,Navy!AE57&lt;=1.1),"OK","Check"))</x:f>
        <x:v>n/a</x:v>
      </x:c>
      <x:c r="Q57" s="80" t="str">
        <x:f>IF(Navy!Z57=0,"n/a",IF(Resources!K57&gt;=Navy!Z57,"OK","Check"))</x:f>
        <x:v>OK</x:v>
      </x:c>
      <x:c r="R57" s="80" t="str">
        <x:f>IF(AND(gulf_on=1,$A57=gulf_year),IF(Gulf!AF57=1,"OK","Check"),"n/a")</x:f>
        <x:v>n/a</x:v>
      </x:c>
      <x:c r="S57" s="47" t="n">
        <x:f>COUNTIF(B57:R57,"Check")+COUNTIF(T57:Z57,"Check")</x:f>
        <x:v>0</x:v>
      </x:c>
      <x:c r="T57" t="str">
        <x:f>IF(ABS(Japan!AM57)&lt;0.001,"OK","Check")</x:f>
        <x:v>OK</x:v>
      </x:c>
      <x:c r="U57" t="str">
        <x:f>"n/a"</x:f>
        <x:v>n/a</x:v>
      </x:c>
      <x:c r="V57" t="str">
        <x:f>"n/a"</x:f>
        <x:v>n/a</x:v>
      </x:c>
      <x:c r="W57" t="str">
        <x:f>"n/a"</x:f>
        <x:v>n/a</x:v>
      </x:c>
      <x:c r="X57" t="str">
        <x:f>"n/a"</x:f>
        <x:v>n/a</x:v>
      </x:c>
      <x:c r="Y57" t="str">
        <x:f>IF(Abroad!T57&gt;=-0.001,"OK","Check")</x:f>
        <x:v>OK</x:v>
      </x:c>
      <x:c r="Z57" t="str">
        <x:f>"n/a"</x:f>
        <x:v>n/a</x:v>
      </x:c>
    </x:row>
    <x:row r="58">
      <x:c r="A58" s="58" t="n">
        <x:v>1898</x:v>
      </x:c>
      <x:c r="B58" s="80" t="str">
        <x:f>IF(ABS(People!L58-(People!B58+People!C58+People!D58+People!K58))&lt;1,"OK","Check")</x:f>
        <x:v>OK</x:v>
      </x:c>
      <x:c r="C58" s="80" t="str">
        <x:f>IF(ABS('Debt &amp; cash'!M58-'Debt &amp; cash'!E58)&lt;0.001,"OK","Check")</x:f>
        <x:v>OK</x:v>
      </x:c>
      <x:c r="D58" s="80" t="str">
        <x:f>IF('Debt &amp; cash'!S58&gt;=-0.001,"OK","Check")</x:f>
        <x:v>OK</x:v>
      </x:c>
      <x:c r="E58" s="81" t="n">
        <x:f>'Debt &amp; cash'!V58</x:f>
        <x:v>0.05000000000000001</x:v>
      </x:c>
      <x:c r="F58" s="80" t="str">
        <x:f>IF($A58&lt;1887,"n/a",IF(E58&lt;=cap_debt,"OK","Check"))</x:f>
        <x:v>OK</x:v>
      </x:c>
      <x:c r="G58" s="81" t="n">
        <x:f>'Debt &amp; cash'!W58</x:f>
        <x:v>0.019528538419458136</x:v>
      </x:c>
      <x:c r="H58" s="80" t="str">
        <x:f>IF($A58&lt;1887,"n/a",IF(G58&lt;=cap_int,"OK","Check"))</x:f>
        <x:v>OK</x:v>
      </x:c>
      <x:c r="I58" s="81" t="n">
        <x:f>Budget!AC58</x:f>
        <x:v>0.011177644610356785</x:v>
      </x:c>
      <x:c r="J58" s="80" t="str">
        <x:f>IF($A58&lt;1887,"n/a",IF(Paths!AC58=1,"War year",IF(I58&lt;=cap_def,"OK","Check")))</x:f>
        <x:v>OK</x:v>
      </x:c>
      <x:c r="K58" s="63" t="n">
        <x:f>'Debt &amp; cash'!Y58/Economy!O58</x:f>
        <x:v>0.0060235030018491245</x:v>
      </x:c>
      <x:c r="L58" s="80" t="str">
        <x:f>IF('Debt &amp; cash'!Y58&lt;=mkt_capacity*Economy!O58+foreign_capacity,"OK","Check")</x:f>
        <x:v>OK</x:v>
      </x:c>
      <x:c r="M58" s="80" t="str">
        <x:f>IF($A58&lt;1900,"n/a",IF('Gold &amp; money'!K58&gt;=0,"OK","Check"))</x:f>
        <x:v>n/a</x:v>
      </x:c>
      <x:c r="N58" s="81" t="n">
        <x:f>Japan!AA58</x:f>
        <x:v>0.14769146759037607</x:v>
      </x:c>
      <x:c r="O58" s="80" t="str">
        <x:f>IF(N58&lt;=1,"OK","Check")</x:f>
        <x:v>OK</x:v>
      </x:c>
      <x:c r="P58" s="80" t="str">
        <x:f>IF($A58&lt;1922,"n/a",IF(AND(Navy!AE58&gt;=0.95,Navy!AE58&lt;=1.1),"OK","Check"))</x:f>
        <x:v>n/a</x:v>
      </x:c>
      <x:c r="Q58" s="80" t="str">
        <x:f>IF(Navy!Z58=0,"n/a",IF(Resources!K58&gt;=Navy!Z58,"OK","Check"))</x:f>
        <x:v>OK</x:v>
      </x:c>
      <x:c r="R58" s="80" t="str">
        <x:f>IF(AND(gulf_on=1,$A58=gulf_year),IF(Gulf!AF58=1,"OK","Check"),"n/a")</x:f>
        <x:v>n/a</x:v>
      </x:c>
      <x:c r="S58" s="47" t="n">
        <x:f>COUNTIF(B58:R58,"Check")+COUNTIF(T58:Z58,"Check")</x:f>
        <x:v>0</x:v>
      </x:c>
      <x:c r="T58" t="str">
        <x:f>IF(ABS(Japan!AM58)&lt;0.001,"OK","Check")</x:f>
        <x:v>OK</x:v>
      </x:c>
      <x:c r="U58" t="str">
        <x:f>"n/a"</x:f>
        <x:v>n/a</x:v>
      </x:c>
      <x:c r="V58" t="str">
        <x:f>"n/a"</x:f>
        <x:v>n/a</x:v>
      </x:c>
      <x:c r="W58" t="str">
        <x:f>"n/a"</x:f>
        <x:v>n/a</x:v>
      </x:c>
      <x:c r="X58" t="str">
        <x:f>"n/a"</x:f>
        <x:v>n/a</x:v>
      </x:c>
      <x:c r="Y58" t="str">
        <x:f>IF(Abroad!T58&gt;=-0.001,"OK","Check")</x:f>
        <x:v>OK</x:v>
      </x:c>
      <x:c r="Z58" t="str">
        <x:f>"n/a"</x:f>
        <x:v>n/a</x:v>
      </x:c>
    </x:row>
    <x:row r="59">
      <x:c r="A59" s="58" t="n">
        <x:v>1899</x:v>
      </x:c>
      <x:c r="B59" s="80" t="str">
        <x:f>IF(ABS(People!L59-(People!B59+People!C59+People!D59+People!K59))&lt;1,"OK","Check")</x:f>
        <x:v>OK</x:v>
      </x:c>
      <x:c r="C59" s="80" t="str">
        <x:f>IF(ABS('Debt &amp; cash'!M59-'Debt &amp; cash'!E59)&lt;0.001,"OK","Check")</x:f>
        <x:v>OK</x:v>
      </x:c>
      <x:c r="D59" s="80" t="str">
        <x:f>IF('Debt &amp; cash'!S59&gt;=-0.001,"OK","Check")</x:f>
        <x:v>OK</x:v>
      </x:c>
      <x:c r="E59" s="81" t="n">
        <x:f>'Debt &amp; cash'!V59</x:f>
        <x:v>0.05</x:v>
      </x:c>
      <x:c r="F59" s="80" t="str">
        <x:f>IF($A59&lt;1887,"n/a",IF(E59&lt;=cap_debt,"OK","Check"))</x:f>
        <x:v>OK</x:v>
      </x:c>
      <x:c r="G59" s="81" t="n">
        <x:f>'Debt &amp; cash'!W59</x:f>
        <x:v>0.019343695576725193</x:v>
      </x:c>
      <x:c r="H59" s="80" t="str">
        <x:f>IF($A59&lt;1887,"n/a",IF(G59&lt;=cap_int,"OK","Check"))</x:f>
        <x:v>OK</x:v>
      </x:c>
      <x:c r="I59" s="81" t="n">
        <x:f>Budget!AC59</x:f>
        <x:v>0.010108339980071367</x:v>
      </x:c>
      <x:c r="J59" s="80" t="str">
        <x:f>IF($A59&lt;1887,"n/a",IF(Paths!AC59=1,"War year",IF(I59&lt;=cap_def,"OK","Check")))</x:f>
        <x:v>OK</x:v>
      </x:c>
      <x:c r="K59" s="63" t="n">
        <x:f>'Debt &amp; cash'!Y59/Economy!O59</x:f>
        <x:v>0.00619746049370539</x:v>
      </x:c>
      <x:c r="L59" s="80" t="str">
        <x:f>IF('Debt &amp; cash'!Y59&lt;=mkt_capacity*Economy!O59+foreign_capacity,"OK","Check")</x:f>
        <x:v>OK</x:v>
      </x:c>
      <x:c r="M59" s="80" t="str">
        <x:f>IF($A59&lt;1900,"n/a",IF('Gold &amp; money'!K59&gt;=0,"OK","Check"))</x:f>
        <x:v>n/a</x:v>
      </x:c>
      <x:c r="N59" s="81" t="n">
        <x:f>Japan!AA59</x:f>
        <x:v>0.19111266277319486</x:v>
      </x:c>
      <x:c r="O59" s="80" t="str">
        <x:f>IF(N59&lt;=1,"OK","Check")</x:f>
        <x:v>OK</x:v>
      </x:c>
      <x:c r="P59" s="80" t="str">
        <x:f>IF($A59&lt;1922,"n/a",IF(AND(Navy!AE59&gt;=0.95,Navy!AE59&lt;=1.1),"OK","Check"))</x:f>
        <x:v>n/a</x:v>
      </x:c>
      <x:c r="Q59" s="80" t="str">
        <x:f>IF(Navy!Z59=0,"n/a",IF(Resources!K59&gt;=Navy!Z59,"OK","Check"))</x:f>
        <x:v>OK</x:v>
      </x:c>
      <x:c r="R59" s="80" t="str">
        <x:f>IF(AND(gulf_on=1,$A59=gulf_year),IF(Gulf!AF59=1,"OK","Check"),"n/a")</x:f>
        <x:v>n/a</x:v>
      </x:c>
      <x:c r="S59" s="47" t="n">
        <x:f>COUNTIF(B59:R59,"Check")+COUNTIF(T59:Z59,"Check")</x:f>
        <x:v>0</x:v>
      </x:c>
      <x:c r="T59" t="str">
        <x:f>IF(ABS(Japan!AM59)&lt;0.001,"OK","Check")</x:f>
        <x:v>OK</x:v>
      </x:c>
      <x:c r="U59" t="str">
        <x:f>"n/a"</x:f>
        <x:v>n/a</x:v>
      </x:c>
      <x:c r="V59" t="str">
        <x:f>"n/a"</x:f>
        <x:v>n/a</x:v>
      </x:c>
      <x:c r="W59" t="str">
        <x:f>"n/a"</x:f>
        <x:v>n/a</x:v>
      </x:c>
      <x:c r="X59" t="str">
        <x:f>"n/a"</x:f>
        <x:v>n/a</x:v>
      </x:c>
      <x:c r="Y59" t="str">
        <x:f>IF(Abroad!T59&gt;=-0.001,"OK","Check")</x:f>
        <x:v>OK</x:v>
      </x:c>
      <x:c r="Z59" t="str">
        <x:f>"n/a"</x:f>
        <x:v>n/a</x:v>
      </x:c>
    </x:row>
    <x:row r="60">
      <x:c r="A60" s="58" t="n">
        <x:v>1900</x:v>
      </x:c>
      <x:c r="B60" s="80" t="str">
        <x:f>IF(ABS(People!L60-(People!B60+People!C60+People!D60+People!K60))&lt;1,"OK","Check")</x:f>
        <x:v>OK</x:v>
      </x:c>
      <x:c r="C60" s="80" t="str">
        <x:f>IF(ABS('Debt &amp; cash'!M60-'Debt &amp; cash'!E60)&lt;0.001,"OK","Check")</x:f>
        <x:v>OK</x:v>
      </x:c>
      <x:c r="D60" s="80" t="str">
        <x:f>IF('Debt &amp; cash'!S60&gt;=-0.001,"OK","Check")</x:f>
        <x:v>OK</x:v>
      </x:c>
      <x:c r="E60" s="81" t="n">
        <x:f>'Debt &amp; cash'!V60</x:f>
        <x:v>0.05</x:v>
      </x:c>
      <x:c r="F60" s="80" t="str">
        <x:f>IF($A60&lt;1887,"n/a",IF(E60&lt;=cap_debt,"OK","Check"))</x:f>
        <x:v>OK</x:v>
      </x:c>
      <x:c r="G60" s="81" t="n">
        <x:f>'Debt &amp; cash'!W60</x:f>
        <x:v>0.01910959387592324</x:v>
      </x:c>
      <x:c r="H60" s="80" t="str">
        <x:f>IF($A60&lt;1887,"n/a",IF(G60&lt;=cap_int,"OK","Check"))</x:f>
        <x:v>OK</x:v>
      </x:c>
      <x:c r="I60" s="81" t="n">
        <x:f>Budget!AC60</x:f>
        <x:v>0.008276629022247418</x:v>
      </x:c>
      <x:c r="J60" s="80" t="str">
        <x:f>IF($A60&lt;1887,"n/a",IF(Paths!AC60=1,"War year",IF(I60&lt;=cap_def,"OK","Check")))</x:f>
        <x:v>OK</x:v>
      </x:c>
      <x:c r="K60" s="63" t="n">
        <x:f>'Debt &amp; cash'!Y60/Economy!O60</x:f>
        <x:v>0.007944936627538292</x:v>
      </x:c>
      <x:c r="L60" s="80" t="str">
        <x:f>IF('Debt &amp; cash'!Y60&lt;=mkt_capacity*Economy!O60+foreign_capacity,"OK","Check")</x:f>
        <x:v>OK</x:v>
      </x:c>
      <x:c r="M60" s="80" t="str">
        <x:f>IF($A60&lt;1900,"n/a",IF('Gold &amp; money'!K60&gt;=0,"OK","Check"))</x:f>
        <x:v>OK</x:v>
      </x:c>
      <x:c r="N60" s="81" t="n">
        <x:f>Japan!AA60</x:f>
        <x:v>0.18312704624308784</x:v>
      </x:c>
      <x:c r="O60" s="80" t="str">
        <x:f>IF(N60&lt;=1,"OK","Check")</x:f>
        <x:v>OK</x:v>
      </x:c>
      <x:c r="P60" s="80" t="str">
        <x:f>IF($A60&lt;1922,"n/a",IF(AND(Navy!AE60&gt;=0.95,Navy!AE60&lt;=1.1),"OK","Check"))</x:f>
        <x:v>n/a</x:v>
      </x:c>
      <x:c r="Q60" s="80" t="str">
        <x:f>IF(Navy!Z60=0,"n/a",IF(Resources!K60&gt;=Navy!Z60,"OK","Check"))</x:f>
        <x:v>OK</x:v>
      </x:c>
      <x:c r="R60" s="80" t="str">
        <x:f>IF(AND(gulf_on=1,$A60=gulf_year),IF(Gulf!AF60=1,"OK","Check"),"n/a")</x:f>
        <x:v>n/a</x:v>
      </x:c>
      <x:c r="S60" s="47" t="n">
        <x:f>COUNTIF(B60:R60,"Check")+COUNTIF(T60:Z60,"Check")</x:f>
        <x:v>0</x:v>
      </x:c>
      <x:c r="T60" t="str">
        <x:f>IF(ABS(Japan!AM60)&lt;0.001,"OK","Check")</x:f>
        <x:v>OK</x:v>
      </x:c>
      <x:c r="U60" t="str">
        <x:f>"n/a"</x:f>
        <x:v>n/a</x:v>
      </x:c>
      <x:c r="V60" t="str">
        <x:f>"n/a"</x:f>
        <x:v>n/a</x:v>
      </x:c>
      <x:c r="W60" t="str">
        <x:f>"n/a"</x:f>
        <x:v>n/a</x:v>
      </x:c>
      <x:c r="X60" t="str">
        <x:f>"n/a"</x:f>
        <x:v>n/a</x:v>
      </x:c>
      <x:c r="Y60" t="str">
        <x:f>IF(Abroad!T60&gt;=-0.001,"OK","Check")</x:f>
        <x:v>OK</x:v>
      </x:c>
      <x:c r="Z60" t="str">
        <x:f>"n/a"</x:f>
        <x:v>n/a</x:v>
      </x:c>
    </x:row>
    <x:row r="61">
      <x:c r="A61" s="58" t="n">
        <x:v>1901</x:v>
      </x:c>
      <x:c r="B61" s="80" t="str">
        <x:f>IF(ABS(People!L61-(People!B61+People!C61+People!D61+People!K61))&lt;1,"OK","Check")</x:f>
        <x:v>OK</x:v>
      </x:c>
      <x:c r="C61" s="80" t="str">
        <x:f>IF(ABS('Debt &amp; cash'!M61-'Debt &amp; cash'!E61)&lt;0.001,"OK","Check")</x:f>
        <x:v>OK</x:v>
      </x:c>
      <x:c r="D61" s="80" t="str">
        <x:f>IF('Debt &amp; cash'!S61&gt;=-0.001,"OK","Check")</x:f>
        <x:v>OK</x:v>
      </x:c>
      <x:c r="E61" s="81" t="n">
        <x:f>'Debt &amp; cash'!V61</x:f>
        <x:v>0.05</x:v>
      </x:c>
      <x:c r="F61" s="80" t="str">
        <x:f>IF($A61&lt;1887,"n/a",IF(E61&lt;=cap_debt,"OK","Check"))</x:f>
        <x:v>OK</x:v>
      </x:c>
      <x:c r="G61" s="81" t="n">
        <x:f>'Debt &amp; cash'!W61</x:f>
        <x:v>0.018704702302456973</x:v>
      </x:c>
      <x:c r="H61" s="80" t="str">
        <x:f>IF($A61&lt;1887,"n/a",IF(G61&lt;=cap_int,"OK","Check"))</x:f>
        <x:v>OK</x:v>
      </x:c>
      <x:c r="I61" s="81" t="n">
        <x:f>Budget!AC61</x:f>
        <x:v>0.007691218401914774</x:v>
      </x:c>
      <x:c r="J61" s="80" t="str">
        <x:f>IF($A61&lt;1887,"n/a",IF(Paths!AC61=1,"War year",IF(I61&lt;=cap_def,"OK","Check")))</x:f>
        <x:v>OK</x:v>
      </x:c>
      <x:c r="K61" s="63" t="n">
        <x:f>'Debt &amp; cash'!Y61/Economy!O61</x:f>
        <x:v>0.009113808967125516</x:v>
      </x:c>
      <x:c r="L61" s="80" t="str">
        <x:f>IF('Debt &amp; cash'!Y61&lt;=mkt_capacity*Economy!O61+foreign_capacity,"OK","Check")</x:f>
        <x:v>OK</x:v>
      </x:c>
      <x:c r="M61" s="80" t="str">
        <x:f>IF($A61&lt;1900,"n/a",IF('Gold &amp; money'!K61&gt;=0,"OK","Check"))</x:f>
        <x:v>OK</x:v>
      </x:c>
      <x:c r="N61" s="81" t="n">
        <x:f>Japan!AA61</x:f>
        <x:v>0.16817321296489202</x:v>
      </x:c>
      <x:c r="O61" s="80" t="str">
        <x:f>IF(N61&lt;=1,"OK","Check")</x:f>
        <x:v>OK</x:v>
      </x:c>
      <x:c r="P61" s="80" t="str">
        <x:f>IF($A61&lt;1922,"n/a",IF(AND(Navy!AE61&gt;=0.95,Navy!AE61&lt;=1.1),"OK","Check"))</x:f>
        <x:v>n/a</x:v>
      </x:c>
      <x:c r="Q61" s="80" t="str">
        <x:f>IF(Navy!Z61=0,"n/a",IF(Resources!K61&gt;=Navy!Z61,"OK","Check"))</x:f>
        <x:v>OK</x:v>
      </x:c>
      <x:c r="R61" s="80" t="str">
        <x:f>IF(AND(gulf_on=1,$A61=gulf_year),IF(Gulf!AF61=1,"OK","Check"),"n/a")</x:f>
        <x:v>n/a</x:v>
      </x:c>
      <x:c r="S61" s="47" t="n">
        <x:f>COUNTIF(B61:R61,"Check")+COUNTIF(T61:Z61,"Check")</x:f>
        <x:v>0</x:v>
      </x:c>
      <x:c r="T61" t="str">
        <x:f>IF(ABS(Japan!AM61)&lt;0.001,"OK","Check")</x:f>
        <x:v>OK</x:v>
      </x:c>
      <x:c r="U61" t="str">
        <x:f>"n/a"</x:f>
        <x:v>n/a</x:v>
      </x:c>
      <x:c r="V61" t="str">
        <x:f>"n/a"</x:f>
        <x:v>n/a</x:v>
      </x:c>
      <x:c r="W61" t="str">
        <x:f>"n/a"</x:f>
        <x:v>n/a</x:v>
      </x:c>
      <x:c r="X61" t="str">
        <x:f>"n/a"</x:f>
        <x:v>n/a</x:v>
      </x:c>
      <x:c r="Y61" t="str">
        <x:f>IF(Abroad!T61&gt;=-0.001,"OK","Check")</x:f>
        <x:v>OK</x:v>
      </x:c>
      <x:c r="Z61" t="str">
        <x:f>"n/a"</x:f>
        <x:v>n/a</x:v>
      </x:c>
    </x:row>
    <x:row r="62">
      <x:c r="A62" s="58" t="n">
        <x:v>1902</x:v>
      </x:c>
      <x:c r="B62" s="80" t="str">
        <x:f>IF(ABS(People!L62-(People!B62+People!C62+People!D62+People!K62))&lt;1,"OK","Check")</x:f>
        <x:v>OK</x:v>
      </x:c>
      <x:c r="C62" s="80" t="str">
        <x:f>IF(ABS('Debt &amp; cash'!M62-'Debt &amp; cash'!E62)&lt;0.001,"OK","Check")</x:f>
        <x:v>OK</x:v>
      </x:c>
      <x:c r="D62" s="80" t="str">
        <x:f>IF('Debt &amp; cash'!S62&gt;=-0.001,"OK","Check")</x:f>
        <x:v>OK</x:v>
      </x:c>
      <x:c r="E62" s="81" t="n">
        <x:f>'Debt &amp; cash'!V62</x:f>
        <x:v>0.05</x:v>
      </x:c>
      <x:c r="F62" s="80" t="str">
        <x:f>IF($A62&lt;1887,"n/a",IF(E62&lt;=cap_debt,"OK","Check"))</x:f>
        <x:v>OK</x:v>
      </x:c>
      <x:c r="G62" s="81" t="n">
        <x:f>'Debt &amp; cash'!W62</x:f>
        <x:v>0.01845210173289683</x:v>
      </x:c>
      <x:c r="H62" s="80" t="str">
        <x:f>IF($A62&lt;1887,"n/a",IF(G62&lt;=cap_int,"OK","Check"))</x:f>
        <x:v>OK</x:v>
      </x:c>
      <x:c r="I62" s="81" t="n">
        <x:f>Budget!AC62</x:f>
        <x:v>0.007677073149571091</x:v>
      </x:c>
      <x:c r="J62" s="80" t="str">
        <x:f>IF($A62&lt;1887,"n/a",IF(Paths!AC62=1,"War year",IF(I62&lt;=cap_def,"OK","Check")))</x:f>
        <x:v>OK</x:v>
      </x:c>
      <x:c r="K62" s="63" t="n">
        <x:f>'Debt &amp; cash'!Y62/Economy!O62</x:f>
        <x:v>0.010304843300075549</x:v>
      </x:c>
      <x:c r="L62" s="80" t="str">
        <x:f>IF('Debt &amp; cash'!Y62&lt;=mkt_capacity*Economy!O62+foreign_capacity,"OK","Check")</x:f>
        <x:v>OK</x:v>
      </x:c>
      <x:c r="M62" s="80" t="str">
        <x:f>IF($A62&lt;1900,"n/a",IF('Gold &amp; money'!K62&gt;=0,"OK","Check"))</x:f>
        <x:v>OK</x:v>
      </x:c>
      <x:c r="N62" s="81" t="n">
        <x:f>Japan!AA62</x:f>
        <x:v>0.15247502646817668</x:v>
      </x:c>
      <x:c r="O62" s="80" t="str">
        <x:f>IF(N62&lt;=1,"OK","Check")</x:f>
        <x:v>OK</x:v>
      </x:c>
      <x:c r="P62" s="80" t="str">
        <x:f>IF($A62&lt;1922,"n/a",IF(AND(Navy!AE62&gt;=0.95,Navy!AE62&lt;=1.1),"OK","Check"))</x:f>
        <x:v>n/a</x:v>
      </x:c>
      <x:c r="Q62" s="80" t="str">
        <x:f>IF(Navy!Z62=0,"n/a",IF(Resources!K62&gt;=Navy!Z62,"OK","Check"))</x:f>
        <x:v>OK</x:v>
      </x:c>
      <x:c r="R62" s="80" t="str">
        <x:f>IF(AND(gulf_on=1,$A62=gulf_year),IF(Gulf!AF62=1,"OK","Check"),"n/a")</x:f>
        <x:v>n/a</x:v>
      </x:c>
      <x:c r="S62" s="47" t="n">
        <x:f>COUNTIF(B62:R62,"Check")+COUNTIF(T62:Z62,"Check")</x:f>
        <x:v>0</x:v>
      </x:c>
      <x:c r="T62" t="str">
        <x:f>IF(ABS(Japan!AM62)&lt;0.001,"OK","Check")</x:f>
        <x:v>OK</x:v>
      </x:c>
      <x:c r="U62" t="str">
        <x:f>"n/a"</x:f>
        <x:v>n/a</x:v>
      </x:c>
      <x:c r="V62" t="str">
        <x:f>"n/a"</x:f>
        <x:v>n/a</x:v>
      </x:c>
      <x:c r="W62" t="str">
        <x:f>"n/a"</x:f>
        <x:v>n/a</x:v>
      </x:c>
      <x:c r="X62" t="str">
        <x:f>"n/a"</x:f>
        <x:v>n/a</x:v>
      </x:c>
      <x:c r="Y62" t="str">
        <x:f>IF(Abroad!T62&gt;=-0.001,"OK","Check")</x:f>
        <x:v>OK</x:v>
      </x:c>
      <x:c r="Z62" t="str">
        <x:f>"n/a"</x:f>
        <x:v>n/a</x:v>
      </x:c>
    </x:row>
    <x:row r="63">
      <x:c r="A63" s="58" t="n">
        <x:v>1903</x:v>
      </x:c>
      <x:c r="B63" s="80" t="str">
        <x:f>IF(ABS(People!L63-(People!B63+People!C63+People!D63+People!K63))&lt;1,"OK","Check")</x:f>
        <x:v>OK</x:v>
      </x:c>
      <x:c r="C63" s="80" t="str">
        <x:f>IF(ABS('Debt &amp; cash'!M63-'Debt &amp; cash'!E63)&lt;0.001,"OK","Check")</x:f>
        <x:v>OK</x:v>
      </x:c>
      <x:c r="D63" s="80" t="str">
        <x:f>IF('Debt &amp; cash'!S63&gt;=-0.001,"OK","Check")</x:f>
        <x:v>OK</x:v>
      </x:c>
      <x:c r="E63" s="81" t="n">
        <x:f>'Debt &amp; cash'!V63</x:f>
        <x:v>0.049999999999999996</x:v>
      </x:c>
      <x:c r="F63" s="80" t="str">
        <x:f>IF($A63&lt;1887,"n/a",IF(E63&lt;=cap_debt,"OK","Check"))</x:f>
        <x:v>OK</x:v>
      </x:c>
      <x:c r="G63" s="81" t="n">
        <x:f>'Debt &amp; cash'!W63</x:f>
        <x:v>0.01821019045716111</x:v>
      </x:c>
      <x:c r="H63" s="80" t="str">
        <x:f>IF($A63&lt;1887,"n/a",IF(G63&lt;=cap_int,"OK","Check"))</x:f>
        <x:v>OK</x:v>
      </x:c>
      <x:c r="I63" s="81" t="n">
        <x:f>Budget!AC63</x:f>
        <x:v>0.007543634897719655</x:v>
      </x:c>
      <x:c r="J63" s="80" t="str">
        <x:f>IF($A63&lt;1887,"n/a",IF(Paths!AC63=1,"War year",IF(I63&lt;=cap_def,"OK","Check")))</x:f>
        <x:v>OK</x:v>
      </x:c>
      <x:c r="K63" s="63" t="n">
        <x:f>'Debt &amp; cash'!Y63/Economy!O63</x:f>
        <x:v>0.010471864990488982</x:v>
      </x:c>
      <x:c r="L63" s="80" t="str">
        <x:f>IF('Debt &amp; cash'!Y63&lt;=mkt_capacity*Economy!O63+foreign_capacity,"OK","Check")</x:f>
        <x:v>OK</x:v>
      </x:c>
      <x:c r="M63" s="80" t="str">
        <x:f>IF($A63&lt;1900,"n/a",IF('Gold &amp; money'!K63&gt;=0,"OK","Check"))</x:f>
        <x:v>OK</x:v>
      </x:c>
      <x:c r="N63" s="81" t="n">
        <x:f>Japan!AA63</x:f>
        <x:v>0.13596049039009522</x:v>
      </x:c>
      <x:c r="O63" s="80" t="str">
        <x:f>IF(N63&lt;=1,"OK","Check")</x:f>
        <x:v>OK</x:v>
      </x:c>
      <x:c r="P63" s="80" t="str">
        <x:f>IF($A63&lt;1922,"n/a",IF(AND(Navy!AE63&gt;=0.95,Navy!AE63&lt;=1.1),"OK","Check"))</x:f>
        <x:v>n/a</x:v>
      </x:c>
      <x:c r="Q63" s="80" t="str">
        <x:f>IF(Navy!Z63=0,"n/a",IF(Resources!K63&gt;=Navy!Z63,"OK","Check"))</x:f>
        <x:v>OK</x:v>
      </x:c>
      <x:c r="R63" s="80" t="str">
        <x:f>IF(AND(gulf_on=1,$A63=gulf_year),IF(Gulf!AF63=1,"OK","Check"),"n/a")</x:f>
        <x:v>n/a</x:v>
      </x:c>
      <x:c r="S63" s="47" t="n">
        <x:f>COUNTIF(B63:R63,"Check")+COUNTIF(T63:Z63,"Check")</x:f>
        <x:v>0</x:v>
      </x:c>
      <x:c r="T63" t="str">
        <x:f>IF(ABS(Japan!AM63)&lt;0.001,"OK","Check")</x:f>
        <x:v>OK</x:v>
      </x:c>
      <x:c r="U63" t="str">
        <x:f>"n/a"</x:f>
        <x:v>n/a</x:v>
      </x:c>
      <x:c r="V63" t="str">
        <x:f>"n/a"</x:f>
        <x:v>n/a</x:v>
      </x:c>
      <x:c r="W63" t="str">
        <x:f>"n/a"</x:f>
        <x:v>n/a</x:v>
      </x:c>
      <x:c r="X63" t="str">
        <x:f>"n/a"</x:f>
        <x:v>n/a</x:v>
      </x:c>
      <x:c r="Y63" t="str">
        <x:f>IF(Abroad!T63&gt;=-0.001,"OK","Check")</x:f>
        <x:v>OK</x:v>
      </x:c>
      <x:c r="Z63" t="str">
        <x:f>"n/a"</x:f>
        <x:v>n/a</x:v>
      </x:c>
    </x:row>
    <x:row r="64">
      <x:c r="A64" s="58" t="n">
        <x:v>1904</x:v>
      </x:c>
      <x:c r="B64" s="80" t="str">
        <x:f>IF(ABS(People!L64-(People!B64+People!C64+People!D64+People!K64))&lt;1,"OK","Check")</x:f>
        <x:v>OK</x:v>
      </x:c>
      <x:c r="C64" s="80" t="str">
        <x:f>IF(ABS('Debt &amp; cash'!M64-'Debt &amp; cash'!E64)&lt;0.001,"OK","Check")</x:f>
        <x:v>OK</x:v>
      </x:c>
      <x:c r="D64" s="80" t="str">
        <x:f>IF('Debt &amp; cash'!S64&gt;=-0.001,"OK","Check")</x:f>
        <x:v>OK</x:v>
      </x:c>
      <x:c r="E64" s="81" t="n">
        <x:f>'Debt &amp; cash'!V64</x:f>
        <x:v>0.05</x:v>
      </x:c>
      <x:c r="F64" s="80" t="str">
        <x:f>IF($A64&lt;1887,"n/a",IF(E64&lt;=cap_debt,"OK","Check"))</x:f>
        <x:v>OK</x:v>
      </x:c>
      <x:c r="G64" s="81" t="n">
        <x:f>'Debt &amp; cash'!W64</x:f>
        <x:v>0.01801688330333079</x:v>
      </x:c>
      <x:c r="H64" s="80" t="str">
        <x:f>IF($A64&lt;1887,"n/a",IF(G64&lt;=cap_int,"OK","Check"))</x:f>
        <x:v>OK</x:v>
      </x:c>
      <x:c r="I64" s="81" t="n">
        <x:f>Budget!AC64</x:f>
        <x:v>0.007638724498711714</x:v>
      </x:c>
      <x:c r="J64" s="80" t="str">
        <x:f>IF($A64&lt;1887,"n/a",IF(Paths!AC64=1,"War year",IF(I64&lt;=cap_def,"OK","Check")))</x:f>
        <x:v>OK</x:v>
      </x:c>
      <x:c r="K64" s="63" t="n">
        <x:f>'Debt &amp; cash'!Y64/Economy!O64</x:f>
        <x:v>0.00913023439000274</x:v>
      </x:c>
      <x:c r="L64" s="80" t="str">
        <x:f>IF('Debt &amp; cash'!Y64&lt;=mkt_capacity*Economy!O64+foreign_capacity,"OK","Check")</x:f>
        <x:v>OK</x:v>
      </x:c>
      <x:c r="M64" s="80" t="str">
        <x:f>IF($A64&lt;1900,"n/a",IF('Gold &amp; money'!K64&gt;=0,"OK","Check"))</x:f>
        <x:v>OK</x:v>
      </x:c>
      <x:c r="N64" s="81" t="n">
        <x:f>Japan!AA64</x:f>
        <x:v>0.282462135893417</x:v>
      </x:c>
      <x:c r="O64" s="80" t="str">
        <x:f>IF(N64&lt;=1,"OK","Check")</x:f>
        <x:v>OK</x:v>
      </x:c>
      <x:c r="P64" s="80" t="str">
        <x:f>IF($A64&lt;1922,"n/a",IF(AND(Navy!AE64&gt;=0.95,Navy!AE64&lt;=1.1),"OK","Check"))</x:f>
        <x:v>n/a</x:v>
      </x:c>
      <x:c r="Q64" s="80" t="str">
        <x:f>IF(Navy!Z64=0,"n/a",IF(Resources!K64&gt;=Navy!Z64,"OK","Check"))</x:f>
        <x:v>OK</x:v>
      </x:c>
      <x:c r="R64" s="80" t="str">
        <x:f>IF(AND(gulf_on=1,$A64=gulf_year),IF(Gulf!AF64=1,"OK","Check"),"n/a")</x:f>
        <x:v>n/a</x:v>
      </x:c>
      <x:c r="S64" s="47" t="n">
        <x:f>COUNTIF(B64:R64,"Check")+COUNTIF(T64:Z64,"Check")</x:f>
        <x:v>0</x:v>
      </x:c>
      <x:c r="T64" t="str">
        <x:f>IF(ABS(Japan!AM64)&lt;0.001,"OK","Check")</x:f>
        <x:v>OK</x:v>
      </x:c>
      <x:c r="U64" t="str">
        <x:f>"n/a"</x:f>
        <x:v>n/a</x:v>
      </x:c>
      <x:c r="V64" t="str">
        <x:f>"n/a"</x:f>
        <x:v>n/a</x:v>
      </x:c>
      <x:c r="W64" t="str">
        <x:f>"n/a"</x:f>
        <x:v>n/a</x:v>
      </x:c>
      <x:c r="X64" t="str">
        <x:f>"n/a"</x:f>
        <x:v>n/a</x:v>
      </x:c>
      <x:c r="Y64" t="str">
        <x:f>IF(Abroad!T64&gt;=-0.001,"OK","Check")</x:f>
        <x:v>OK</x:v>
      </x:c>
      <x:c r="Z64" t="str">
        <x:f>"n/a"</x:f>
        <x:v>n/a</x:v>
      </x:c>
    </x:row>
    <x:row r="65">
      <x:c r="A65" s="58" t="n">
        <x:v>1905</x:v>
      </x:c>
      <x:c r="B65" s="80" t="str">
        <x:f>IF(ABS(People!L65-(People!B65+People!C65+People!D65+People!K65))&lt;1,"OK","Check")</x:f>
        <x:v>OK</x:v>
      </x:c>
      <x:c r="C65" s="80" t="str">
        <x:f>IF(ABS('Debt &amp; cash'!M65-'Debt &amp; cash'!E65)&lt;0.001,"OK","Check")</x:f>
        <x:v>OK</x:v>
      </x:c>
      <x:c r="D65" s="80" t="str">
        <x:f>IF('Debt &amp; cash'!S65&gt;=-0.001,"OK","Check")</x:f>
        <x:v>OK</x:v>
      </x:c>
      <x:c r="E65" s="81" t="n">
        <x:f>'Debt &amp; cash'!V65</x:f>
        <x:v>0.05000000000000001</x:v>
      </x:c>
      <x:c r="F65" s="80" t="str">
        <x:f>IF($A65&lt;1887,"n/a",IF(E65&lt;=cap_debt,"OK","Check"))</x:f>
        <x:v>OK</x:v>
      </x:c>
      <x:c r="G65" s="81" t="n">
        <x:f>'Debt &amp; cash'!W65</x:f>
        <x:v>0.017826563657672836</x:v>
      </x:c>
      <x:c r="H65" s="80" t="str">
        <x:f>IF($A65&lt;1887,"n/a",IF(G65&lt;=cap_int,"OK","Check"))</x:f>
        <x:v>OK</x:v>
      </x:c>
      <x:c r="I65" s="81" t="n">
        <x:f>Budget!AC65</x:f>
        <x:v>0.008215663603537643</x:v>
      </x:c>
      <x:c r="J65" s="80" t="str">
        <x:f>IF($A65&lt;1887,"n/a",IF(Paths!AC65=1,"War year",IF(I65&lt;=cap_def,"OK","Check")))</x:f>
        <x:v>OK</x:v>
      </x:c>
      <x:c r="K65" s="63" t="n">
        <x:f>'Debt &amp; cash'!Y65/Economy!O65</x:f>
        <x:v>0.008999305513967938</x:v>
      </x:c>
      <x:c r="L65" s="80" t="str">
        <x:f>IF('Debt &amp; cash'!Y65&lt;=mkt_capacity*Economy!O65+foreign_capacity,"OK","Check")</x:f>
        <x:v>OK</x:v>
      </x:c>
      <x:c r="M65" s="80" t="str">
        <x:f>IF($A65&lt;1900,"n/a",IF('Gold &amp; money'!K65&gt;=0,"OK","Check"))</x:f>
        <x:v>OK</x:v>
      </x:c>
      <x:c r="N65" s="81" t="n">
        <x:f>Japan!AA65</x:f>
        <x:v>0.43463711573643476</x:v>
      </x:c>
      <x:c r="O65" s="80" t="str">
        <x:f>IF(N65&lt;=1,"OK","Check")</x:f>
        <x:v>OK</x:v>
      </x:c>
      <x:c r="P65" s="80" t="str">
        <x:f>IF($A65&lt;1922,"n/a",IF(AND(Navy!AE65&gt;=0.95,Navy!AE65&lt;=1.1),"OK","Check"))</x:f>
        <x:v>n/a</x:v>
      </x:c>
      <x:c r="Q65" s="80" t="str">
        <x:f>IF(Navy!Z65=0,"n/a",IF(Resources!K65&gt;=Navy!Z65,"OK","Check"))</x:f>
        <x:v>OK</x:v>
      </x:c>
      <x:c r="R65" s="80" t="str">
        <x:f>IF(AND(gulf_on=1,$A65=gulf_year),IF(Gulf!AF65=1,"OK","Check"),"n/a")</x:f>
        <x:v>n/a</x:v>
      </x:c>
      <x:c r="S65" s="47" t="n">
        <x:f>COUNTIF(B65:R65,"Check")+COUNTIF(T65:Z65,"Check")</x:f>
        <x:v>0</x:v>
      </x:c>
      <x:c r="T65" t="str">
        <x:f>IF(ABS(Japan!AM65)&lt;0.001,"OK","Check")</x:f>
        <x:v>OK</x:v>
      </x:c>
      <x:c r="U65" t="str">
        <x:f>"n/a"</x:f>
        <x:v>n/a</x:v>
      </x:c>
      <x:c r="V65" t="str">
        <x:f>"n/a"</x:f>
        <x:v>n/a</x:v>
      </x:c>
      <x:c r="W65" t="str">
        <x:f>"n/a"</x:f>
        <x:v>n/a</x:v>
      </x:c>
      <x:c r="X65" t="str">
        <x:f>"n/a"</x:f>
        <x:v>n/a</x:v>
      </x:c>
      <x:c r="Y65" t="str">
        <x:f>IF(Abroad!T65&gt;=-0.001,"OK","Check")</x:f>
        <x:v>OK</x:v>
      </x:c>
      <x:c r="Z65" t="str">
        <x:f>"n/a"</x:f>
        <x:v>n/a</x:v>
      </x:c>
    </x:row>
    <x:row r="66">
      <x:c r="A66" s="58" t="n">
        <x:v>1906</x:v>
      </x:c>
      <x:c r="B66" s="80" t="str">
        <x:f>IF(ABS(People!L66-(People!B66+People!C66+People!D66+People!K66))&lt;1,"OK","Check")</x:f>
        <x:v>OK</x:v>
      </x:c>
      <x:c r="C66" s="80" t="str">
        <x:f>IF(ABS('Debt &amp; cash'!M66-'Debt &amp; cash'!E66)&lt;0.001,"OK","Check")</x:f>
        <x:v>OK</x:v>
      </x:c>
      <x:c r="D66" s="80" t="str">
        <x:f>IF('Debt &amp; cash'!S66&gt;=-0.001,"OK","Check")</x:f>
        <x:v>OK</x:v>
      </x:c>
      <x:c r="E66" s="81" t="n">
        <x:f>'Debt &amp; cash'!V66</x:f>
        <x:v>0.05</x:v>
      </x:c>
      <x:c r="F66" s="80" t="str">
        <x:f>IF($A66&lt;1887,"n/a",IF(E66&lt;=cap_debt,"OK","Check"))</x:f>
        <x:v>OK</x:v>
      </x:c>
      <x:c r="G66" s="81" t="n">
        <x:f>'Debt &amp; cash'!W66</x:f>
        <x:v>0.018096347830901614</x:v>
      </x:c>
      <x:c r="H66" s="80" t="str">
        <x:f>IF($A66&lt;1887,"n/a",IF(G66&lt;=cap_int,"OK","Check"))</x:f>
        <x:v>OK</x:v>
      </x:c>
      <x:c r="I66" s="81" t="n">
        <x:f>Budget!AC66</x:f>
        <x:v>0.007948358580391286</x:v>
      </x:c>
      <x:c r="J66" s="80" t="str">
        <x:f>IF($A66&lt;1887,"n/a",IF(Paths!AC66=1,"War year",IF(I66&lt;=cap_def,"OK","Check")))</x:f>
        <x:v>OK</x:v>
      </x:c>
      <x:c r="K66" s="63" t="n">
        <x:f>'Debt &amp; cash'!Y66/Economy!O66</x:f>
        <x:v>0.010588799156478115</x:v>
      </x:c>
      <x:c r="L66" s="80" t="str">
        <x:f>IF('Debt &amp; cash'!Y66&lt;=mkt_capacity*Economy!O66+foreign_capacity,"OK","Check")</x:f>
        <x:v>OK</x:v>
      </x:c>
      <x:c r="M66" s="80" t="str">
        <x:f>IF($A66&lt;1900,"n/a",IF('Gold &amp; money'!K66&gt;=0,"OK","Check"))</x:f>
        <x:v>OK</x:v>
      </x:c>
      <x:c r="N66" s="81" t="n">
        <x:f>Japan!AA66</x:f>
        <x:v>0.38657169719835277</x:v>
      </x:c>
      <x:c r="O66" s="80" t="str">
        <x:f>IF(N66&lt;=1,"OK","Check")</x:f>
        <x:v>OK</x:v>
      </x:c>
      <x:c r="P66" s="80" t="str">
        <x:f>IF($A66&lt;1922,"n/a",IF(AND(Navy!AE66&gt;=0.95,Navy!AE66&lt;=1.1),"OK","Check"))</x:f>
        <x:v>n/a</x:v>
      </x:c>
      <x:c r="Q66" s="80" t="str">
        <x:f>IF(Navy!Z66=0,"n/a",IF(Resources!K66&gt;=Navy!Z66,"OK","Check"))</x:f>
        <x:v>OK</x:v>
      </x:c>
      <x:c r="R66" s="80" t="str">
        <x:f>IF(AND(gulf_on=1,$A66=gulf_year),IF(Gulf!AF66=1,"OK","Check"),"n/a")</x:f>
        <x:v>n/a</x:v>
      </x:c>
      <x:c r="S66" s="47" t="n">
        <x:f>COUNTIF(B66:R66,"Check")+COUNTIF(T66:Z66,"Check")</x:f>
        <x:v>0</x:v>
      </x:c>
      <x:c r="T66" t="str">
        <x:f>IF(ABS(Japan!AM66)&lt;0.001,"OK","Check")</x:f>
        <x:v>OK</x:v>
      </x:c>
      <x:c r="U66" t="str">
        <x:f>"n/a"</x:f>
        <x:v>n/a</x:v>
      </x:c>
      <x:c r="V66" t="str">
        <x:f>"n/a"</x:f>
        <x:v>n/a</x:v>
      </x:c>
      <x:c r="W66" t="str">
        <x:f>"n/a"</x:f>
        <x:v>n/a</x:v>
      </x:c>
      <x:c r="X66" t="str">
        <x:f>"n/a"</x:f>
        <x:v>n/a</x:v>
      </x:c>
      <x:c r="Y66" t="str">
        <x:f>IF(Abroad!T66&gt;=-0.001,"OK","Check")</x:f>
        <x:v>OK</x:v>
      </x:c>
      <x:c r="Z66" t="str">
        <x:f>"n/a"</x:f>
        <x:v>n/a</x:v>
      </x:c>
    </x:row>
    <x:row r="67">
      <x:c r="A67" s="58" t="n">
        <x:v>1907</x:v>
      </x:c>
      <x:c r="B67" s="80" t="str">
        <x:f>IF(ABS(People!L67-(People!B67+People!C67+People!D67+People!K67))&lt;1,"OK","Check")</x:f>
        <x:v>OK</x:v>
      </x:c>
      <x:c r="C67" s="80" t="str">
        <x:f>IF(ABS('Debt &amp; cash'!M67-'Debt &amp; cash'!E67)&lt;0.001,"OK","Check")</x:f>
        <x:v>OK</x:v>
      </x:c>
      <x:c r="D67" s="80" t="str">
        <x:f>IF('Debt &amp; cash'!S67&gt;=-0.001,"OK","Check")</x:f>
        <x:v>OK</x:v>
      </x:c>
      <x:c r="E67" s="81" t="n">
        <x:f>'Debt &amp; cash'!V67</x:f>
        <x:v>0.05</x:v>
      </x:c>
      <x:c r="F67" s="80" t="str">
        <x:f>IF($A67&lt;1887,"n/a",IF(E67&lt;=cap_debt,"OK","Check"))</x:f>
        <x:v>OK</x:v>
      </x:c>
      <x:c r="G67" s="81" t="n">
        <x:f>'Debt &amp; cash'!W67</x:f>
        <x:v>0.01896510457370839</x:v>
      </x:c>
      <x:c r="H67" s="80" t="str">
        <x:f>IF($A67&lt;1887,"n/a",IF(G67&lt;=cap_int,"OK","Check"))</x:f>
        <x:v>OK</x:v>
      </x:c>
      <x:c r="I67" s="81" t="n">
        <x:f>Budget!AC67</x:f>
        <x:v>0.007419419000711632</x:v>
      </x:c>
      <x:c r="J67" s="80" t="str">
        <x:f>IF($A67&lt;1887,"n/a",IF(Paths!AC67=1,"War year",IF(I67&lt;=cap_def,"OK","Check")))</x:f>
        <x:v>OK</x:v>
      </x:c>
      <x:c r="K67" s="63" t="n">
        <x:f>'Debt &amp; cash'!Y67/Economy!O67</x:f>
        <x:v>0.009898725683486395</x:v>
      </x:c>
      <x:c r="L67" s="80" t="str">
        <x:f>IF('Debt &amp; cash'!Y67&lt;=mkt_capacity*Economy!O67+foreign_capacity,"OK","Check")</x:f>
        <x:v>OK</x:v>
      </x:c>
      <x:c r="M67" s="80" t="str">
        <x:f>IF($A67&lt;1900,"n/a",IF('Gold &amp; money'!K67&gt;=0,"OK","Check"))</x:f>
        <x:v>OK</x:v>
      </x:c>
      <x:c r="N67" s="81" t="n">
        <x:f>Japan!AA67</x:f>
        <x:v>0.3406221858235411</x:v>
      </x:c>
      <x:c r="O67" s="80" t="str">
        <x:f>IF(N67&lt;=1,"OK","Check")</x:f>
        <x:v>OK</x:v>
      </x:c>
      <x:c r="P67" s="80" t="str">
        <x:f>IF($A67&lt;1922,"n/a",IF(AND(Navy!AE67&gt;=0.95,Navy!AE67&lt;=1.1),"OK","Check"))</x:f>
        <x:v>n/a</x:v>
      </x:c>
      <x:c r="Q67" s="80" t="str">
        <x:f>IF(Navy!Z67=0,"n/a",IF(Resources!K67&gt;=Navy!Z67,"OK","Check"))</x:f>
        <x:v>OK</x:v>
      </x:c>
      <x:c r="R67" s="80" t="str">
        <x:f>IF(AND(gulf_on=1,$A67=gulf_year),IF(Gulf!AF67=1,"OK","Check"),"n/a")</x:f>
        <x:v>n/a</x:v>
      </x:c>
      <x:c r="S67" s="47" t="n">
        <x:f>COUNTIF(B67:R67,"Check")+COUNTIF(T67:Z67,"Check")</x:f>
        <x:v>0</x:v>
      </x:c>
      <x:c r="T67" t="str">
        <x:f>IF(ABS(Japan!AM67)&lt;0.001,"OK","Check")</x:f>
        <x:v>OK</x:v>
      </x:c>
      <x:c r="U67" t="str">
        <x:f>"n/a"</x:f>
        <x:v>n/a</x:v>
      </x:c>
      <x:c r="V67" t="str">
        <x:f>"n/a"</x:f>
        <x:v>n/a</x:v>
      </x:c>
      <x:c r="W67" t="str">
        <x:f>"n/a"</x:f>
        <x:v>n/a</x:v>
      </x:c>
      <x:c r="X67" t="str">
        <x:f>"n/a"</x:f>
        <x:v>n/a</x:v>
      </x:c>
      <x:c r="Y67" t="str">
        <x:f>IF(Abroad!T67&gt;=-0.001,"OK","Check")</x:f>
        <x:v>OK</x:v>
      </x:c>
      <x:c r="Z67" t="str">
        <x:f>"n/a"</x:f>
        <x:v>n/a</x:v>
      </x:c>
    </x:row>
    <x:row r="68">
      <x:c r="A68" s="58" t="n">
        <x:v>1908</x:v>
      </x:c>
      <x:c r="B68" s="80" t="str">
        <x:f>IF(ABS(People!L68-(People!B68+People!C68+People!D68+People!K68))&lt;1,"OK","Check")</x:f>
        <x:v>OK</x:v>
      </x:c>
      <x:c r="C68" s="80" t="str">
        <x:f>IF(ABS('Debt &amp; cash'!M68-'Debt &amp; cash'!E68)&lt;0.001,"OK","Check")</x:f>
        <x:v>OK</x:v>
      </x:c>
      <x:c r="D68" s="80" t="str">
        <x:f>IF('Debt &amp; cash'!S68&gt;=-0.001,"OK","Check")</x:f>
        <x:v>OK</x:v>
      </x:c>
      <x:c r="E68" s="81" t="n">
        <x:f>'Debt &amp; cash'!V68</x:f>
        <x:v>0.05</x:v>
      </x:c>
      <x:c r="F68" s="80" t="str">
        <x:f>IF($A68&lt;1887,"n/a",IF(E68&lt;=cap_debt,"OK","Check"))</x:f>
        <x:v>OK</x:v>
      </x:c>
      <x:c r="G68" s="81" t="n">
        <x:f>'Debt &amp; cash'!W68</x:f>
        <x:v>0.02010743497766019</x:v>
      </x:c>
      <x:c r="H68" s="80" t="str">
        <x:f>IF($A68&lt;1887,"n/a",IF(G68&lt;=cap_int,"OK","Check"))</x:f>
        <x:v>OK</x:v>
      </x:c>
      <x:c r="I68" s="81" t="n">
        <x:f>Budget!AC68</x:f>
        <x:v>0.007477166032300404</x:v>
      </x:c>
      <x:c r="J68" s="80" t="str">
        <x:f>IF($A68&lt;1887,"n/a",IF(Paths!AC68=1,"War year",IF(I68&lt;=cap_def,"OK","Check")))</x:f>
        <x:v>OK</x:v>
      </x:c>
      <x:c r="K68" s="63" t="n">
        <x:f>'Debt &amp; cash'!Y68/Economy!O68</x:f>
        <x:v>0.008638322466714372</x:v>
      </x:c>
      <x:c r="L68" s="80" t="str">
        <x:f>IF('Debt &amp; cash'!Y68&lt;=mkt_capacity*Economy!O68+foreign_capacity,"OK","Check")</x:f>
        <x:v>OK</x:v>
      </x:c>
      <x:c r="M68" s="80" t="str">
        <x:f>IF($A68&lt;1900,"n/a",IF('Gold &amp; money'!K68&gt;=0,"OK","Check"))</x:f>
        <x:v>OK</x:v>
      </x:c>
      <x:c r="N68" s="81" t="n">
        <x:f>Japan!AA68</x:f>
        <x:v>0.2963340165366711</x:v>
      </x:c>
      <x:c r="O68" s="80" t="str">
        <x:f>IF(N68&lt;=1,"OK","Check")</x:f>
        <x:v>OK</x:v>
      </x:c>
      <x:c r="P68" s="80" t="str">
        <x:f>IF($A68&lt;1922,"n/a",IF(AND(Navy!AE68&gt;=0.95,Navy!AE68&lt;=1.1),"OK","Check"))</x:f>
        <x:v>n/a</x:v>
      </x:c>
      <x:c r="Q68" s="80" t="str">
        <x:f>IF(Navy!Z68=0,"n/a",IF(Resources!K68&gt;=Navy!Z68,"OK","Check"))</x:f>
        <x:v>OK</x:v>
      </x:c>
      <x:c r="R68" s="80" t="str">
        <x:f>IF(AND(gulf_on=1,$A68=gulf_year),IF(Gulf!AF68=1,"OK","Check"),"n/a")</x:f>
        <x:v>n/a</x:v>
      </x:c>
      <x:c r="S68" s="47" t="n">
        <x:f>COUNTIF(B68:R68,"Check")+COUNTIF(T68:Z68,"Check")</x:f>
        <x:v>0</x:v>
      </x:c>
      <x:c r="T68" t="str">
        <x:f>IF(ABS(Japan!AM68)&lt;0.001,"OK","Check")</x:f>
        <x:v>OK</x:v>
      </x:c>
      <x:c r="U68" t="str">
        <x:f>"n/a"</x:f>
        <x:v>n/a</x:v>
      </x:c>
      <x:c r="V68" t="str">
        <x:f>"n/a"</x:f>
        <x:v>n/a</x:v>
      </x:c>
      <x:c r="W68" t="str">
        <x:f>"n/a"</x:f>
        <x:v>n/a</x:v>
      </x:c>
      <x:c r="X68" t="str">
        <x:f>"n/a"</x:f>
        <x:v>n/a</x:v>
      </x:c>
      <x:c r="Y68" t="str">
        <x:f>IF(Abroad!T68&gt;=-0.001,"OK","Check")</x:f>
        <x:v>OK</x:v>
      </x:c>
      <x:c r="Z68" t="str">
        <x:f>"n/a"</x:f>
        <x:v>n/a</x:v>
      </x:c>
    </x:row>
    <x:row r="69">
      <x:c r="A69" s="58" t="n">
        <x:v>1909</x:v>
      </x:c>
      <x:c r="B69" s="80" t="str">
        <x:f>IF(ABS(People!L69-(People!B69+People!C69+People!D69+People!K69))&lt;1,"OK","Check")</x:f>
        <x:v>OK</x:v>
      </x:c>
      <x:c r="C69" s="80" t="str">
        <x:f>IF(ABS('Debt &amp; cash'!M69-'Debt &amp; cash'!E69)&lt;0.001,"OK","Check")</x:f>
        <x:v>OK</x:v>
      </x:c>
      <x:c r="D69" s="80" t="str">
        <x:f>IF('Debt &amp; cash'!S69&gt;=-0.001,"OK","Check")</x:f>
        <x:v>OK</x:v>
      </x:c>
      <x:c r="E69" s="81" t="n">
        <x:f>'Debt &amp; cash'!V69</x:f>
        <x:v>0.05</x:v>
      </x:c>
      <x:c r="F69" s="80" t="str">
        <x:f>IF($A69&lt;1887,"n/a",IF(E69&lt;=cap_debt,"OK","Check"))</x:f>
        <x:v>OK</x:v>
      </x:c>
      <x:c r="G69" s="81" t="n">
        <x:f>'Debt &amp; cash'!W69</x:f>
        <x:v>0.019026563357575858</x:v>
      </x:c>
      <x:c r="H69" s="80" t="str">
        <x:f>IF($A69&lt;1887,"n/a",IF(G69&lt;=cap_int,"OK","Check"))</x:f>
        <x:v>OK</x:v>
      </x:c>
      <x:c r="I69" s="81" t="n">
        <x:f>Budget!AC69</x:f>
        <x:v>0.007703369477140758</x:v>
      </x:c>
      <x:c r="J69" s="80" t="str">
        <x:f>IF($A69&lt;1887,"n/a",IF(Paths!AC69=1,"War year",IF(I69&lt;=cap_def,"OK","Check")))</x:f>
        <x:v>OK</x:v>
      </x:c>
      <x:c r="K69" s="63" t="n">
        <x:f>'Debt &amp; cash'!Y69/Economy!O69</x:f>
        <x:v>0.011822728276026819</x:v>
      </x:c>
      <x:c r="L69" s="80" t="str">
        <x:f>IF('Debt &amp; cash'!Y69&lt;=mkt_capacity*Economy!O69+foreign_capacity,"OK","Check")</x:f>
        <x:v>OK</x:v>
      </x:c>
      <x:c r="M69" s="80" t="str">
        <x:f>IF($A69&lt;1900,"n/a",IF('Gold &amp; money'!K69&gt;=0,"OK","Check"))</x:f>
        <x:v>OK</x:v>
      </x:c>
      <x:c r="N69" s="81" t="n">
        <x:f>Japan!AA69</x:f>
        <x:v>0.2533521605710238</x:v>
      </x:c>
      <x:c r="O69" s="80" t="str">
        <x:f>IF(N69&lt;=1,"OK","Check")</x:f>
        <x:v>OK</x:v>
      </x:c>
      <x:c r="P69" s="80" t="str">
        <x:f>IF($A69&lt;1922,"n/a",IF(AND(Navy!AE69&gt;=0.95,Navy!AE69&lt;=1.1),"OK","Check"))</x:f>
        <x:v>n/a</x:v>
      </x:c>
      <x:c r="Q69" s="80" t="str">
        <x:f>IF(Navy!Z69=0,"n/a",IF(Resources!K69&gt;=Navy!Z69,"OK","Check"))</x:f>
        <x:v>OK</x:v>
      </x:c>
      <x:c r="R69" s="80" t="str">
        <x:f>IF(AND(gulf_on=1,$A69=gulf_year),IF(Gulf!AF69=1,"OK","Check"),"n/a")</x:f>
        <x:v>n/a</x:v>
      </x:c>
      <x:c r="S69" s="47" t="n">
        <x:f>COUNTIF(B69:R69,"Check")+COUNTIF(T69:Z69,"Check")</x:f>
        <x:v>0</x:v>
      </x:c>
      <x:c r="T69" t="str">
        <x:f>IF(ABS(Japan!AM69)&lt;0.001,"OK","Check")</x:f>
        <x:v>OK</x:v>
      </x:c>
      <x:c r="U69" t="str">
        <x:f>"n/a"</x:f>
        <x:v>n/a</x:v>
      </x:c>
      <x:c r="V69" t="str">
        <x:f>"n/a"</x:f>
        <x:v>n/a</x:v>
      </x:c>
      <x:c r="W69" t="str">
        <x:f>"n/a"</x:f>
        <x:v>n/a</x:v>
      </x:c>
      <x:c r="X69" t="str">
        <x:f>"n/a"</x:f>
        <x:v>n/a</x:v>
      </x:c>
      <x:c r="Y69" t="str">
        <x:f>IF(Abroad!T69&gt;=-0.001,"OK","Check")</x:f>
        <x:v>OK</x:v>
      </x:c>
      <x:c r="Z69" t="str">
        <x:f>"n/a"</x:f>
        <x:v>n/a</x:v>
      </x:c>
    </x:row>
    <x:row r="70">
      <x:c r="A70" s="58" t="n">
        <x:v>1910</x:v>
      </x:c>
      <x:c r="B70" s="80" t="str">
        <x:f>IF(ABS(People!L70-(People!B70+People!C70+People!D70+People!K70))&lt;1,"OK","Check")</x:f>
        <x:v>OK</x:v>
      </x:c>
      <x:c r="C70" s="80" t="str">
        <x:f>IF(ABS('Debt &amp; cash'!M70-'Debt &amp; cash'!E70)&lt;0.001,"OK","Check")</x:f>
        <x:v>OK</x:v>
      </x:c>
      <x:c r="D70" s="80" t="str">
        <x:f>IF('Debt &amp; cash'!S70&gt;=-0.001,"OK","Check")</x:f>
        <x:v>OK</x:v>
      </x:c>
      <x:c r="E70" s="81" t="n">
        <x:f>'Debt &amp; cash'!V70</x:f>
        <x:v>0.05</x:v>
      </x:c>
      <x:c r="F70" s="80" t="str">
        <x:f>IF($A70&lt;1887,"n/a",IF(E70&lt;=cap_debt,"OK","Check"))</x:f>
        <x:v>OK</x:v>
      </x:c>
      <x:c r="G70" s="81" t="n">
        <x:f>'Debt &amp; cash'!W70</x:f>
        <x:v>0.020605471618170154</x:v>
      </x:c>
      <x:c r="H70" s="80" t="str">
        <x:f>IF($A70&lt;1887,"n/a",IF(G70&lt;=cap_int,"OK","Check"))</x:f>
        <x:v>OK</x:v>
      </x:c>
      <x:c r="I70" s="81" t="n">
        <x:f>Budget!AC70</x:f>
        <x:v>0.007639280355376396</x:v>
      </x:c>
      <x:c r="J70" s="80" t="str">
        <x:f>IF($A70&lt;1887,"n/a",IF(Paths!AC70=1,"War year",IF(I70&lt;=cap_def,"OK","Check")))</x:f>
        <x:v>OK</x:v>
      </x:c>
      <x:c r="K70" s="63" t="n">
        <x:f>'Debt &amp; cash'!Y70/Economy!O70</x:f>
        <x:v>0.009713579790073304</x:v>
      </x:c>
      <x:c r="L70" s="80" t="str">
        <x:f>IF('Debt &amp; cash'!Y70&lt;=mkt_capacity*Economy!O70+foreign_capacity,"OK","Check")</x:f>
        <x:v>OK</x:v>
      </x:c>
      <x:c r="M70" s="80" t="str">
        <x:f>IF($A70&lt;1900,"n/a",IF('Gold &amp; money'!K70&gt;=0,"OK","Check"))</x:f>
        <x:v>OK</x:v>
      </x:c>
      <x:c r="N70" s="81" t="n">
        <x:f>Japan!AA70</x:f>
        <x:v>0.211152521929627</x:v>
      </x:c>
      <x:c r="O70" s="80" t="str">
        <x:f>IF(N70&lt;=1,"OK","Check")</x:f>
        <x:v>OK</x:v>
      </x:c>
      <x:c r="P70" s="80" t="str">
        <x:f>IF($A70&lt;1922,"n/a",IF(AND(Navy!AE70&gt;=0.95,Navy!AE70&lt;=1.1),"OK","Check"))</x:f>
        <x:v>n/a</x:v>
      </x:c>
      <x:c r="Q70" s="80" t="str">
        <x:f>IF(Navy!Z70=0,"n/a",IF(Resources!K70&gt;=Navy!Z70,"OK","Check"))</x:f>
        <x:v>OK</x:v>
      </x:c>
      <x:c r="R70" s="80" t="str">
        <x:f>IF(AND(gulf_on=1,$A70=gulf_year),IF(Gulf!AF70=1,"OK","Check"),"n/a")</x:f>
        <x:v>n/a</x:v>
      </x:c>
      <x:c r="S70" s="47" t="n">
        <x:f>COUNTIF(B70:R70,"Check")+COUNTIF(T70:Z70,"Check")</x:f>
        <x:v>0</x:v>
      </x:c>
      <x:c r="T70" t="str">
        <x:f>IF(ABS(Japan!AM70)&lt;0.001,"OK","Check")</x:f>
        <x:v>OK</x:v>
      </x:c>
      <x:c r="U70" t="str">
        <x:f>"n/a"</x:f>
        <x:v>n/a</x:v>
      </x:c>
      <x:c r="V70" t="str">
        <x:f>"n/a"</x:f>
        <x:v>n/a</x:v>
      </x:c>
      <x:c r="W70" t="str">
        <x:f>"n/a"</x:f>
        <x:v>n/a</x:v>
      </x:c>
      <x:c r="X70" t="str">
        <x:f>"n/a"</x:f>
        <x:v>n/a</x:v>
      </x:c>
      <x:c r="Y70" t="str">
        <x:f>IF(Abroad!T70&gt;=-0.001,"OK","Check")</x:f>
        <x:v>OK</x:v>
      </x:c>
      <x:c r="Z70" t="str">
        <x:f>"n/a"</x:f>
        <x:v>n/a</x:v>
      </x:c>
    </x:row>
    <x:row r="71">
      <x:c r="A71" s="58" t="n">
        <x:v>1911</x:v>
      </x:c>
      <x:c r="B71" s="80" t="str">
        <x:f>IF(ABS(People!L71-(People!B71+People!C71+People!D71+People!K71))&lt;1,"OK","Check")</x:f>
        <x:v>OK</x:v>
      </x:c>
      <x:c r="C71" s="80" t="str">
        <x:f>IF(ABS('Debt &amp; cash'!M71-'Debt &amp; cash'!E71)&lt;0.001,"OK","Check")</x:f>
        <x:v>OK</x:v>
      </x:c>
      <x:c r="D71" s="80" t="str">
        <x:f>IF('Debt &amp; cash'!S71&gt;=-0.001,"OK","Check")</x:f>
        <x:v>OK</x:v>
      </x:c>
      <x:c r="E71" s="81" t="n">
        <x:f>'Debt &amp; cash'!V71</x:f>
        <x:v>0.049999999999999996</x:v>
      </x:c>
      <x:c r="F71" s="80" t="str">
        <x:f>IF($A71&lt;1887,"n/a",IF(E71&lt;=cap_debt,"OK","Check"))</x:f>
        <x:v>OK</x:v>
      </x:c>
      <x:c r="G71" s="81" t="n">
        <x:f>'Debt &amp; cash'!W71</x:f>
        <x:v>0.02124866789358543</x:v>
      </x:c>
      <x:c r="H71" s="80" t="str">
        <x:f>IF($A71&lt;1887,"n/a",IF(G71&lt;=cap_int,"OK","Check"))</x:f>
        <x:v>OK</x:v>
      </x:c>
      <x:c r="I71" s="81" t="n">
        <x:f>Budget!AC71</x:f>
        <x:v>0.007725895232011663</x:v>
      </x:c>
      <x:c r="J71" s="80" t="str">
        <x:f>IF($A71&lt;1887,"n/a",IF(Paths!AC71=1,"War year",IF(I71&lt;=cap_def,"OK","Check")))</x:f>
        <x:v>OK</x:v>
      </x:c>
      <x:c r="K71" s="63" t="n">
        <x:f>'Debt &amp; cash'!Y71/Economy!O71</x:f>
        <x:v>0.009290123236809129</x:v>
      </x:c>
      <x:c r="L71" s="80" t="str">
        <x:f>IF('Debt &amp; cash'!Y71&lt;=mkt_capacity*Economy!O71+foreign_capacity,"OK","Check")</x:f>
        <x:v>OK</x:v>
      </x:c>
      <x:c r="M71" s="80" t="str">
        <x:f>IF($A71&lt;1900,"n/a",IF('Gold &amp; money'!K71&gt;=0,"OK","Check"))</x:f>
        <x:v>OK</x:v>
      </x:c>
      <x:c r="N71" s="81" t="n">
        <x:f>Japan!AA71</x:f>
        <x:v>0.17608363888066733</x:v>
      </x:c>
      <x:c r="O71" s="80" t="str">
        <x:f>IF(N71&lt;=1,"OK","Check")</x:f>
        <x:v>OK</x:v>
      </x:c>
      <x:c r="P71" s="80" t="str">
        <x:f>IF($A71&lt;1922,"n/a",IF(AND(Navy!AE71&gt;=0.95,Navy!AE71&lt;=1.1),"OK","Check"))</x:f>
        <x:v>n/a</x:v>
      </x:c>
      <x:c r="Q71" s="80" t="str">
        <x:f>IF(Navy!Z71=0,"n/a",IF(Resources!K71&gt;=Navy!Z71,"OK","Check"))</x:f>
        <x:v>OK</x:v>
      </x:c>
      <x:c r="R71" s="80" t="str">
        <x:f>IF(AND(gulf_on=1,$A71=gulf_year),IF(Gulf!AF71=1,"OK","Check"),"n/a")</x:f>
        <x:v>n/a</x:v>
      </x:c>
      <x:c r="S71" s="47" t="n">
        <x:f>COUNTIF(B71:R71,"Check")+COUNTIF(T71:Z71,"Check")</x:f>
        <x:v>0</x:v>
      </x:c>
      <x:c r="T71" t="str">
        <x:f>IF(ABS(Japan!AM71)&lt;0.001,"OK","Check")</x:f>
        <x:v>OK</x:v>
      </x:c>
      <x:c r="U71" t="str">
        <x:f>"n/a"</x:f>
        <x:v>n/a</x:v>
      </x:c>
      <x:c r="V71" t="str">
        <x:f>"n/a"</x:f>
        <x:v>n/a</x:v>
      </x:c>
      <x:c r="W71" t="str">
        <x:f>"n/a"</x:f>
        <x:v>n/a</x:v>
      </x:c>
      <x:c r="X71" t="str">
        <x:f>"n/a"</x:f>
        <x:v>n/a</x:v>
      </x:c>
      <x:c r="Y71" t="str">
        <x:f>IF(Abroad!T71&gt;=-0.001,"OK","Check")</x:f>
        <x:v>OK</x:v>
      </x:c>
      <x:c r="Z71" t="str">
        <x:f>"n/a"</x:f>
        <x:v>n/a</x:v>
      </x:c>
    </x:row>
    <x:row r="72">
      <x:c r="A72" s="58" t="n">
        <x:v>1912</x:v>
      </x:c>
      <x:c r="B72" s="80" t="str">
        <x:f>IF(ABS(People!L72-(People!B72+People!C72+People!D72+People!K72))&lt;1,"OK","Check")</x:f>
        <x:v>OK</x:v>
      </x:c>
      <x:c r="C72" s="80" t="str">
        <x:f>IF(ABS('Debt &amp; cash'!M72-'Debt &amp; cash'!E72)&lt;0.001,"OK","Check")</x:f>
        <x:v>OK</x:v>
      </x:c>
      <x:c r="D72" s="80" t="str">
        <x:f>IF('Debt &amp; cash'!S72&gt;=-0.001,"OK","Check")</x:f>
        <x:v>OK</x:v>
      </x:c>
      <x:c r="E72" s="81" t="n">
        <x:f>'Debt &amp; cash'!V72</x:f>
        <x:v>0.049999999999999996</x:v>
      </x:c>
      <x:c r="F72" s="80" t="str">
        <x:f>IF($A72&lt;1887,"n/a",IF(E72&lt;=cap_debt,"OK","Check"))</x:f>
        <x:v>OK</x:v>
      </x:c>
      <x:c r="G72" s="81" t="n">
        <x:f>'Debt &amp; cash'!W72</x:f>
        <x:v>0.021791587682683</x:v>
      </x:c>
      <x:c r="H72" s="80" t="str">
        <x:f>IF($A72&lt;1887,"n/a",IF(G72&lt;=cap_int,"OK","Check"))</x:f>
        <x:v>OK</x:v>
      </x:c>
      <x:c r="I72" s="81" t="n">
        <x:f>Budget!AC72</x:f>
        <x:v>0.007553018670332157</x:v>
      </x:c>
      <x:c r="J72" s="80" t="str">
        <x:f>IF($A72&lt;1887,"n/a",IF(Paths!AC72=1,"War year",IF(I72&lt;=cap_def,"OK","Check")))</x:f>
        <x:v>OK</x:v>
      </x:c>
      <x:c r="K72" s="63" t="n">
        <x:f>'Debt &amp; cash'!Y72/Economy!O72</x:f>
        <x:v>0.009252922080300284</x:v>
      </x:c>
      <x:c r="L72" s="80" t="str">
        <x:f>IF('Debt &amp; cash'!Y72&lt;=mkt_capacity*Economy!O72+foreign_capacity,"OK","Check")</x:f>
        <x:v>OK</x:v>
      </x:c>
      <x:c r="M72" s="80" t="str">
        <x:f>IF($A72&lt;1900,"n/a",IF('Gold &amp; money'!K72&gt;=0,"OK","Check"))</x:f>
        <x:v>OK</x:v>
      </x:c>
      <x:c r="N72" s="81" t="n">
        <x:f>Japan!AA72</x:f>
        <x:v>0.1434612495323721</x:v>
      </x:c>
      <x:c r="O72" s="80" t="str">
        <x:f>IF(N72&lt;=1,"OK","Check")</x:f>
        <x:v>OK</x:v>
      </x:c>
      <x:c r="P72" s="80" t="str">
        <x:f>IF($A72&lt;1922,"n/a",IF(AND(Navy!AE72&gt;=0.95,Navy!AE72&lt;=1.1),"OK","Check"))</x:f>
        <x:v>n/a</x:v>
      </x:c>
      <x:c r="Q72" s="80" t="str">
        <x:f>IF(Navy!Z72=0,"n/a",IF(Resources!K72&gt;=Navy!Z72,"OK","Check"))</x:f>
        <x:v>OK</x:v>
      </x:c>
      <x:c r="R72" s="80" t="str">
        <x:f>IF(AND(gulf_on=1,$A72=gulf_year),IF(Gulf!AF72=1,"OK","Check"),"n/a")</x:f>
        <x:v>n/a</x:v>
      </x:c>
      <x:c r="S72" s="47" t="n">
        <x:f>COUNTIF(B72:R72,"Check")+COUNTIF(T72:Z72,"Check")</x:f>
        <x:v>0</x:v>
      </x:c>
      <x:c r="T72" t="str">
        <x:f>IF(ABS(Japan!AM72)&lt;0.001,"OK","Check")</x:f>
        <x:v>OK</x:v>
      </x:c>
      <x:c r="U72" t="str">
        <x:f>"n/a"</x:f>
        <x:v>n/a</x:v>
      </x:c>
      <x:c r="V72" t="str">
        <x:f>"n/a"</x:f>
        <x:v>n/a</x:v>
      </x:c>
      <x:c r="W72" t="str">
        <x:f>"n/a"</x:f>
        <x:v>n/a</x:v>
      </x:c>
      <x:c r="X72" t="str">
        <x:f>"n/a"</x:f>
        <x:v>n/a</x:v>
      </x:c>
      <x:c r="Y72" t="str">
        <x:f>IF(Abroad!T72&gt;=-0.001,"OK","Check")</x:f>
        <x:v>OK</x:v>
      </x:c>
      <x:c r="Z72" t="str">
        <x:f>"n/a"</x:f>
        <x:v>n/a</x:v>
      </x:c>
    </x:row>
    <x:row r="73">
      <x:c r="A73" s="58" t="n">
        <x:v>1913</x:v>
      </x:c>
      <x:c r="B73" s="80" t="str">
        <x:f>IF(ABS(People!L73-(People!B73+People!C73+People!D73+People!K73))&lt;1,"OK","Check")</x:f>
        <x:v>OK</x:v>
      </x:c>
      <x:c r="C73" s="80" t="str">
        <x:f>IF(ABS('Debt &amp; cash'!M73-'Debt &amp; cash'!E73)&lt;0.001,"OK","Check")</x:f>
        <x:v>OK</x:v>
      </x:c>
      <x:c r="D73" s="80" t="str">
        <x:f>IF('Debt &amp; cash'!S73&gt;=-0.001,"OK","Check")</x:f>
        <x:v>OK</x:v>
      </x:c>
      <x:c r="E73" s="81" t="n">
        <x:f>'Debt &amp; cash'!V73</x:f>
        <x:v>0.05</x:v>
      </x:c>
      <x:c r="F73" s="80" t="str">
        <x:f>IF($A73&lt;1887,"n/a",IF(E73&lt;=cap_debt,"OK","Check"))</x:f>
        <x:v>OK</x:v>
      </x:c>
      <x:c r="G73" s="81" t="n">
        <x:f>'Debt &amp; cash'!W73</x:f>
        <x:v>0.022384671786745077</x:v>
      </x:c>
      <x:c r="H73" s="80" t="str">
        <x:f>IF($A73&lt;1887,"n/a",IF(G73&lt;=cap_int,"OK","Check"))</x:f>
        <x:v>OK</x:v>
      </x:c>
      <x:c r="I73" s="81" t="n">
        <x:f>Budget!AC73</x:f>
        <x:v>0.007726882102540452</x:v>
      </x:c>
      <x:c r="J73" s="80" t="str">
        <x:f>IF($A73&lt;1887,"n/a",IF(Paths!AC73=1,"War year",IF(I73&lt;=cap_def,"OK","Check")))</x:f>
        <x:v>OK</x:v>
      </x:c>
      <x:c r="K73" s="63" t="n">
        <x:f>'Debt &amp; cash'!Y73/Economy!O73</x:f>
        <x:v>0.00903120760652029</x:v>
      </x:c>
      <x:c r="L73" s="80" t="str">
        <x:f>IF('Debt &amp; cash'!Y73&lt;=mkt_capacity*Economy!O73+foreign_capacity,"OK","Check")</x:f>
        <x:v>OK</x:v>
      </x:c>
      <x:c r="M73" s="80" t="str">
        <x:f>IF($A73&lt;1900,"n/a",IF('Gold &amp; money'!K73&gt;=0,"OK","Check"))</x:f>
        <x:v>OK</x:v>
      </x:c>
      <x:c r="N73" s="81" t="n">
        <x:f>Japan!AA73</x:f>
        <x:v>0.11267051752832945</x:v>
      </x:c>
      <x:c r="O73" s="80" t="str">
        <x:f>IF(N73&lt;=1,"OK","Check")</x:f>
        <x:v>OK</x:v>
      </x:c>
      <x:c r="P73" s="80" t="str">
        <x:f>IF($A73&lt;1922,"n/a",IF(AND(Navy!AE73&gt;=0.95,Navy!AE73&lt;=1.1),"OK","Check"))</x:f>
        <x:v>n/a</x:v>
      </x:c>
      <x:c r="Q73" s="80" t="str">
        <x:f>IF(Navy!Z73=0,"n/a",IF(Resources!K73&gt;=Navy!Z73,"OK","Check"))</x:f>
        <x:v>OK</x:v>
      </x:c>
      <x:c r="R73" s="80" t="str">
        <x:f>IF(AND(gulf_on=1,$A73=gulf_year),IF(Gulf!AF73=1,"OK","Check"),"n/a")</x:f>
        <x:v>n/a</x:v>
      </x:c>
      <x:c r="S73" s="47" t="n">
        <x:f>COUNTIF(B73:R73,"Check")+COUNTIF(T73:Z73,"Check")</x:f>
        <x:v>0</x:v>
      </x:c>
      <x:c r="T73" t="str">
        <x:f>IF(ABS(Japan!AM73)&lt;0.001,"OK","Check")</x:f>
        <x:v>OK</x:v>
      </x:c>
      <x:c r="U73" t="str">
        <x:f>"n/a"</x:f>
        <x:v>n/a</x:v>
      </x:c>
      <x:c r="V73" t="str">
        <x:f>"n/a"</x:f>
        <x:v>n/a</x:v>
      </x:c>
      <x:c r="W73" t="str">
        <x:f>"n/a"</x:f>
        <x:v>n/a</x:v>
      </x:c>
      <x:c r="X73" t="str">
        <x:f>"n/a"</x:f>
        <x:v>n/a</x:v>
      </x:c>
      <x:c r="Y73" t="str">
        <x:f>IF(Abroad!T73&gt;=-0.001,"OK","Check")</x:f>
        <x:v>OK</x:v>
      </x:c>
      <x:c r="Z73" t="str">
        <x:f>"n/a"</x:f>
        <x:v>n/a</x:v>
      </x:c>
    </x:row>
    <x:row r="74">
      <x:c r="A74" s="61" t="n">
        <x:v>1914</x:v>
      </x:c>
      <x:c r="B74" s="80" t="str">
        <x:f>IF(ABS(People!L74-(People!B74+People!C74+People!D74+People!K74))&lt;1,"OK","Check")</x:f>
        <x:v>OK</x:v>
      </x:c>
      <x:c r="C74" s="80" t="str">
        <x:f>IF(ABS('Debt &amp; cash'!M74-'Debt &amp; cash'!E74)&lt;0.001,"OK","Check")</x:f>
        <x:v>OK</x:v>
      </x:c>
      <x:c r="D74" s="80" t="str">
        <x:f>IF('Debt &amp; cash'!S74&gt;=-0.001,"OK","Check")</x:f>
        <x:v>OK</x:v>
      </x:c>
      <x:c r="E74" s="81" t="n">
        <x:f>'Debt &amp; cash'!V74</x:f>
        <x:v>0.05</x:v>
      </x:c>
      <x:c r="F74" s="80" t="str">
        <x:f>IF($A74&lt;1887,"n/a",IF(E74&lt;=cap_debt,"OK","Check"))</x:f>
        <x:v>OK</x:v>
      </x:c>
      <x:c r="G74" s="81" t="n">
        <x:f>'Debt &amp; cash'!W74</x:f>
        <x:v>0.023941005006640155</x:v>
      </x:c>
      <x:c r="H74" s="80" t="str">
        <x:f>IF($A74&lt;1887,"n/a",IF(G74&lt;=cap_int,"OK","Check"))</x:f>
        <x:v>OK</x:v>
      </x:c>
      <x:c r="I74" s="81" t="n">
        <x:f>Budget!AC74</x:f>
        <x:v>0.010644567019443808</x:v>
      </x:c>
      <x:c r="J74" s="80" t="str">
        <x:f>IF($A74&lt;1887,"n/a",IF(Paths!AC74=1,"War year",IF(I74&lt;=cap_def,"OK","Check")))</x:f>
        <x:v>War year</x:v>
      </x:c>
      <x:c r="K74" s="63" t="n">
        <x:f>'Debt &amp; cash'!Y74/Economy!O74</x:f>
        <x:v>0.005080721001487285</x:v>
      </x:c>
      <x:c r="L74" s="80" t="str">
        <x:f>IF('Debt &amp; cash'!Y74&lt;=mkt_capacity*Economy!O74+foreign_capacity,"OK","Check")</x:f>
        <x:v>OK</x:v>
      </x:c>
      <x:c r="M74" s="80" t="str">
        <x:f>IF($A74&lt;1900,"n/a",IF('Gold &amp; money'!K74&gt;=0,"OK","Check"))</x:f>
        <x:v>OK</x:v>
      </x:c>
      <x:c r="N74" s="81" t="n">
        <x:f>Japan!AA74</x:f>
        <x:v>0.09877769233167481</x:v>
      </x:c>
      <x:c r="O74" s="80" t="str">
        <x:f>IF(N74&lt;=1,"OK","Check")</x:f>
        <x:v>OK</x:v>
      </x:c>
      <x:c r="P74" s="80" t="str">
        <x:f>IF($A74&lt;1922,"n/a",IF(AND(Navy!AE74&gt;=0.95,Navy!AE74&lt;=1.1),"OK","Check"))</x:f>
        <x:v>n/a</x:v>
      </x:c>
      <x:c r="Q74" s="80" t="str">
        <x:f>IF(Navy!Z74=0,"n/a",IF(Resources!K74&gt;=Navy!Z74,"OK","Check"))</x:f>
        <x:v>OK</x:v>
      </x:c>
      <x:c r="R74" s="80" t="str">
        <x:f>IF(AND(gulf_on=1,$A74=gulf_year),IF(Gulf!AF74=1,"OK","Check"),"n/a")</x:f>
        <x:v>n/a</x:v>
      </x:c>
      <x:c r="S74" s="47" t="n">
        <x:f>COUNTIF(B74:R74,"Check")+COUNTIF(T74:Z74,"Check")</x:f>
        <x:v>0</x:v>
      </x:c>
      <x:c r="T74" t="str">
        <x:f>IF(ABS(Japan!AM74)&lt;0.001,"OK","Check")</x:f>
        <x:v>OK</x:v>
      </x:c>
      <x:c r="U74" t="str">
        <x:f>"n/a"</x:f>
        <x:v>n/a</x:v>
      </x:c>
      <x:c r="V74" t="str">
        <x:f>"n/a"</x:f>
        <x:v>n/a</x:v>
      </x:c>
      <x:c r="W74" t="str">
        <x:f>"n/a"</x:f>
        <x:v>n/a</x:v>
      </x:c>
      <x:c r="X74" t="str">
        <x:f>"n/a"</x:f>
        <x:v>n/a</x:v>
      </x:c>
      <x:c r="Y74" t="str">
        <x:f>IF(Abroad!T74&gt;=-0.001,"OK","Check")</x:f>
        <x:v>OK</x:v>
      </x:c>
      <x:c r="Z74" t="str">
        <x:f>"n/a"</x:f>
        <x:v>n/a</x:v>
      </x:c>
    </x:row>
    <x:row r="75">
      <x:c r="A75" s="61" t="n">
        <x:v>1915</x:v>
      </x:c>
      <x:c r="B75" s="80" t="str">
        <x:f>IF(ABS(People!L75-(People!B75+People!C75+People!D75+People!K75))&lt;1,"OK","Check")</x:f>
        <x:v>OK</x:v>
      </x:c>
      <x:c r="C75" s="80" t="str">
        <x:f>IF(ABS('Debt &amp; cash'!M75-'Debt &amp; cash'!E75)&lt;0.001,"OK","Check")</x:f>
        <x:v>OK</x:v>
      </x:c>
      <x:c r="D75" s="80" t="str">
        <x:f>IF('Debt &amp; cash'!S75&gt;=-0.001,"OK","Check")</x:f>
        <x:v>OK</x:v>
      </x:c>
      <x:c r="E75" s="81" t="n">
        <x:f>'Debt &amp; cash'!V75</x:f>
        <x:v>0.05</x:v>
      </x:c>
      <x:c r="F75" s="80" t="str">
        <x:f>IF($A75&lt;1887,"n/a",IF(E75&lt;=cap_debt,"OK","Check"))</x:f>
        <x:v>OK</x:v>
      </x:c>
      <x:c r="G75" s="81" t="n">
        <x:f>'Debt &amp; cash'!W75</x:f>
        <x:v>0.018837661404798228</x:v>
      </x:c>
      <x:c r="H75" s="80" t="str">
        <x:f>IF($A75&lt;1887,"n/a",IF(G75&lt;=cap_int,"OK","Check"))</x:f>
        <x:v>OK</x:v>
      </x:c>
      <x:c r="I75" s="81" t="n">
        <x:f>Budget!AC75</x:f>
        <x:v>0.012412464452458456</x:v>
      </x:c>
      <x:c r="J75" s="80" t="str">
        <x:f>IF($A75&lt;1887,"n/a",IF(Paths!AC75=1,"War year",IF(I75&lt;=cap_def,"OK","Check")))</x:f>
        <x:v>War year</x:v>
      </x:c>
      <x:c r="K75" s="63" t="n">
        <x:f>'Debt &amp; cash'!Y75/Economy!O75</x:f>
        <x:v>0.008243955316939756</x:v>
      </x:c>
      <x:c r="L75" s="80" t="str">
        <x:f>IF('Debt &amp; cash'!Y75&lt;=mkt_capacity*Economy!O75+foreign_capacity,"OK","Check")</x:f>
        <x:v>OK</x:v>
      </x:c>
      <x:c r="M75" s="80" t="str">
        <x:f>IF($A75&lt;1900,"n/a",IF('Gold &amp; money'!K75&gt;=0,"OK","Check"))</x:f>
        <x:v>OK</x:v>
      </x:c>
      <x:c r="N75" s="81" t="n">
        <x:f>Japan!AA75</x:f>
        <x:v>0.07911570917047987</x:v>
      </x:c>
      <x:c r="O75" s="80" t="str">
        <x:f>IF(N75&lt;=1,"OK","Check")</x:f>
        <x:v>OK</x:v>
      </x:c>
      <x:c r="P75" s="80" t="str">
        <x:f>IF($A75&lt;1922,"n/a",IF(AND(Navy!AE75&gt;=0.95,Navy!AE75&lt;=1.1),"OK","Check"))</x:f>
        <x:v>n/a</x:v>
      </x:c>
      <x:c r="Q75" s="80" t="str">
        <x:f>IF(Navy!Z75=0,"n/a",IF(Resources!K75&gt;=Navy!Z75,"OK","Check"))</x:f>
        <x:v>OK</x:v>
      </x:c>
      <x:c r="R75" s="80" t="str">
        <x:f>IF(AND(gulf_on=1,$A75=gulf_year),IF(Gulf!AF75=1,"OK","Check"),"n/a")</x:f>
        <x:v>n/a</x:v>
      </x:c>
      <x:c r="S75" s="47" t="n">
        <x:f>COUNTIF(B75:R75,"Check")+COUNTIF(T75:Z75,"Check")</x:f>
        <x:v>0</x:v>
      </x:c>
      <x:c r="T75" t="str">
        <x:f>IF(ABS(Japan!AM75)&lt;0.001,"OK","Check")</x:f>
        <x:v>OK</x:v>
      </x:c>
      <x:c r="U75" t="str">
        <x:f>"n/a"</x:f>
        <x:v>n/a</x:v>
      </x:c>
      <x:c r="V75" t="str">
        <x:f>"n/a"</x:f>
        <x:v>n/a</x:v>
      </x:c>
      <x:c r="W75" t="str">
        <x:f>"n/a"</x:f>
        <x:v>n/a</x:v>
      </x:c>
      <x:c r="X75" t="str">
        <x:f>"n/a"</x:f>
        <x:v>n/a</x:v>
      </x:c>
      <x:c r="Y75" t="str">
        <x:f>IF(Abroad!T75&gt;=-0.001,"OK","Check")</x:f>
        <x:v>OK</x:v>
      </x:c>
      <x:c r="Z75" t="str">
        <x:f>"n/a"</x:f>
        <x:v>n/a</x:v>
      </x:c>
    </x:row>
    <x:row r="76">
      <x:c r="A76" s="61" t="n">
        <x:v>1916</x:v>
      </x:c>
      <x:c r="B76" s="80" t="str">
        <x:f>IF(ABS(People!L76-(People!B76+People!C76+People!D76+People!K76))&lt;1,"OK","Check")</x:f>
        <x:v>OK</x:v>
      </x:c>
      <x:c r="C76" s="80" t="str">
        <x:f>IF(ABS('Debt &amp; cash'!M76-'Debt &amp; cash'!E76)&lt;0.001,"OK","Check")</x:f>
        <x:v>OK</x:v>
      </x:c>
      <x:c r="D76" s="80" t="str">
        <x:f>IF('Debt &amp; cash'!S76&gt;=-0.001,"OK","Check")</x:f>
        <x:v>OK</x:v>
      </x:c>
      <x:c r="E76" s="81" t="n">
        <x:f>'Debt &amp; cash'!V76</x:f>
        <x:v>0.05</x:v>
      </x:c>
      <x:c r="F76" s="80" t="str">
        <x:f>IF($A76&lt;1887,"n/a",IF(E76&lt;=cap_debt,"OK","Check"))</x:f>
        <x:v>OK</x:v>
      </x:c>
      <x:c r="G76" s="81" t="n">
        <x:f>'Debt &amp; cash'!W76</x:f>
        <x:v>0.017661341354156403</x:v>
      </x:c>
      <x:c r="H76" s="80" t="str">
        <x:f>IF($A76&lt;1887,"n/a",IF(G76&lt;=cap_int,"OK","Check"))</x:f>
        <x:v>OK</x:v>
      </x:c>
      <x:c r="I76" s="81" t="n">
        <x:f>Budget!AC76</x:f>
        <x:v>0.012066322571570448</x:v>
      </x:c>
      <x:c r="J76" s="80" t="str">
        <x:f>IF($A76&lt;1887,"n/a",IF(Paths!AC76=1,"War year",IF(I76&lt;=cap_def,"OK","Check")))</x:f>
        <x:v>War year</x:v>
      </x:c>
      <x:c r="K76" s="63" t="n">
        <x:f>'Debt &amp; cash'!Y76/Economy!O76</x:f>
        <x:v>0.009838419736010868</x:v>
      </x:c>
      <x:c r="L76" s="80" t="str">
        <x:f>IF('Debt &amp; cash'!Y76&lt;=mkt_capacity*Economy!O76+foreign_capacity,"OK","Check")</x:f>
        <x:v>OK</x:v>
      </x:c>
      <x:c r="M76" s="80" t="str">
        <x:f>IF($A76&lt;1900,"n/a",IF('Gold &amp; money'!K76&gt;=0,"OK","Check"))</x:f>
        <x:v>OK</x:v>
      </x:c>
      <x:c r="N76" s="81" t="n">
        <x:f>Japan!AA76</x:f>
        <x:v>0.045773275396202046</x:v>
      </x:c>
      <x:c r="O76" s="80" t="str">
        <x:f>IF(N76&lt;=1,"OK","Check")</x:f>
        <x:v>OK</x:v>
      </x:c>
      <x:c r="P76" s="80" t="str">
        <x:f>IF($A76&lt;1922,"n/a",IF(AND(Navy!AE76&gt;=0.95,Navy!AE76&lt;=1.1),"OK","Check"))</x:f>
        <x:v>n/a</x:v>
      </x:c>
      <x:c r="Q76" s="80" t="str">
        <x:f>IF(Navy!Z76=0,"n/a",IF(Resources!K76&gt;=Navy!Z76,"OK","Check"))</x:f>
        <x:v>OK</x:v>
      </x:c>
      <x:c r="R76" s="80" t="str">
        <x:f>IF(AND(gulf_on=1,$A76=gulf_year),IF(Gulf!AF76=1,"OK","Check"),"n/a")</x:f>
        <x:v>n/a</x:v>
      </x:c>
      <x:c r="S76" s="47" t="n">
        <x:f>COUNTIF(B76:R76,"Check")+COUNTIF(T76:Z76,"Check")</x:f>
        <x:v>0</x:v>
      </x:c>
      <x:c r="T76" t="str">
        <x:f>IF(ABS(Japan!AM76)&lt;0.001,"OK","Check")</x:f>
        <x:v>OK</x:v>
      </x:c>
      <x:c r="U76" t="str">
        <x:f>"n/a"</x:f>
        <x:v>n/a</x:v>
      </x:c>
      <x:c r="V76" t="str">
        <x:f>"n/a"</x:f>
        <x:v>n/a</x:v>
      </x:c>
      <x:c r="W76" t="str">
        <x:f>"n/a"</x:f>
        <x:v>n/a</x:v>
      </x:c>
      <x:c r="X76" t="str">
        <x:f>"n/a"</x:f>
        <x:v>n/a</x:v>
      </x:c>
      <x:c r="Y76" t="str">
        <x:f>IF(Abroad!T76&gt;=-0.001,"OK","Check")</x:f>
        <x:v>OK</x:v>
      </x:c>
      <x:c r="Z76" t="str">
        <x:f>"n/a"</x:f>
        <x:v>n/a</x:v>
      </x:c>
    </x:row>
    <x:row r="77">
      <x:c r="A77" s="61" t="n">
        <x:v>1917</x:v>
      </x:c>
      <x:c r="B77" s="80" t="str">
        <x:f>IF(ABS(People!L77-(People!B77+People!C77+People!D77+People!K77))&lt;1,"OK","Check")</x:f>
        <x:v>OK</x:v>
      </x:c>
      <x:c r="C77" s="80" t="str">
        <x:f>IF(ABS('Debt &amp; cash'!M77-'Debt &amp; cash'!E77)&lt;0.001,"OK","Check")</x:f>
        <x:v>OK</x:v>
      </x:c>
      <x:c r="D77" s="80" t="str">
        <x:f>IF('Debt &amp; cash'!S77&gt;=-0.001,"OK","Check")</x:f>
        <x:v>OK</x:v>
      </x:c>
      <x:c r="E77" s="81" t="n">
        <x:f>'Debt &amp; cash'!V77</x:f>
        <x:v>0.05</x:v>
      </x:c>
      <x:c r="F77" s="80" t="str">
        <x:f>IF($A77&lt;1887,"n/a",IF(E77&lt;=cap_debt,"OK","Check"))</x:f>
        <x:v>OK</x:v>
      </x:c>
      <x:c r="G77" s="81" t="n">
        <x:f>'Debt &amp; cash'!W77</x:f>
        <x:v>0.016536254820622386</x:v>
      </x:c>
      <x:c r="H77" s="80" t="str">
        <x:f>IF($A77&lt;1887,"n/a",IF(G77&lt;=cap_int,"OK","Check"))</x:f>
        <x:v>OK</x:v>
      </x:c>
      <x:c r="I77" s="81" t="n">
        <x:f>Budget!AC77</x:f>
        <x:v>0.010928032854340445</x:v>
      </x:c>
      <x:c r="J77" s="80" t="str">
        <x:f>IF($A77&lt;1887,"n/a",IF(Paths!AC77=1,"War year",IF(I77&lt;=cap_def,"OK","Check")))</x:f>
        <x:v>War year</x:v>
      </x:c>
      <x:c r="K77" s="63" t="n">
        <x:f>'Debt &amp; cash'!Y77/Economy!O77</x:f>
        <x:v>0.012097468330490451</x:v>
      </x:c>
      <x:c r="L77" s="80" t="str">
        <x:f>IF('Debt &amp; cash'!Y77&lt;=mkt_capacity*Economy!O77+foreign_capacity,"OK","Check")</x:f>
        <x:v>OK</x:v>
      </x:c>
      <x:c r="M77" s="80" t="str">
        <x:f>IF($A77&lt;1900,"n/a",IF('Gold &amp; money'!K77&gt;=0,"OK","Check"))</x:f>
        <x:v>OK</x:v>
      </x:c>
      <x:c r="N77" s="81" t="n">
        <x:f>Japan!AA77</x:f>
        <x:v>0.034483913427278474</x:v>
      </x:c>
      <x:c r="O77" s="80" t="str">
        <x:f>IF(N77&lt;=1,"OK","Check")</x:f>
        <x:v>OK</x:v>
      </x:c>
      <x:c r="P77" s="80" t="str">
        <x:f>IF($A77&lt;1922,"n/a",IF(AND(Navy!AE77&gt;=0.95,Navy!AE77&lt;=1.1),"OK","Check"))</x:f>
        <x:v>n/a</x:v>
      </x:c>
      <x:c r="Q77" s="80" t="str">
        <x:f>IF(Navy!Z77=0,"n/a",IF(Resources!K77&gt;=Navy!Z77,"OK","Check"))</x:f>
        <x:v>OK</x:v>
      </x:c>
      <x:c r="R77" s="80" t="str">
        <x:f>IF(AND(gulf_on=1,$A77=gulf_year),IF(Gulf!AF77=1,"OK","Check"),"n/a")</x:f>
        <x:v>n/a</x:v>
      </x:c>
      <x:c r="S77" s="47" t="n">
        <x:f>COUNTIF(B77:R77,"Check")+COUNTIF(T77:Z77,"Check")</x:f>
        <x:v>0</x:v>
      </x:c>
      <x:c r="T77" t="str">
        <x:f>IF(ABS(Japan!AM77)&lt;0.001,"OK","Check")</x:f>
        <x:v>OK</x:v>
      </x:c>
      <x:c r="U77" t="str">
        <x:f>"n/a"</x:f>
        <x:v>n/a</x:v>
      </x:c>
      <x:c r="V77" t="str">
        <x:f>"n/a"</x:f>
        <x:v>n/a</x:v>
      </x:c>
      <x:c r="W77" t="str">
        <x:f>"n/a"</x:f>
        <x:v>n/a</x:v>
      </x:c>
      <x:c r="X77" t="str">
        <x:f>"n/a"</x:f>
        <x:v>n/a</x:v>
      </x:c>
      <x:c r="Y77" t="str">
        <x:f>IF(Abroad!T77&gt;=-0.001,"OK","Check")</x:f>
        <x:v>OK</x:v>
      </x:c>
      <x:c r="Z77" t="str">
        <x:f>"n/a"</x:f>
        <x:v>n/a</x:v>
      </x:c>
    </x:row>
    <x:row r="78">
      <x:c r="A78" s="61" t="n">
        <x:v>1918</x:v>
      </x:c>
      <x:c r="B78" s="80" t="str">
        <x:f>IF(ABS(People!L78-(People!B78+People!C78+People!D78+People!K78))&lt;1,"OK","Check")</x:f>
        <x:v>OK</x:v>
      </x:c>
      <x:c r="C78" s="80" t="str">
        <x:f>IF(ABS('Debt &amp; cash'!M78-'Debt &amp; cash'!E78)&lt;0.001,"OK","Check")</x:f>
        <x:v>OK</x:v>
      </x:c>
      <x:c r="D78" s="80" t="str">
        <x:f>IF('Debt &amp; cash'!S78&gt;=-0.001,"OK","Check")</x:f>
        <x:v>OK</x:v>
      </x:c>
      <x:c r="E78" s="81" t="n">
        <x:f>'Debt &amp; cash'!V78</x:f>
        <x:v>0.05</x:v>
      </x:c>
      <x:c r="F78" s="80" t="str">
        <x:f>IF($A78&lt;1887,"n/a",IF(E78&lt;=cap_debt,"OK","Check"))</x:f>
        <x:v>OK</x:v>
      </x:c>
      <x:c r="G78" s="81" t="n">
        <x:f>'Debt &amp; cash'!W78</x:f>
        <x:v>0.01716183371399863</x:v>
      </x:c>
      <x:c r="H78" s="80" t="str">
        <x:f>IF($A78&lt;1887,"n/a",IF(G78&lt;=cap_int,"OK","Check"))</x:f>
        <x:v>OK</x:v>
      </x:c>
      <x:c r="I78" s="81" t="n">
        <x:f>Budget!AC78</x:f>
        <x:v>0.014835373902216809</x:v>
      </x:c>
      <x:c r="J78" s="80" t="str">
        <x:f>IF($A78&lt;1887,"n/a",IF(Paths!AC78=1,"War year",IF(I78&lt;=cap_def,"OK","Check")))</x:f>
        <x:v>War year</x:v>
      </x:c>
      <x:c r="K78" s="63" t="n">
        <x:f>'Debt &amp; cash'!Y78/Economy!O78</x:f>
        <x:v>0.010141922771650038</x:v>
      </x:c>
      <x:c r="L78" s="80" t="str">
        <x:f>IF('Debt &amp; cash'!Y78&lt;=mkt_capacity*Economy!O78+foreign_capacity,"OK","Check")</x:f>
        <x:v>OK</x:v>
      </x:c>
      <x:c r="M78" s="80" t="str">
        <x:f>IF($A78&lt;1900,"n/a",IF('Gold &amp; money'!K78&gt;=0,"OK","Check"))</x:f>
        <x:v>OK</x:v>
      </x:c>
      <x:c r="N78" s="81" t="n">
        <x:f>Japan!AA78</x:f>
        <x:v>0.023470398241565143</x:v>
      </x:c>
      <x:c r="O78" s="80" t="str">
        <x:f>IF(N78&lt;=1,"OK","Check")</x:f>
        <x:v>OK</x:v>
      </x:c>
      <x:c r="P78" s="80" t="str">
        <x:f>IF($A78&lt;1922,"n/a",IF(AND(Navy!AE78&gt;=0.95,Navy!AE78&lt;=1.1),"OK","Check"))</x:f>
        <x:v>n/a</x:v>
      </x:c>
      <x:c r="Q78" s="80" t="str">
        <x:f>IF(Navy!Z78=0,"n/a",IF(Resources!K78&gt;=Navy!Z78,"OK","Check"))</x:f>
        <x:v>OK</x:v>
      </x:c>
      <x:c r="R78" s="80" t="str">
        <x:f>IF(AND(gulf_on=1,$A78=gulf_year),IF(Gulf!AF78=1,"OK","Check"),"n/a")</x:f>
        <x:v>n/a</x:v>
      </x:c>
      <x:c r="S78" s="47" t="n">
        <x:f>COUNTIF(B78:R78,"Check")+COUNTIF(T78:Z78,"Check")</x:f>
        <x:v>0</x:v>
      </x:c>
      <x:c r="T78" t="str">
        <x:f>IF(ABS(Japan!AM78)&lt;0.001,"OK","Check")</x:f>
        <x:v>OK</x:v>
      </x:c>
      <x:c r="U78" t="str">
        <x:f>"n/a"</x:f>
        <x:v>n/a</x:v>
      </x:c>
      <x:c r="V78" t="str">
        <x:f>"n/a"</x:f>
        <x:v>n/a</x:v>
      </x:c>
      <x:c r="W78" t="str">
        <x:f>"n/a"</x:f>
        <x:v>n/a</x:v>
      </x:c>
      <x:c r="X78" t="str">
        <x:f>"n/a"</x:f>
        <x:v>n/a</x:v>
      </x:c>
      <x:c r="Y78" t="str">
        <x:f>IF(Abroad!T78&gt;=-0.001,"OK","Check")</x:f>
        <x:v>OK</x:v>
      </x:c>
      <x:c r="Z78" t="str">
        <x:f>"n/a"</x:f>
        <x:v>n/a</x:v>
      </x:c>
    </x:row>
    <x:row r="79">
      <x:c r="A79" s="61" t="n">
        <x:v>1919</x:v>
      </x:c>
      <x:c r="B79" s="80" t="str">
        <x:f>IF(ABS(People!L79-(People!B79+People!C79+People!D79+People!K79))&lt;1,"OK","Check")</x:f>
        <x:v>OK</x:v>
      </x:c>
      <x:c r="C79" s="80" t="str">
        <x:f>IF(ABS('Debt &amp; cash'!M79-'Debt &amp; cash'!E79)&lt;0.001,"OK","Check")</x:f>
        <x:v>OK</x:v>
      </x:c>
      <x:c r="D79" s="80" t="str">
        <x:f>IF('Debt &amp; cash'!S79&gt;=-0.001,"OK","Check")</x:f>
        <x:v>OK</x:v>
      </x:c>
      <x:c r="E79" s="81" t="n">
        <x:f>'Debt &amp; cash'!V79</x:f>
        <x:v>0.05</x:v>
      </x:c>
      <x:c r="F79" s="80" t="str">
        <x:f>IF($A79&lt;1887,"n/a",IF(E79&lt;=cap_debt,"OK","Check"))</x:f>
        <x:v>OK</x:v>
      </x:c>
      <x:c r="G79" s="81" t="n">
        <x:f>'Debt &amp; cash'!W79</x:f>
        <x:v>0.018102544623542768</x:v>
      </x:c>
      <x:c r="H79" s="80" t="str">
        <x:f>IF($A79&lt;1887,"n/a",IF(G79&lt;=cap_int,"OK","Check"))</x:f>
        <x:v>OK</x:v>
      </x:c>
      <x:c r="I79" s="81" t="n">
        <x:f>Budget!AC79</x:f>
        <x:v>0.011465792625504104</x:v>
      </x:c>
      <x:c r="J79" s="80" t="str">
        <x:f>IF($A79&lt;1887,"n/a",IF(Paths!AC79=1,"War year",IF(I79&lt;=cap_def,"OK","Check")))</x:f>
        <x:v>War year</x:v>
      </x:c>
      <x:c r="K79" s="63" t="n">
        <x:f>'Debt &amp; cash'!Y79/Economy!O79</x:f>
        <x:v>0.013160252075585669</x:v>
      </x:c>
      <x:c r="L79" s="80" t="str">
        <x:f>IF('Debt &amp; cash'!Y79&lt;=mkt_capacity*Economy!O79+foreign_capacity,"OK","Check")</x:f>
        <x:v>OK</x:v>
      </x:c>
      <x:c r="M79" s="80" t="str">
        <x:f>IF($A79&lt;1900,"n/a",IF('Gold &amp; money'!K79&gt;=0,"OK","Check"))</x:f>
        <x:v>OK</x:v>
      </x:c>
      <x:c r="N79" s="81" t="n">
        <x:f>Japan!AA79</x:f>
        <x:v>0.017422035074377375</x:v>
      </x:c>
      <x:c r="O79" s="80" t="str">
        <x:f>IF(N79&lt;=1,"OK","Check")</x:f>
        <x:v>OK</x:v>
      </x:c>
      <x:c r="P79" s="80" t="str">
        <x:f>IF($A79&lt;1922,"n/a",IF(AND(Navy!AE79&gt;=0.95,Navy!AE79&lt;=1.1),"OK","Check"))</x:f>
        <x:v>n/a</x:v>
      </x:c>
      <x:c r="Q79" s="80" t="str">
        <x:f>IF(Navy!Z79=0,"n/a",IF(Resources!K79&gt;=Navy!Z79,"OK","Check"))</x:f>
        <x:v>OK</x:v>
      </x:c>
      <x:c r="R79" s="80" t="str">
        <x:f>IF(AND(gulf_on=1,$A79=gulf_year),IF(Gulf!AF79=1,"OK","Check"),"n/a")</x:f>
        <x:v>n/a</x:v>
      </x:c>
      <x:c r="S79" s="47" t="n">
        <x:f>COUNTIF(B79:R79,"Check")+COUNTIF(T79:Z79,"Check")</x:f>
        <x:v>0</x:v>
      </x:c>
      <x:c r="T79" t="str">
        <x:f>IF(ABS(Japan!AM79)&lt;0.001,"OK","Check")</x:f>
        <x:v>OK</x:v>
      </x:c>
      <x:c r="U79" t="str">
        <x:f>"n/a"</x:f>
        <x:v>n/a</x:v>
      </x:c>
      <x:c r="V79" t="str">
        <x:f>"n/a"</x:f>
        <x:v>n/a</x:v>
      </x:c>
      <x:c r="W79" t="str">
        <x:f>"n/a"</x:f>
        <x:v>n/a</x:v>
      </x:c>
      <x:c r="X79" t="str">
        <x:f>"n/a"</x:f>
        <x:v>n/a</x:v>
      </x:c>
      <x:c r="Y79" t="str">
        <x:f>IF(Abroad!T79&gt;=-0.001,"OK","Check")</x:f>
        <x:v>OK</x:v>
      </x:c>
      <x:c r="Z79" t="str">
        <x:f>"n/a"</x:f>
        <x:v>n/a</x:v>
      </x:c>
    </x:row>
    <x:row r="80">
      <x:c r="A80" s="61" t="n">
        <x:v>1920</x:v>
      </x:c>
      <x:c r="B80" s="80" t="str">
        <x:f>IF(ABS(People!L80-(People!B80+People!C80+People!D80+People!K80))&lt;1,"OK","Check")</x:f>
        <x:v>OK</x:v>
      </x:c>
      <x:c r="C80" s="80" t="str">
        <x:f>IF(ABS('Debt &amp; cash'!M80-'Debt &amp; cash'!E80)&lt;0.001,"OK","Check")</x:f>
        <x:v>OK</x:v>
      </x:c>
      <x:c r="D80" s="80" t="str">
        <x:f>IF('Debt &amp; cash'!S80&gt;=-0.001,"OK","Check")</x:f>
        <x:v>OK</x:v>
      </x:c>
      <x:c r="E80" s="81" t="n">
        <x:f>'Debt &amp; cash'!V80</x:f>
        <x:v>0.05</x:v>
      </x:c>
      <x:c r="F80" s="80" t="str">
        <x:f>IF($A80&lt;1887,"n/a",IF(E80&lt;=cap_debt,"OK","Check"))</x:f>
        <x:v>OK</x:v>
      </x:c>
      <x:c r="G80" s="81" t="n">
        <x:f>'Debt &amp; cash'!W80</x:f>
        <x:v>0.017564572850024922</x:v>
      </x:c>
      <x:c r="H80" s="80" t="str">
        <x:f>IF($A80&lt;1887,"n/a",IF(G80&lt;=cap_int,"OK","Check"))</x:f>
        <x:v>OK</x:v>
      </x:c>
      <x:c r="I80" s="81" t="n">
        <x:f>Budget!AC80</x:f>
        <x:v>0.01042671660188114</x:v>
      </x:c>
      <x:c r="J80" s="80" t="str">
        <x:f>IF($A80&lt;1887,"n/a",IF(Paths!AC80=1,"War year",IF(I80&lt;=cap_def,"OK","Check")))</x:f>
        <x:v>War year</x:v>
      </x:c>
      <x:c r="K80" s="63" t="n">
        <x:f>'Debt &amp; cash'!Y80/Economy!O80</x:f>
        <x:v>0.014915060820832401</x:v>
      </x:c>
      <x:c r="L80" s="80" t="str">
        <x:f>IF('Debt &amp; cash'!Y80&lt;=mkt_capacity*Economy!O80+foreign_capacity,"OK","Check")</x:f>
        <x:v>OK</x:v>
      </x:c>
      <x:c r="M80" s="80" t="str">
        <x:f>IF($A80&lt;1900,"n/a",IF('Gold &amp; money'!K80&gt;=0,"OK","Check"))</x:f>
        <x:v>OK</x:v>
      </x:c>
      <x:c r="N80" s="81" t="n">
        <x:f>Japan!AA80</x:f>
        <x:v>0.016229383075291426</x:v>
      </x:c>
      <x:c r="O80" s="80" t="str">
        <x:f>IF(N80&lt;=1,"OK","Check")</x:f>
        <x:v>OK</x:v>
      </x:c>
      <x:c r="P80" s="80" t="str">
        <x:f>IF($A80&lt;1922,"n/a",IF(AND(Navy!AE80&gt;=0.95,Navy!AE80&lt;=1.1),"OK","Check"))</x:f>
        <x:v>n/a</x:v>
      </x:c>
      <x:c r="Q80" s="80" t="str">
        <x:f>IF(Navy!Z80=0,"n/a",IF(Resources!K80&gt;=Navy!Z80,"OK","Check"))</x:f>
        <x:v>OK</x:v>
      </x:c>
      <x:c r="R80" s="80" t="str">
        <x:f>IF(AND(gulf_on=1,$A80=gulf_year),IF(Gulf!AF80=1,"OK","Check"),"n/a")</x:f>
        <x:v>n/a</x:v>
      </x:c>
      <x:c r="S80" s="47" t="n">
        <x:f>COUNTIF(B80:R80,"Check")+COUNTIF(T80:Z80,"Check")</x:f>
        <x:v>0</x:v>
      </x:c>
      <x:c r="T80" t="str">
        <x:f>IF(ABS(Japan!AM80)&lt;0.001,"OK","Check")</x:f>
        <x:v>OK</x:v>
      </x:c>
      <x:c r="U80" t="str">
        <x:f>"n/a"</x:f>
        <x:v>n/a</x:v>
      </x:c>
      <x:c r="V80" t="str">
        <x:f>"n/a"</x:f>
        <x:v>n/a</x:v>
      </x:c>
      <x:c r="W80" t="str">
        <x:f>"n/a"</x:f>
        <x:v>n/a</x:v>
      </x:c>
      <x:c r="X80" t="str">
        <x:f>"n/a"</x:f>
        <x:v>n/a</x:v>
      </x:c>
      <x:c r="Y80" t="str">
        <x:f>IF(Abroad!T80&gt;=-0.001,"OK","Check")</x:f>
        <x:v>OK</x:v>
      </x:c>
      <x:c r="Z80" t="str">
        <x:f>"n/a"</x:f>
        <x:v>n/a</x:v>
      </x:c>
    </x:row>
    <x:row r="81">
      <x:c r="A81" s="61" t="n">
        <x:v>1921</x:v>
      </x:c>
      <x:c r="B81" s="80" t="str">
        <x:f>IF(ABS(People!L81-(People!B81+People!C81+People!D81+People!K81))&lt;1,"OK","Check")</x:f>
        <x:v>OK</x:v>
      </x:c>
      <x:c r="C81" s="80" t="str">
        <x:f>IF(ABS('Debt &amp; cash'!M81-'Debt &amp; cash'!E81)&lt;0.001,"OK","Check")</x:f>
        <x:v>OK</x:v>
      </x:c>
      <x:c r="D81" s="80" t="str">
        <x:f>IF('Debt &amp; cash'!S81&gt;=-0.001,"OK","Check")</x:f>
        <x:v>OK</x:v>
      </x:c>
      <x:c r="E81" s="81" t="n">
        <x:f>'Debt &amp; cash'!V81</x:f>
        <x:v>0.053509001179975264</x:v>
      </x:c>
      <x:c r="F81" s="80" t="str">
        <x:f>IF($A81&lt;1887,"n/a",IF(E81&lt;=cap_debt,"OK","Check"))</x:f>
        <x:v>OK</x:v>
      </x:c>
      <x:c r="G81" s="81" t="n">
        <x:f>'Debt &amp; cash'!W81</x:f>
        <x:v>0.027759881321349284</x:v>
      </x:c>
      <x:c r="H81" s="80" t="str">
        <x:f>IF($A81&lt;1887,"n/a",IF(G81&lt;=cap_int,"OK","Check"))</x:f>
        <x:v>OK</x:v>
      </x:c>
      <x:c r="I81" s="81" t="n">
        <x:f>Budget!AC81</x:f>
        <x:v>0.011973856743337116</x:v>
      </x:c>
      <x:c r="J81" s="80" t="str">
        <x:f>IF($A81&lt;1887,"n/a",IF(Paths!AC81=1,"War year",IF(I81&lt;=cap_def,"OK","Check")))</x:f>
        <x:v>War year</x:v>
      </x:c>
      <x:c r="K81" s="63" t="n">
        <x:f>'Debt &amp; cash'!Y81/Economy!O81</x:f>
        <x:v>0</x:v>
      </x:c>
      <x:c r="L81" s="80" t="str">
        <x:f>IF('Debt &amp; cash'!Y81&lt;=mkt_capacity*Economy!O81+foreign_capacity,"OK","Check")</x:f>
        <x:v>OK</x:v>
      </x:c>
      <x:c r="M81" s="80" t="str">
        <x:f>IF($A81&lt;1900,"n/a",IF('Gold &amp; money'!K81&gt;=0,"OK","Check"))</x:f>
        <x:v>OK</x:v>
      </x:c>
      <x:c r="N81" s="81" t="n">
        <x:f>Japan!AA81</x:f>
        <x:v>0.016533828835028925</x:v>
      </x:c>
      <x:c r="O81" s="80" t="str">
        <x:f>IF(N81&lt;=1,"OK","Check")</x:f>
        <x:v>OK</x:v>
      </x:c>
      <x:c r="P81" s="80" t="str">
        <x:f>IF($A81&lt;1922,"n/a",IF(AND(Navy!AE81&gt;=0.95,Navy!AE81&lt;=1.1),"OK","Check"))</x:f>
        <x:v>n/a</x:v>
      </x:c>
      <x:c r="Q81" s="80" t="str">
        <x:f>IF(Navy!Z81=0,"n/a",IF(Resources!K81&gt;=Navy!Z81,"OK","Check"))</x:f>
        <x:v>OK</x:v>
      </x:c>
      <x:c r="R81" s="80" t="str">
        <x:f>IF(AND(gulf_on=1,$A81=gulf_year),IF(Gulf!AF81=1,"OK","Check"),"n/a")</x:f>
        <x:v>n/a</x:v>
      </x:c>
      <x:c r="S81" s="47" t="n">
        <x:f>COUNTIF(B81:R81,"Check")+COUNTIF(T81:Z81,"Check")</x:f>
        <x:v>0</x:v>
      </x:c>
      <x:c r="T81" t="str">
        <x:f>IF(ABS(Japan!AM81)&lt;0.001,"OK","Check")</x:f>
        <x:v>OK</x:v>
      </x:c>
      <x:c r="U81" t="str">
        <x:f>"n/a"</x:f>
        <x:v>n/a</x:v>
      </x:c>
      <x:c r="V81" t="str">
        <x:f>"n/a"</x:f>
        <x:v>n/a</x:v>
      </x:c>
      <x:c r="W81" t="str">
        <x:f>"n/a"</x:f>
        <x:v>n/a</x:v>
      </x:c>
      <x:c r="X81" t="str">
        <x:f>"n/a"</x:f>
        <x:v>n/a</x:v>
      </x:c>
      <x:c r="Y81" t="str">
        <x:f>IF(Abroad!T81&gt;=-0.001,"OK","Check")</x:f>
        <x:v>OK</x:v>
      </x:c>
      <x:c r="Z81" t="str">
        <x:f>"n/a"</x:f>
        <x:v>n/a</x:v>
      </x:c>
    </x:row>
    <x:row r="82">
      <x:c r="A82" s="61" t="n">
        <x:v>1922</x:v>
      </x:c>
      <x:c r="B82" s="80" t="str">
        <x:f>IF(ABS(People!L82-(People!B82+People!C82+People!D82+People!K82))&lt;1,"OK","Check")</x:f>
        <x:v>OK</x:v>
      </x:c>
      <x:c r="C82" s="80" t="str">
        <x:f>IF(ABS('Debt &amp; cash'!M82-'Debt &amp; cash'!E82)&lt;0.001,"OK","Check")</x:f>
        <x:v>OK</x:v>
      </x:c>
      <x:c r="D82" s="80" t="str">
        <x:f>IF('Debt &amp; cash'!S82&gt;=-0.001,"OK","Check")</x:f>
        <x:v>OK</x:v>
      </x:c>
      <x:c r="E82" s="81" t="n">
        <x:f>'Debt &amp; cash'!V82</x:f>
        <x:v>0.05</x:v>
      </x:c>
      <x:c r="F82" s="80" t="str">
        <x:f>IF($A82&lt;1887,"n/a",IF(E82&lt;=cap_debt,"OK","Check"))</x:f>
        <x:v>OK</x:v>
      </x:c>
      <x:c r="G82" s="81" t="n">
        <x:f>'Debt &amp; cash'!W82</x:f>
        <x:v>0.02327214748659826</x:v>
      </x:c>
      <x:c r="H82" s="80" t="str">
        <x:f>IF($A82&lt;1887,"n/a",IF(G82&lt;=cap_int,"OK","Check"))</x:f>
        <x:v>OK</x:v>
      </x:c>
      <x:c r="I82" s="81" t="n">
        <x:f>Budget!AC82</x:f>
        <x:v>0.01136392808845654</x:v>
      </x:c>
      <x:c r="J82" s="80" t="str">
        <x:f>IF($A82&lt;1887,"n/a",IF(Paths!AC82=1,"War year",IF(I82&lt;=cap_def,"OK","Check")))</x:f>
        <x:v>War year</x:v>
      </x:c>
      <x:c r="K82" s="63" t="n">
        <x:f>'Debt &amp; cash'!Y82/Economy!O82</x:f>
        <x:v>0.0036118366453870895</x:v>
      </x:c>
      <x:c r="L82" s="80" t="str">
        <x:f>IF('Debt &amp; cash'!Y82&lt;=mkt_capacity*Economy!O82+foreign_capacity,"OK","Check")</x:f>
        <x:v>OK</x:v>
      </x:c>
      <x:c r="M82" s="80" t="str">
        <x:f>IF($A82&lt;1900,"n/a",IF('Gold &amp; money'!K82&gt;=0,"OK","Check"))</x:f>
        <x:v>OK</x:v>
      </x:c>
      <x:c r="N82" s="81" t="n">
        <x:f>Japan!AA82</x:f>
        <x:v>0.015245910243575649</x:v>
      </x:c>
      <x:c r="O82" s="80" t="str">
        <x:f>IF(N82&lt;=1,"OK","Check")</x:f>
        <x:v>OK</x:v>
      </x:c>
      <x:c r="P82" s="80" t="str">
        <x:f>IF($A82&lt;1922,"n/a",IF(AND(Navy!AE82&gt;=0.95,Navy!AE82&lt;=1.1),"OK","Check"))</x:f>
        <x:v>OK</x:v>
      </x:c>
      <x:c r="Q82" s="80" t="str">
        <x:f>IF(Navy!Z82=0,"n/a",IF(Resources!K82&gt;=Navy!Z82,"OK","Check"))</x:f>
        <x:v>OK</x:v>
      </x:c>
      <x:c r="R82" s="80" t="str">
        <x:f>IF(AND(gulf_on=1,$A82=gulf_year),IF(Gulf!AF82=1,"OK","Check"),"n/a")</x:f>
        <x:v>n/a</x:v>
      </x:c>
      <x:c r="S82" s="47" t="n">
        <x:f>COUNTIF(B82:R82,"Check")+COUNTIF(T82:Z82,"Check")</x:f>
        <x:v>0</x:v>
      </x:c>
      <x:c r="T82" t="str">
        <x:f>IF(ABS(Japan!AM82)&lt;0.001,"OK","Check")</x:f>
        <x:v>OK</x:v>
      </x:c>
      <x:c r="U82" t="str">
        <x:f>"n/a"</x:f>
        <x:v>n/a</x:v>
      </x:c>
      <x:c r="V82" t="str">
        <x:f>"n/a"</x:f>
        <x:v>n/a</x:v>
      </x:c>
      <x:c r="W82" t="str">
        <x:f>"n/a"</x:f>
        <x:v>n/a</x:v>
      </x:c>
      <x:c r="X82" t="str">
        <x:f>"n/a"</x:f>
        <x:v>n/a</x:v>
      </x:c>
      <x:c r="Y82" t="str">
        <x:f>IF(Abroad!T82&gt;=-0.001,"OK","Check")</x:f>
        <x:v>OK</x:v>
      </x:c>
      <x:c r="Z82" t="str">
        <x:f>"n/a"</x:f>
        <x:v>n/a</x:v>
      </x:c>
    </x:row>
    <x:row r="83">
      <x:c r="A83" s="58" t="n">
        <x:v>1923</x:v>
      </x:c>
      <x:c r="B83" s="80" t="str">
        <x:f>IF(ABS(People!L83-(People!B83+People!C83+People!D83+People!K83))&lt;1,"OK","Check")</x:f>
        <x:v>OK</x:v>
      </x:c>
      <x:c r="C83" s="80" t="str">
        <x:f>IF(ABS('Debt &amp; cash'!M83-'Debt &amp; cash'!E83)&lt;0.001,"OK","Check")</x:f>
        <x:v>OK</x:v>
      </x:c>
      <x:c r="D83" s="80" t="str">
        <x:f>IF('Debt &amp; cash'!S83&gt;=-0.001,"OK","Check")</x:f>
        <x:v>OK</x:v>
      </x:c>
      <x:c r="E83" s="81" t="n">
        <x:f>'Debt &amp; cash'!V83</x:f>
        <x:v>0.05</x:v>
      </x:c>
      <x:c r="F83" s="80" t="str">
        <x:f>IF($A83&lt;1887,"n/a",IF(E83&lt;=cap_debt,"OK","Check"))</x:f>
        <x:v>OK</x:v>
      </x:c>
      <x:c r="G83" s="81" t="n">
        <x:f>'Debt &amp; cash'!W83</x:f>
        <x:v>0.020022392988496646</x:v>
      </x:c>
      <x:c r="H83" s="80" t="str">
        <x:f>IF($A83&lt;1887,"n/a",IF(G83&lt;=cap_int,"OK","Check"))</x:f>
        <x:v>OK</x:v>
      </x:c>
      <x:c r="I83" s="81" t="n">
        <x:f>Budget!AC83</x:f>
        <x:v>0.0067415776879367634</x:v>
      </x:c>
      <x:c r="J83" s="80" t="str">
        <x:f>IF($A83&lt;1887,"n/a",IF(Paths!AC83=1,"War year",IF(I83&lt;=cap_def,"OK","Check")))</x:f>
        <x:v>OK</x:v>
      </x:c>
      <x:c r="K83" s="63" t="n">
        <x:f>'Debt &amp; cash'!Y83/Economy!O83</x:f>
        <x:v>0.011358860333791866</x:v>
      </x:c>
      <x:c r="L83" s="80" t="str">
        <x:f>IF('Debt &amp; cash'!Y83&lt;=mkt_capacity*Economy!O83+foreign_capacity,"OK","Check")</x:f>
        <x:v>OK</x:v>
      </x:c>
      <x:c r="M83" s="80" t="str">
        <x:f>IF($A83&lt;1900,"n/a",IF('Gold &amp; money'!K83&gt;=0,"OK","Check"))</x:f>
        <x:v>OK</x:v>
      </x:c>
      <x:c r="N83" s="81" t="n">
        <x:f>Japan!AA83</x:f>
        <x:v>0.03528721197489869</x:v>
      </x:c>
      <x:c r="O83" s="80" t="str">
        <x:f>IF(N83&lt;=1,"OK","Check")</x:f>
        <x:v>OK</x:v>
      </x:c>
      <x:c r="P83" s="80" t="str">
        <x:f>IF($A83&lt;1922,"n/a",IF(AND(Navy!AE83&gt;=0.95,Navy!AE83&lt;=1.1),"OK","Check"))</x:f>
        <x:v>OK</x:v>
      </x:c>
      <x:c r="Q83" s="80" t="str">
        <x:f>IF(Navy!Z83=0,"n/a",IF(Resources!K83&gt;=Navy!Z83,"OK","Check"))</x:f>
        <x:v>OK</x:v>
      </x:c>
      <x:c r="R83" s="80" t="str">
        <x:f>IF(AND(gulf_on=1,$A83=gulf_year),IF(Gulf!AF83=1,"OK","Check"),"n/a")</x:f>
        <x:v>n/a</x:v>
      </x:c>
      <x:c r="S83" s="47" t="n">
        <x:f>COUNTIF(B83:R83,"Check")+COUNTIF(T83:Z83,"Check")</x:f>
        <x:v>0</x:v>
      </x:c>
      <x:c r="T83" t="str">
        <x:f>IF(ABS(Japan!AM83)&lt;0.001,"OK","Check")</x:f>
        <x:v>OK</x:v>
      </x:c>
      <x:c r="U83" t="str">
        <x:f>"n/a"</x:f>
        <x:v>n/a</x:v>
      </x:c>
      <x:c r="V83" t="str">
        <x:f>"n/a"</x:f>
        <x:v>n/a</x:v>
      </x:c>
      <x:c r="W83" t="str">
        <x:f>"n/a"</x:f>
        <x:v>n/a</x:v>
      </x:c>
      <x:c r="X83" t="str">
        <x:f>"n/a"</x:f>
        <x:v>n/a</x:v>
      </x:c>
      <x:c r="Y83" t="str">
        <x:f>IF(Abroad!T83&gt;=-0.001,"OK","Check")</x:f>
        <x:v>OK</x:v>
      </x:c>
      <x:c r="Z83" t="str">
        <x:f>"n/a"</x:f>
        <x:v>n/a</x:v>
      </x:c>
    </x:row>
    <x:row r="84">
      <x:c r="A84" s="58" t="n">
        <x:v>1924</x:v>
      </x:c>
      <x:c r="B84" s="80" t="str">
        <x:f>IF(ABS(People!L84-(People!B84+People!C84+People!D84+People!K84))&lt;1,"OK","Check")</x:f>
        <x:v>OK</x:v>
      </x:c>
      <x:c r="C84" s="80" t="str">
        <x:f>IF(ABS('Debt &amp; cash'!M84-'Debt &amp; cash'!E84)&lt;0.001,"OK","Check")</x:f>
        <x:v>OK</x:v>
      </x:c>
      <x:c r="D84" s="80" t="str">
        <x:f>IF('Debt &amp; cash'!S84&gt;=-0.001,"OK","Check")</x:f>
        <x:v>OK</x:v>
      </x:c>
      <x:c r="E84" s="81" t="n">
        <x:f>'Debt &amp; cash'!V84</x:f>
        <x:v>0.05</x:v>
      </x:c>
      <x:c r="F84" s="80" t="str">
        <x:f>IF($A84&lt;1887,"n/a",IF(E84&lt;=cap_debt,"OK","Check"))</x:f>
        <x:v>OK</x:v>
      </x:c>
      <x:c r="G84" s="81" t="n">
        <x:f>'Debt &amp; cash'!W84</x:f>
        <x:v>0.021201520340233638</x:v>
      </x:c>
      <x:c r="H84" s="80" t="str">
        <x:f>IF($A84&lt;1887,"n/a",IF(G84&lt;=cap_int,"OK","Check"))</x:f>
        <x:v>OK</x:v>
      </x:c>
      <x:c r="I84" s="81" t="n">
        <x:f>Budget!AC84</x:f>
        <x:v>0.0069519734545433745</x:v>
      </x:c>
      <x:c r="J84" s="80" t="str">
        <x:f>IF($A84&lt;1887,"n/a",IF(Paths!AC84=1,"War year",IF(I84&lt;=cap_def,"OK","Check")))</x:f>
        <x:v>OK</x:v>
      </x:c>
      <x:c r="K84" s="63" t="n">
        <x:f>'Debt &amp; cash'!Y84/Economy!O84</x:f>
        <x:v>0.009412548030208117</x:v>
      </x:c>
      <x:c r="L84" s="80" t="str">
        <x:f>IF('Debt &amp; cash'!Y84&lt;=mkt_capacity*Economy!O84+foreign_capacity,"OK","Check")</x:f>
        <x:v>OK</x:v>
      </x:c>
      <x:c r="M84" s="80" t="str">
        <x:f>IF($A84&lt;1900,"n/a",IF('Gold &amp; money'!K84&gt;=0,"OK","Check"))</x:f>
        <x:v>OK</x:v>
      </x:c>
      <x:c r="N84" s="81" t="n">
        <x:f>Japan!AA84</x:f>
        <x:v>0.03167045015559304</x:v>
      </x:c>
      <x:c r="O84" s="80" t="str">
        <x:f>IF(N84&lt;=1,"OK","Check")</x:f>
        <x:v>OK</x:v>
      </x:c>
      <x:c r="P84" s="80" t="str">
        <x:f>IF($A84&lt;1922,"n/a",IF(AND(Navy!AE84&gt;=0.95,Navy!AE84&lt;=1.1),"OK","Check"))</x:f>
        <x:v>OK</x:v>
      </x:c>
      <x:c r="Q84" s="80" t="str">
        <x:f>IF(Navy!Z84=0,"n/a",IF(Resources!K84&gt;=Navy!Z84,"OK","Check"))</x:f>
        <x:v>OK</x:v>
      </x:c>
      <x:c r="R84" s="80" t="str">
        <x:f>IF(AND(gulf_on=1,$A84=gulf_year),IF(Gulf!AF84=1,"OK","Check"),"n/a")</x:f>
        <x:v>n/a</x:v>
      </x:c>
      <x:c r="S84" s="47" t="n">
        <x:f>COUNTIF(B84:R84,"Check")+COUNTIF(T84:Z84,"Check")</x:f>
        <x:v>0</x:v>
      </x:c>
      <x:c r="T84" t="str">
        <x:f>IF(ABS(Japan!AM84)&lt;0.001,"OK","Check")</x:f>
        <x:v>OK</x:v>
      </x:c>
      <x:c r="U84" t="str">
        <x:f>"n/a"</x:f>
        <x:v>n/a</x:v>
      </x:c>
      <x:c r="V84" t="str">
        <x:f>"n/a"</x:f>
        <x:v>n/a</x:v>
      </x:c>
      <x:c r="W84" t="str">
        <x:f>"n/a"</x:f>
        <x:v>n/a</x:v>
      </x:c>
      <x:c r="X84" t="str">
        <x:f>"n/a"</x:f>
        <x:v>n/a</x:v>
      </x:c>
      <x:c r="Y84" t="str">
        <x:f>IF(Abroad!T84&gt;=-0.001,"OK","Check")</x:f>
        <x:v>OK</x:v>
      </x:c>
      <x:c r="Z84" t="str">
        <x:f>"n/a"</x:f>
        <x:v>n/a</x:v>
      </x:c>
    </x:row>
    <x:row r="85">
      <x:c r="A85" s="58" t="n">
        <x:v>1925</x:v>
      </x:c>
      <x:c r="B85" s="80" t="str">
        <x:f>IF(ABS(People!L85-(People!B85+People!C85+People!D85+People!K85))&lt;1,"OK","Check")</x:f>
        <x:v>OK</x:v>
      </x:c>
      <x:c r="C85" s="80" t="str">
        <x:f>IF(ABS('Debt &amp; cash'!M85-'Debt &amp; cash'!E85)&lt;0.001,"OK","Check")</x:f>
        <x:v>OK</x:v>
      </x:c>
      <x:c r="D85" s="80" t="str">
        <x:f>IF('Debt &amp; cash'!S85&gt;=-0.001,"OK","Check")</x:f>
        <x:v>OK</x:v>
      </x:c>
      <x:c r="E85" s="81" t="n">
        <x:f>'Debt &amp; cash'!V85</x:f>
        <x:v>0.05</x:v>
      </x:c>
      <x:c r="F85" s="80" t="str">
        <x:f>IF($A85&lt;1887,"n/a",IF(E85&lt;=cap_debt,"OK","Check"))</x:f>
        <x:v>OK</x:v>
      </x:c>
      <x:c r="G85" s="81" t="n">
        <x:f>'Debt &amp; cash'!W85</x:f>
        <x:v>0.021067716675235222</x:v>
      </x:c>
      <x:c r="H85" s="80" t="str">
        <x:f>IF($A85&lt;1887,"n/a",IF(G85&lt;=cap_int,"OK","Check"))</x:f>
        <x:v>OK</x:v>
      </x:c>
      <x:c r="I85" s="81" t="n">
        <x:f>Budget!AC85</x:f>
        <x:v>0.006550526712649341</x:v>
      </x:c>
      <x:c r="J85" s="80" t="str">
        <x:f>IF($A85&lt;1887,"n/a",IF(Paths!AC85=1,"War year",IF(I85&lt;=cap_def,"OK","Check")))</x:f>
        <x:v>OK</x:v>
      </x:c>
      <x:c r="K85" s="63" t="n">
        <x:f>'Debt &amp; cash'!Y85/Economy!O85</x:f>
        <x:v>0.009847831065292273</x:v>
      </x:c>
      <x:c r="L85" s="80" t="str">
        <x:f>IF('Debt &amp; cash'!Y85&lt;=mkt_capacity*Economy!O85+foreign_capacity,"OK","Check")</x:f>
        <x:v>OK</x:v>
      </x:c>
      <x:c r="M85" s="80" t="str">
        <x:f>IF($A85&lt;1900,"n/a",IF('Gold &amp; money'!K85&gt;=0,"OK","Check"))</x:f>
        <x:v>OK</x:v>
      </x:c>
      <x:c r="N85" s="81" t="n">
        <x:f>Japan!AA85</x:f>
        <x:v>0.02936734882334431</x:v>
      </x:c>
      <x:c r="O85" s="80" t="str">
        <x:f>IF(N85&lt;=1,"OK","Check")</x:f>
        <x:v>OK</x:v>
      </x:c>
      <x:c r="P85" s="80" t="str">
        <x:f>IF($A85&lt;1922,"n/a",IF(AND(Navy!AE85&gt;=0.95,Navy!AE85&lt;=1.1),"OK","Check"))</x:f>
        <x:v>OK</x:v>
      </x:c>
      <x:c r="Q85" s="80" t="str">
        <x:f>IF(Navy!Z85=0,"n/a",IF(Resources!K85&gt;=Navy!Z85,"OK","Check"))</x:f>
        <x:v>OK</x:v>
      </x:c>
      <x:c r="R85" s="80" t="str">
        <x:f>IF(AND(gulf_on=1,$A85=gulf_year),IF(Gulf!AF85=1,"OK","Check"),"n/a")</x:f>
        <x:v>n/a</x:v>
      </x:c>
      <x:c r="S85" s="47" t="n">
        <x:f>COUNTIF(B85:R85,"Check")+COUNTIF(T85:Z85,"Check")</x:f>
        <x:v>0</x:v>
      </x:c>
      <x:c r="T85" t="str">
        <x:f>IF(ABS(Japan!AM85)&lt;0.001,"OK","Check")</x:f>
        <x:v>OK</x:v>
      </x:c>
      <x:c r="U85" t="str">
        <x:f>"n/a"</x:f>
        <x:v>n/a</x:v>
      </x:c>
      <x:c r="V85" t="str">
        <x:f>"n/a"</x:f>
        <x:v>n/a</x:v>
      </x:c>
      <x:c r="W85" t="str">
        <x:f>"n/a"</x:f>
        <x:v>n/a</x:v>
      </x:c>
      <x:c r="X85" t="str">
        <x:f>"n/a"</x:f>
        <x:v>n/a</x:v>
      </x:c>
      <x:c r="Y85" t="str">
        <x:f>IF(Abroad!T85&gt;=-0.001,"OK","Check")</x:f>
        <x:v>OK</x:v>
      </x:c>
      <x:c r="Z85" t="str">
        <x:f>"n/a"</x:f>
        <x:v>n/a</x:v>
      </x:c>
    </x:row>
    <x:row r="86">
      <x:c r="A86" s="58" t="n">
        <x:v>1926</x:v>
      </x:c>
      <x:c r="B86" s="80" t="str">
        <x:f>IF(ABS(People!L86-(People!B86+People!C86+People!D86+People!K86))&lt;1,"OK","Check")</x:f>
        <x:v>OK</x:v>
      </x:c>
      <x:c r="C86" s="80" t="str">
        <x:f>IF(ABS('Debt &amp; cash'!M86-'Debt &amp; cash'!E86)&lt;0.001,"OK","Check")</x:f>
        <x:v>OK</x:v>
      </x:c>
      <x:c r="D86" s="80" t="str">
        <x:f>IF('Debt &amp; cash'!S86&gt;=-0.001,"OK","Check")</x:f>
        <x:v>OK</x:v>
      </x:c>
      <x:c r="E86" s="81" t="n">
        <x:f>'Debt &amp; cash'!V86</x:f>
        <x:v>0.049999999999999996</x:v>
      </x:c>
      <x:c r="F86" s="80" t="str">
        <x:f>IF($A86&lt;1887,"n/a",IF(E86&lt;=cap_debt,"OK","Check"))</x:f>
        <x:v>OK</x:v>
      </x:c>
      <x:c r="G86" s="81" t="n">
        <x:f>'Debt &amp; cash'!W86</x:f>
        <x:v>0.02193244082664161</x:v>
      </x:c>
      <x:c r="H86" s="80" t="str">
        <x:f>IF($A86&lt;1887,"n/a",IF(G86&lt;=cap_int,"OK","Check"))</x:f>
        <x:v>OK</x:v>
      </x:c>
      <x:c r="I86" s="81" t="n">
        <x:f>Budget!AC86</x:f>
        <x:v>0.005951036539221302</x:v>
      </x:c>
      <x:c r="J86" s="80" t="str">
        <x:f>IF($A86&lt;1887,"n/a",IF(Paths!AC86=1,"War year",IF(I86&lt;=cap_def,"OK","Check")))</x:f>
        <x:v>OK</x:v>
      </x:c>
      <x:c r="K86" s="63" t="n">
        <x:f>'Debt &amp; cash'!Y86/Economy!O86</x:f>
        <x:v>0.0084865714200201</x:v>
      </x:c>
      <x:c r="L86" s="80" t="str">
        <x:f>IF('Debt &amp; cash'!Y86&lt;=mkt_capacity*Economy!O86+foreign_capacity,"OK","Check")</x:f>
        <x:v>OK</x:v>
      </x:c>
      <x:c r="M86" s="80" t="str">
        <x:f>IF($A86&lt;1900,"n/a",IF('Gold &amp; money'!K86&gt;=0,"OK","Check"))</x:f>
        <x:v>OK</x:v>
      </x:c>
      <x:c r="N86" s="81" t="n">
        <x:f>Japan!AA86</x:f>
        <x:v>0.028539345327109514</x:v>
      </x:c>
      <x:c r="O86" s="80" t="str">
        <x:f>IF(N86&lt;=1,"OK","Check")</x:f>
        <x:v>OK</x:v>
      </x:c>
      <x:c r="P86" s="80" t="str">
        <x:f>IF($A86&lt;1922,"n/a",IF(AND(Navy!AE86&gt;=0.95,Navy!AE86&lt;=1.1),"OK","Check"))</x:f>
        <x:v>OK</x:v>
      </x:c>
      <x:c r="Q86" s="80" t="str">
        <x:f>IF(Navy!Z86=0,"n/a",IF(Resources!K86&gt;=Navy!Z86,"OK","Check"))</x:f>
        <x:v>OK</x:v>
      </x:c>
      <x:c r="R86" s="80" t="str">
        <x:f>IF(AND(gulf_on=1,$A86=gulf_year),IF(Gulf!AF86=1,"OK","Check"),"n/a")</x:f>
        <x:v>n/a</x:v>
      </x:c>
      <x:c r="S86" s="47" t="n">
        <x:f>COUNTIF(B86:R86,"Check")+COUNTIF(T86:Z86,"Check")</x:f>
        <x:v>0</x:v>
      </x:c>
      <x:c r="T86" t="str">
        <x:f>IF(ABS(Japan!AM86)&lt;0.001,"OK","Check")</x:f>
        <x:v>OK</x:v>
      </x:c>
      <x:c r="U86" t="str">
        <x:f>"n/a"</x:f>
        <x:v>n/a</x:v>
      </x:c>
      <x:c r="V86" t="str">
        <x:f>"n/a"</x:f>
        <x:v>n/a</x:v>
      </x:c>
      <x:c r="W86" t="str">
        <x:f>"n/a"</x:f>
        <x:v>n/a</x:v>
      </x:c>
      <x:c r="X86" t="str">
        <x:f>"n/a"</x:f>
        <x:v>n/a</x:v>
      </x:c>
      <x:c r="Y86" t="str">
        <x:f>IF(Abroad!T86&gt;=-0.001,"OK","Check")</x:f>
        <x:v>OK</x:v>
      </x:c>
      <x:c r="Z86" t="str">
        <x:f>"n/a"</x:f>
        <x:v>n/a</x:v>
      </x:c>
    </x:row>
    <x:row r="87">
      <x:c r="A87" s="58" t="n">
        <x:v>1927</x:v>
      </x:c>
      <x:c r="B87" s="80" t="str">
        <x:f>IF(ABS(People!L87-(People!B87+People!C87+People!D87+People!K87))&lt;1,"OK","Check")</x:f>
        <x:v>OK</x:v>
      </x:c>
      <x:c r="C87" s="80" t="str">
        <x:f>IF(ABS('Debt &amp; cash'!M87-'Debt &amp; cash'!E87)&lt;0.001,"OK","Check")</x:f>
        <x:v>OK</x:v>
      </x:c>
      <x:c r="D87" s="80" t="str">
        <x:f>IF('Debt &amp; cash'!S87&gt;=-0.001,"OK","Check")</x:f>
        <x:v>OK</x:v>
      </x:c>
      <x:c r="E87" s="81" t="n">
        <x:f>'Debt &amp; cash'!V87</x:f>
        <x:v>0.049999999999999996</x:v>
      </x:c>
      <x:c r="F87" s="80" t="str">
        <x:f>IF($A87&lt;1887,"n/a",IF(E87&lt;=cap_debt,"OK","Check"))</x:f>
        <x:v>OK</x:v>
      </x:c>
      <x:c r="G87" s="81" t="n">
        <x:f>'Debt &amp; cash'!W87</x:f>
        <x:v>0.021213415421012464</x:v>
      </x:c>
      <x:c r="H87" s="80" t="str">
        <x:f>IF($A87&lt;1887,"n/a",IF(G87&lt;=cap_int,"OK","Check"))</x:f>
        <x:v>OK</x:v>
      </x:c>
      <x:c r="I87" s="81" t="n">
        <x:f>Budget!AC87</x:f>
        <x:v>0.0066016452926720625</x:v>
      </x:c>
      <x:c r="J87" s="80" t="str">
        <x:f>IF($A87&lt;1887,"n/a",IF(Paths!AC87=1,"War year",IF(I87&lt;=cap_def,"OK","Check")))</x:f>
        <x:v>OK</x:v>
      </x:c>
      <x:c r="K87" s="63" t="n">
        <x:f>'Debt &amp; cash'!Y87/Economy!O87</x:f>
        <x:v>0.007947658260449991</x:v>
      </x:c>
      <x:c r="L87" s="80" t="str">
        <x:f>IF('Debt &amp; cash'!Y87&lt;=mkt_capacity*Economy!O87+foreign_capacity,"OK","Check")</x:f>
        <x:v>OK</x:v>
      </x:c>
      <x:c r="M87" s="80" t="str">
        <x:f>IF($A87&lt;1900,"n/a",IF('Gold &amp; money'!K87&gt;=0,"OK","Check"))</x:f>
        <x:v>OK</x:v>
      </x:c>
      <x:c r="N87" s="81" t="n">
        <x:f>Japan!AA87</x:f>
        <x:v>0.051744301994424244</x:v>
      </x:c>
      <x:c r="O87" s="80" t="str">
        <x:f>IF(N87&lt;=1,"OK","Check")</x:f>
        <x:v>OK</x:v>
      </x:c>
      <x:c r="P87" s="80" t="str">
        <x:f>IF($A87&lt;1922,"n/a",IF(AND(Navy!AE87&gt;=0.95,Navy!AE87&lt;=1.1),"OK","Check"))</x:f>
        <x:v>OK</x:v>
      </x:c>
      <x:c r="Q87" s="80" t="str">
        <x:f>IF(Navy!Z87=0,"n/a",IF(Resources!K87&gt;=Navy!Z87,"OK","Check"))</x:f>
        <x:v>OK</x:v>
      </x:c>
      <x:c r="R87" s="80" t="str">
        <x:f>IF(AND(gulf_on=1,$A87=gulf_year),IF(Gulf!AF87=1,"OK","Check"),"n/a")</x:f>
        <x:v>n/a</x:v>
      </x:c>
      <x:c r="S87" s="47" t="n">
        <x:f>COUNTIF(B87:R87,"Check")+COUNTIF(T87:Z87,"Check")</x:f>
        <x:v>0</x:v>
      </x:c>
      <x:c r="T87" t="str">
        <x:f>IF(ABS(Japan!AM87)&lt;0.001,"OK","Check")</x:f>
        <x:v>OK</x:v>
      </x:c>
      <x:c r="U87" t="str">
        <x:f>IF('Japan rescue'!D60&lt;0.001,"OK","Check")</x:f>
        <x:v>OK</x:v>
      </x:c>
      <x:c r="V87" t="str">
        <x:f>IF('Japan rescue'!D66&lt;0.001,"OK","Check")</x:f>
        <x:v>OK</x:v>
      </x:c>
      <x:c r="W87" t="str">
        <x:f>IF(MAX('Japan rescue'!S70:S81)&lt;0.001,"OK","Check")</x:f>
        <x:v>OK</x:v>
      </x:c>
      <x:c r="X87" t="str">
        <x:f>IF(ABS('Japan rescue'!O89)&lt;0.001,"OK","Check")</x:f>
        <x:v>OK</x:v>
      </x:c>
      <x:c r="Y87" t="str">
        <x:f>IF(Abroad!T87&gt;=-0.001,"OK","Check")</x:f>
        <x:v>OK</x:v>
      </x:c>
      <x:c r="Z87" t="str">
        <x:f>IF(ABS('Japan rescue'!P89)+ABS('Japan rescue'!Q89)&lt;0.001,"OK","Check")</x:f>
        <x:v>OK</x:v>
      </x:c>
    </x:row>
    <x:row r="88">
      <x:c r="A88" s="58" t="n">
        <x:v>1928</x:v>
      </x:c>
      <x:c r="B88" s="80" t="str">
        <x:f>IF(ABS(People!L88-(People!B88+People!C88+People!D88+People!K88))&lt;1,"OK","Check")</x:f>
        <x:v>OK</x:v>
      </x:c>
      <x:c r="C88" s="80" t="str">
        <x:f>IF(ABS('Debt &amp; cash'!M88-'Debt &amp; cash'!E88)&lt;0.001,"OK","Check")</x:f>
        <x:v>OK</x:v>
      </x:c>
      <x:c r="D88" s="80" t="str">
        <x:f>IF('Debt &amp; cash'!S88&gt;=-0.001,"OK","Check")</x:f>
        <x:v>OK</x:v>
      </x:c>
      <x:c r="E88" s="81" t="n">
        <x:f>'Debt &amp; cash'!V88</x:f>
        <x:v>0.05</x:v>
      </x:c>
      <x:c r="F88" s="80" t="str">
        <x:f>IF($A88&lt;1887,"n/a",IF(E88&lt;=cap_debt,"OK","Check"))</x:f>
        <x:v>OK</x:v>
      </x:c>
      <x:c r="G88" s="81" t="n">
        <x:f>'Debt &amp; cash'!W88</x:f>
        <x:v>0.02055246713440886</x:v>
      </x:c>
      <x:c r="H88" s="80" t="str">
        <x:f>IF($A88&lt;1887,"n/a",IF(G88&lt;=cap_int,"OK","Check"))</x:f>
        <x:v>OK</x:v>
      </x:c>
      <x:c r="I88" s="81" t="n">
        <x:f>Budget!AC88</x:f>
        <x:v>0.00623413076244102</x:v>
      </x:c>
      <x:c r="J88" s="80" t="str">
        <x:f>IF($A88&lt;1887,"n/a",IF(Paths!AC88=1,"War year",IF(I88&lt;=cap_def,"OK","Check")))</x:f>
        <x:v>OK</x:v>
      </x:c>
      <x:c r="K88" s="63" t="n">
        <x:f>'Debt &amp; cash'!Y88/Economy!O88</x:f>
        <x:v>0.010437439085636272</x:v>
      </x:c>
      <x:c r="L88" s="80" t="str">
        <x:f>IF('Debt &amp; cash'!Y88&lt;=mkt_capacity*Economy!O88+foreign_capacity,"OK","Check")</x:f>
        <x:v>OK</x:v>
      </x:c>
      <x:c r="M88" s="80" t="str">
        <x:f>IF($A88&lt;1900,"n/a",IF('Gold &amp; money'!K88&gt;=0,"OK","Check"))</x:f>
        <x:v>OK</x:v>
      </x:c>
      <x:c r="N88" s="81" t="n">
        <x:f>Japan!AA88</x:f>
        <x:v>0.04977108020583842</x:v>
      </x:c>
      <x:c r="O88" s="80" t="str">
        <x:f>IF(N88&lt;=1,"OK","Check")</x:f>
        <x:v>OK</x:v>
      </x:c>
      <x:c r="P88" s="80" t="str">
        <x:f>IF($A88&lt;1922,"n/a",IF(AND(Navy!AE88&gt;=0.95,Navy!AE88&lt;=1.1),"OK","Check"))</x:f>
        <x:v>OK</x:v>
      </x:c>
      <x:c r="Q88" s="80" t="str">
        <x:f>IF(Navy!Z88=0,"n/a",IF(Resources!K88&gt;=Navy!Z88,"OK","Check"))</x:f>
        <x:v>OK</x:v>
      </x:c>
      <x:c r="R88" s="80" t="str">
        <x:f>IF(AND(gulf_on=1,$A88=gulf_year),IF(Gulf!AF88=1,"OK","Check"),"n/a")</x:f>
        <x:v>n/a</x:v>
      </x:c>
      <x:c r="S88" s="47" t="n">
        <x:f>COUNTIF(B88:R88,"Check")+COUNTIF(T88:Z88,"Check")</x:f>
        <x:v>0</x:v>
      </x:c>
      <x:c r="T88" t="str">
        <x:f>IF(ABS(Japan!AM88)&lt;0.001,"OK","Check")</x:f>
        <x:v>OK</x:v>
      </x:c>
      <x:c r="U88" t="str">
        <x:f>"n/a"</x:f>
        <x:v>n/a</x:v>
      </x:c>
      <x:c r="V88" t="str">
        <x:f>"n/a"</x:f>
        <x:v>n/a</x:v>
      </x:c>
      <x:c r="W88" t="str">
        <x:f>"n/a"</x:f>
        <x:v>n/a</x:v>
      </x:c>
      <x:c r="X88" t="str">
        <x:f>IF(ABS('Japan rescue'!O90)&lt;0.001,"OK","Check")</x:f>
        <x:v>OK</x:v>
      </x:c>
      <x:c r="Y88" t="str">
        <x:f>IF(Abroad!T88&gt;=-0.001,"OK","Check")</x:f>
        <x:v>OK</x:v>
      </x:c>
      <x:c r="Z88" t="str">
        <x:f>IF(ABS('Japan rescue'!P90)+ABS('Japan rescue'!Q90)&lt;0.001,"OK","Check")</x:f>
        <x:v>OK</x:v>
      </x:c>
    </x:row>
    <x:row r="89">
      <x:c r="A89" s="58" t="n">
        <x:v>1929</x:v>
      </x:c>
      <x:c r="B89" s="80" t="str">
        <x:f>IF(ABS(People!L89-(People!B89+People!C89+People!D89+People!K89))&lt;1,"OK","Check")</x:f>
        <x:v>OK</x:v>
      </x:c>
      <x:c r="C89" s="80" t="str">
        <x:f>IF(ABS('Debt &amp; cash'!M89-'Debt &amp; cash'!E89)&lt;0.001,"OK","Check")</x:f>
        <x:v>OK</x:v>
      </x:c>
      <x:c r="D89" s="80" t="str">
        <x:f>IF('Debt &amp; cash'!S89&gt;=-0.001,"OK","Check")</x:f>
        <x:v>OK</x:v>
      </x:c>
      <x:c r="E89" s="81" t="n">
        <x:f>'Debt &amp; cash'!V89</x:f>
        <x:v>0.05</x:v>
      </x:c>
      <x:c r="F89" s="80" t="str">
        <x:f>IF($A89&lt;1887,"n/a",IF(E89&lt;=cap_debt,"OK","Check"))</x:f>
        <x:v>OK</x:v>
      </x:c>
      <x:c r="G89" s="81" t="n">
        <x:f>'Debt &amp; cash'!W89</x:f>
        <x:v>0.020865399859289264</x:v>
      </x:c>
      <x:c r="H89" s="80" t="str">
        <x:f>IF($A89&lt;1887,"n/a",IF(G89&lt;=cap_int,"OK","Check"))</x:f>
        <x:v>OK</x:v>
      </x:c>
      <x:c r="I89" s="81" t="n">
        <x:f>Budget!AC89</x:f>
        <x:v>0.005844566146709778</x:v>
      </x:c>
      <x:c r="J89" s="80" t="str">
        <x:f>IF($A89&lt;1887,"n/a",IF(Paths!AC89=1,"War year",IF(I89&lt;=cap_def,"OK","Check")))</x:f>
        <x:v>OK</x:v>
      </x:c>
      <x:c r="K89" s="63" t="n">
        <x:f>'Debt &amp; cash'!Y89/Economy!O89</x:f>
        <x:v>0.010185934142900926</x:v>
      </x:c>
      <x:c r="L89" s="80" t="str">
        <x:f>IF('Debt &amp; cash'!Y89&lt;=mkt_capacity*Economy!O89+foreign_capacity,"OK","Check")</x:f>
        <x:v>OK</x:v>
      </x:c>
      <x:c r="M89" s="80" t="str">
        <x:f>IF($A89&lt;1900,"n/a",IF('Gold &amp; money'!K89&gt;=0,"OK","Check"))</x:f>
        <x:v>OK</x:v>
      </x:c>
      <x:c r="N89" s="81" t="n">
        <x:f>Japan!AA89</x:f>
        <x:v>0.04362418811857449</x:v>
      </x:c>
      <x:c r="O89" s="80" t="str">
        <x:f>IF(N89&lt;=1,"OK","Check")</x:f>
        <x:v>OK</x:v>
      </x:c>
      <x:c r="P89" s="80" t="str">
        <x:f>IF($A89&lt;1922,"n/a",IF(AND(Navy!AE89&gt;=0.95,Navy!AE89&lt;=1.1),"OK","Check"))</x:f>
        <x:v>OK</x:v>
      </x:c>
      <x:c r="Q89" s="80" t="str">
        <x:f>IF(Navy!Z89=0,"n/a",IF(Resources!K89&gt;=Navy!Z89,"OK","Check"))</x:f>
        <x:v>OK</x:v>
      </x:c>
      <x:c r="R89" s="80" t="str">
        <x:f>IF(AND(gulf_on=1,$A89=gulf_year),IF(Gulf!AF89=1,"OK","Check"),"n/a")</x:f>
        <x:v>n/a</x:v>
      </x:c>
      <x:c r="S89" s="47" t="n">
        <x:f>COUNTIF(B89:R89,"Check")+COUNTIF(T89:Z89,"Check")</x:f>
        <x:v>0</x:v>
      </x:c>
      <x:c r="T89" t="str">
        <x:f>IF(ABS(Japan!AM89)&lt;0.001,"OK","Check")</x:f>
        <x:v>OK</x:v>
      </x:c>
      <x:c r="U89" t="str">
        <x:f>"n/a"</x:f>
        <x:v>n/a</x:v>
      </x:c>
      <x:c r="V89" t="str">
        <x:f>"n/a"</x:f>
        <x:v>n/a</x:v>
      </x:c>
      <x:c r="W89" t="str">
        <x:f>"n/a"</x:f>
        <x:v>n/a</x:v>
      </x:c>
      <x:c r="X89" t="str">
        <x:f>IF(ABS('Japan rescue'!O91)&lt;0.001,"OK","Check")</x:f>
        <x:v>OK</x:v>
      </x:c>
      <x:c r="Y89" t="str">
        <x:f>IF(Abroad!T89&gt;=-0.001,"OK","Check")</x:f>
        <x:v>OK</x:v>
      </x:c>
      <x:c r="Z89" t="str">
        <x:f>IF(ABS('Japan rescue'!P91)+ABS('Japan rescue'!Q91)&lt;0.001,"OK","Check")</x:f>
        <x:v>OK</x:v>
      </x:c>
    </x:row>
    <x:row r="90">
      <x:c r="A90" s="58" t="n">
        <x:v>1930</x:v>
      </x:c>
      <x:c r="B90" s="80" t="str">
        <x:f>IF(ABS(People!L90-(People!B90+People!C90+People!D90+People!K90))&lt;1,"OK","Check")</x:f>
        <x:v>OK</x:v>
      </x:c>
      <x:c r="C90" s="80" t="str">
        <x:f>IF(ABS('Debt &amp; cash'!M90-'Debt &amp; cash'!E90)&lt;0.001,"OK","Check")</x:f>
        <x:v>OK</x:v>
      </x:c>
      <x:c r="D90" s="80" t="str">
        <x:f>IF('Debt &amp; cash'!S90&gt;=-0.001,"OK","Check")</x:f>
        <x:v>OK</x:v>
      </x:c>
      <x:c r="E90" s="81" t="n">
        <x:f>'Debt &amp; cash'!V90</x:f>
        <x:v>0.05</x:v>
      </x:c>
      <x:c r="F90" s="80" t="str">
        <x:f>IF($A90&lt;1887,"n/a",IF(E90&lt;=cap_debt,"OK","Check"))</x:f>
        <x:v>OK</x:v>
      </x:c>
      <x:c r="G90" s="81" t="n">
        <x:f>'Debt &amp; cash'!W90</x:f>
        <x:v>0.02410596348497639</x:v>
      </x:c>
      <x:c r="H90" s="80" t="str">
        <x:f>IF($A90&lt;1887,"n/a",IF(G90&lt;=cap_int,"OK","Check"))</x:f>
        <x:v>OK</x:v>
      </x:c>
      <x:c r="I90" s="81" t="n">
        <x:f>Budget!AC90</x:f>
        <x:v>0.006110574032547728</x:v>
      </x:c>
      <x:c r="J90" s="80" t="str">
        <x:f>IF($A90&lt;1887,"n/a",IF(Paths!AC90=1,"War year",IF(I90&lt;=cap_def,"OK","Check")))</x:f>
        <x:v>OK</x:v>
      </x:c>
      <x:c r="K90" s="63" t="n">
        <x:f>'Debt &amp; cash'!Y90/Economy!O90</x:f>
        <x:v>0.003381569922946622</x:v>
      </x:c>
      <x:c r="L90" s="80" t="str">
        <x:f>IF('Debt &amp; cash'!Y90&lt;=mkt_capacity*Economy!O90+foreign_capacity,"OK","Check")</x:f>
        <x:v>OK</x:v>
      </x:c>
      <x:c r="M90" s="80" t="str">
        <x:f>IF($A90&lt;1900,"n/a",IF('Gold &amp; money'!K90&gt;=0,"OK","Check"))</x:f>
        <x:v>OK</x:v>
      </x:c>
      <x:c r="N90" s="81" t="n">
        <x:f>Japan!AA90</x:f>
        <x:v>0.041471611036008875</x:v>
      </x:c>
      <x:c r="O90" s="80" t="str">
        <x:f>IF(N90&lt;=1,"OK","Check")</x:f>
        <x:v>OK</x:v>
      </x:c>
      <x:c r="P90" s="80" t="str">
        <x:f>IF($A90&lt;1922,"n/a",IF(AND(Navy!AE90&gt;=0.95,Navy!AE90&lt;=1.1),"OK","Check"))</x:f>
        <x:v>OK</x:v>
      </x:c>
      <x:c r="Q90" s="80" t="str">
        <x:f>IF(Navy!Z90=0,"n/a",IF(Resources!K90&gt;=Navy!Z90,"OK","Check"))</x:f>
        <x:v>OK</x:v>
      </x:c>
      <x:c r="R90" s="80" t="str">
        <x:f>IF(AND(gulf_on=1,$A90=gulf_year),IF(Gulf!AF90=1,"OK","Check"),"n/a")</x:f>
        <x:v>n/a</x:v>
      </x:c>
      <x:c r="S90" s="47" t="n">
        <x:f>COUNTIF(B90:R90,"Check")+COUNTIF(T90:Z90,"Check")</x:f>
        <x:v>0</x:v>
      </x:c>
      <x:c r="T90" t="str">
        <x:f>IF(ABS(Japan!AM90)&lt;0.001,"OK","Check")</x:f>
        <x:v>OK</x:v>
      </x:c>
      <x:c r="U90" t="str">
        <x:f>"n/a"</x:f>
        <x:v>n/a</x:v>
      </x:c>
      <x:c r="V90" t="str">
        <x:f>"n/a"</x:f>
        <x:v>n/a</x:v>
      </x:c>
      <x:c r="W90" t="str">
        <x:f>"n/a"</x:f>
        <x:v>n/a</x:v>
      </x:c>
      <x:c r="X90" t="str">
        <x:f>IF(ABS('Japan rescue'!O92)&lt;0.001,"OK","Check")</x:f>
        <x:v>OK</x:v>
      </x:c>
      <x:c r="Y90" t="str">
        <x:f>IF(Abroad!T90&gt;=-0.001,"OK","Check")</x:f>
        <x:v>OK</x:v>
      </x:c>
      <x:c r="Z90" t="str">
        <x:f>IF(ABS('Japan rescue'!P92)+ABS('Japan rescue'!Q92)&lt;0.001,"OK","Check")</x:f>
        <x:v>OK</x:v>
      </x:c>
    </x:row>
    <x:row r="91">
      <x:c r="A91" s="58" t="n">
        <x:v>1931</x:v>
      </x:c>
      <x:c r="B91" s="80" t="str">
        <x:f>IF(ABS(People!L91-(People!B91+People!C91+People!D91+People!K91))&lt;1,"OK","Check")</x:f>
        <x:v>OK</x:v>
      </x:c>
      <x:c r="C91" s="80" t="str">
        <x:f>IF(ABS('Debt &amp; cash'!M91-'Debt &amp; cash'!E91)&lt;0.001,"OK","Check")</x:f>
        <x:v>OK</x:v>
      </x:c>
      <x:c r="D91" s="80" t="str">
        <x:f>IF('Debt &amp; cash'!S91&gt;=-0.001,"OK","Check")</x:f>
        <x:v>OK</x:v>
      </x:c>
      <x:c r="E91" s="81" t="n">
        <x:f>'Debt &amp; cash'!V91</x:f>
        <x:v>0.05247538495615427</x:v>
      </x:c>
      <x:c r="F91" s="80" t="str">
        <x:f>IF($A91&lt;1887,"n/a",IF(E91&lt;=cap_debt,"OK","Check"))</x:f>
        <x:v>OK</x:v>
      </x:c>
      <x:c r="G91" s="81" t="n">
        <x:f>'Debt &amp; cash'!W91</x:f>
        <x:v>0.026865925649916522</x:v>
      </x:c>
      <x:c r="H91" s="80" t="str">
        <x:f>IF($A91&lt;1887,"n/a",IF(G91&lt;=cap_int,"OK","Check"))</x:f>
        <x:v>OK</x:v>
      </x:c>
      <x:c r="I91" s="81" t="n">
        <x:f>Budget!AC91</x:f>
        <x:v>0.006813248837396784</x:v>
      </x:c>
      <x:c r="J91" s="80" t="str">
        <x:f>IF($A91&lt;1887,"n/a",IF(Paths!AC91=1,"War year",IF(I91&lt;=cap_def,"OK","Check")))</x:f>
        <x:v>OK</x:v>
      </x:c>
      <x:c r="K91" s="63" t="n">
        <x:f>'Debt &amp; cash'!Y91/Economy!O91</x:f>
        <x:v>0</x:v>
      </x:c>
      <x:c r="L91" s="80" t="str">
        <x:f>IF('Debt &amp; cash'!Y91&lt;=mkt_capacity*Economy!O91+foreign_capacity,"OK","Check")</x:f>
        <x:v>OK</x:v>
      </x:c>
      <x:c r="M91" s="80" t="str">
        <x:f>IF($A91&lt;1900,"n/a",IF('Gold &amp; money'!K91&gt;=0,"OK","Check"))</x:f>
        <x:v>OK</x:v>
      </x:c>
      <x:c r="N91" s="81" t="n">
        <x:f>Japan!AA91</x:f>
        <x:v>0.03847935982096337</x:v>
      </x:c>
      <x:c r="O91" s="80" t="str">
        <x:f>IF(N91&lt;=1,"OK","Check")</x:f>
        <x:v>OK</x:v>
      </x:c>
      <x:c r="P91" s="80" t="str">
        <x:f>IF($A91&lt;1922,"n/a",IF(AND(Navy!AE91&gt;=0.95,Navy!AE91&lt;=1.1),"OK","Check"))</x:f>
        <x:v>OK</x:v>
      </x:c>
      <x:c r="Q91" s="80" t="str">
        <x:f>IF(Navy!Z91=0,"n/a",IF(Resources!K91&gt;=Navy!Z91,"OK","Check"))</x:f>
        <x:v>OK</x:v>
      </x:c>
      <x:c r="R91" s="80" t="str">
        <x:f>IF(AND(gulf_on=1,$A91=gulf_year),IF(Gulf!AF91=1,"OK","Check"),"n/a")</x:f>
        <x:v>n/a</x:v>
      </x:c>
      <x:c r="S91" s="47" t="n">
        <x:f>COUNTIF(B91:R91,"Check")+COUNTIF(T91:Z91,"Check")</x:f>
        <x:v>0</x:v>
      </x:c>
      <x:c r="T91" t="str">
        <x:f>IF(ABS(Japan!AM91)&lt;0.001,"OK","Check")</x:f>
        <x:v>OK</x:v>
      </x:c>
      <x:c r="U91" t="str">
        <x:f>"n/a"</x:f>
        <x:v>n/a</x:v>
      </x:c>
      <x:c r="V91" t="str">
        <x:f>"n/a"</x:f>
        <x:v>n/a</x:v>
      </x:c>
      <x:c r="W91" t="str">
        <x:f>"n/a"</x:f>
        <x:v>n/a</x:v>
      </x:c>
      <x:c r="X91" t="str">
        <x:f>IF(ABS('Japan rescue'!O93)&lt;0.001,"OK","Check")</x:f>
        <x:v>OK</x:v>
      </x:c>
      <x:c r="Y91" t="str">
        <x:f>IF(Abroad!T91&gt;=-0.001,"OK","Check")</x:f>
        <x:v>OK</x:v>
      </x:c>
      <x:c r="Z91" t="str">
        <x:f>IF(ABS('Japan rescue'!P93)+ABS('Japan rescue'!Q93)&lt;0.001,"OK","Check")</x:f>
        <x:v>OK</x:v>
      </x:c>
    </x:row>
    <x:row r="92">
      <x:c r="A92" s="58" t="n">
        <x:v>1932</x:v>
      </x:c>
      <x:c r="B92" s="80" t="str">
        <x:f>IF(ABS(People!L92-(People!B92+People!C92+People!D92+People!K92))&lt;1,"OK","Check")</x:f>
        <x:v>OK</x:v>
      </x:c>
      <x:c r="C92" s="80" t="str">
        <x:f>IF(ABS('Debt &amp; cash'!M92-'Debt &amp; cash'!E92)&lt;0.001,"OK","Check")</x:f>
        <x:v>OK</x:v>
      </x:c>
      <x:c r="D92" s="80" t="str">
        <x:f>IF('Debt &amp; cash'!S92&gt;=-0.001,"OK","Check")</x:f>
        <x:v>OK</x:v>
      </x:c>
      <x:c r="E92" s="81" t="n">
        <x:f>'Debt &amp; cash'!V92</x:f>
        <x:v>0.055216542022248113</x:v>
      </x:c>
      <x:c r="F92" s="80" t="str">
        <x:f>IF($A92&lt;1887,"n/a",IF(E92&lt;=cap_debt,"OK","Check"))</x:f>
        <x:v>OK</x:v>
      </x:c>
      <x:c r="G92" s="81" t="n">
        <x:f>'Debt &amp; cash'!W92</x:f>
        <x:v>0.02879939435264048</x:v>
      </x:c>
      <x:c r="H92" s="80" t="str">
        <x:f>IF($A92&lt;1887,"n/a",IF(G92&lt;=cap_int,"OK","Check"))</x:f>
        <x:v>OK</x:v>
      </x:c>
      <x:c r="I92" s="81" t="n">
        <x:f>Budget!AC92</x:f>
        <x:v>0.006617133908298785</x:v>
      </x:c>
      <x:c r="J92" s="80" t="str">
        <x:f>IF($A92&lt;1887,"n/a",IF(Paths!AC92=1,"War year",IF(I92&lt;=cap_def,"OK","Check")))</x:f>
        <x:v>OK</x:v>
      </x:c>
      <x:c r="K92" s="63" t="n">
        <x:f>'Debt &amp; cash'!Y92/Economy!O92</x:f>
        <x:v>0</x:v>
      </x:c>
      <x:c r="L92" s="80" t="str">
        <x:f>IF('Debt &amp; cash'!Y92&lt;=mkt_capacity*Economy!O92+foreign_capacity,"OK","Check")</x:f>
        <x:v>OK</x:v>
      </x:c>
      <x:c r="M92" s="80" t="str">
        <x:f>IF($A92&lt;1900,"n/a",IF('Gold &amp; money'!K92&gt;=0,"OK","Check"))</x:f>
        <x:v>OK</x:v>
      </x:c>
      <x:c r="N92" s="81" t="n">
        <x:f>Japan!AA92</x:f>
        <x:v>0.032112732228409206</x:v>
      </x:c>
      <x:c r="O92" s="80" t="str">
        <x:f>IF(N92&lt;=1,"OK","Check")</x:f>
        <x:v>OK</x:v>
      </x:c>
      <x:c r="P92" s="80" t="str">
        <x:f>IF($A92&lt;1922,"n/a",IF(AND(Navy!AE92&gt;=0.95,Navy!AE92&lt;=1.1),"OK","Check"))</x:f>
        <x:v>OK</x:v>
      </x:c>
      <x:c r="Q92" s="80" t="str">
        <x:f>IF(Navy!Z92=0,"n/a",IF(Resources!K92&gt;=Navy!Z92,"OK","Check"))</x:f>
        <x:v>OK</x:v>
      </x:c>
      <x:c r="R92" s="80" t="str">
        <x:f>IF(AND(gulf_on=1,$A92=gulf_year),IF(Gulf!AF92=1,"OK","Check"),"n/a")</x:f>
        <x:v>n/a</x:v>
      </x:c>
      <x:c r="S92" s="47" t="n">
        <x:f>COUNTIF(B92:R92,"Check")+COUNTIF(T92:Z92,"Check")</x:f>
        <x:v>0</x:v>
      </x:c>
      <x:c r="T92" t="str">
        <x:f>IF(ABS(Japan!AM92)&lt;0.001,"OK","Check")</x:f>
        <x:v>OK</x:v>
      </x:c>
      <x:c r="U92" t="str">
        <x:f>"n/a"</x:f>
        <x:v>n/a</x:v>
      </x:c>
      <x:c r="V92" t="str">
        <x:f>"n/a"</x:f>
        <x:v>n/a</x:v>
      </x:c>
      <x:c r="W92" t="str">
        <x:f>"n/a"</x:f>
        <x:v>n/a</x:v>
      </x:c>
      <x:c r="X92" t="str">
        <x:f>IF(ABS('Japan rescue'!O94)&lt;0.001,"OK","Check")</x:f>
        <x:v>OK</x:v>
      </x:c>
      <x:c r="Y92" t="str">
        <x:f>IF(Abroad!T92&gt;=-0.001,"OK","Check")</x:f>
        <x:v>OK</x:v>
      </x:c>
      <x:c r="Z92" t="str">
        <x:f>IF(ABS('Japan rescue'!P94)+ABS('Japan rescue'!Q94)&lt;0.001,"OK","Check")</x:f>
        <x:v>OK</x:v>
      </x:c>
    </x:row>
  </x:sheetData>
  <x:mergeCells>
    <x:mergeCell ref="E4:J4"/>
    <x:mergeCell ref="P4:R4"/>
    <x:mergeCell ref="K4:O4"/>
    <x:mergeCell ref="B4:D4"/>
  </x:mergeCells>
  <x:conditionalFormatting sqref="B6:R92">
    <x:cfRule type="cellIs" dxfId="0" priority="1" operator="equal">
      <x:formula>"Check"</x:formula>
    </x:cfRule>
    <x:cfRule type="cellIs" dxfId="1" priority="2" operator="equal">
      <x:formula>"OK"</x:formula>
    </x:cfRule>
  </x:conditionalFormatting>
  <x:conditionalFormatting sqref="T6:Z92">
    <x:cfRule type="containsText" dxfId="7" priority="3" operator="containsText" text="Check"/>
  </x:conditionalFormatting>
  <x:pageMargins left="0.7" right="0.7" top="0.75" bottom="0.75" header="0.3" footer="0.3"/>
  <x:legacyDrawing xmlns:r="http://schemas.openxmlformats.org/officeDocument/2006/relationships" r:id="R190cb55d1c5847d8"/>
</x:worksheet>
</file>

<file path=xl/worksheets/sheet2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49" hidden="0" customWidth="1"/>
    <x:col min="2" max="2" width="15" hidden="0" customWidth="1"/>
    <x:col min="3" max="3" width="15" hidden="0" customWidth="1"/>
    <x:col min="4" max="4" width="15" hidden="0" customWidth="1"/>
    <x:col min="5" max="5" width="15" hidden="0" customWidth="1"/>
    <x:col min="6" max="6" width="15" hidden="0" customWidth="1"/>
    <x:col min="7" max="7" width="70"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s>
  <x:sheetData>
    <x:row r="1" ht="19" customHeight="1">
      <x:c r="A1" s="83" t="str">
        <x:v>Japan's 1927 rescue</x:v>
      </x:c>
      <x:c r="B1" s="82"/>
      <x:c r="C1" s="82"/>
      <x:c r="D1" s="82"/>
      <x:c r="E1" s="82"/>
      <x:c r="F1" s="82"/>
      <x:c r="G1" s="82"/>
      <x:c r="H1" s="82"/>
      <x:c r="I1" s="82"/>
      <x:c r="J1" s="82"/>
      <x:c r="K1" s="82"/>
      <x:c r="L1" s="82"/>
      <x:c r="M1" s="82"/>
      <x:c r="N1" s="82"/>
      <x:c r="O1" s="82"/>
      <x:c r="P1" s="82"/>
      <x:c r="Q1" s="82"/>
      <x:c r="R1" s="82"/>
      <x:c r="S1" s="82"/>
      <x:c r="T1" s="82"/>
      <x:c r="U1" s="82"/>
      <x:c r="V1" s="82"/>
    </x:row>
    <x:row r="2" ht="19" customHeight="1">
      <x:c r="A2" s="84" t="str">
        <x:v>Period $m. MODEL banking and FX stocks; historical sources support the mechanism, not these fictional amounts.</x:v>
      </x:c>
      <x:c r="B2" s="82"/>
      <x:c r="C2" s="82"/>
      <x:c r="D2" s="82"/>
      <x:c r="E2" s="82"/>
      <x:c r="F2" s="82"/>
      <x:c r="G2" s="82"/>
      <x:c r="H2" s="82"/>
      <x:c r="I2" s="82"/>
      <x:c r="J2" s="82"/>
      <x:c r="K2" s="82"/>
      <x:c r="L2" s="82"/>
      <x:c r="M2" s="82"/>
      <x:c r="N2" s="82"/>
      <x:c r="O2" s="82"/>
      <x:c r="P2" s="82"/>
      <x:c r="Q2" s="82"/>
      <x:c r="R2" s="82"/>
      <x:c r="S2" s="82"/>
      <x:c r="T2" s="82"/>
      <x:c r="U2" s="82"/>
      <x:c r="V2" s="82"/>
    </x:row>
    <x:row r="3" ht="19" customHeight="1">
      <x:c r="A3" s="82" t="str">
        <x:v>Case selected</x:v>
      </x:c>
      <x:c r="B3" s="82"/>
      <x:c r="C3" s="82"/>
      <x:c r="D3" s="82"/>
      <x:c r="E3" s="82" t="str">
        <x:f>Levers!F4</x:f>
        <x:v>Story case</x:v>
      </x:c>
      <x:c r="F3" s="82"/>
      <x:c r="G3" s="82"/>
      <x:c r="H3" s="82"/>
      <x:c r="I3" s="82"/>
      <x:c r="J3" s="82"/>
      <x:c r="K3" s="82"/>
      <x:c r="L3" s="82"/>
      <x:c r="M3" s="82"/>
      <x:c r="N3" s="82"/>
      <x:c r="O3" s="82"/>
      <x:c r="P3" s="82"/>
      <x:c r="Q3" s="82"/>
      <x:c r="R3" s="82"/>
      <x:c r="S3" s="82"/>
      <x:c r="T3" s="82"/>
      <x:c r="U3" s="82"/>
      <x:c r="V3" s="82"/>
    </x:row>
    <x:row r="4" ht="19" customHeight="1">
      <x:c r="A4" s="82"/>
      <x:c r="B4" s="82"/>
      <x:c r="C4" s="82"/>
      <x:c r="D4" s="82"/>
      <x:c r="E4" s="82"/>
      <x:c r="F4" s="82"/>
      <x:c r="G4" s="82"/>
      <x:c r="H4" s="82"/>
      <x:c r="I4" s="82"/>
      <x:c r="J4" s="82"/>
      <x:c r="K4" s="82"/>
      <x:c r="L4" s="82"/>
      <x:c r="M4" s="82"/>
      <x:c r="N4" s="82"/>
      <x:c r="O4" s="82"/>
      <x:c r="P4" s="82"/>
      <x:c r="Q4" s="82"/>
      <x:c r="R4" s="82"/>
      <x:c r="S4" s="82"/>
      <x:c r="T4" s="82"/>
      <x:c r="U4" s="82"/>
      <x:c r="V4" s="82"/>
    </x:row>
    <x:row r="5" ht="19" customHeight="1">
      <x:c r="A5" s="85" t="str">
        <x:v>Opening Japanese Treasury cash</x:v>
      </x:c>
      <x:c r="B5" s="82"/>
      <x:c r="C5" s="82"/>
      <x:c r="D5" s="86" t="n">
        <x:f>Japan!AJ86</x:f>
        <x:v>2353.448521879944</x:v>
      </x:c>
      <x:c r="E5" s="82"/>
      <x:c r="F5" s="82"/>
      <x:c r="G5" s="82"/>
      <x:c r="H5" s="82"/>
      <x:c r="I5" s="82"/>
      <x:c r="J5" s="82"/>
      <x:c r="K5" s="82"/>
      <x:c r="L5" s="82"/>
      <x:c r="M5" s="82"/>
      <x:c r="N5" s="82"/>
      <x:c r="O5" s="82"/>
      <x:c r="P5" s="82"/>
      <x:c r="Q5" s="82"/>
      <x:c r="R5" s="82"/>
      <x:c r="S5" s="82"/>
      <x:c r="T5" s="82"/>
      <x:c r="U5" s="82"/>
      <x:c r="V5" s="82"/>
    </x:row>
    <x:row r="6" ht="19" customHeight="1">
      <x:c r="A6" s="85" t="str">
        <x:v>Japanese bank capital drawn</x:v>
      </x:c>
      <x:c r="B6" s="82"/>
      <x:c r="C6" s="82"/>
      <x:c r="D6" s="86" t="n">
        <x:f>D59</x:f>
        <x:v>400</x:v>
      </x:c>
      <x:c r="E6" s="82"/>
      <x:c r="F6" s="82"/>
      <x:c r="G6" s="82"/>
      <x:c r="H6" s="82"/>
      <x:c r="I6" s="82"/>
      <x:c r="J6" s="82"/>
      <x:c r="K6" s="82"/>
      <x:c r="L6" s="82"/>
      <x:c r="M6" s="82"/>
      <x:c r="N6" s="82"/>
      <x:c r="O6" s="82"/>
      <x:c r="P6" s="82"/>
      <x:c r="Q6" s="82"/>
      <x:c r="R6" s="82"/>
      <x:c r="S6" s="82"/>
      <x:c r="T6" s="82"/>
      <x:c r="U6" s="82"/>
      <x:c r="V6" s="82"/>
    </x:row>
    <x:row r="7" ht="19" customHeight="1">
      <x:c r="A7" s="85" t="str">
        <x:v>Bank of Japan liquidity drawn</x:v>
      </x:c>
      <x:c r="B7" s="82"/>
      <x:c r="C7" s="82"/>
      <x:c r="D7" s="86" t="n">
        <x:f>D65</x:f>
        <x:v>295</x:v>
      </x:c>
      <x:c r="E7" s="82"/>
      <x:c r="F7" s="82"/>
      <x:c r="G7" s="82"/>
      <x:c r="H7" s="82"/>
      <x:c r="I7" s="82"/>
      <x:c r="J7" s="82"/>
      <x:c r="K7" s="82"/>
      <x:c r="L7" s="82"/>
      <x:c r="M7" s="82"/>
      <x:c r="N7" s="82"/>
      <x:c r="O7" s="82"/>
      <x:c r="P7" s="82"/>
      <x:c r="Q7" s="82"/>
      <x:c r="R7" s="82"/>
      <x:c r="S7" s="82"/>
      <x:c r="T7" s="82"/>
      <x:c r="U7" s="82"/>
      <x:c r="V7" s="82"/>
    </x:row>
    <x:row r="8" ht="19" customHeight="1">
      <x:c r="A8" s="85" t="str">
        <x:v>Peak payment deficit with all FX exhausted</x:v>
      </x:c>
      <x:c r="B8" s="82"/>
      <x:c r="C8" s="82"/>
      <x:c r="D8" s="86" t="n">
        <x:f>MAX(0,-MIN(N70:N81))</x:f>
        <x:v>121.85275405404695</x:v>
      </x:c>
      <x:c r="E8" s="82"/>
      <x:c r="F8" s="82"/>
      <x:c r="G8" s="82"/>
      <x:c r="H8" s="82"/>
      <x:c r="I8" s="82"/>
      <x:c r="J8" s="82"/>
      <x:c r="K8" s="82"/>
      <x:c r="L8" s="82"/>
      <x:c r="M8" s="82"/>
      <x:c r="N8" s="82"/>
      <x:c r="O8" s="82"/>
      <x:c r="P8" s="82"/>
      <x:c r="Q8" s="82"/>
      <x:c r="R8" s="82"/>
      <x:c r="S8" s="82"/>
      <x:c r="T8" s="82"/>
      <x:c r="U8" s="82"/>
      <x:c r="V8" s="82"/>
    </x:row>
    <x:row r="9" ht="19" customHeight="1">
      <x:c r="A9" s="85" t="str">
        <x:v>Peak gap retaining critical-import buffer</x:v>
      </x:c>
      <x:c r="B9" s="82"/>
      <x:c r="C9" s="82"/>
      <x:c r="D9" s="86" t="n">
        <x:f>MAX(0,-MIN(V70:V81))</x:f>
        <x:v>496.85275405404695</x:v>
      </x:c>
      <x:c r="E9" s="82"/>
      <x:c r="F9" s="82"/>
      <x:c r="G9" s="82"/>
      <x:c r="H9" s="82"/>
      <x:c r="I9" s="82"/>
      <x:c r="J9" s="82"/>
      <x:c r="K9" s="82"/>
      <x:c r="L9" s="82"/>
      <x:c r="M9" s="82"/>
      <x:c r="N9" s="82"/>
      <x:c r="O9" s="82"/>
      <x:c r="P9" s="82"/>
      <x:c r="Q9" s="82"/>
      <x:c r="R9" s="82"/>
      <x:c r="S9" s="82"/>
      <x:c r="T9" s="82"/>
      <x:c r="U9" s="82"/>
      <x:c r="V9" s="82"/>
    </x:row>
    <x:row r="10" ht="19" customHeight="1">
      <x:c r="A10" s="85" t="str">
        <x:v>San Francisco credit drawn</x:v>
      </x:c>
      <x:c r="B10" s="82"/>
      <x:c r="C10" s="82"/>
      <x:c r="D10" s="86" t="n">
        <x:f>SUM(P70:P81)</x:f>
        <x:v>496.85275405404695</x:v>
      </x:c>
      <x:c r="E10" s="82"/>
      <x:c r="F10" s="82"/>
      <x:c r="G10" s="82"/>
      <x:c r="H10" s="82"/>
      <x:c r="I10" s="82"/>
      <x:c r="J10" s="82"/>
      <x:c r="K10" s="82"/>
      <x:c r="L10" s="82"/>
      <x:c r="M10" s="82"/>
      <x:c r="N10" s="82"/>
      <x:c r="O10" s="82"/>
      <x:c r="P10" s="82"/>
      <x:c r="Q10" s="82"/>
      <x:c r="R10" s="82"/>
      <x:c r="S10" s="82"/>
      <x:c r="T10" s="82"/>
      <x:c r="U10" s="82"/>
      <x:c r="V10" s="82"/>
    </x:row>
    <x:row r="11" ht="19" customHeight="1">
      <x:c r="A11" s="85" t="str">
        <x:v>Pacifica public participation</x:v>
      </x:c>
      <x:c r="B11" s="82"/>
      <x:c r="C11" s="82"/>
      <x:c r="D11" s="86" t="n">
        <x:f>D10*$E$47</x:f>
        <x:v>165.6175846846823</x:v>
      </x:c>
      <x:c r="E11" s="82"/>
      <x:c r="F11" s="82"/>
      <x:c r="G11" s="82"/>
      <x:c r="H11" s="82"/>
      <x:c r="I11" s="82"/>
      <x:c r="J11" s="82"/>
      <x:c r="K11" s="82"/>
      <x:c r="L11" s="82"/>
      <x:c r="M11" s="82"/>
      <x:c r="N11" s="82"/>
      <x:c r="O11" s="82"/>
      <x:c r="P11" s="82"/>
      <x:c r="Q11" s="82"/>
      <x:c r="R11" s="82"/>
      <x:c r="S11" s="82"/>
      <x:c r="T11" s="82"/>
      <x:c r="U11" s="82"/>
      <x:c r="V11" s="82"/>
    </x:row>
    <x:row r="12" ht="19" customHeight="1">
      <x:c r="A12" s="85" t="str">
        <x:v>Private syndicate participation</x:v>
      </x:c>
      <x:c r="B12" s="82"/>
      <x:c r="C12" s="82"/>
      <x:c r="D12" s="86" t="n">
        <x:f>D10-D11</x:f>
        <x:v>331.23516936936466</x:v>
      </x:c>
      <x:c r="E12" s="82"/>
      <x:c r="F12" s="82"/>
      <x:c r="G12" s="82"/>
      <x:c r="H12" s="82"/>
      <x:c r="I12" s="82"/>
      <x:c r="J12" s="82"/>
      <x:c r="K12" s="82"/>
      <x:c r="L12" s="82"/>
      <x:c r="M12" s="82"/>
      <x:c r="N12" s="82"/>
      <x:c r="O12" s="82"/>
      <x:c r="P12" s="82"/>
      <x:c r="Q12" s="82"/>
      <x:c r="R12" s="82"/>
      <x:c r="S12" s="82"/>
      <x:c r="T12" s="82"/>
      <x:c r="U12" s="82"/>
      <x:c r="V12" s="82"/>
    </x:row>
    <x:row r="13" ht="19" customHeight="1">
      <x:c r="A13" s="85" t="str">
        <x:v>Committed facility ceiling</x:v>
      </x:c>
      <x:c r="B13" s="82"/>
      <x:c r="C13" s="82"/>
      <x:c r="D13" s="86" t="n">
        <x:f>$E$46</x:f>
        <x:v>600</x:v>
      </x:c>
      <x:c r="E13" s="82"/>
      <x:c r="F13" s="82"/>
      <x:c r="G13" s="82"/>
      <x:c r="H13" s="82"/>
      <x:c r="I13" s="82"/>
      <x:c r="J13" s="82"/>
      <x:c r="K13" s="82"/>
      <x:c r="L13" s="82"/>
      <x:c r="M13" s="82"/>
      <x:c r="N13" s="82"/>
      <x:c r="O13" s="82"/>
      <x:c r="P13" s="82"/>
      <x:c r="Q13" s="82"/>
      <x:c r="R13" s="82"/>
      <x:c r="S13" s="82"/>
      <x:c r="T13" s="82"/>
      <x:c r="U13" s="82"/>
      <x:c r="V13" s="82"/>
    </x:row>
    <x:row r="14" ht="19" customHeight="1">
      <x:c r="A14" s="85" t="str">
        <x:v>Available funded facility</x:v>
      </x:c>
      <x:c r="B14" s="82"/>
      <x:c r="C14" s="82"/>
      <x:c r="D14" s="86" t="n">
        <x:f>D21</x:f>
        <x:v>600</x:v>
      </x:c>
      <x:c r="E14" s="82"/>
      <x:c r="F14" s="82"/>
      <x:c r="G14" s="82"/>
      <x:c r="H14" s="82"/>
      <x:c r="I14" s="82"/>
      <x:c r="J14" s="82"/>
      <x:c r="K14" s="82"/>
      <x:c r="L14" s="82"/>
      <x:c r="M14" s="82"/>
      <x:c r="N14" s="82"/>
      <x:c r="O14" s="82"/>
      <x:c r="P14" s="82"/>
      <x:c r="Q14" s="82"/>
      <x:c r="R14" s="82"/>
      <x:c r="S14" s="82"/>
      <x:c r="T14" s="82"/>
      <x:c r="U14" s="82"/>
      <x:c r="V14" s="82"/>
    </x:row>
    <x:row r="15" ht="19" customHeight="1">
      <x:c r="A15" s="85" t="str">
        <x:v>Undrawn facility headroom</x:v>
      </x:c>
      <x:c r="B15" s="82"/>
      <x:c r="C15" s="82"/>
      <x:c r="D15" s="86" t="n">
        <x:f>D14-D10</x:f>
        <x:v>103.14724594595305</x:v>
      </x:c>
      <x:c r="E15" s="82"/>
      <x:c r="F15" s="82"/>
      <x:c r="G15" s="82"/>
      <x:c r="H15" s="82"/>
      <x:c r="I15" s="82"/>
      <x:c r="J15" s="82"/>
      <x:c r="K15" s="82"/>
      <x:c r="L15" s="82"/>
      <x:c r="M15" s="82"/>
      <x:c r="N15" s="82"/>
      <x:c r="O15" s="82"/>
      <x:c r="P15" s="82"/>
      <x:c r="Q15" s="82"/>
      <x:c r="R15" s="82"/>
      <x:c r="S15" s="82"/>
      <x:c r="T15" s="82"/>
      <x:c r="U15" s="82"/>
      <x:c r="V15" s="82"/>
    </x:row>
    <x:row r="16" ht="19" customHeight="1">
      <x:c r="A16" s="85" t="str">
        <x:v>Remaining FX buffer shortfall</x:v>
      </x:c>
      <x:c r="B16" s="82"/>
      <x:c r="C16" s="82"/>
      <x:c r="D16" s="86" t="n">
        <x:f>MAX(S70:S81)</x:f>
        <x:v>0</x:v>
      </x:c>
      <x:c r="E16" s="82"/>
      <x:c r="F16" s="82"/>
      <x:c r="G16" s="82"/>
      <x:c r="H16" s="82"/>
      <x:c r="I16" s="82"/>
      <x:c r="J16" s="82"/>
      <x:c r="K16" s="82"/>
      <x:c r="L16" s="82"/>
      <x:c r="M16" s="82"/>
      <x:c r="N16" s="82"/>
      <x:c r="O16" s="82"/>
      <x:c r="P16" s="82"/>
      <x:c r="Q16" s="82"/>
      <x:c r="R16" s="82"/>
      <x:c r="S16" s="82"/>
      <x:c r="T16" s="82"/>
      <x:c r="U16" s="82"/>
      <x:c r="V16" s="82"/>
    </x:row>
    <x:row r="17" ht="19" customHeight="1">
      <x:c r="A17" s="85" t="str">
        <x:v>Bank capital still missing</x:v>
      </x:c>
      <x:c r="B17" s="82"/>
      <x:c r="C17" s="82"/>
      <x:c r="D17" s="86" t="n">
        <x:f>D60</x:f>
        <x:v>0</x:v>
      </x:c>
      <x:c r="E17" s="82"/>
      <x:c r="F17" s="82"/>
      <x:c r="G17" s="82"/>
      <x:c r="H17" s="82"/>
      <x:c r="I17" s="82"/>
      <x:c r="J17" s="82"/>
      <x:c r="K17" s="82"/>
      <x:c r="L17" s="82"/>
      <x:c r="M17" s="82"/>
      <x:c r="N17" s="82"/>
      <x:c r="O17" s="82"/>
      <x:c r="P17" s="82"/>
      <x:c r="Q17" s="82"/>
      <x:c r="R17" s="82"/>
      <x:c r="S17" s="82"/>
      <x:c r="T17" s="82"/>
      <x:c r="U17" s="82"/>
      <x:c r="V17" s="82"/>
    </x:row>
    <x:row r="18" ht="19" customHeight="1">
      <x:c r="A18" s="85" t="str">
        <x:v>Domestic liquidity still missing</x:v>
      </x:c>
      <x:c r="B18" s="82"/>
      <x:c r="C18" s="82"/>
      <x:c r="D18" s="86" t="n">
        <x:f>D66</x:f>
        <x:v>0</x:v>
      </x:c>
      <x:c r="E18" s="82"/>
      <x:c r="F18" s="82"/>
      <x:c r="G18" s="82"/>
      <x:c r="H18" s="82"/>
      <x:c r="I18" s="82"/>
      <x:c r="J18" s="82"/>
      <x:c r="K18" s="82"/>
      <x:c r="L18" s="82"/>
      <x:c r="M18" s="82"/>
      <x:c r="N18" s="82"/>
      <x:c r="O18" s="82"/>
      <x:c r="P18" s="82"/>
      <x:c r="Q18" s="82"/>
      <x:c r="R18" s="82"/>
      <x:c r="S18" s="82"/>
      <x:c r="T18" s="82"/>
      <x:c r="U18" s="82"/>
      <x:c r="V18" s="82"/>
    </x:row>
    <x:row r="19" ht="19" customHeight="1">
      <x:c r="A19" s="85" t="str">
        <x:v>Critical-import reserve target</x:v>
      </x:c>
      <x:c r="B19" s="82"/>
      <x:c r="C19" s="82"/>
      <x:c r="D19" s="86" t="n">
        <x:f>$E$41/3*$E$37</x:f>
        <x:v>375</x:v>
      </x:c>
      <x:c r="E19" s="82"/>
      <x:c r="F19" s="82"/>
      <x:c r="G19" s="82"/>
      <x:c r="H19" s="82"/>
      <x:c r="I19" s="82"/>
      <x:c r="J19" s="82"/>
      <x:c r="K19" s="82"/>
      <x:c r="L19" s="82"/>
      <x:c r="M19" s="82"/>
      <x:c r="N19" s="82"/>
      <x:c r="O19" s="82"/>
      <x:c r="P19" s="82"/>
      <x:c r="Q19" s="82"/>
      <x:c r="R19" s="82"/>
      <x:c r="S19" s="82"/>
      <x:c r="T19" s="82"/>
      <x:c r="U19" s="82"/>
      <x:c r="V19" s="82"/>
    </x:row>
    <x:row r="20" ht="19" customHeight="1">
      <x:c r="A20" s="85"/>
      <x:c r="B20" s="82"/>
      <x:c r="C20" s="82"/>
      <x:c r="D20" s="86"/>
      <x:c r="E20" s="82"/>
      <x:c r="F20" s="82"/>
      <x:c r="G20" s="82"/>
      <x:c r="H20" s="82"/>
      <x:c r="I20" s="82"/>
      <x:c r="J20" s="82"/>
      <x:c r="K20" s="82"/>
      <x:c r="L20" s="82"/>
      <x:c r="M20" s="82"/>
      <x:c r="N20" s="82"/>
      <x:c r="O20" s="82"/>
      <x:c r="P20" s="82"/>
      <x:c r="Q20" s="82"/>
      <x:c r="R20" s="82"/>
      <x:c r="S20" s="82"/>
      <x:c r="T20" s="82"/>
      <x:c r="U20" s="82"/>
      <x:c r="V20" s="82"/>
    </x:row>
    <x:row r="21" ht="19" customHeight="1">
      <x:c r="A21" s="85" t="str">
        <x:v>Facility after public/private funding limits</x:v>
      </x:c>
      <x:c r="B21" s="82"/>
      <x:c r="C21" s="82"/>
      <x:c r="D21" s="86" t="n">
        <x:f>MIN(E46,MIN(E46*E47,'Debt &amp; cash'!S86)/E47,MIN(E46*(1-E47),Abroad!C87*E48)/(1-E47))</x:f>
        <x:v>600</x:v>
      </x:c>
      <x:c r="E21" s="82"/>
      <x:c r="F21" s="82"/>
      <x:c r="G21" s="82"/>
      <x:c r="H21" s="82"/>
      <x:c r="I21" s="82"/>
      <x:c r="J21" s="82"/>
      <x:c r="K21" s="82"/>
      <x:c r="L21" s="82"/>
      <x:c r="M21" s="82"/>
      <x:c r="N21" s="82"/>
      <x:c r="O21" s="82"/>
      <x:c r="P21" s="82"/>
      <x:c r="Q21" s="82"/>
      <x:c r="R21" s="82"/>
      <x:c r="S21" s="82"/>
      <x:c r="T21" s="82"/>
      <x:c r="U21" s="82"/>
      <x:c r="V21" s="82"/>
    </x:row>
    <x:row r="22" ht="19" customHeight="1">
      <x:c r="A22" s="82"/>
      <x:c r="B22" s="82"/>
      <x:c r="C22" s="82"/>
      <x:c r="D22" s="82"/>
      <x:c r="E22" s="82"/>
      <x:c r="F22" s="82"/>
      <x:c r="G22" s="82"/>
      <x:c r="H22" s="82"/>
      <x:c r="I22" s="82"/>
      <x:c r="J22" s="82"/>
      <x:c r="K22" s="82"/>
      <x:c r="L22" s="82"/>
      <x:c r="M22" s="82"/>
      <x:c r="N22" s="82"/>
      <x:c r="O22" s="82"/>
      <x:c r="P22" s="82"/>
      <x:c r="Q22" s="82"/>
      <x:c r="R22" s="82"/>
      <x:c r="S22" s="82"/>
      <x:c r="T22" s="82"/>
      <x:c r="U22" s="82"/>
      <x:c r="V22" s="82"/>
    </x:row>
    <x:row r="23" ht="19" customHeight="1">
      <x:c r="A23" s="102" t="str">
        <x:v>Inputs and their authority</x:v>
      </x:c>
      <x:c r="B23" s="101"/>
      <x:c r="C23" s="101"/>
      <x:c r="D23" s="101"/>
      <x:c r="E23" s="101"/>
      <x:c r="F23" s="101"/>
      <x:c r="G23" s="101"/>
      <x:c r="H23" s="82"/>
      <x:c r="I23" s="82"/>
      <x:c r="J23" s="82"/>
      <x:c r="K23" s="82"/>
      <x:c r="L23" s="82"/>
      <x:c r="M23" s="82"/>
      <x:c r="N23" s="82"/>
      <x:c r="O23" s="82"/>
      <x:c r="P23" s="82"/>
      <x:c r="Q23" s="82"/>
      <x:c r="R23" s="82"/>
      <x:c r="S23" s="82"/>
      <x:c r="T23" s="82"/>
      <x:c r="U23" s="82"/>
      <x:c r="V23" s="82"/>
    </x:row>
    <x:row r="24" ht="48" customHeight="1">
      <x:c r="A24" s="97" t="str">
        <x:v>MODEL driver</x:v>
      </x:c>
      <x:c r="B24" s="97"/>
      <x:c r="C24" s="97" t="str">
        <x:v>Story</x:v>
      </x:c>
      <x:c r="D24" s="97" t="str">
        <x:v>Stress</x:v>
      </x:c>
      <x:c r="E24" s="97" t="str">
        <x:v>Active</x:v>
      </x:c>
      <x:c r="F24" s="97" t="str">
        <x:v>Unit</x:v>
      </x:c>
      <x:c r="G24" s="97" t="str">
        <x:v>Basis</x:v>
      </x:c>
      <x:c r="H24" s="82"/>
      <x:c r="I24" s="82"/>
      <x:c r="J24" s="82"/>
      <x:c r="K24" s="82"/>
      <x:c r="L24" s="82"/>
      <x:c r="M24" s="82"/>
      <x:c r="N24" s="82"/>
      <x:c r="O24" s="82"/>
      <x:c r="P24" s="82"/>
      <x:c r="Q24" s="82"/>
      <x:c r="R24" s="82"/>
      <x:c r="S24" s="82"/>
      <x:c r="T24" s="82"/>
      <x:c r="U24" s="82"/>
      <x:c r="V24" s="82"/>
    </x:row>
    <x:row r="25" ht="32" customHeight="1">
      <x:c r="A25" s="82" t="str">
        <x:v>Affected banks: loan book</x:v>
      </x:c>
      <x:c r="B25" s="82"/>
      <x:c r="C25" s="87" t="n">
        <x:v>5400</x:v>
      </x:c>
      <x:c r="D25" s="87" t="n">
        <x:v>5650</x:v>
      </x:c>
      <x:c r="E25" s="88" t="n">
        <x:f>IF(Levers!$E$4=1,C25,D25)</x:f>
        <x:v>5400</x:v>
      </x:c>
      <x:c r="F25" s="82" t="str">
        <x:v>$m</x:v>
      </x:c>
      <x:c r="G25" s="93" t="str">
        <x:v>Authored banking exposure; no claim to historical national accounts.</x:v>
      </x:c>
      <x:c r="H25" s="82"/>
      <x:c r="I25" s="82"/>
      <x:c r="J25" s="82"/>
      <x:c r="K25" s="82"/>
      <x:c r="L25" s="82"/>
      <x:c r="M25" s="82"/>
      <x:c r="N25" s="82"/>
      <x:c r="O25" s="82"/>
      <x:c r="P25" s="82"/>
      <x:c r="Q25" s="82"/>
      <x:c r="R25" s="82"/>
      <x:c r="S25" s="82"/>
      <x:c r="T25" s="82"/>
      <x:c r="U25" s="82"/>
      <x:c r="V25" s="82"/>
    </x:row>
    <x:row r="26" ht="32" customHeight="1">
      <x:c r="A26" s="82" t="str">
        <x:v>Affected banks: old equity</x:v>
      </x:c>
      <x:c r="B26" s="82"/>
      <x:c r="C26" s="87" t="n">
        <x:v>400</x:v>
      </x:c>
      <x:c r="D26" s="87" t="n">
        <x:v>400</x:v>
      </x:c>
      <x:c r="E26" s="88" t="n">
        <x:f>IF(Levers!$E$4=1,C26,D26)</x:f>
        <x:v>400</x:v>
      </x:c>
      <x:c r="F26" s="82" t="str">
        <x:v>$m</x:v>
      </x:c>
      <x:c r="G26" s="93" t="str">
        <x:v>Old shareholders absorb losses before taxpayers.</x:v>
      </x:c>
      <x:c r="H26" s="82"/>
      <x:c r="I26" s="82"/>
      <x:c r="J26" s="82"/>
      <x:c r="K26" s="82"/>
      <x:c r="L26" s="82"/>
      <x:c r="M26" s="82"/>
      <x:c r="N26" s="82"/>
      <x:c r="O26" s="82"/>
      <x:c r="P26" s="82"/>
      <x:c r="Q26" s="82"/>
      <x:c r="R26" s="82"/>
      <x:c r="S26" s="82"/>
      <x:c r="T26" s="82"/>
      <x:c r="U26" s="82"/>
      <x:c r="V26" s="82"/>
    </x:row>
    <x:row r="27" ht="32" customHeight="1">
      <x:c r="A27" s="82" t="str">
        <x:v>Target capital / surviving loans</x:v>
      </x:c>
      <x:c r="B27" s="82"/>
      <x:c r="C27" s="89" t="n">
        <x:v>0.08</x:v>
      </x:c>
      <x:c r="D27" s="89" t="n">
        <x:v>0.08</x:v>
      </x:c>
      <x:c r="E27" s="90" t="n">
        <x:f>IF(Levers!$E$4=1,C27,D27)</x:f>
        <x:v>0.08</x:v>
      </x:c>
      <x:c r="F27" s="82" t="str">
        <x:v>share</x:v>
      </x:c>
      <x:c r="G27" s="93" t="str">
        <x:v>Planning convention, not a claim about a 1927 capital regulation.</x:v>
      </x:c>
      <x:c r="H27" s="82"/>
      <x:c r="I27" s="82"/>
      <x:c r="J27" s="82"/>
      <x:c r="K27" s="82"/>
      <x:c r="L27" s="82"/>
      <x:c r="M27" s="82"/>
      <x:c r="N27" s="82"/>
      <x:c r="O27" s="82"/>
      <x:c r="P27" s="82"/>
      <x:c r="Q27" s="82"/>
      <x:c r="R27" s="82"/>
      <x:c r="S27" s="82"/>
      <x:c r="T27" s="82"/>
      <x:c r="U27" s="82"/>
      <x:c r="V27" s="82"/>
    </x:row>
    <x:row r="28" ht="32" customHeight="1">
      <x:c r="A28" s="82" t="str">
        <x:v>Japanese capital authorization</x:v>
      </x:c>
      <x:c r="B28" s="82"/>
      <x:c r="C28" s="87" t="n">
        <x:v>600</x:v>
      </x:c>
      <x:c r="D28" s="87" t="n">
        <x:v>700</x:v>
      </x:c>
      <x:c r="E28" s="88" t="n">
        <x:f>IF(Levers!$E$4=1,C28,D28)</x:f>
        <x:v>600</x:v>
      </x:c>
      <x:c r="F28" s="82" t="str">
        <x:v>$m</x:v>
      </x:c>
      <x:c r="G28" s="93" t="str">
        <x:v>Limit; actual use follows the loss-and-capital calculation.</x:v>
      </x:c>
      <x:c r="H28" s="82"/>
      <x:c r="I28" s="82"/>
      <x:c r="J28" s="82"/>
      <x:c r="K28" s="82"/>
      <x:c r="L28" s="82"/>
      <x:c r="M28" s="82"/>
      <x:c r="N28" s="82"/>
      <x:c r="O28" s="82"/>
      <x:c r="P28" s="82"/>
      <x:c r="Q28" s="82"/>
      <x:c r="R28" s="82"/>
      <x:c r="S28" s="82"/>
      <x:c r="T28" s="82"/>
      <x:c r="U28" s="82"/>
      <x:c r="V28" s="82"/>
    </x:row>
    <x:row r="29" ht="32" customHeight="1">
      <x:c r="A29" s="82" t="str">
        <x:v>Recognized loan losses</x:v>
      </x:c>
      <x:c r="B29" s="82"/>
      <x:c r="C29" s="87" t="n">
        <x:v>400</x:v>
      </x:c>
      <x:c r="D29" s="87" t="n">
        <x:v>600</x:v>
      </x:c>
      <x:c r="E29" s="88" t="n">
        <x:f>IF(Levers!$E$4=1,C29,D29)</x:f>
        <x:v>400</x:v>
      </x:c>
      <x:c r="F29" s="82" t="str">
        <x:v>$m</x:v>
      </x:c>
      <x:c r="G29" s="93" t="str">
        <x:v>Earthquake, connected lending and property losses; MODEL assumption.</x:v>
      </x:c>
      <x:c r="H29" s="82"/>
      <x:c r="I29" s="82"/>
      <x:c r="J29" s="82"/>
      <x:c r="K29" s="82"/>
      <x:c r="L29" s="82"/>
      <x:c r="M29" s="82"/>
      <x:c r="N29" s="82"/>
      <x:c r="O29" s="82"/>
      <x:c r="P29" s="82"/>
      <x:c r="Q29" s="82"/>
      <x:c r="R29" s="82"/>
      <x:c r="S29" s="82"/>
      <x:c r="T29" s="82"/>
      <x:c r="U29" s="82"/>
      <x:c r="V29" s="82"/>
    </x:row>
    <x:row r="30" ht="32" customHeight="1">
      <x:c r="A30" s="82" t="str">
        <x:v>Affected banks: yen liquidity</x:v>
      </x:c>
      <x:c r="B30" s="82"/>
      <x:c r="C30" s="87" t="n">
        <x:v>600</x:v>
      </x:c>
      <x:c r="D30" s="87" t="n">
        <x:v>600</x:v>
      </x:c>
      <x:c r="E30" s="88" t="n">
        <x:f>IF(Levers!$E$4=1,C30,D30)</x:f>
        <x:v>600</x:v>
      </x:c>
      <x:c r="F30" s="82" t="str">
        <x:v>$m</x:v>
      </x:c>
      <x:c r="G30" s="93" t="str">
        <x:v>Available to meet domestic deposit withdrawals.</x:v>
      </x:c>
      <x:c r="H30" s="82"/>
      <x:c r="I30" s="82"/>
      <x:c r="J30" s="82"/>
      <x:c r="K30" s="82"/>
      <x:c r="L30" s="82"/>
      <x:c r="M30" s="82"/>
      <x:c r="N30" s="82"/>
      <x:c r="O30" s="82"/>
      <x:c r="P30" s="82"/>
      <x:c r="Q30" s="82"/>
      <x:c r="R30" s="82"/>
      <x:c r="S30" s="82"/>
      <x:c r="T30" s="82"/>
      <x:c r="U30" s="82"/>
      <x:c r="V30" s="82"/>
    </x:row>
    <x:row r="31" ht="32" customHeight="1">
      <x:c r="A31" s="82" t="str">
        <x:v>Affected banks: domestic deposits</x:v>
      </x:c>
      <x:c r="B31" s="82"/>
      <x:c r="C31" s="87" t="n">
        <x:v>3700</x:v>
      </x:c>
      <x:c r="D31" s="87" t="n">
        <x:v>3700</x:v>
      </x:c>
      <x:c r="E31" s="88" t="n">
        <x:f>IF(Levers!$E$4=1,C31,D31)</x:f>
        <x:v>3700</x:v>
      </x:c>
      <x:c r="F31" s="82" t="str">
        <x:v>$m</x:v>
      </x:c>
      <x:c r="G31" s="93" t="str">
        <x:v>Bank balance-sheet opening liability.</x:v>
      </x:c>
      <x:c r="H31" s="82"/>
      <x:c r="I31" s="82"/>
      <x:c r="J31" s="82"/>
      <x:c r="K31" s="82"/>
      <x:c r="L31" s="82"/>
      <x:c r="M31" s="82"/>
      <x:c r="N31" s="82"/>
      <x:c r="O31" s="82"/>
      <x:c r="P31" s="82"/>
      <x:c r="Q31" s="82"/>
      <x:c r="R31" s="82"/>
      <x:c r="S31" s="82"/>
      <x:c r="T31" s="82"/>
      <x:c r="U31" s="82"/>
      <x:c r="V31" s="82"/>
    </x:row>
    <x:row r="32" ht="32" customHeight="1">
      <x:c r="A32" s="82" t="str">
        <x:v>Peak domestic deposit withdrawal</x:v>
      </x:c>
      <x:c r="B32" s="82"/>
      <x:c r="C32" s="89" t="n">
        <x:v>0.35</x:v>
      </x:c>
      <x:c r="D32" s="89" t="n">
        <x:v>0.42</x:v>
      </x:c>
      <x:c r="E32" s="90" t="n">
        <x:f>IF(Levers!$E$4=1,C32,D32)</x:f>
        <x:v>0.35</x:v>
      </x:c>
      <x:c r="F32" s="82" t="str">
        <x:v>share</x:v>
      </x:c>
      <x:c r="G32" s="93" t="str">
        <x:v>Severe run on affected banks; not on every Japanese deposit.</x:v>
      </x:c>
      <x:c r="H32" s="82"/>
      <x:c r="I32" s="82"/>
      <x:c r="J32" s="82"/>
      <x:c r="K32" s="82"/>
      <x:c r="L32" s="82"/>
      <x:c r="M32" s="82"/>
      <x:c r="N32" s="82"/>
      <x:c r="O32" s="82"/>
      <x:c r="P32" s="82"/>
      <x:c r="Q32" s="82"/>
      <x:c r="R32" s="82"/>
      <x:c r="S32" s="82"/>
      <x:c r="T32" s="82"/>
      <x:c r="U32" s="82"/>
      <x:c r="V32" s="82"/>
    </x:row>
    <x:row r="33" ht="32" customHeight="1">
      <x:c r="A33" s="82" t="str">
        <x:v>BOJ domestic liquidity ceiling</x:v>
      </x:c>
      <x:c r="B33" s="82"/>
      <x:c r="C33" s="87" t="n">
        <x:v>400</x:v>
      </x:c>
      <x:c r="D33" s="87" t="n">
        <x:v>400</x:v>
      </x:c>
      <x:c r="E33" s="88" t="n">
        <x:f>IF(Levers!$E$4=1,C33,D33)</x:f>
        <x:v>400</x:v>
      </x:c>
      <x:c r="F33" s="82" t="str">
        <x:v>$m</x:v>
      </x:c>
      <x:c r="G33" s="93" t="str">
        <x:v>Secured emergency facility, separate from foreign settlement.</x:v>
      </x:c>
      <x:c r="H33" s="82"/>
      <x:c r="I33" s="82"/>
      <x:c r="J33" s="82"/>
      <x:c r="K33" s="82"/>
      <x:c r="L33" s="82"/>
      <x:c r="M33" s="82"/>
      <x:c r="N33" s="82"/>
      <x:c r="O33" s="82"/>
      <x:c r="P33" s="82"/>
      <x:c r="Q33" s="82"/>
      <x:c r="R33" s="82"/>
      <x:c r="S33" s="82"/>
      <x:c r="T33" s="82"/>
      <x:c r="U33" s="82"/>
      <x:c r="V33" s="82"/>
    </x:row>
    <x:row r="34" ht="32" customHeight="1">
      <x:c r="A34" s="82" t="str">
        <x:v>Eligible domestic collateral</x:v>
      </x:c>
      <x:c r="B34" s="82"/>
      <x:c r="C34" s="87" t="n">
        <x:v>700</x:v>
      </x:c>
      <x:c r="D34" s="87" t="n">
        <x:v>700</x:v>
      </x:c>
      <x:c r="E34" s="88" t="n">
        <x:f>IF(Levers!$E$4=1,C34,D34)</x:f>
        <x:v>700</x:v>
      </x:c>
      <x:c r="F34" s="82" t="str">
        <x:v>$m</x:v>
      </x:c>
      <x:c r="G34" s="93" t="str">
        <x:v>Assessed after the recognized loan losses.</x:v>
      </x:c>
      <x:c r="H34" s="82"/>
      <x:c r="I34" s="82"/>
      <x:c r="J34" s="82"/>
      <x:c r="K34" s="82"/>
      <x:c r="L34" s="82"/>
      <x:c r="M34" s="82"/>
      <x:c r="N34" s="82"/>
      <x:c r="O34" s="82"/>
      <x:c r="P34" s="82"/>
      <x:c r="Q34" s="82"/>
      <x:c r="R34" s="82"/>
      <x:c r="S34" s="82"/>
      <x:c r="T34" s="82"/>
      <x:c r="U34" s="82"/>
      <x:c r="V34" s="82"/>
    </x:row>
    <x:row r="35" ht="32" customHeight="1">
      <x:c r="A35" s="82" t="str">
        <x:v>Collateral haircut</x:v>
      </x:c>
      <x:c r="B35" s="82"/>
      <x:c r="C35" s="89" t="n">
        <x:v>0.3</x:v>
      </x:c>
      <x:c r="D35" s="89" t="n">
        <x:v>0.45</x:v>
      </x:c>
      <x:c r="E35" s="90" t="n">
        <x:f>IF(Levers!$E$4=1,C35,D35)</x:f>
        <x:v>0.3</x:v>
      </x:c>
      <x:c r="F35" s="82" t="str">
        <x:v>share</x:v>
      </x:c>
      <x:c r="G35" s="93" t="str">
        <x:v>Domestic facility constrained by both authorization and collateral.</x:v>
      </x:c>
      <x:c r="H35" s="82"/>
      <x:c r="I35" s="82"/>
      <x:c r="J35" s="82"/>
      <x:c r="K35" s="82"/>
      <x:c r="L35" s="82"/>
      <x:c r="M35" s="82"/>
      <x:c r="N35" s="82"/>
      <x:c r="O35" s="82"/>
      <x:c r="P35" s="82"/>
      <x:c r="Q35" s="82"/>
      <x:c r="R35" s="82"/>
      <x:c r="S35" s="82"/>
      <x:c r="T35" s="82"/>
      <x:c r="U35" s="82"/>
      <x:c r="V35" s="82"/>
    </x:row>
    <x:row r="36" ht="32" customHeight="1">
      <x:c r="A36" s="82" t="str">
        <x:v>Official gold and FX, opening 1927</x:v>
      </x:c>
      <x:c r="B36" s="82"/>
      <x:c r="C36" s="87" t="n">
        <x:v>1500</x:v>
      </x:c>
      <x:c r="D36" s="87" t="n">
        <x:v>1300</x:v>
      </x:c>
      <x:c r="E36" s="88" t="n">
        <x:f>IF(Levers!$E$4=1,C36,D36)</x:f>
        <x:v>1500</x:v>
      </x:c>
      <x:c r="F36" s="82" t="str">
        <x:v>$m</x:v>
      </x:c>
      <x:c r="G36" s="93" t="str">
        <x:v>MODEL stock, about 7.8% of 1926 Story GDP; includes Treasury foreign balances.</x:v>
      </x:c>
      <x:c r="H36" s="82"/>
      <x:c r="I36" s="82"/>
      <x:c r="J36" s="82"/>
      <x:c r="K36" s="82"/>
      <x:c r="L36" s="82"/>
      <x:c r="M36" s="82"/>
      <x:c r="N36" s="82"/>
      <x:c r="O36" s="82"/>
      <x:c r="P36" s="82"/>
      <x:c r="Q36" s="82"/>
      <x:c r="R36" s="82"/>
      <x:c r="S36" s="82"/>
      <x:c r="T36" s="82"/>
      <x:c r="U36" s="82"/>
      <x:c r="V36" s="82"/>
    </x:row>
    <x:row r="37" ht="32" customHeight="1">
      <x:c r="A37" s="82" t="str">
        <x:v>Critical-import reserve buffer</x:v>
      </x:c>
      <x:c r="B37" s="82"/>
      <x:c r="C37" s="87" t="n">
        <x:v>1.5</x:v>
      </x:c>
      <x:c r="D37" s="87" t="n">
        <x:v>1.5</x:v>
      </x:c>
      <x:c r="E37" s="88" t="n">
        <x:f>IF(Levers!$E$4=1,C37,D37)</x:f>
        <x:v>1.5</x:v>
      </x:c>
      <x:c r="F37" s="82" t="str">
        <x:v>months</x:v>
      </x:c>
      <x:c r="G37" s="93" t="str">
        <x:v>Operating target, not a legal gold-cover rule. Zero-buffer deficit also shown.</x:v>
      </x:c>
      <x:c r="H37" s="82"/>
      <x:c r="I37" s="82"/>
      <x:c r="J37" s="82"/>
      <x:c r="K37" s="82"/>
      <x:c r="L37" s="82"/>
      <x:c r="M37" s="82"/>
      <x:c r="N37" s="82"/>
      <x:c r="O37" s="82"/>
      <x:c r="P37" s="82"/>
      <x:c r="Q37" s="82"/>
      <x:c r="R37" s="82"/>
      <x:c r="S37" s="82"/>
      <x:c r="T37" s="82"/>
      <x:c r="U37" s="82"/>
      <x:c r="V37" s="82"/>
    </x:row>
    <x:row r="38" ht="32" customHeight="1">
      <x:c r="A38" s="82" t="str">
        <x:v>Other domestic bank liabilities</x:v>
      </x:c>
      <x:c r="B38" s="82"/>
      <x:c r="C38" s="87" t="n">
        <x:v>300</x:v>
      </x:c>
      <x:c r="D38" s="87" t="n">
        <x:v>300</x:v>
      </x:c>
      <x:c r="E38" s="88" t="n">
        <x:f>IF(Levers!$E$4=1,C38,D38)</x:f>
        <x:v>300</x:v>
      </x:c>
      <x:c r="F38" s="82" t="str">
        <x:v>$m</x:v>
      </x:c>
      <x:c r="G38" s="93" t="str">
        <x:v>Completes the affected-bank opening balance sheet.</x:v>
      </x:c>
      <x:c r="H38" s="82"/>
      <x:c r="I38" s="82"/>
      <x:c r="J38" s="82"/>
      <x:c r="K38" s="82"/>
      <x:c r="L38" s="82"/>
      <x:c r="M38" s="82"/>
      <x:c r="N38" s="82"/>
      <x:c r="O38" s="82"/>
      <x:c r="P38" s="82"/>
      <x:c r="Q38" s="82"/>
      <x:c r="R38" s="82"/>
      <x:c r="S38" s="82"/>
      <x:c r="T38" s="82"/>
      <x:c r="U38" s="82"/>
      <x:c r="V38" s="82"/>
    </x:row>
    <x:row r="39" ht="32" customHeight="1">
      <x:c r="A39" s="82" t="str">
        <x:v>Private short-term external funding</x:v>
      </x:c>
      <x:c r="B39" s="82"/>
      <x:c r="C39" s="87" t="n">
        <x:v>2000</x:v>
      </x:c>
      <x:c r="D39" s="87" t="n">
        <x:v>2200</x:v>
      </x:c>
      <x:c r="E39" s="88" t="n">
        <x:f>IF(Levers!$E$4=1,C39,D39)</x:f>
        <x:v>2000</x:v>
      </x:c>
      <x:c r="F39" s="82" t="str">
        <x:v>$m</x:v>
      </x:c>
      <x:c r="G39" s="93" t="str">
        <x:v>Affected international banks and trade houses; excludes sovereign debt.</x:v>
      </x:c>
      <x:c r="H39" s="82"/>
      <x:c r="I39" s="82"/>
      <x:c r="J39" s="82"/>
      <x:c r="K39" s="82"/>
      <x:c r="L39" s="82"/>
      <x:c r="M39" s="82"/>
      <x:c r="N39" s="82"/>
      <x:c r="O39" s="82"/>
      <x:c r="P39" s="82"/>
      <x:c r="Q39" s="82"/>
      <x:c r="R39" s="82"/>
      <x:c r="S39" s="82"/>
      <x:c r="T39" s="82"/>
      <x:c r="U39" s="82"/>
      <x:c r="V39" s="82"/>
    </x:row>
    <x:row r="40" ht="32" customHeight="1">
      <x:c r="A40" s="82" t="str">
        <x:v>Funding not renewed in the panic</x:v>
      </x:c>
      <x:c r="B40" s="82"/>
      <x:c r="C40" s="89" t="n">
        <x:v>0.75</x:v>
      </x:c>
      <x:c r="D40" s="89" t="n">
        <x:v>0.9</x:v>
      </x:c>
      <x:c r="E40" s="90" t="n">
        <x:f>IF(Levers!$E$4=1,C40,D40)</x:f>
        <x:v>0.75</x:v>
      </x:c>
      <x:c r="F40" s="82" t="str">
        <x:v>share</x:v>
      </x:c>
      <x:c r="G40" s="93" t="str">
        <x:v>Three-month sudden-stop assumption; maturity weights 40/35/25%.</x:v>
      </x:c>
      <x:c r="H40" s="82"/>
      <x:c r="I40" s="82"/>
      <x:c r="J40" s="82"/>
      <x:c r="K40" s="82"/>
      <x:c r="L40" s="82"/>
      <x:c r="M40" s="82"/>
      <x:c r="N40" s="82"/>
      <x:c r="O40" s="82"/>
      <x:c r="P40" s="82"/>
      <x:c r="Q40" s="82"/>
      <x:c r="R40" s="82"/>
      <x:c r="S40" s="82"/>
      <x:c r="T40" s="82"/>
      <x:c r="U40" s="82"/>
      <x:c r="V40" s="82"/>
    </x:row>
    <x:row r="41" ht="32" customHeight="1">
      <x:c r="A41" s="82" t="str">
        <x:v>April-June import payments</x:v>
      </x:c>
      <x:c r="B41" s="82"/>
      <x:c r="C41" s="87" t="n">
        <x:v>750</x:v>
      </x:c>
      <x:c r="D41" s="87" t="n">
        <x:v>900</x:v>
      </x:c>
      <x:c r="E41" s="88" t="n">
        <x:f>IF(Levers!$E$4=1,C41,D41)</x:f>
        <x:v>750</x:v>
      </x:c>
      <x:c r="F41" s="82" t="str">
        <x:v>$m</x:v>
      </x:c>
      <x:c r="G41" s="93" t="str">
        <x:v>Dated trade payments, separately from short-term principal.</x:v>
      </x:c>
      <x:c r="H41" s="82"/>
      <x:c r="I41" s="82"/>
      <x:c r="J41" s="82"/>
      <x:c r="K41" s="82"/>
      <x:c r="L41" s="82"/>
      <x:c r="M41" s="82"/>
      <x:c r="N41" s="82"/>
      <x:c r="O41" s="82"/>
      <x:c r="P41" s="82"/>
      <x:c r="Q41" s="82"/>
      <x:c r="R41" s="82"/>
      <x:c r="S41" s="82"/>
      <x:c r="T41" s="82"/>
      <x:c r="U41" s="82"/>
      <x:c r="V41" s="82"/>
    </x:row>
    <x:row r="42" ht="32" customHeight="1">
      <x:c r="A42" s="82" t="str">
        <x:v>April-June export cash receipts</x:v>
      </x:c>
      <x:c r="B42" s="82"/>
      <x:c r="C42" s="87" t="n">
        <x:v>600</x:v>
      </x:c>
      <x:c r="D42" s="87" t="n">
        <x:v>450</x:v>
      </x:c>
      <x:c r="E42" s="88" t="n">
        <x:f>IF(Levers!$E$4=1,C42,D42)</x:f>
        <x:v>600</x:v>
      </x:c>
      <x:c r="F42" s="82" t="str">
        <x:v>$m</x:v>
      </x:c>
      <x:c r="G42" s="93" t="str">
        <x:v>Receipts available for settlement during the panic.</x:v>
      </x:c>
      <x:c r="H42" s="82"/>
      <x:c r="I42" s="82"/>
      <x:c r="J42" s="82"/>
      <x:c r="K42" s="82"/>
      <x:c r="L42" s="82"/>
      <x:c r="M42" s="82"/>
      <x:c r="N42" s="82"/>
      <x:c r="O42" s="82"/>
      <x:c r="P42" s="82"/>
      <x:c r="Q42" s="82"/>
      <x:c r="R42" s="82"/>
      <x:c r="S42" s="82"/>
      <x:c r="T42" s="82"/>
      <x:c r="U42" s="82"/>
      <x:c r="V42" s="82"/>
    </x:row>
    <x:row r="43" ht="32" customHeight="1">
      <x:c r="A43" s="82" t="str">
        <x:v>Resident outward conversion demand</x:v>
      </x:c>
      <x:c r="B43" s="82"/>
      <x:c r="C43" s="87" t="n">
        <x:v>500</x:v>
      </x:c>
      <x:c r="D43" s="87" t="n">
        <x:v>750</x:v>
      </x:c>
      <x:c r="E43" s="88" t="n">
        <x:f>IF(Levers!$E$4=1,C43,D43)</x:f>
        <x:v>500</x:v>
      </x:c>
      <x:c r="F43" s="82" t="str">
        <x:v>$m</x:v>
      </x:c>
      <x:c r="G43" s="93" t="str">
        <x:v>Capital flight; excludes external-lender withdrawals.</x:v>
      </x:c>
      <x:c r="H43" s="82"/>
      <x:c r="I43" s="82"/>
      <x:c r="J43" s="82"/>
      <x:c r="K43" s="82"/>
      <x:c r="L43" s="82"/>
      <x:c r="M43" s="82"/>
      <x:c r="N43" s="82"/>
      <x:c r="O43" s="82"/>
      <x:c r="P43" s="82"/>
      <x:c r="Q43" s="82"/>
      <x:c r="R43" s="82"/>
      <x:c r="S43" s="82"/>
      <x:c r="T43" s="82"/>
      <x:c r="U43" s="82"/>
      <x:c r="V43" s="82"/>
    </x:row>
    <x:row r="44" ht="32" customHeight="1">
      <x:c r="A44" s="82" t="str">
        <x:v>Affected banks' liquid foreign assets</x:v>
      </x:c>
      <x:c r="B44" s="82"/>
      <x:c r="C44" s="87" t="n">
        <x:v>400</x:v>
      </x:c>
      <x:c r="D44" s="87" t="n">
        <x:v>350</x:v>
      </x:c>
      <x:c r="E44" s="88" t="n">
        <x:f>IF(Levers!$E$4=1,C44,D44)</x:f>
        <x:v>400</x:v>
      </x:c>
      <x:c r="F44" s="82" t="str">
        <x:v>$m</x:v>
      </x:c>
      <x:c r="G44" s="93" t="str">
        <x:v>Unpledged assets, counted once against external payments.</x:v>
      </x:c>
      <x:c r="H44" s="82"/>
      <x:c r="I44" s="82"/>
      <x:c r="J44" s="82"/>
      <x:c r="K44" s="82"/>
      <x:c r="L44" s="82"/>
      <x:c r="M44" s="82"/>
      <x:c r="N44" s="82"/>
      <x:c r="O44" s="82"/>
      <x:c r="P44" s="82"/>
      <x:c r="Q44" s="82"/>
      <x:c r="R44" s="82"/>
      <x:c r="S44" s="82"/>
      <x:c r="T44" s="82"/>
      <x:c r="U44" s="82"/>
      <x:c r="V44" s="82"/>
    </x:row>
    <x:row r="45" ht="32" customHeight="1">
      <x:c r="A45" s="82" t="str">
        <x:v>Other usable private foreign assets</x:v>
      </x:c>
      <x:c r="B45" s="82"/>
      <x:c r="C45" s="87" t="n">
        <x:v>150</x:v>
      </x:c>
      <x:c r="D45" s="87" t="n">
        <x:v>150</x:v>
      </x:c>
      <x:c r="E45" s="88" t="n">
        <x:f>IF(Levers!$E$4=1,C45,D45)</x:f>
        <x:v>150</x:v>
      </x:c>
      <x:c r="F45" s="82" t="str">
        <x:v>$m</x:v>
      </x:c>
      <x:c r="G45" s="93" t="str">
        <x:v>All other readily available/repatriable assets after realizable-value haircuts.</x:v>
      </x:c>
      <x:c r="H45" s="82"/>
      <x:c r="I45" s="82"/>
      <x:c r="J45" s="82"/>
      <x:c r="K45" s="82"/>
      <x:c r="L45" s="82"/>
      <x:c r="M45" s="82"/>
      <x:c r="N45" s="82"/>
      <x:c r="O45" s="82"/>
      <x:c r="P45" s="82"/>
      <x:c r="Q45" s="82"/>
      <x:c r="R45" s="82"/>
      <x:c r="S45" s="82"/>
      <x:c r="T45" s="82"/>
      <x:c r="U45" s="82"/>
      <x:c r="V45" s="82"/>
    </x:row>
    <x:row r="46" ht="32" customHeight="1">
      <x:c r="A46" s="82" t="str">
        <x:v>San Francisco facility ceiling</x:v>
      </x:c>
      <x:c r="B46" s="82"/>
      <x:c r="C46" s="87" t="n">
        <x:v>600</x:v>
      </x:c>
      <x:c r="D46" s="87" t="n">
        <x:v>600</x:v>
      </x:c>
      <x:c r="E46" s="88" t="n">
        <x:f>IF(Levers!$E$4=1,C46,D46)</x:f>
        <x:v>600</x:v>
      </x:c>
      <x:c r="F46" s="82" t="str">
        <x:v>$m</x:v>
      </x:c>
      <x:c r="G46" s="93" t="str">
        <x:v>Explicit commitment; no multiplication by Japanese GDP.</x:v>
      </x:c>
      <x:c r="H46" s="82"/>
      <x:c r="I46" s="82"/>
      <x:c r="J46" s="82"/>
      <x:c r="K46" s="82"/>
      <x:c r="L46" s="82"/>
      <x:c r="M46" s="82"/>
      <x:c r="N46" s="82"/>
      <x:c r="O46" s="82"/>
      <x:c r="P46" s="82"/>
      <x:c r="Q46" s="82"/>
      <x:c r="R46" s="82"/>
      <x:c r="S46" s="82"/>
      <x:c r="T46" s="82"/>
      <x:c r="U46" s="82"/>
      <x:c r="V46" s="82"/>
    </x:row>
    <x:row r="47" ht="32" customHeight="1">
      <x:c r="A47" s="82" t="str">
        <x:v>Public share of every drawing</x:v>
      </x:c>
      <x:c r="B47" s="82"/>
      <x:c r="C47" s="89" t="n">
        <x:v>0.3333333333333333</x:v>
      </x:c>
      <x:c r="D47" s="89" t="n">
        <x:v>0.3333333333333333</x:v>
      </x:c>
      <x:c r="E47" s="90" t="n">
        <x:f>IF(Levers!$E$4=1,C47,D47)</x:f>
        <x:v>0.3333333333333333</x:v>
      </x:c>
      <x:c r="F47" s="82" t="str">
        <x:v>share</x:v>
      </x:c>
      <x:c r="G47" s="93" t="str">
        <x:v>Pacifica 1/3; private syndicate 2/3, matching the borrower.</x:v>
      </x:c>
      <x:c r="H47" s="82"/>
      <x:c r="I47" s="82"/>
      <x:c r="J47" s="82"/>
      <x:c r="K47" s="82"/>
      <x:c r="L47" s="82"/>
      <x:c r="M47" s="82"/>
      <x:c r="N47" s="82"/>
      <x:c r="O47" s="82"/>
      <x:c r="P47" s="82"/>
      <x:c r="Q47" s="82"/>
      <x:c r="R47" s="82"/>
      <x:c r="S47" s="82"/>
      <x:c r="T47" s="82"/>
      <x:c r="U47" s="82"/>
      <x:c r="V47" s="82"/>
    </x:row>
    <x:row r="48" ht="32" customHeight="1">
      <x:c r="A48" s="82" t="str">
        <x:v>Private overseas budget allocable</x:v>
      </x:c>
      <x:c r="B48" s="82"/>
      <x:c r="C48" s="89" t="n">
        <x:v>0.4</x:v>
      </x:c>
      <x:c r="D48" s="89" t="n">
        <x:v>0.4</x:v>
      </x:c>
      <x:c r="E48" s="90" t="n">
        <x:f>IF(Levers!$E$4=1,C48,D48)</x:f>
        <x:v>0.4</x:v>
      </x:c>
      <x:c r="F48" s="82" t="str">
        <x:v>share</x:v>
      </x:c>
      <x:c r="G48" s="93" t="str">
        <x:v>Japan subscriptions reroute existing Abroad investment; not extra saving.</x:v>
      </x:c>
      <x:c r="H48" s="82"/>
      <x:c r="I48" s="82"/>
      <x:c r="J48" s="82"/>
      <x:c r="K48" s="82"/>
      <x:c r="L48" s="82"/>
      <x:c r="M48" s="82"/>
      <x:c r="N48" s="82"/>
      <x:c r="O48" s="82"/>
      <x:c r="P48" s="82"/>
      <x:c r="Q48" s="82"/>
      <x:c r="R48" s="82"/>
      <x:c r="S48" s="82"/>
      <x:c r="T48" s="82"/>
      <x:c r="U48" s="82"/>
      <x:c r="V48" s="82"/>
    </x:row>
    <x:row r="49" ht="32" customHeight="1">
      <x:c r="A49" s="82" t="str">
        <x:v>Syndicate coupon</x:v>
      </x:c>
      <x:c r="B49" s="82"/>
      <x:c r="C49" s="89" t="n">
        <x:v>0.055</x:v>
      </x:c>
      <x:c r="D49" s="89" t="n">
        <x:v>0.065</x:v>
      </x:c>
      <x:c r="E49" s="90" t="n">
        <x:f>IF(Levers!$E$4=1,C49,D49)</x:f>
        <x:v>0.055</x:v>
      </x:c>
      <x:c r="F49" s="82" t="str">
        <x:v>share</x:v>
      </x:c>
      <x:c r="G49" s="93" t="str">
        <x:v>Accrues from actual draw month; first payment December 1927.</x:v>
      </x:c>
      <x:c r="H49" s="82"/>
      <x:c r="I49" s="82"/>
      <x:c r="J49" s="82"/>
      <x:c r="K49" s="82"/>
      <x:c r="L49" s="82"/>
      <x:c r="M49" s="82"/>
      <x:c r="N49" s="82"/>
      <x:c r="O49" s="82"/>
      <x:c r="P49" s="82"/>
      <x:c r="Q49" s="82"/>
      <x:c r="R49" s="82"/>
      <x:c r="S49" s="82"/>
      <x:c r="T49" s="82"/>
      <x:c r="U49" s="82"/>
      <x:c r="V49" s="82"/>
    </x:row>
    <x:row r="50" ht="32" customHeight="1">
      <x:c r="A50" s="82" t="str">
        <x:v>First principal repayment year</x:v>
      </x:c>
      <x:c r="B50" s="82"/>
      <x:c r="C50" s="91" t="n">
        <x:v>1929</x:v>
      </x:c>
      <x:c r="D50" s="91" t="n">
        <x:v>1929</x:v>
      </x:c>
      <x:c r="E50" s="92" t="n">
        <x:f>IF(Levers!$E$4=1,C50,D50)</x:f>
        <x:v>1929</x:v>
      </x:c>
      <x:c r="F50" s="82" t="str">
        <x:v>year</x:v>
      </x:c>
      <x:c r="G50" s="93" t="str">
        <x:v>Two calendar years without principal repayment.</x:v>
      </x:c>
      <x:c r="H50" s="82"/>
      <x:c r="I50" s="82"/>
      <x:c r="J50" s="82"/>
      <x:c r="K50" s="82"/>
      <x:c r="L50" s="82"/>
      <x:c r="M50" s="82"/>
      <x:c r="N50" s="82"/>
      <x:c r="O50" s="82"/>
      <x:c r="P50" s="82"/>
      <x:c r="Q50" s="82"/>
      <x:c r="R50" s="82"/>
      <x:c r="S50" s="82"/>
      <x:c r="T50" s="82"/>
      <x:c r="U50" s="82"/>
      <x:c r="V50" s="82"/>
    </x:row>
    <x:row r="51" ht="32" customHeight="1">
      <x:c r="A51" s="82" t="str">
        <x:v>Equal principal installments</x:v>
      </x:c>
      <x:c r="B51" s="82"/>
      <x:c r="C51" s="91" t="n">
        <x:v>5</x:v>
      </x:c>
      <x:c r="D51" s="91" t="n">
        <x:v>5</x:v>
      </x:c>
      <x:c r="E51" s="92" t="n">
        <x:f>IF(Levers!$E$4=1,C51,D51)</x:f>
        <x:v>5</x:v>
      </x:c>
      <x:c r="F51" s="82" t="str">
        <x:v>years</x:v>
      </x:c>
      <x:c r="G51" s="93" t="str">
        <x:v>1929-1933. Last installment is displayed beyond the novel's horizon.</x:v>
      </x:c>
      <x:c r="H51" s="82"/>
      <x:c r="I51" s="82"/>
      <x:c r="J51" s="82"/>
      <x:c r="K51" s="82"/>
      <x:c r="L51" s="82"/>
      <x:c r="M51" s="82"/>
      <x:c r="N51" s="82"/>
      <x:c r="O51" s="82"/>
      <x:c r="P51" s="82"/>
      <x:c r="Q51" s="82"/>
      <x:c r="R51" s="82"/>
      <x:c r="S51" s="82"/>
      <x:c r="T51" s="82"/>
      <x:c r="U51" s="82"/>
      <x:c r="V51" s="82"/>
    </x:row>
    <x:row r="52" ht="32" customHeight="1">
      <x:c r="A52" s="82" t="str">
        <x:v>Net normal FX receipts, July-December</x:v>
      </x:c>
      <x:c r="B52" s="82"/>
      <x:c r="C52" s="87" t="n">
        <x:v>100</x:v>
      </x:c>
      <x:c r="D52" s="87" t="n">
        <x:v>75</x:v>
      </x:c>
      <x:c r="E52" s="88" t="n">
        <x:f>IF(Levers!$E$4=1,C52,D52)</x:f>
        <x:v>100</x:v>
      </x:c>
      <x:c r="F52" s="82" t="str">
        <x:v>$m/month</x:v>
      </x:c>
      <x:c r="G52" s="93" t="str">
        <x:v>MODEL recovery after confidence returns; after normal trade payments.</x:v>
      </x:c>
      <x:c r="H52" s="82"/>
      <x:c r="I52" s="82"/>
      <x:c r="J52" s="82"/>
      <x:c r="K52" s="82"/>
      <x:c r="L52" s="82"/>
      <x:c r="M52" s="82"/>
      <x:c r="N52" s="82"/>
      <x:c r="O52" s="82"/>
      <x:c r="P52" s="82"/>
      <x:c r="Q52" s="82"/>
      <x:c r="R52" s="82"/>
      <x:c r="S52" s="82"/>
      <x:c r="T52" s="82"/>
      <x:c r="U52" s="82"/>
      <x:c r="V52" s="82"/>
    </x:row>
    <x:row r="53" ht="19" customHeight="1">
      <x:c r="A53" s="82"/>
      <x:c r="B53" s="82"/>
      <x:c r="C53" s="82"/>
      <x:c r="D53" s="82"/>
      <x:c r="E53" s="82"/>
      <x:c r="F53" s="82"/>
      <x:c r="G53" s="82"/>
      <x:c r="H53" s="82"/>
      <x:c r="I53" s="82"/>
      <x:c r="J53" s="82"/>
      <x:c r="K53" s="82"/>
      <x:c r="L53" s="82"/>
      <x:c r="M53" s="82"/>
      <x:c r="N53" s="82"/>
      <x:c r="O53" s="82"/>
      <x:c r="P53" s="82"/>
      <x:c r="Q53" s="82"/>
      <x:c r="R53" s="82"/>
      <x:c r="S53" s="82"/>
      <x:c r="T53" s="82"/>
      <x:c r="U53" s="82"/>
      <x:c r="V53" s="82"/>
    </x:row>
    <x:row r="54" ht="19" customHeight="1">
      <x:c r="A54" s="102" t="str">
        <x:v>Capital and domestic liquidity</x:v>
      </x:c>
      <x:c r="B54" s="101"/>
      <x:c r="C54" s="101"/>
      <x:c r="D54" s="101"/>
      <x:c r="E54" s="101"/>
      <x:c r="F54" s="101"/>
      <x:c r="G54" s="101"/>
      <x:c r="H54" s="82"/>
      <x:c r="I54" s="82"/>
      <x:c r="J54" s="82"/>
      <x:c r="K54" s="82"/>
      <x:c r="L54" s="82"/>
      <x:c r="M54" s="82"/>
      <x:c r="N54" s="82"/>
      <x:c r="O54" s="82"/>
      <x:c r="P54" s="82"/>
      <x:c r="Q54" s="82"/>
      <x:c r="R54" s="82"/>
      <x:c r="S54" s="82"/>
      <x:c r="T54" s="82"/>
      <x:c r="U54" s="82"/>
      <x:c r="V54" s="82"/>
    </x:row>
    <x:row r="55" ht="19" customHeight="1">
      <x:c r="A55" s="82" t="str">
        <x:v>Old equity after recognized losses</x:v>
      </x:c>
      <x:c r="B55" s="82"/>
      <x:c r="C55" s="82"/>
      <x:c r="D55" s="86" t="n">
        <x:f>E26-E29</x:f>
        <x:v>0</x:v>
      </x:c>
      <x:c r="E55" s="82"/>
      <x:c r="F55" s="82"/>
      <x:c r="G55" s="82"/>
      <x:c r="H55" s="82"/>
      <x:c r="I55" s="82"/>
      <x:c r="J55" s="82"/>
      <x:c r="K55" s="82"/>
      <x:c r="L55" s="82"/>
      <x:c r="M55" s="82"/>
      <x:c r="N55" s="82"/>
      <x:c r="O55" s="82"/>
      <x:c r="P55" s="82"/>
      <x:c r="Q55" s="82"/>
      <x:c r="R55" s="82"/>
      <x:c r="S55" s="82"/>
      <x:c r="T55" s="82"/>
      <x:c r="U55" s="82"/>
      <x:c r="V55" s="82"/>
    </x:row>
    <x:row r="56" ht="19" customHeight="1">
      <x:c r="A56" s="82" t="str">
        <x:v>Surviving loan book</x:v>
      </x:c>
      <x:c r="B56" s="82"/>
      <x:c r="C56" s="82"/>
      <x:c r="D56" s="86" t="n">
        <x:f>MAX(0,E25-E29)</x:f>
        <x:v>5000</x:v>
      </x:c>
      <x:c r="E56" s="82"/>
      <x:c r="F56" s="82"/>
      <x:c r="G56" s="82"/>
      <x:c r="H56" s="82"/>
      <x:c r="I56" s="82"/>
      <x:c r="J56" s="82"/>
      <x:c r="K56" s="82"/>
      <x:c r="L56" s="82"/>
      <x:c r="M56" s="82"/>
      <x:c r="N56" s="82"/>
      <x:c r="O56" s="82"/>
      <x:c r="P56" s="82"/>
      <x:c r="Q56" s="82"/>
      <x:c r="R56" s="82"/>
      <x:c r="S56" s="82"/>
      <x:c r="T56" s="82"/>
      <x:c r="U56" s="82"/>
      <x:c r="V56" s="82"/>
    </x:row>
    <x:row r="57" ht="19" customHeight="1">
      <x:c r="A57" s="82" t="str">
        <x:v>Capital required</x:v>
      </x:c>
      <x:c r="B57" s="82"/>
      <x:c r="C57" s="82"/>
      <x:c r="D57" s="86" t="n">
        <x:f>D56*E27</x:f>
        <x:v>400</x:v>
      </x:c>
      <x:c r="E57" s="82"/>
      <x:c r="F57" s="82"/>
      <x:c r="G57" s="82"/>
      <x:c r="H57" s="82"/>
      <x:c r="I57" s="82"/>
      <x:c r="J57" s="82"/>
      <x:c r="K57" s="82"/>
      <x:c r="L57" s="82"/>
      <x:c r="M57" s="82"/>
      <x:c r="N57" s="82"/>
      <x:c r="O57" s="82"/>
      <x:c r="P57" s="82"/>
      <x:c r="Q57" s="82"/>
      <x:c r="R57" s="82"/>
      <x:c r="S57" s="82"/>
      <x:c r="T57" s="82"/>
      <x:c r="U57" s="82"/>
      <x:c r="V57" s="82"/>
    </x:row>
    <x:row r="58" ht="19" customHeight="1">
      <x:c r="A58" s="82" t="str">
        <x:v>New capital required after old owners</x:v>
      </x:c>
      <x:c r="B58" s="82"/>
      <x:c r="C58" s="82"/>
      <x:c r="D58" s="86" t="n">
        <x:f>MAX(0,D57-D55)</x:f>
        <x:v>400</x:v>
      </x:c>
      <x:c r="E58" s="82"/>
      <x:c r="F58" s="82"/>
      <x:c r="G58" s="82"/>
      <x:c r="H58" s="82"/>
      <x:c r="I58" s="82"/>
      <x:c r="J58" s="82"/>
      <x:c r="K58" s="82"/>
      <x:c r="L58" s="82"/>
      <x:c r="M58" s="82"/>
      <x:c r="N58" s="82"/>
      <x:c r="O58" s="82"/>
      <x:c r="P58" s="82"/>
      <x:c r="Q58" s="82"/>
      <x:c r="R58" s="82"/>
      <x:c r="S58" s="82"/>
      <x:c r="T58" s="82"/>
      <x:c r="U58" s="82"/>
      <x:c r="V58" s="82"/>
    </x:row>
    <x:row r="59" ht="19" customHeight="1">
      <x:c r="A59" s="82" t="str">
        <x:v>Japanese equity actually drawn</x:v>
      </x:c>
      <x:c r="B59" s="82"/>
      <x:c r="C59" s="82"/>
      <x:c r="D59" s="86" t="n">
        <x:f>MIN(D58,E28)</x:f>
        <x:v>400</x:v>
      </x:c>
      <x:c r="E59" s="82"/>
      <x:c r="F59" s="82"/>
      <x:c r="G59" s="82"/>
      <x:c r="H59" s="82"/>
      <x:c r="I59" s="82"/>
      <x:c r="J59" s="82"/>
      <x:c r="K59" s="82"/>
      <x:c r="L59" s="82"/>
      <x:c r="M59" s="82"/>
      <x:c r="N59" s="82"/>
      <x:c r="O59" s="82"/>
      <x:c r="P59" s="82"/>
      <x:c r="Q59" s="82"/>
      <x:c r="R59" s="82"/>
      <x:c r="S59" s="82"/>
      <x:c r="T59" s="82"/>
      <x:c r="U59" s="82"/>
      <x:c r="V59" s="82"/>
    </x:row>
    <x:row r="60" ht="19" customHeight="1">
      <x:c r="A60" s="82" t="str">
        <x:v>Unfunded bank capital</x:v>
      </x:c>
      <x:c r="B60" s="82"/>
      <x:c r="C60" s="82"/>
      <x:c r="D60" s="86" t="n">
        <x:f>MAX(0,D58-D59)</x:f>
        <x:v>0</x:v>
      </x:c>
      <x:c r="E60" s="82"/>
      <x:c r="F60" s="82"/>
      <x:c r="G60" s="82"/>
      <x:c r="H60" s="82"/>
      <x:c r="I60" s="82"/>
      <x:c r="J60" s="82"/>
      <x:c r="K60" s="82"/>
      <x:c r="L60" s="82"/>
      <x:c r="M60" s="82"/>
      <x:c r="N60" s="82"/>
      <x:c r="O60" s="82"/>
      <x:c r="P60" s="82"/>
      <x:c r="Q60" s="82"/>
      <x:c r="R60" s="82"/>
      <x:c r="S60" s="82"/>
      <x:c r="T60" s="82"/>
      <x:c r="U60" s="82"/>
      <x:c r="V60" s="82"/>
    </x:row>
    <x:row r="61" ht="19" customHeight="1">
      <x:c r="A61" s="82" t="str">
        <x:v>Domestic deposit withdrawals</x:v>
      </x:c>
      <x:c r="B61" s="82"/>
      <x:c r="C61" s="82"/>
      <x:c r="D61" s="86" t="n">
        <x:f>E31*E32</x:f>
        <x:v>1295</x:v>
      </x:c>
      <x:c r="E61" s="82"/>
      <x:c r="F61" s="82"/>
      <x:c r="G61" s="82"/>
      <x:c r="H61" s="82"/>
      <x:c r="I61" s="82"/>
      <x:c r="J61" s="82"/>
      <x:c r="K61" s="82"/>
      <x:c r="L61" s="82"/>
      <x:c r="M61" s="82"/>
      <x:c r="N61" s="82"/>
      <x:c r="O61" s="82"/>
      <x:c r="P61" s="82"/>
      <x:c r="Q61" s="82"/>
      <x:c r="R61" s="82"/>
      <x:c r="S61" s="82"/>
      <x:c r="T61" s="82"/>
      <x:c r="U61" s="82"/>
      <x:c r="V61" s="82"/>
    </x:row>
    <x:row r="62" ht="19" customHeight="1">
      <x:c r="A62" s="82" t="str">
        <x:v>Own yen cash available</x:v>
      </x:c>
      <x:c r="B62" s="82"/>
      <x:c r="C62" s="82"/>
      <x:c r="D62" s="86" t="n">
        <x:f>E30</x:f>
        <x:v>600</x:v>
      </x:c>
      <x:c r="E62" s="82"/>
      <x:c r="F62" s="82"/>
      <x:c r="G62" s="82"/>
      <x:c r="H62" s="82"/>
      <x:c r="I62" s="82"/>
      <x:c r="J62" s="82"/>
      <x:c r="K62" s="82"/>
      <x:c r="L62" s="82"/>
      <x:c r="M62" s="82"/>
      <x:c r="N62" s="82"/>
      <x:c r="O62" s="82"/>
      <x:c r="P62" s="82"/>
      <x:c r="Q62" s="82"/>
      <x:c r="R62" s="82"/>
      <x:c r="S62" s="82"/>
      <x:c r="T62" s="82"/>
      <x:c r="U62" s="82"/>
      <x:c r="V62" s="82"/>
    </x:row>
    <x:row r="63" ht="19" customHeight="1">
      <x:c r="A63" s="82" t="str">
        <x:v>Treasury equity brings cash</x:v>
      </x:c>
      <x:c r="B63" s="82"/>
      <x:c r="C63" s="82"/>
      <x:c r="D63" s="86" t="n">
        <x:f>D59</x:f>
        <x:v>400</x:v>
      </x:c>
      <x:c r="E63" s="82"/>
      <x:c r="F63" s="82"/>
      <x:c r="G63" s="82"/>
      <x:c r="H63" s="82"/>
      <x:c r="I63" s="82"/>
      <x:c r="J63" s="82"/>
      <x:c r="K63" s="82"/>
      <x:c r="L63" s="82"/>
      <x:c r="M63" s="82"/>
      <x:c r="N63" s="82"/>
      <x:c r="O63" s="82"/>
      <x:c r="P63" s="82"/>
      <x:c r="Q63" s="82"/>
      <x:c r="R63" s="82"/>
      <x:c r="S63" s="82"/>
      <x:c r="T63" s="82"/>
      <x:c r="U63" s="82"/>
      <x:c r="V63" s="82"/>
    </x:row>
    <x:row r="64" ht="19" customHeight="1">
      <x:c r="A64" s="82" t="str">
        <x:v>BOJ capacity after collateral haircut</x:v>
      </x:c>
      <x:c r="B64" s="82"/>
      <x:c r="C64" s="82"/>
      <x:c r="D64" s="86" t="n">
        <x:f>MIN(E33,E34*(1-E35))</x:f>
        <x:v>400</x:v>
      </x:c>
      <x:c r="E64" s="82"/>
      <x:c r="F64" s="82"/>
      <x:c r="G64" s="82"/>
      <x:c r="H64" s="82"/>
      <x:c r="I64" s="82"/>
      <x:c r="J64" s="82"/>
      <x:c r="K64" s="82"/>
      <x:c r="L64" s="82"/>
      <x:c r="M64" s="82"/>
      <x:c r="N64" s="82"/>
      <x:c r="O64" s="82"/>
      <x:c r="P64" s="82"/>
      <x:c r="Q64" s="82"/>
      <x:c r="R64" s="82"/>
      <x:c r="S64" s="82"/>
      <x:c r="T64" s="82"/>
      <x:c r="U64" s="82"/>
      <x:c r="V64" s="82"/>
    </x:row>
    <x:row r="65" ht="19" customHeight="1">
      <x:c r="A65" s="82" t="str">
        <x:v>BOJ domestic liquidity drawn</x:v>
      </x:c>
      <x:c r="B65" s="82"/>
      <x:c r="C65" s="82"/>
      <x:c r="D65" s="86" t="n">
        <x:f>MIN(D64,MAX(0,D61-D62-D63))</x:f>
        <x:v>295</x:v>
      </x:c>
      <x:c r="E65" s="82"/>
      <x:c r="F65" s="82"/>
      <x:c r="G65" s="82"/>
      <x:c r="H65" s="82"/>
      <x:c r="I65" s="82"/>
      <x:c r="J65" s="82"/>
      <x:c r="K65" s="82"/>
      <x:c r="L65" s="82"/>
      <x:c r="M65" s="82"/>
      <x:c r="N65" s="82"/>
      <x:c r="O65" s="82"/>
      <x:c r="P65" s="82"/>
      <x:c r="Q65" s="82"/>
      <x:c r="R65" s="82"/>
      <x:c r="S65" s="82"/>
      <x:c r="T65" s="82"/>
      <x:c r="U65" s="82"/>
      <x:c r="V65" s="82"/>
    </x:row>
    <x:row r="66" ht="19" customHeight="1">
      <x:c r="A66" s="82" t="str">
        <x:v>Unfunded domestic liquidity</x:v>
      </x:c>
      <x:c r="B66" s="82"/>
      <x:c r="C66" s="82"/>
      <x:c r="D66" s="86" t="n">
        <x:f>MAX(0,D61-D62-D63-D65)</x:f>
        <x:v>0</x:v>
      </x:c>
      <x:c r="E66" s="82"/>
      <x:c r="F66" s="82"/>
      <x:c r="G66" s="82"/>
      <x:c r="H66" s="82"/>
      <x:c r="I66" s="82"/>
      <x:c r="J66" s="82"/>
      <x:c r="K66" s="82"/>
      <x:c r="L66" s="82"/>
      <x:c r="M66" s="82"/>
      <x:c r="N66" s="82"/>
      <x:c r="O66" s="82"/>
      <x:c r="P66" s="82"/>
      <x:c r="Q66" s="82"/>
      <x:c r="R66" s="82"/>
      <x:c r="S66" s="82"/>
      <x:c r="T66" s="82"/>
      <x:c r="U66" s="82"/>
      <x:c r="V66" s="82"/>
    </x:row>
    <x:row r="67" ht="19" customHeight="1">
      <x:c r="A67" s="82"/>
      <x:c r="B67" s="82"/>
      <x:c r="C67" s="82"/>
      <x:c r="D67" s="86"/>
      <x:c r="E67" s="82"/>
      <x:c r="F67" s="82"/>
      <x:c r="G67" s="82"/>
      <x:c r="H67" s="82"/>
      <x:c r="I67" s="82"/>
      <x:c r="J67" s="82"/>
      <x:c r="K67" s="82"/>
      <x:c r="L67" s="82"/>
      <x:c r="M67" s="82"/>
      <x:c r="N67" s="82"/>
      <x:c r="O67" s="82"/>
      <x:c r="P67" s="82"/>
      <x:c r="Q67" s="82"/>
      <x:c r="R67" s="82"/>
      <x:c r="S67" s="82"/>
      <x:c r="T67" s="82"/>
      <x:c r="U67" s="82"/>
      <x:c r="V67" s="82"/>
    </x:row>
    <x:row r="68" ht="19" customHeight="1">
      <x:c r="A68" s="82"/>
      <x:c r="B68" s="82"/>
      <x:c r="C68" s="82"/>
      <x:c r="D68" s="86"/>
      <x:c r="E68" s="82"/>
      <x:c r="F68" s="82"/>
      <x:c r="G68" s="82"/>
      <x:c r="H68" s="82"/>
      <x:c r="I68" s="82"/>
      <x:c r="J68" s="82"/>
      <x:c r="K68" s="82"/>
      <x:c r="L68" s="82"/>
      <x:c r="M68" s="82"/>
      <x:c r="N68" s="82"/>
      <x:c r="O68" s="82"/>
      <x:c r="P68" s="82"/>
      <x:c r="Q68" s="82"/>
      <x:c r="R68" s="82"/>
      <x:c r="S68" s="82"/>
      <x:c r="T68" s="82"/>
      <x:c r="U68" s="82"/>
      <x:c r="V68" s="82"/>
    </x:row>
    <x:row r="69" ht="48" customHeight="1">
      <x:c r="A69" s="97" t="str">
        <x:v>Month</x:v>
      </x:c>
      <x:c r="B69" s="97" t="str">
        <x:v>External funding not renewed</x:v>
      </x:c>
      <x:c r="C69" s="97" t="str">
        <x:v>Imports due</x:v>
      </x:c>
      <x:c r="D69" s="100" t="str">
        <x:v>Capital flight</x:v>
      </x:c>
      <x:c r="E69" s="97" t="str">
        <x:v>Sovereign debt service</x:v>
      </x:c>
      <x:c r="F69" s="97" t="str">
        <x:v>FX receipts</x:v>
      </x:c>
      <x:c r="G69" s="97" t="str">
        <x:v>Net FX demand</x:v>
      </x:c>
      <x:c r="H69" s="97" t="str">
        <x:v>Private FX opening</x:v>
      </x:c>
      <x:c r="I69" s="97" t="str">
        <x:v>Private FX used</x:v>
      </x:c>
      <x:c r="J69" s="97" t="str">
        <x:v>Private FX closing</x:v>
      </x:c>
      <x:c r="K69" s="97" t="str">
        <x:v>Official FX opening</x:v>
      </x:c>
      <x:c r="L69" s="97" t="str">
        <x:v>Import buffer target</x:v>
      </x:c>
      <x:c r="M69" s="97" t="str">
        <x:v>Official FX use</x:v>
      </x:c>
      <x:c r="N69" s="97" t="str">
        <x:v>FX without rescue</x:v>
      </x:c>
      <x:c r="O69" s="97" t="str">
        <x:v>Credit needed</x:v>
      </x:c>
      <x:c r="P69" s="97" t="str">
        <x:v>Credit drawn</x:v>
      </x:c>
      <x:c r="Q69" s="97" t="str">
        <x:v>Official FX closing</x:v>
      </x:c>
      <x:c r="R69" s="97" t="str">
        <x:v>Buffer margin</x:v>
      </x:c>
      <x:c r="S69" s="97" t="str">
        <x:v>Unfunded buffer</x:v>
      </x:c>
      <x:c r="T69" s="97" t="str">
        <x:v>Cumulative drawing</x:v>
      </x:c>
      <x:c r="U69" s="97" t="str">
        <x:v>BOJ yen loans</x:v>
      </x:c>
      <x:c r="V69" s="97" t="str">
        <x:v>No-rescue buffer margin</x:v>
      </x:c>
    </x:row>
    <x:row r="70" ht="19" customHeight="1">
      <x:c r="A70" s="105" t="n">
        <x:v>1</x:v>
      </x:c>
      <x:c r="B70" s="104" t="n">
        <x:f>IF(AND(A70&gt;=4,A70&lt;=6),$E$39*$E$40*CHOOSE(A70-3,0.4,0.35,0.25),0)</x:f>
        <x:v>0</x:v>
      </x:c>
      <x:c r="C70" s="104" t="n">
        <x:f>IF(AND(A70&gt;=4,A70&lt;=6),$E$41/3,0)</x:f>
        <x:v>0</x:v>
      </x:c>
      <x:c r="D70" s="104" t="n">
        <x:f>IF(AND(A70&gt;=4,A70&lt;=6),$E$43*CHOOSE(A70-3,0.5,0.35,0.15),0)</x:f>
        <x:v>0</x:v>
      </x:c>
      <x:c r="E70" s="104" t="n">
        <x:f>Japan!$X$86*(jp_coupon+jp_foreign_repay)/12+IF(A70=12,$J$89,0)</x:f>
        <x:v>3.642125675674516</x:v>
      </x:c>
      <x:c r="F70" s="104" t="n">
        <x:f>IF(AND(A70&gt;=4,A70&lt;=6),$E$42/3,IF(A70&gt;=7,$E$52,0))</x:f>
        <x:v>0</x:v>
      </x:c>
      <x:c r="G70" s="104" t="n">
        <x:f>SUM(B70:E70)-F70</x:f>
        <x:v>3.642125675674516</x:v>
      </x:c>
      <x:c r="H70" s="104" t="n">
        <x:f>$E$44+$E$45</x:f>
        <x:v>550</x:v>
      </x:c>
      <x:c r="I70" s="104" t="n">
        <x:f>MIN(H70,MAX(0,G70))</x:f>
        <x:v>3.642125675674516</x:v>
      </x:c>
      <x:c r="J70" s="104" t="n">
        <x:f>H70-I70</x:f>
        <x:v>546.3578743243255</x:v>
      </x:c>
      <x:c r="K70" s="104" t="n">
        <x:f>$E$36</x:f>
        <x:v>1500</x:v>
      </x:c>
      <x:c r="L70" s="104" t="n">
        <x:f>$E$41/3*$E$37</x:f>
        <x:v>375</x:v>
      </x:c>
      <x:c r="M70" s="104" t="n">
        <x:f>G70-I70</x:f>
        <x:v>0</x:v>
      </x:c>
      <x:c r="N70" s="104" t="n">
        <x:f>$E$36-M70</x:f>
        <x:v>1500</x:v>
      </x:c>
      <x:c r="O70" s="104" t="n">
        <x:f>MAX(0,L70-K70+M70)</x:f>
        <x:v>0</x:v>
      </x:c>
      <x:c r="P70" s="104" t="n">
        <x:f>IF(AND(A70&gt;=4,A70&lt;=6),MIN(O70,MAX(0,$D$21-SUM(P$69:P69))),0)</x:f>
        <x:v>0</x:v>
      </x:c>
      <x:c r="Q70" s="104" t="n">
        <x:f>K70-M70+P70</x:f>
        <x:v>1500</x:v>
      </x:c>
      <x:c r="R70" s="104" t="n">
        <x:f>Q70-L70</x:f>
        <x:v>1125</x:v>
      </x:c>
      <x:c r="S70" s="104" t="n">
        <x:f>MAX(0,-R70)</x:f>
        <x:v>0</x:v>
      </x:c>
      <x:c r="T70" s="104" t="n">
        <x:f>SUM(P$70:P70)</x:f>
        <x:v>0</x:v>
      </x:c>
      <x:c r="U70" s="104" t="n">
        <x:f>IF(A70&gt;=4,$D$65,0)</x:f>
        <x:v>0</x:v>
      </x:c>
      <x:c r="V70" s="104" t="n">
        <x:f>N70-L70</x:f>
        <x:v>1125</x:v>
      </x:c>
    </x:row>
    <x:row r="71" ht="19" customHeight="1">
      <x:c r="A71" s="105" t="n">
        <x:v>2</x:v>
      </x:c>
      <x:c r="B71" s="104" t="n">
        <x:f>IF(AND(A71&gt;=4,A71&lt;=6),$E$39*$E$40*CHOOSE(A71-3,0.4,0.35,0.25),0)</x:f>
        <x:v>0</x:v>
      </x:c>
      <x:c r="C71" s="104" t="n">
        <x:f>IF(AND(A71&gt;=4,A71&lt;=6),$E$41/3,0)</x:f>
        <x:v>0</x:v>
      </x:c>
      <x:c r="D71" s="104" t="n">
        <x:f>IF(AND(A71&gt;=4,A71&lt;=6),$E$43*CHOOSE(A71-3,0.5,0.35,0.15),0)</x:f>
        <x:v>0</x:v>
      </x:c>
      <x:c r="E71" s="104" t="n">
        <x:f>Japan!$X$86*(jp_coupon+jp_foreign_repay)/12+IF(A71=12,$J$89,0)</x:f>
        <x:v>3.642125675674516</x:v>
      </x:c>
      <x:c r="F71" s="104" t="n">
        <x:f>IF(AND(A71&gt;=4,A71&lt;=6),$E$42/3,IF(A71&gt;=7,$E$52,0))</x:f>
        <x:v>0</x:v>
      </x:c>
      <x:c r="G71" s="104" t="n">
        <x:f>SUM(B71:E71)-F71</x:f>
        <x:v>3.642125675674516</x:v>
      </x:c>
      <x:c r="H71" s="104" t="n">
        <x:f>J70</x:f>
        <x:v>546.3578743243255</x:v>
      </x:c>
      <x:c r="I71" s="104" t="n">
        <x:f>MIN(H71,MAX(0,G71))</x:f>
        <x:v>3.642125675674516</x:v>
      </x:c>
      <x:c r="J71" s="104" t="n">
        <x:f>H71-I71</x:f>
        <x:v>542.715748648651</x:v>
      </x:c>
      <x:c r="K71" s="104" t="n">
        <x:f>Q70</x:f>
        <x:v>1500</x:v>
      </x:c>
      <x:c r="L71" s="104" t="n">
        <x:f>$E$41/3*$E$37</x:f>
        <x:v>375</x:v>
      </x:c>
      <x:c r="M71" s="104" t="n">
        <x:f>G71-I71</x:f>
        <x:v>0</x:v>
      </x:c>
      <x:c r="N71" s="104" t="n">
        <x:f>N70-M71</x:f>
        <x:v>1500</x:v>
      </x:c>
      <x:c r="O71" s="104" t="n">
        <x:f>MAX(0,L71-K71+M71)</x:f>
        <x:v>0</x:v>
      </x:c>
      <x:c r="P71" s="104" t="n">
        <x:f>IF(AND(A71&gt;=4,A71&lt;=6),MIN(O71,MAX(0,$D$21-SUM(P$69:P70))),0)</x:f>
        <x:v>0</x:v>
      </x:c>
      <x:c r="Q71" s="104" t="n">
        <x:f>K71-M71+P71</x:f>
        <x:v>1500</x:v>
      </x:c>
      <x:c r="R71" s="104" t="n">
        <x:f>Q71-L71</x:f>
        <x:v>1125</x:v>
      </x:c>
      <x:c r="S71" s="104" t="n">
        <x:f>MAX(0,-R71)</x:f>
        <x:v>0</x:v>
      </x:c>
      <x:c r="T71" s="104" t="n">
        <x:f>SUM(P$70:P71)</x:f>
        <x:v>0</x:v>
      </x:c>
      <x:c r="U71" s="104" t="n">
        <x:f>IF(A71&gt;=4,$D$65,0)</x:f>
        <x:v>0</x:v>
      </x:c>
      <x:c r="V71" s="104" t="n">
        <x:f>N71-L71</x:f>
        <x:v>1125</x:v>
      </x:c>
    </x:row>
    <x:row r="72" ht="19" customHeight="1">
      <x:c r="A72" s="105" t="n">
        <x:v>3</x:v>
      </x:c>
      <x:c r="B72" s="104" t="n">
        <x:f>IF(AND(A72&gt;=4,A72&lt;=6),$E$39*$E$40*CHOOSE(A72-3,0.4,0.35,0.25),0)</x:f>
        <x:v>0</x:v>
      </x:c>
      <x:c r="C72" s="104" t="n">
        <x:f>IF(AND(A72&gt;=4,A72&lt;=6),$E$41/3,0)</x:f>
        <x:v>0</x:v>
      </x:c>
      <x:c r="D72" s="104" t="n">
        <x:f>IF(AND(A72&gt;=4,A72&lt;=6),$E$43*CHOOSE(A72-3,0.5,0.35,0.15),0)</x:f>
        <x:v>0</x:v>
      </x:c>
      <x:c r="E72" s="104" t="n">
        <x:f>Japan!$X$86*(jp_coupon+jp_foreign_repay)/12+IF(A72=12,$J$89,0)</x:f>
        <x:v>3.642125675674516</x:v>
      </x:c>
      <x:c r="F72" s="104" t="n">
        <x:f>IF(AND(A72&gt;=4,A72&lt;=6),$E$42/3,IF(A72&gt;=7,$E$52,0))</x:f>
        <x:v>0</x:v>
      </x:c>
      <x:c r="G72" s="104" t="n">
        <x:f>SUM(B72:E72)-F72</x:f>
        <x:v>3.642125675674516</x:v>
      </x:c>
      <x:c r="H72" s="104" t="n">
        <x:f>J71</x:f>
        <x:v>542.715748648651</x:v>
      </x:c>
      <x:c r="I72" s="104" t="n">
        <x:f>MIN(H72,MAX(0,G72))</x:f>
        <x:v>3.642125675674516</x:v>
      </x:c>
      <x:c r="J72" s="104" t="n">
        <x:f>H72-I72</x:f>
        <x:v>539.0736229729765</x:v>
      </x:c>
      <x:c r="K72" s="104" t="n">
        <x:f>Q71</x:f>
        <x:v>1500</x:v>
      </x:c>
      <x:c r="L72" s="104" t="n">
        <x:f>$E$41/3*$E$37</x:f>
        <x:v>375</x:v>
      </x:c>
      <x:c r="M72" s="104" t="n">
        <x:f>G72-I72</x:f>
        <x:v>0</x:v>
      </x:c>
      <x:c r="N72" s="104" t="n">
        <x:f>N71-M72</x:f>
        <x:v>1500</x:v>
      </x:c>
      <x:c r="O72" s="104" t="n">
        <x:f>MAX(0,L72-K72+M72)</x:f>
        <x:v>0</x:v>
      </x:c>
      <x:c r="P72" s="104" t="n">
        <x:f>IF(AND(A72&gt;=4,A72&lt;=6),MIN(O72,MAX(0,$D$21-SUM(P$69:P71))),0)</x:f>
        <x:v>0</x:v>
      </x:c>
      <x:c r="Q72" s="104" t="n">
        <x:f>K72-M72+P72</x:f>
        <x:v>1500</x:v>
      </x:c>
      <x:c r="R72" s="104" t="n">
        <x:f>Q72-L72</x:f>
        <x:v>1125</x:v>
      </x:c>
      <x:c r="S72" s="104" t="n">
        <x:f>MAX(0,-R72)</x:f>
        <x:v>0</x:v>
      </x:c>
      <x:c r="T72" s="104" t="n">
        <x:f>SUM(P$70:P72)</x:f>
        <x:v>0</x:v>
      </x:c>
      <x:c r="U72" s="104" t="n">
        <x:f>IF(A72&gt;=4,$D$65,0)</x:f>
        <x:v>0</x:v>
      </x:c>
      <x:c r="V72" s="104" t="n">
        <x:f>N72-L72</x:f>
        <x:v>1125</x:v>
      </x:c>
    </x:row>
    <x:row r="73" ht="19" customHeight="1">
      <x:c r="A73" s="105" t="n">
        <x:v>4</x:v>
      </x:c>
      <x:c r="B73" s="104" t="n">
        <x:f>IF(AND(A73&gt;=4,A73&lt;=6),$E$39*$E$40*CHOOSE(A73-3,0.4,0.35,0.25),0)</x:f>
        <x:v>600</x:v>
      </x:c>
      <x:c r="C73" s="104" t="n">
        <x:f>IF(AND(A73&gt;=4,A73&lt;=6),$E$41/3,0)</x:f>
        <x:v>250</x:v>
      </x:c>
      <x:c r="D73" s="104" t="n">
        <x:f>IF(AND(A73&gt;=4,A73&lt;=6),$E$43*CHOOSE(A73-3,0.5,0.35,0.15),0)</x:f>
        <x:v>250</x:v>
      </x:c>
      <x:c r="E73" s="104" t="n">
        <x:f>Japan!$X$86*(jp_coupon+jp_foreign_repay)/12+IF(A73=12,$J$89,0)</x:f>
        <x:v>3.642125675674516</x:v>
      </x:c>
      <x:c r="F73" s="104" t="n">
        <x:f>IF(AND(A73&gt;=4,A73&lt;=6),$E$42/3,IF(A73&gt;=7,$E$52,0))</x:f>
        <x:v>200</x:v>
      </x:c>
      <x:c r="G73" s="104" t="n">
        <x:f>SUM(B73:E73)-F73</x:f>
        <x:v>903.6421256756746</x:v>
      </x:c>
      <x:c r="H73" s="104" t="n">
        <x:f>J72</x:f>
        <x:v>539.0736229729765</x:v>
      </x:c>
      <x:c r="I73" s="104" t="n">
        <x:f>MIN(H73,MAX(0,G73))</x:f>
        <x:v>539.0736229729765</x:v>
      </x:c>
      <x:c r="J73" s="104" t="n">
        <x:f>H73-I73</x:f>
        <x:v>0</x:v>
      </x:c>
      <x:c r="K73" s="104" t="n">
        <x:f>Q72</x:f>
        <x:v>1500</x:v>
      </x:c>
      <x:c r="L73" s="104" t="n">
        <x:f>$E$41/3*$E$37</x:f>
        <x:v>375</x:v>
      </x:c>
      <x:c r="M73" s="104" t="n">
        <x:f>G73-I73</x:f>
        <x:v>364.5685027026981</x:v>
      </x:c>
      <x:c r="N73" s="104" t="n">
        <x:f>N72-M73</x:f>
        <x:v>1135.431497297302</x:v>
      </x:c>
      <x:c r="O73" s="104" t="n">
        <x:f>MAX(0,L73-K73+M73)</x:f>
        <x:v>0</x:v>
      </x:c>
      <x:c r="P73" s="104" t="n">
        <x:f>IF(AND(A73&gt;=4,A73&lt;=6),MIN(O73,MAX(0,$D$21-SUM(P$69:P72))),0)</x:f>
        <x:v>0</x:v>
      </x:c>
      <x:c r="Q73" s="104" t="n">
        <x:f>K73-M73+P73</x:f>
        <x:v>1135.431497297302</x:v>
      </x:c>
      <x:c r="R73" s="104" t="n">
        <x:f>Q73-L73</x:f>
        <x:v>760.431497297302</x:v>
      </x:c>
      <x:c r="S73" s="104" t="n">
        <x:f>MAX(0,-R73)</x:f>
        <x:v>0</x:v>
      </x:c>
      <x:c r="T73" s="104" t="n">
        <x:f>SUM(P$70:P73)</x:f>
        <x:v>0</x:v>
      </x:c>
      <x:c r="U73" s="104" t="n">
        <x:f>IF(A73&gt;=4,$D$65,0)</x:f>
        <x:v>295</x:v>
      </x:c>
      <x:c r="V73" s="104" t="n">
        <x:f>N73-L73</x:f>
        <x:v>760.431497297302</x:v>
      </x:c>
    </x:row>
    <x:row r="74" ht="19" customHeight="1">
      <x:c r="A74" s="105" t="n">
        <x:v>5</x:v>
      </x:c>
      <x:c r="B74" s="104" t="n">
        <x:f>IF(AND(A74&gt;=4,A74&lt;=6),$E$39*$E$40*CHOOSE(A74-3,0.4,0.35,0.25),0)</x:f>
        <x:v>525</x:v>
      </x:c>
      <x:c r="C74" s="104" t="n">
        <x:f>IF(AND(A74&gt;=4,A74&lt;=6),$E$41/3,0)</x:f>
        <x:v>250</x:v>
      </x:c>
      <x:c r="D74" s="104" t="n">
        <x:f>IF(AND(A74&gt;=4,A74&lt;=6),$E$43*CHOOSE(A74-3,0.5,0.35,0.15),0)</x:f>
        <x:v>175</x:v>
      </x:c>
      <x:c r="E74" s="104" t="n">
        <x:f>Japan!$X$86*(jp_coupon+jp_foreign_repay)/12+IF(A74=12,$J$89,0)</x:f>
        <x:v>3.642125675674516</x:v>
      </x:c>
      <x:c r="F74" s="104" t="n">
        <x:f>IF(AND(A74&gt;=4,A74&lt;=6),$E$42/3,IF(A74&gt;=7,$E$52,0))</x:f>
        <x:v>200</x:v>
      </x:c>
      <x:c r="G74" s="104" t="n">
        <x:f>SUM(B74:E74)-F74</x:f>
        <x:v>753.6421256756745</x:v>
      </x:c>
      <x:c r="H74" s="104" t="n">
        <x:f>J73</x:f>
        <x:v>0</x:v>
      </x:c>
      <x:c r="I74" s="104" t="n">
        <x:f>MIN(H74,MAX(0,G74))</x:f>
        <x:v>0</x:v>
      </x:c>
      <x:c r="J74" s="104" t="n">
        <x:f>H74-I74</x:f>
        <x:v>0</x:v>
      </x:c>
      <x:c r="K74" s="104" t="n">
        <x:f>Q73</x:f>
        <x:v>1135.431497297302</x:v>
      </x:c>
      <x:c r="L74" s="104" t="n">
        <x:f>$E$41/3*$E$37</x:f>
        <x:v>375</x:v>
      </x:c>
      <x:c r="M74" s="104" t="n">
        <x:f>G74-I74</x:f>
        <x:v>753.6421256756745</x:v>
      </x:c>
      <x:c r="N74" s="104" t="n">
        <x:f>N73-M74</x:f>
        <x:v>381.78937162162754</x:v>
      </x:c>
      <x:c r="O74" s="104" t="n">
        <x:f>MAX(0,L74-K74+M74)</x:f>
        <x:v>0</x:v>
      </x:c>
      <x:c r="P74" s="104" t="n">
        <x:f>IF(AND(A74&gt;=4,A74&lt;=6),MIN(O74,MAX(0,$D$21-SUM(P$69:P73))),0)</x:f>
        <x:v>0</x:v>
      </x:c>
      <x:c r="Q74" s="104" t="n">
        <x:f>K74-M74+P74</x:f>
        <x:v>381.78937162162754</x:v>
      </x:c>
      <x:c r="R74" s="104" t="n">
        <x:f>Q74-L74</x:f>
        <x:v>6.789371621627538</x:v>
      </x:c>
      <x:c r="S74" s="104" t="n">
        <x:f>MAX(0,-R74)</x:f>
        <x:v>0</x:v>
      </x:c>
      <x:c r="T74" s="104" t="n">
        <x:f>SUM(P$70:P74)</x:f>
        <x:v>0</x:v>
      </x:c>
      <x:c r="U74" s="104" t="n">
        <x:f>IF(A74&gt;=4,$D$65,0)</x:f>
        <x:v>295</x:v>
      </x:c>
      <x:c r="V74" s="104" t="n">
        <x:f>N74-L74</x:f>
        <x:v>6.789371621627538</x:v>
      </x:c>
    </x:row>
    <x:row r="75" ht="19" customHeight="1">
      <x:c r="A75" s="105" t="n">
        <x:v>6</x:v>
      </x:c>
      <x:c r="B75" s="104" t="n">
        <x:f>IF(AND(A75&gt;=4,A75&lt;=6),$E$39*$E$40*CHOOSE(A75-3,0.4,0.35,0.25),0)</x:f>
        <x:v>375</x:v>
      </x:c>
      <x:c r="C75" s="104" t="n">
        <x:f>IF(AND(A75&gt;=4,A75&lt;=6),$E$41/3,0)</x:f>
        <x:v>250</x:v>
      </x:c>
      <x:c r="D75" s="104" t="n">
        <x:f>IF(AND(A75&gt;=4,A75&lt;=6),$E$43*CHOOSE(A75-3,0.5,0.35,0.15),0)</x:f>
        <x:v>75</x:v>
      </x:c>
      <x:c r="E75" s="104" t="n">
        <x:f>Japan!$X$86*(jp_coupon+jp_foreign_repay)/12+IF(A75=12,$J$89,0)</x:f>
        <x:v>3.642125675674516</x:v>
      </x:c>
      <x:c r="F75" s="104" t="n">
        <x:f>IF(AND(A75&gt;=4,A75&lt;=6),$E$42/3,IF(A75&gt;=7,$E$52,0))</x:f>
        <x:v>200</x:v>
      </x:c>
      <x:c r="G75" s="104" t="n">
        <x:f>SUM(B75:E75)-F75</x:f>
        <x:v>503.6421256756745</x:v>
      </x:c>
      <x:c r="H75" s="104" t="n">
        <x:f>J74</x:f>
        <x:v>0</x:v>
      </x:c>
      <x:c r="I75" s="104" t="n">
        <x:f>MIN(H75,MAX(0,G75))</x:f>
        <x:v>0</x:v>
      </x:c>
      <x:c r="J75" s="104" t="n">
        <x:f>H75-I75</x:f>
        <x:v>0</x:v>
      </x:c>
      <x:c r="K75" s="104" t="n">
        <x:f>Q74</x:f>
        <x:v>381.78937162162754</x:v>
      </x:c>
      <x:c r="L75" s="104" t="n">
        <x:f>$E$41/3*$E$37</x:f>
        <x:v>375</x:v>
      </x:c>
      <x:c r="M75" s="104" t="n">
        <x:f>G75-I75</x:f>
        <x:v>503.6421256756745</x:v>
      </x:c>
      <x:c r="N75" s="104" t="n">
        <x:f>N74-M75</x:f>
        <x:v>-121.85275405404695</x:v>
      </x:c>
      <x:c r="O75" s="104" t="n">
        <x:f>MAX(0,L75-K75+M75)</x:f>
        <x:v>496.85275405404695</x:v>
      </x:c>
      <x:c r="P75" s="104" t="n">
        <x:f>IF(AND(A75&gt;=4,A75&lt;=6),MIN(O75,MAX(0,$D$21-SUM(P$69:P74))),0)</x:f>
        <x:v>496.85275405404695</x:v>
      </x:c>
      <x:c r="Q75" s="104" t="n">
        <x:f>K75-M75+P75</x:f>
        <x:v>375</x:v>
      </x:c>
      <x:c r="R75" s="104" t="n">
        <x:f>Q75-L75</x:f>
        <x:v>0</x:v>
      </x:c>
      <x:c r="S75" s="104" t="n">
        <x:f>MAX(0,-R75)</x:f>
        <x:v>0</x:v>
      </x:c>
      <x:c r="T75" s="104" t="n">
        <x:f>SUM(P$70:P75)</x:f>
        <x:v>496.85275405404695</x:v>
      </x:c>
      <x:c r="U75" s="104" t="n">
        <x:f>IF(A75&gt;=4,$D$65,0)</x:f>
        <x:v>295</x:v>
      </x:c>
      <x:c r="V75" s="104" t="n">
        <x:f>N75-L75</x:f>
        <x:v>-496.85275405404695</x:v>
      </x:c>
    </x:row>
    <x:row r="76" ht="19" customHeight="1">
      <x:c r="A76" s="105" t="n">
        <x:v>7</x:v>
      </x:c>
      <x:c r="B76" s="104" t="n">
        <x:f>IF(AND(A76&gt;=4,A76&lt;=6),$E$39*$E$40*CHOOSE(A76-3,0.4,0.35,0.25),0)</x:f>
        <x:v>0</x:v>
      </x:c>
      <x:c r="C76" s="104" t="n">
        <x:f>IF(AND(A76&gt;=4,A76&lt;=6),$E$41/3,0)</x:f>
        <x:v>0</x:v>
      </x:c>
      <x:c r="D76" s="104" t="n">
        <x:f>IF(AND(A76&gt;=4,A76&lt;=6),$E$43*CHOOSE(A76-3,0.5,0.35,0.15),0)</x:f>
        <x:v>0</x:v>
      </x:c>
      <x:c r="E76" s="104" t="n">
        <x:f>Japan!$X$86*(jp_coupon+jp_foreign_repay)/12+IF(A76=12,$J$89,0)</x:f>
        <x:v>3.642125675674516</x:v>
      </x:c>
      <x:c r="F76" s="104" t="n">
        <x:f>IF(AND(A76&gt;=4,A76&lt;=6),$E$42/3,IF(A76&gt;=7,$E$52,0))</x:f>
        <x:v>100</x:v>
      </x:c>
      <x:c r="G76" s="104" t="n">
        <x:f>SUM(B76:E76)-F76</x:f>
        <x:v>-96.35787432432548</x:v>
      </x:c>
      <x:c r="H76" s="104" t="n">
        <x:f>J75</x:f>
        <x:v>0</x:v>
      </x:c>
      <x:c r="I76" s="104" t="n">
        <x:f>MIN(H76,MAX(0,G76))</x:f>
        <x:v>0</x:v>
      </x:c>
      <x:c r="J76" s="104" t="n">
        <x:f>H76-I76</x:f>
        <x:v>0</x:v>
      </x:c>
      <x:c r="K76" s="104" t="n">
        <x:f>Q75</x:f>
        <x:v>375</x:v>
      </x:c>
      <x:c r="L76" s="104" t="n">
        <x:f>$E$41/3*$E$37</x:f>
        <x:v>375</x:v>
      </x:c>
      <x:c r="M76" s="104" t="n">
        <x:f>G76-I76</x:f>
        <x:v>-96.35787432432548</x:v>
      </x:c>
      <x:c r="N76" s="104" t="n">
        <x:f>N75-M76</x:f>
        <x:v>-25.494879729721475</x:v>
      </x:c>
      <x:c r="O76" s="104" t="n">
        <x:f>MAX(0,L76-K76+M76)</x:f>
        <x:v>0</x:v>
      </x:c>
      <x:c r="P76" s="104" t="n">
        <x:f>IF(AND(A76&gt;=4,A76&lt;=6),MIN(O76,MAX(0,$D$21-SUM(P$69:P75))),0)</x:f>
        <x:v>0</x:v>
      </x:c>
      <x:c r="Q76" s="104" t="n">
        <x:f>K76-M76+P76</x:f>
        <x:v>471.3578743243255</x:v>
      </x:c>
      <x:c r="R76" s="104" t="n">
        <x:f>Q76-L76</x:f>
        <x:v>96.35787432432551</x:v>
      </x:c>
      <x:c r="S76" s="104" t="n">
        <x:f>MAX(0,-R76)</x:f>
        <x:v>0</x:v>
      </x:c>
      <x:c r="T76" s="104" t="n">
        <x:f>SUM(P$70:P76)</x:f>
        <x:v>496.85275405404695</x:v>
      </x:c>
      <x:c r="U76" s="104" t="n">
        <x:f>IF(A76&gt;=4,$D$65,0)</x:f>
        <x:v>295</x:v>
      </x:c>
      <x:c r="V76" s="104" t="n">
        <x:f>N76-L76</x:f>
        <x:v>-400.49487972972145</x:v>
      </x:c>
    </x:row>
    <x:row r="77" ht="19" customHeight="1">
      <x:c r="A77" s="105" t="n">
        <x:v>8</x:v>
      </x:c>
      <x:c r="B77" s="104" t="n">
        <x:f>IF(AND(A77&gt;=4,A77&lt;=6),$E$39*$E$40*CHOOSE(A77-3,0.4,0.35,0.25),0)</x:f>
        <x:v>0</x:v>
      </x:c>
      <x:c r="C77" s="104" t="n">
        <x:f>IF(AND(A77&gt;=4,A77&lt;=6),$E$41/3,0)</x:f>
        <x:v>0</x:v>
      </x:c>
      <x:c r="D77" s="104" t="n">
        <x:f>IF(AND(A77&gt;=4,A77&lt;=6),$E$43*CHOOSE(A77-3,0.5,0.35,0.15),0)</x:f>
        <x:v>0</x:v>
      </x:c>
      <x:c r="E77" s="104" t="n">
        <x:f>Japan!$X$86*(jp_coupon+jp_foreign_repay)/12+IF(A77=12,$J$89,0)</x:f>
        <x:v>3.642125675674516</x:v>
      </x:c>
      <x:c r="F77" s="104" t="n">
        <x:f>IF(AND(A77&gt;=4,A77&lt;=6),$E$42/3,IF(A77&gt;=7,$E$52,0))</x:f>
        <x:v>100</x:v>
      </x:c>
      <x:c r="G77" s="104" t="n">
        <x:f>SUM(B77:E77)-F77</x:f>
        <x:v>-96.35787432432548</x:v>
      </x:c>
      <x:c r="H77" s="104" t="n">
        <x:f>J76</x:f>
        <x:v>0</x:v>
      </x:c>
      <x:c r="I77" s="104" t="n">
        <x:f>MIN(H77,MAX(0,G77))</x:f>
        <x:v>0</x:v>
      </x:c>
      <x:c r="J77" s="104" t="n">
        <x:f>H77-I77</x:f>
        <x:v>0</x:v>
      </x:c>
      <x:c r="K77" s="104" t="n">
        <x:f>Q76</x:f>
        <x:v>471.3578743243255</x:v>
      </x:c>
      <x:c r="L77" s="104" t="n">
        <x:f>$E$41/3*$E$37</x:f>
        <x:v>375</x:v>
      </x:c>
      <x:c r="M77" s="104" t="n">
        <x:f>G77-I77</x:f>
        <x:v>-96.35787432432548</x:v>
      </x:c>
      <x:c r="N77" s="104" t="n">
        <x:f>N76-M77</x:f>
        <x:v>70.862994594604</x:v>
      </x:c>
      <x:c r="O77" s="104" t="n">
        <x:f>MAX(0,L77-K77+M77)</x:f>
        <x:v>0</x:v>
      </x:c>
      <x:c r="P77" s="104" t="n">
        <x:f>IF(AND(A77&gt;=4,A77&lt;=6),MIN(O77,MAX(0,$D$21-SUM(P$69:P76))),0)</x:f>
        <x:v>0</x:v>
      </x:c>
      <x:c r="Q77" s="104" t="n">
        <x:f>K77-M77+P77</x:f>
        <x:v>567.715748648651</x:v>
      </x:c>
      <x:c r="R77" s="104" t="n">
        <x:f>Q77-L77</x:f>
        <x:v>192.71574864865102</x:v>
      </x:c>
      <x:c r="S77" s="104" t="n">
        <x:f>MAX(0,-R77)</x:f>
        <x:v>0</x:v>
      </x:c>
      <x:c r="T77" s="104" t="n">
        <x:f>SUM(P$70:P77)</x:f>
        <x:v>496.85275405404695</x:v>
      </x:c>
      <x:c r="U77" s="104" t="n">
        <x:f>IF(A77&gt;=4,$D$65,0)</x:f>
        <x:v>295</x:v>
      </x:c>
      <x:c r="V77" s="104" t="n">
        <x:f>N77-L77</x:f>
        <x:v>-304.137005405396</x:v>
      </x:c>
    </x:row>
    <x:row r="78" ht="19" customHeight="1">
      <x:c r="A78" s="105" t="n">
        <x:v>9</x:v>
      </x:c>
      <x:c r="B78" s="104" t="n">
        <x:f>IF(AND(A78&gt;=4,A78&lt;=6),$E$39*$E$40*CHOOSE(A78-3,0.4,0.35,0.25),0)</x:f>
        <x:v>0</x:v>
      </x:c>
      <x:c r="C78" s="104" t="n">
        <x:f>IF(AND(A78&gt;=4,A78&lt;=6),$E$41/3,0)</x:f>
        <x:v>0</x:v>
      </x:c>
      <x:c r="D78" s="104" t="n">
        <x:f>IF(AND(A78&gt;=4,A78&lt;=6),$E$43*CHOOSE(A78-3,0.5,0.35,0.15),0)</x:f>
        <x:v>0</x:v>
      </x:c>
      <x:c r="E78" s="104" t="n">
        <x:f>Japan!$X$86*(jp_coupon+jp_foreign_repay)/12+IF(A78=12,$J$89,0)</x:f>
        <x:v>3.642125675674516</x:v>
      </x:c>
      <x:c r="F78" s="104" t="n">
        <x:f>IF(AND(A78&gt;=4,A78&lt;=6),$E$42/3,IF(A78&gt;=7,$E$52,0))</x:f>
        <x:v>100</x:v>
      </x:c>
      <x:c r="G78" s="104" t="n">
        <x:f>SUM(B78:E78)-F78</x:f>
        <x:v>-96.35787432432548</x:v>
      </x:c>
      <x:c r="H78" s="104" t="n">
        <x:f>J77</x:f>
        <x:v>0</x:v>
      </x:c>
      <x:c r="I78" s="104" t="n">
        <x:f>MIN(H78,MAX(0,G78))</x:f>
        <x:v>0</x:v>
      </x:c>
      <x:c r="J78" s="104" t="n">
        <x:f>H78-I78</x:f>
        <x:v>0</x:v>
      </x:c>
      <x:c r="K78" s="104" t="n">
        <x:f>Q77</x:f>
        <x:v>567.715748648651</x:v>
      </x:c>
      <x:c r="L78" s="104" t="n">
        <x:f>$E$41/3*$E$37</x:f>
        <x:v>375</x:v>
      </x:c>
      <x:c r="M78" s="104" t="n">
        <x:f>G78-I78</x:f>
        <x:v>-96.35787432432548</x:v>
      </x:c>
      <x:c r="N78" s="104" t="n">
        <x:f>N77-M78</x:f>
        <x:v>167.22086891892948</x:v>
      </x:c>
      <x:c r="O78" s="104" t="n">
        <x:f>MAX(0,L78-K78+M78)</x:f>
        <x:v>0</x:v>
      </x:c>
      <x:c r="P78" s="104" t="n">
        <x:f>IF(AND(A78&gt;=4,A78&lt;=6),MIN(O78,MAX(0,$D$21-SUM(P$69:P77))),0)</x:f>
        <x:v>0</x:v>
      </x:c>
      <x:c r="Q78" s="104" t="n">
        <x:f>K78-M78+P78</x:f>
        <x:v>664.0736229729765</x:v>
      </x:c>
      <x:c r="R78" s="104" t="n">
        <x:f>Q78-L78</x:f>
        <x:v>289.0736229729765</x:v>
      </x:c>
      <x:c r="S78" s="104" t="n">
        <x:f>MAX(0,-R78)</x:f>
        <x:v>0</x:v>
      </x:c>
      <x:c r="T78" s="104" t="n">
        <x:f>SUM(P$70:P78)</x:f>
        <x:v>496.85275405404695</x:v>
      </x:c>
      <x:c r="U78" s="104" t="n">
        <x:f>IF(A78&gt;=4,$D$65,0)</x:f>
        <x:v>295</x:v>
      </x:c>
      <x:c r="V78" s="104" t="n">
        <x:f>N78-L78</x:f>
        <x:v>-207.77913108107052</x:v>
      </x:c>
    </x:row>
    <x:row r="79" ht="19" customHeight="1">
      <x:c r="A79" s="105" t="n">
        <x:v>10</x:v>
      </x:c>
      <x:c r="B79" s="104" t="n">
        <x:f>IF(AND(A79&gt;=4,A79&lt;=6),$E$39*$E$40*CHOOSE(A79-3,0.4,0.35,0.25),0)</x:f>
        <x:v>0</x:v>
      </x:c>
      <x:c r="C79" s="104" t="n">
        <x:f>IF(AND(A79&gt;=4,A79&lt;=6),$E$41/3,0)</x:f>
        <x:v>0</x:v>
      </x:c>
      <x:c r="D79" s="104" t="n">
        <x:f>IF(AND(A79&gt;=4,A79&lt;=6),$E$43*CHOOSE(A79-3,0.5,0.35,0.15),0)</x:f>
        <x:v>0</x:v>
      </x:c>
      <x:c r="E79" s="104" t="n">
        <x:f>Japan!$X$86*(jp_coupon+jp_foreign_repay)/12+IF(A79=12,$J$89,0)</x:f>
        <x:v>3.642125675674516</x:v>
      </x:c>
      <x:c r="F79" s="104" t="n">
        <x:f>IF(AND(A79&gt;=4,A79&lt;=6),$E$42/3,IF(A79&gt;=7,$E$52,0))</x:f>
        <x:v>100</x:v>
      </x:c>
      <x:c r="G79" s="104" t="n">
        <x:f>SUM(B79:E79)-F79</x:f>
        <x:v>-96.35787432432548</x:v>
      </x:c>
      <x:c r="H79" s="104" t="n">
        <x:f>J78</x:f>
        <x:v>0</x:v>
      </x:c>
      <x:c r="I79" s="104" t="n">
        <x:f>MIN(H79,MAX(0,G79))</x:f>
        <x:v>0</x:v>
      </x:c>
      <x:c r="J79" s="104" t="n">
        <x:f>H79-I79</x:f>
        <x:v>0</x:v>
      </x:c>
      <x:c r="K79" s="104" t="n">
        <x:f>Q78</x:f>
        <x:v>664.0736229729765</x:v>
      </x:c>
      <x:c r="L79" s="104" t="n">
        <x:f>$E$41/3*$E$37</x:f>
        <x:v>375</x:v>
      </x:c>
      <x:c r="M79" s="104" t="n">
        <x:f>G79-I79</x:f>
        <x:v>-96.35787432432548</x:v>
      </x:c>
      <x:c r="N79" s="104" t="n">
        <x:f>N78-M79</x:f>
        <x:v>263.57874324325496</x:v>
      </x:c>
      <x:c r="O79" s="104" t="n">
        <x:f>MAX(0,L79-K79+M79)</x:f>
        <x:v>0</x:v>
      </x:c>
      <x:c r="P79" s="104" t="n">
        <x:f>IF(AND(A79&gt;=4,A79&lt;=6),MIN(O79,MAX(0,$D$21-SUM(P$69:P78))),0)</x:f>
        <x:v>0</x:v>
      </x:c>
      <x:c r="Q79" s="104" t="n">
        <x:f>K79-M79+P79</x:f>
        <x:v>760.431497297302</x:v>
      </x:c>
      <x:c r="R79" s="104" t="n">
        <x:f>Q79-L79</x:f>
        <x:v>385.43149729730203</x:v>
      </x:c>
      <x:c r="S79" s="104" t="n">
        <x:f>MAX(0,-R79)</x:f>
        <x:v>0</x:v>
      </x:c>
      <x:c r="T79" s="104" t="n">
        <x:f>SUM(P$70:P79)</x:f>
        <x:v>496.85275405404695</x:v>
      </x:c>
      <x:c r="U79" s="104" t="n">
        <x:f>IF(A79&gt;=4,$D$65,0)</x:f>
        <x:v>295</x:v>
      </x:c>
      <x:c r="V79" s="104" t="n">
        <x:f>N79-L79</x:f>
        <x:v>-111.42125675674504</x:v>
      </x:c>
    </x:row>
    <x:row r="80" ht="19" customHeight="1">
      <x:c r="A80" s="105" t="n">
        <x:v>11</x:v>
      </x:c>
      <x:c r="B80" s="104" t="n">
        <x:f>IF(AND(A80&gt;=4,A80&lt;=6),$E$39*$E$40*CHOOSE(A80-3,0.4,0.35,0.25),0)</x:f>
        <x:v>0</x:v>
      </x:c>
      <x:c r="C80" s="104" t="n">
        <x:f>IF(AND(A80&gt;=4,A80&lt;=6),$E$41/3,0)</x:f>
        <x:v>0</x:v>
      </x:c>
      <x:c r="D80" s="104" t="n">
        <x:f>IF(AND(A80&gt;=4,A80&lt;=6),$E$43*CHOOSE(A80-3,0.5,0.35,0.15),0)</x:f>
        <x:v>0</x:v>
      </x:c>
      <x:c r="E80" s="104" t="n">
        <x:f>Japan!$X$86*(jp_coupon+jp_foreign_repay)/12+IF(A80=12,$J$89,0)</x:f>
        <x:v>3.642125675674516</x:v>
      </x:c>
      <x:c r="F80" s="104" t="n">
        <x:f>IF(AND(A80&gt;=4,A80&lt;=6),$E$42/3,IF(A80&gt;=7,$E$52,0))</x:f>
        <x:v>100</x:v>
      </x:c>
      <x:c r="G80" s="104" t="n">
        <x:f>SUM(B80:E80)-F80</x:f>
        <x:v>-96.35787432432548</x:v>
      </x:c>
      <x:c r="H80" s="104" t="n">
        <x:f>J79</x:f>
        <x:v>0</x:v>
      </x:c>
      <x:c r="I80" s="104" t="n">
        <x:f>MIN(H80,MAX(0,G80))</x:f>
        <x:v>0</x:v>
      </x:c>
      <x:c r="J80" s="104" t="n">
        <x:f>H80-I80</x:f>
        <x:v>0</x:v>
      </x:c>
      <x:c r="K80" s="104" t="n">
        <x:f>Q79</x:f>
        <x:v>760.431497297302</x:v>
      </x:c>
      <x:c r="L80" s="104" t="n">
        <x:f>$E$41/3*$E$37</x:f>
        <x:v>375</x:v>
      </x:c>
      <x:c r="M80" s="104" t="n">
        <x:f>G80-I80</x:f>
        <x:v>-96.35787432432548</x:v>
      </x:c>
      <x:c r="N80" s="104" t="n">
        <x:f>N79-M80</x:f>
        <x:v>359.93661756758047</x:v>
      </x:c>
      <x:c r="O80" s="104" t="n">
        <x:f>MAX(0,L80-K80+M80)</x:f>
        <x:v>0</x:v>
      </x:c>
      <x:c r="P80" s="104" t="n">
        <x:f>IF(AND(A80&gt;=4,A80&lt;=6),MIN(O80,MAX(0,$D$21-SUM(P$69:P79))),0)</x:f>
        <x:v>0</x:v>
      </x:c>
      <x:c r="Q80" s="104" t="n">
        <x:f>K80-M80+P80</x:f>
        <x:v>856.7893716216275</x:v>
      </x:c>
      <x:c r="R80" s="104" t="n">
        <x:f>Q80-L80</x:f>
        <x:v>481.78937162162754</x:v>
      </x:c>
      <x:c r="S80" s="104" t="n">
        <x:f>MAX(0,-R80)</x:f>
        <x:v>0</x:v>
      </x:c>
      <x:c r="T80" s="104" t="n">
        <x:f>SUM(P$70:P80)</x:f>
        <x:v>496.85275405404695</x:v>
      </x:c>
      <x:c r="U80" s="104" t="n">
        <x:f>IF(A80&gt;=4,$D$65,0)</x:f>
        <x:v>295</x:v>
      </x:c>
      <x:c r="V80" s="104" t="n">
        <x:f>N80-L80</x:f>
        <x:v>-15.06338243241953</x:v>
      </x:c>
    </x:row>
    <x:row r="81" ht="19" customHeight="1">
      <x:c r="A81" s="105" t="n">
        <x:v>12</x:v>
      </x:c>
      <x:c r="B81" s="104" t="n">
        <x:f>IF(AND(A81&gt;=4,A81&lt;=6),$E$39*$E$40*CHOOSE(A81-3,0.4,0.35,0.25),0)</x:f>
        <x:v>0</x:v>
      </x:c>
      <x:c r="C81" s="104" t="n">
        <x:f>IF(AND(A81&gt;=4,A81&lt;=6),$E$41/3,0)</x:f>
        <x:v>0</x:v>
      </x:c>
      <x:c r="D81" s="104" t="n">
        <x:f>IF(AND(A81&gt;=4,A81&lt;=6),$E$43*CHOOSE(A81-3,0.5,0.35,0.15),0)</x:f>
        <x:v>0</x:v>
      </x:c>
      <x:c r="E81" s="104" t="n">
        <x:f>Japan!$X$86*(jp_coupon+jp_foreign_repay)/12+IF(A81=12,$J$89,0)</x:f>
        <x:v>19.58281820157519</x:v>
      </x:c>
      <x:c r="F81" s="104" t="n">
        <x:f>IF(AND(A81&gt;=4,A81&lt;=6),$E$42/3,IF(A81&gt;=7,$E$52,0))</x:f>
        <x:v>100</x:v>
      </x:c>
      <x:c r="G81" s="104" t="n">
        <x:f>SUM(B81:E81)-F81</x:f>
        <x:v>-80.4171817984248</x:v>
      </x:c>
      <x:c r="H81" s="104" t="n">
        <x:f>J80</x:f>
        <x:v>0</x:v>
      </x:c>
      <x:c r="I81" s="104" t="n">
        <x:f>MIN(H81,MAX(0,G81))</x:f>
        <x:v>0</x:v>
      </x:c>
      <x:c r="J81" s="104" t="n">
        <x:f>H81-I81</x:f>
        <x:v>0</x:v>
      </x:c>
      <x:c r="K81" s="104" t="n">
        <x:f>Q80</x:f>
        <x:v>856.7893716216275</x:v>
      </x:c>
      <x:c r="L81" s="104" t="n">
        <x:f>$E$41/3*$E$37</x:f>
        <x:v>375</x:v>
      </x:c>
      <x:c r="M81" s="104" t="n">
        <x:f>G81-I81</x:f>
        <x:v>-80.4171817984248</x:v>
      </x:c>
      <x:c r="N81" s="104" t="n">
        <x:f>N80-M81</x:f>
        <x:v>440.35379936600526</x:v>
      </x:c>
      <x:c r="O81" s="104" t="n">
        <x:f>MAX(0,L81-K81+M81)</x:f>
        <x:v>0</x:v>
      </x:c>
      <x:c r="P81" s="104" t="n">
        <x:f>IF(AND(A81&gt;=4,A81&lt;=6),MIN(O81,MAX(0,$D$21-SUM(P$69:P80))),0)</x:f>
        <x:v>0</x:v>
      </x:c>
      <x:c r="Q81" s="104" t="n">
        <x:f>K81-M81+P81</x:f>
        <x:v>937.2065534200524</x:v>
      </x:c>
      <x:c r="R81" s="104" t="n">
        <x:f>Q81-L81</x:f>
        <x:v>562.2065534200524</x:v>
      </x:c>
      <x:c r="S81" s="104" t="n">
        <x:f>MAX(0,-R81)</x:f>
        <x:v>0</x:v>
      </x:c>
      <x:c r="T81" s="104" t="n">
        <x:f>SUM(P$70:P81)</x:f>
        <x:v>496.85275405404695</x:v>
      </x:c>
      <x:c r="U81" s="104" t="n">
        <x:f>IF(A81&gt;=4,$D$65,0)</x:f>
        <x:v>295</x:v>
      </x:c>
      <x:c r="V81" s="104" t="n">
        <x:f>N81-L81</x:f>
        <x:v>65.35379936600526</x:v>
      </x:c>
    </x:row>
    <x:row r="82" ht="19" customHeight="1">
      <x:c r="A82" s="82"/>
      <x:c r="B82" s="82"/>
      <x:c r="C82" s="82"/>
      <x:c r="D82" s="86"/>
      <x:c r="E82" s="82"/>
      <x:c r="F82" s="82"/>
      <x:c r="G82" s="82"/>
      <x:c r="H82" s="82"/>
      <x:c r="I82" s="82"/>
      <x:c r="J82" s="82"/>
      <x:c r="K82" s="82"/>
      <x:c r="L82" s="82"/>
      <x:c r="M82" s="82"/>
      <x:c r="N82" s="82"/>
      <x:c r="O82" s="82"/>
      <x:c r="P82" s="82"/>
      <x:c r="Q82" s="82"/>
      <x:c r="R82" s="82"/>
      <x:c r="S82" s="82"/>
      <x:c r="T82" s="82"/>
      <x:c r="U82" s="82"/>
      <x:c r="V82" s="82"/>
    </x:row>
    <x:row r="83" ht="19" customHeight="1">
      <x:c r="A83" s="82"/>
      <x:c r="B83" s="82"/>
      <x:c r="C83" s="82"/>
      <x:c r="D83" s="86"/>
      <x:c r="E83" s="82"/>
      <x:c r="F83" s="82"/>
      <x:c r="G83" s="82"/>
      <x:c r="H83" s="82"/>
      <x:c r="I83" s="82"/>
      <x:c r="J83" s="82"/>
      <x:c r="K83" s="82"/>
      <x:c r="L83" s="82"/>
      <x:c r="M83" s="82"/>
      <x:c r="N83" s="82"/>
      <x:c r="O83" s="82"/>
      <x:c r="P83" s="82"/>
      <x:c r="Q83" s="82"/>
      <x:c r="R83" s="82"/>
      <x:c r="S83" s="82"/>
      <x:c r="T83" s="82"/>
      <x:c r="U83" s="82"/>
      <x:c r="V83" s="82"/>
    </x:row>
    <x:row r="84" ht="19" customHeight="1">
      <x:c r="A84" s="82" t="str">
        <x:v>1927 settlement: yen printing cannot create dollars. Cash in Japan is not added again to official FX.</x:v>
      </x:c>
      <x:c r="B84" s="82"/>
      <x:c r="C84" s="82"/>
      <x:c r="D84" s="86"/>
      <x:c r="E84" s="82"/>
      <x:c r="F84" s="82"/>
      <x:c r="G84" s="82"/>
      <x:c r="H84" s="82"/>
      <x:c r="I84" s="82"/>
      <x:c r="J84" s="82"/>
      <x:c r="K84" s="82"/>
      <x:c r="L84" s="82"/>
      <x:c r="M84" s="82"/>
      <x:c r="N84" s="82"/>
      <x:c r="O84" s="82"/>
      <x:c r="P84" s="82"/>
      <x:c r="Q84" s="82"/>
      <x:c r="R84" s="82"/>
      <x:c r="S84" s="82"/>
      <x:c r="T84" s="82"/>
      <x:c r="U84" s="82"/>
      <x:c r="V84" s="82"/>
    </x:row>
    <x:row r="85" ht="19" customHeight="1">
      <x:c r="A85" s="82" t="str">
        <x:v>The zero-buffer counterfactual spends all liquid official/private FX. Negative balances expose unpaid payments.</x:v>
      </x:c>
      <x:c r="B85" s="82"/>
      <x:c r="C85" s="82"/>
      <x:c r="D85" s="86"/>
      <x:c r="E85" s="82"/>
      <x:c r="F85" s="82"/>
      <x:c r="G85" s="82"/>
      <x:c r="H85" s="82"/>
      <x:c r="I85" s="82"/>
      <x:c r="J85" s="82"/>
      <x:c r="K85" s="82"/>
      <x:c r="L85" s="82"/>
      <x:c r="M85" s="82"/>
      <x:c r="N85" s="82"/>
      <x:c r="O85" s="82"/>
      <x:c r="P85" s="82"/>
      <x:c r="Q85" s="82"/>
      <x:c r="R85" s="82"/>
      <x:c r="S85" s="82"/>
      <x:c r="T85" s="82"/>
      <x:c r="U85" s="82"/>
      <x:c r="V85" s="82"/>
    </x:row>
    <x:row r="86" ht="19" customHeight="1">
      <x:c r="A86" s="82" t="str">
        <x:v>Months 4-6 = April-June. Credit is committed before the moratorium lifts in May; ordinary FX rebuilding follows.</x:v>
      </x:c>
      <x:c r="B86" s="82"/>
      <x:c r="C86" s="82"/>
      <x:c r="D86" s="86"/>
      <x:c r="E86" s="82"/>
      <x:c r="F86" s="82"/>
      <x:c r="G86" s="82"/>
      <x:c r="H86" s="82"/>
      <x:c r="I86" s="82"/>
      <x:c r="J86" s="82"/>
      <x:c r="K86" s="82"/>
      <x:c r="L86" s="82"/>
      <x:c r="M86" s="82"/>
      <x:c r="N86" s="82"/>
      <x:c r="O86" s="82"/>
      <x:c r="P86" s="82"/>
      <x:c r="Q86" s="82"/>
      <x:c r="R86" s="82"/>
      <x:c r="S86" s="82"/>
      <x:c r="T86" s="82"/>
      <x:c r="U86" s="82"/>
      <x:c r="V86" s="82"/>
    </x:row>
    <x:row r="87" ht="19" customHeight="1">
      <x:c r="A87" s="82"/>
      <x:c r="B87" s="82"/>
      <x:c r="C87" s="82"/>
      <x:c r="D87" s="86"/>
      <x:c r="E87" s="82"/>
      <x:c r="F87" s="82"/>
      <x:c r="G87" s="82"/>
      <x:c r="H87" s="82"/>
      <x:c r="I87" s="82"/>
      <x:c r="J87" s="82"/>
      <x:c r="K87" s="82"/>
      <x:c r="L87" s="82"/>
      <x:c r="M87" s="82"/>
      <x:c r="N87" s="82"/>
      <x:c r="O87" s="82"/>
      <x:c r="P87" s="82"/>
      <x:c r="Q87" s="82"/>
      <x:c r="R87" s="82"/>
      <x:c r="S87" s="82"/>
      <x:c r="T87" s="82"/>
      <x:c r="U87" s="82"/>
      <x:c r="V87" s="82"/>
    </x:row>
    <x:row r="88" ht="48" customHeight="1">
      <x:c r="A88" s="97" t="str">
        <x:v>Year</x:v>
      </x:c>
      <x:c r="B88" s="97" t="str">
        <x:v>Opening principal</x:v>
      </x:c>
      <x:c r="C88" s="97" t="str">
        <x:v>Total drawing</x:v>
      </x:c>
      <x:c r="D88" s="100" t="str">
        <x:v>Public drawing</x:v>
      </x:c>
      <x:c r="E88" s="97" t="str">
        <x:v>Private drawing</x:v>
      </x:c>
      <x:c r="F88" s="97" t="str">
        <x:v>Principal paid</x:v>
      </x:c>
      <x:c r="G88" s="97" t="str">
        <x:v>Public principal</x:v>
      </x:c>
      <x:c r="H88" s="97" t="str">
        <x:v>Closing principal</x:v>
      </x:c>
      <x:c r="I88" s="97" t="str">
        <x:v>Public closing</x:v>
      </x:c>
      <x:c r="J88" s="97" t="str">
        <x:v>Coupon paid</x:v>
      </x:c>
      <x:c r="K88" s="97" t="str">
        <x:v>Public coupon</x:v>
      </x:c>
      <x:c r="L88" s="97" t="str">
        <x:v>Private coupon</x:v>
      </x:c>
      <x:c r="M88" s="97" t="str">
        <x:v>Private closing</x:v>
      </x:c>
      <x:c r="N88" s="97" t="str">
        <x:v>Private principal</x:v>
      </x:c>
      <x:c r="O88" s="97" t="str">
        <x:v>Funding difference</x:v>
      </x:c>
      <x:c r="P88" s="97" t="str">
        <x:v>Claims difference</x:v>
      </x:c>
      <x:c r="Q88" s="97" t="str">
        <x:v>Coupon difference</x:v>
      </x:c>
      <x:c r="R88" s="82"/>
      <x:c r="S88" s="82"/>
      <x:c r="T88" s="82"/>
      <x:c r="U88" s="82"/>
      <x:c r="V88" s="82"/>
    </x:row>
    <x:row r="89" ht="19" customHeight="1">
      <x:c r="A89" s="106" t="n">
        <x:v>1927</x:v>
      </x:c>
      <x:c r="B89" s="86" t="n">
        <x:f>0</x:f>
        <x:v>0</x:v>
      </x:c>
      <x:c r="C89" s="86" t="n">
        <x:f>SUM(P70:P81)</x:f>
        <x:v>496.85275405404695</x:v>
      </x:c>
      <x:c r="D89" s="86" t="n">
        <x:f>C89*$E$47</x:f>
        <x:v>165.6175846846823</x:v>
      </x:c>
      <x:c r="E89" s="86" t="n">
        <x:f>C89-D89</x:f>
        <x:v>331.23516936936466</x:v>
      </x:c>
      <x:c r="F89" s="86" t="n">
        <x:f>IF(AND(A89&gt;=$E$50,A89&lt;$E$50+$E$51),$C$89/$E$51,0)</x:f>
        <x:v>0</x:v>
      </x:c>
      <x:c r="G89" s="86" t="n">
        <x:f>F89*$E$47</x:f>
        <x:v>0</x:v>
      </x:c>
      <x:c r="H89" s="86" t="n">
        <x:f>B89+C89-F89</x:f>
        <x:v>496.85275405404695</x:v>
      </x:c>
      <x:c r="I89" s="86" t="n">
        <x:f>H89*$E$47</x:f>
        <x:v>165.6175846846823</x:v>
      </x:c>
      <x:c r="J89" s="86" t="n">
        <x:f>$E$49*(P73*9/12+P74*8/12+P75*7/12)</x:f>
        <x:v>15.940692525900673</x:v>
      </x:c>
      <x:c r="K89" s="86" t="n">
        <x:f>J89*$E$47</x:f>
        <x:v>5.313564175300224</x:v>
      </x:c>
      <x:c r="L89" s="86" t="n">
        <x:f>J89-K89</x:f>
        <x:v>10.627128350600449</x:v>
      </x:c>
      <x:c r="M89" s="86" t="n">
        <x:f>H89-I89</x:f>
        <x:v>331.23516936936466</x:v>
      </x:c>
      <x:c r="N89" s="86" t="n">
        <x:f>F89-G89</x:f>
        <x:v>0</x:v>
      </x:c>
      <x:c r="O89" s="86" t="n">
        <x:f>C89-D89-E89</x:f>
        <x:v>0</x:v>
      </x:c>
      <x:c r="P89" s="86" t="n">
        <x:f>H89-I89-M89</x:f>
        <x:v>0</x:v>
      </x:c>
      <x:c r="Q89" s="86" t="n">
        <x:f>J89-K89-L89</x:f>
        <x:v>0</x:v>
      </x:c>
      <x:c r="R89" s="82"/>
      <x:c r="S89" s="82"/>
      <x:c r="T89" s="82"/>
      <x:c r="U89" s="82"/>
      <x:c r="V89" s="82"/>
    </x:row>
    <x:row r="90" ht="19" customHeight="1">
      <x:c r="A90" s="106" t="n">
        <x:v>1928</x:v>
      </x:c>
      <x:c r="B90" s="86" t="n">
        <x:f>H89</x:f>
        <x:v>496.85275405404695</x:v>
      </x:c>
      <x:c r="C90" s="86" t="n">
        <x:f>0</x:f>
        <x:v>0</x:v>
      </x:c>
      <x:c r="D90" s="86" t="n">
        <x:f>C90*$E$47</x:f>
        <x:v>0</x:v>
      </x:c>
      <x:c r="E90" s="86" t="n">
        <x:f>C90-D90</x:f>
        <x:v>0</x:v>
      </x:c>
      <x:c r="F90" s="86" t="n">
        <x:f>IF(AND(A90&gt;=$E$50,A90&lt;$E$50+$E$51),$C$89/$E$51,0)</x:f>
        <x:v>0</x:v>
      </x:c>
      <x:c r="G90" s="86" t="n">
        <x:f>F90*$E$47</x:f>
        <x:v>0</x:v>
      </x:c>
      <x:c r="H90" s="86" t="n">
        <x:f>B90+C90-F90</x:f>
        <x:v>496.85275405404695</x:v>
      </x:c>
      <x:c r="I90" s="86" t="n">
        <x:f>H90*$E$47</x:f>
        <x:v>165.6175846846823</x:v>
      </x:c>
      <x:c r="J90" s="86" t="n">
        <x:f>B90*$E$49</x:f>
        <x:v>27.326901472972583</x:v>
      </x:c>
      <x:c r="K90" s="86" t="n">
        <x:f>J90*$E$47</x:f>
        <x:v>9.108967157657528</x:v>
      </x:c>
      <x:c r="L90" s="86" t="n">
        <x:f>J90-K90</x:f>
        <x:v>18.217934315315055</x:v>
      </x:c>
      <x:c r="M90" s="86" t="n">
        <x:f>H90-I90</x:f>
        <x:v>331.23516936936466</x:v>
      </x:c>
      <x:c r="N90" s="86" t="n">
        <x:f>F90-G90</x:f>
        <x:v>0</x:v>
      </x:c>
      <x:c r="O90" s="86" t="n">
        <x:f>C90-D90-E90</x:f>
        <x:v>0</x:v>
      </x:c>
      <x:c r="P90" s="86" t="n">
        <x:f>H90-I90-M90</x:f>
        <x:v>0</x:v>
      </x:c>
      <x:c r="Q90" s="86" t="n">
        <x:f>J90-K90-L90</x:f>
        <x:v>0</x:v>
      </x:c>
      <x:c r="R90" s="82"/>
      <x:c r="S90" s="82"/>
      <x:c r="T90" s="82"/>
      <x:c r="U90" s="82"/>
      <x:c r="V90" s="82"/>
    </x:row>
    <x:row r="91" ht="19" customHeight="1">
      <x:c r="A91" s="106" t="n">
        <x:v>1929</x:v>
      </x:c>
      <x:c r="B91" s="86" t="n">
        <x:f>H90</x:f>
        <x:v>496.85275405404695</x:v>
      </x:c>
      <x:c r="C91" s="86" t="n">
        <x:f>0</x:f>
        <x:v>0</x:v>
      </x:c>
      <x:c r="D91" s="86" t="n">
        <x:f>C91*$E$47</x:f>
        <x:v>0</x:v>
      </x:c>
      <x:c r="E91" s="86" t="n">
        <x:f>C91-D91</x:f>
        <x:v>0</x:v>
      </x:c>
      <x:c r="F91" s="86" t="n">
        <x:f>IF(AND(A91&gt;=$E$50,A91&lt;$E$50+$E$51),$C$89/$E$51,0)</x:f>
        <x:v>99.37055081080939</x:v>
      </x:c>
      <x:c r="G91" s="86" t="n">
        <x:f>F91*$E$47</x:f>
        <x:v>33.12351693693646</x:v>
      </x:c>
      <x:c r="H91" s="86" t="n">
        <x:f>B91+C91-F91</x:f>
        <x:v>397.48220324323756</x:v>
      </x:c>
      <x:c r="I91" s="86" t="n">
        <x:f>H91*$E$47</x:f>
        <x:v>132.49406774774585</x:v>
      </x:c>
      <x:c r="J91" s="86" t="n">
        <x:f>B91*$E$49</x:f>
        <x:v>27.326901472972583</x:v>
      </x:c>
      <x:c r="K91" s="86" t="n">
        <x:f>J91*$E$47</x:f>
        <x:v>9.108967157657528</x:v>
      </x:c>
      <x:c r="L91" s="86" t="n">
        <x:f>J91-K91</x:f>
        <x:v>18.217934315315055</x:v>
      </x:c>
      <x:c r="M91" s="86" t="n">
        <x:f>H91-I91</x:f>
        <x:v>264.98813549549175</x:v>
      </x:c>
      <x:c r="N91" s="86" t="n">
        <x:f>F91-G91</x:f>
        <x:v>66.24703387387294</x:v>
      </x:c>
      <x:c r="O91" s="86" t="n">
        <x:f>C91-D91-E91</x:f>
        <x:v>0</x:v>
      </x:c>
      <x:c r="P91" s="86" t="n">
        <x:f>H91-I91-M91</x:f>
        <x:v>0</x:v>
      </x:c>
      <x:c r="Q91" s="86" t="n">
        <x:f>J91-K91-L91</x:f>
        <x:v>0</x:v>
      </x:c>
      <x:c r="R91" s="82"/>
      <x:c r="S91" s="82"/>
      <x:c r="T91" s="82"/>
      <x:c r="U91" s="82"/>
      <x:c r="V91" s="82"/>
    </x:row>
    <x:row r="92" ht="19" customHeight="1">
      <x:c r="A92" s="106" t="n">
        <x:v>1930</x:v>
      </x:c>
      <x:c r="B92" s="86" t="n">
        <x:f>H91</x:f>
        <x:v>397.48220324323756</x:v>
      </x:c>
      <x:c r="C92" s="86" t="n">
        <x:f>0</x:f>
        <x:v>0</x:v>
      </x:c>
      <x:c r="D92" s="86" t="n">
        <x:f>C92*$E$47</x:f>
        <x:v>0</x:v>
      </x:c>
      <x:c r="E92" s="86" t="n">
        <x:f>C92-D92</x:f>
        <x:v>0</x:v>
      </x:c>
      <x:c r="F92" s="86" t="n">
        <x:f>IF(AND(A92&gt;=$E$50,A92&lt;$E$50+$E$51),$C$89/$E$51,0)</x:f>
        <x:v>99.37055081080939</x:v>
      </x:c>
      <x:c r="G92" s="86" t="n">
        <x:f>F92*$E$47</x:f>
        <x:v>33.12351693693646</x:v>
      </x:c>
      <x:c r="H92" s="86" t="n">
        <x:f>B92+C92-F92</x:f>
        <x:v>298.1116524324282</x:v>
      </x:c>
      <x:c r="I92" s="86" t="n">
        <x:f>H92*$E$47</x:f>
        <x:v>99.37055081080939</x:v>
      </x:c>
      <x:c r="J92" s="86" t="n">
        <x:f>B92*$E$49</x:f>
        <x:v>21.861521178378066</x:v>
      </x:c>
      <x:c r="K92" s="86" t="n">
        <x:f>J92*$E$47</x:f>
        <x:v>7.287173726126022</x:v>
      </x:c>
      <x:c r="L92" s="86" t="n">
        <x:f>J92-K92</x:f>
        <x:v>14.574347452252045</x:v>
      </x:c>
      <x:c r="M92" s="86" t="n">
        <x:f>H92-I92</x:f>
        <x:v>198.74110162161878</x:v>
      </x:c>
      <x:c r="N92" s="86" t="n">
        <x:f>F92-G92</x:f>
        <x:v>66.24703387387294</x:v>
      </x:c>
      <x:c r="O92" s="86" t="n">
        <x:f>C92-D92-E92</x:f>
        <x:v>0</x:v>
      </x:c>
      <x:c r="P92" s="86" t="n">
        <x:f>H92-I92-M92</x:f>
        <x:v>0</x:v>
      </x:c>
      <x:c r="Q92" s="86" t="n">
        <x:f>J92-K92-L92</x:f>
        <x:v>0</x:v>
      </x:c>
      <x:c r="R92" s="82"/>
      <x:c r="S92" s="82"/>
      <x:c r="T92" s="82"/>
      <x:c r="U92" s="82"/>
      <x:c r="V92" s="82"/>
    </x:row>
    <x:row r="93" ht="19" customHeight="1">
      <x:c r="A93" s="106" t="n">
        <x:v>1931</x:v>
      </x:c>
      <x:c r="B93" s="86" t="n">
        <x:f>H92</x:f>
        <x:v>298.1116524324282</x:v>
      </x:c>
      <x:c r="C93" s="86" t="n">
        <x:f>0</x:f>
        <x:v>0</x:v>
      </x:c>
      <x:c r="D93" s="86" t="n">
        <x:f>C93*$E$47</x:f>
        <x:v>0</x:v>
      </x:c>
      <x:c r="E93" s="86" t="n">
        <x:f>C93-D93</x:f>
        <x:v>0</x:v>
      </x:c>
      <x:c r="F93" s="86" t="n">
        <x:f>IF(AND(A93&gt;=$E$50,A93&lt;$E$50+$E$51),$C$89/$E$51,0)</x:f>
        <x:v>99.37055081080939</x:v>
      </x:c>
      <x:c r="G93" s="86" t="n">
        <x:f>F93*$E$47</x:f>
        <x:v>33.12351693693646</x:v>
      </x:c>
      <x:c r="H93" s="86" t="n">
        <x:f>B93+C93-F93</x:f>
        <x:v>198.74110162161878</x:v>
      </x:c>
      <x:c r="I93" s="86" t="n">
        <x:f>H93*$E$47</x:f>
        <x:v>66.24703387387292</x:v>
      </x:c>
      <x:c r="J93" s="86" t="n">
        <x:f>B93*$E$49</x:f>
        <x:v>16.39614088378355</x:v>
      </x:c>
      <x:c r="K93" s="86" t="n">
        <x:f>J93*$E$47</x:f>
        <x:v>5.465380294594516</x:v>
      </x:c>
      <x:c r="L93" s="86" t="n">
        <x:f>J93-K93</x:f>
        <x:v>10.930760589189033</x:v>
      </x:c>
      <x:c r="M93" s="86" t="n">
        <x:f>H93-I93</x:f>
        <x:v>132.49406774774587</x:v>
      </x:c>
      <x:c r="N93" s="86" t="n">
        <x:f>F93-G93</x:f>
        <x:v>66.24703387387294</x:v>
      </x:c>
      <x:c r="O93" s="86" t="n">
        <x:f>C93-D93-E93</x:f>
        <x:v>0</x:v>
      </x:c>
      <x:c r="P93" s="86" t="n">
        <x:f>H93-I93-M93</x:f>
        <x:v>0</x:v>
      </x:c>
      <x:c r="Q93" s="86" t="n">
        <x:f>J93-K93-L93</x:f>
        <x:v>0</x:v>
      </x:c>
      <x:c r="R93" s="82"/>
      <x:c r="S93" s="82"/>
      <x:c r="T93" s="82"/>
      <x:c r="U93" s="82"/>
      <x:c r="V93" s="82"/>
    </x:row>
    <x:row r="94" ht="19" customHeight="1">
      <x:c r="A94" s="106" t="n">
        <x:v>1932</x:v>
      </x:c>
      <x:c r="B94" s="86" t="n">
        <x:f>H93</x:f>
        <x:v>198.74110162161878</x:v>
      </x:c>
      <x:c r="C94" s="86" t="n">
        <x:f>0</x:f>
        <x:v>0</x:v>
      </x:c>
      <x:c r="D94" s="86" t="n">
        <x:f>C94*$E$47</x:f>
        <x:v>0</x:v>
      </x:c>
      <x:c r="E94" s="86" t="n">
        <x:f>C94-D94</x:f>
        <x:v>0</x:v>
      </x:c>
      <x:c r="F94" s="86" t="n">
        <x:f>IF(AND(A94&gt;=$E$50,A94&lt;$E$50+$E$51),$C$89/$E$51,0)</x:f>
        <x:v>99.37055081080939</x:v>
      </x:c>
      <x:c r="G94" s="86" t="n">
        <x:f>F94*$E$47</x:f>
        <x:v>33.12351693693646</x:v>
      </x:c>
      <x:c r="H94" s="86" t="n">
        <x:f>B94+C94-F94</x:f>
        <x:v>99.37055081080939</x:v>
      </x:c>
      <x:c r="I94" s="86" t="n">
        <x:f>H94*$E$47</x:f>
        <x:v>33.12351693693646</x:v>
      </x:c>
      <x:c r="J94" s="86" t="n">
        <x:f>B94*$E$49</x:f>
        <x:v>10.930760589189033</x:v>
      </x:c>
      <x:c r="K94" s="86" t="n">
        <x:f>J94*$E$47</x:f>
        <x:v>3.643586863063011</x:v>
      </x:c>
      <x:c r="L94" s="86" t="n">
        <x:f>J94-K94</x:f>
        <x:v>7.2871737261260225</x:v>
      </x:c>
      <x:c r="M94" s="86" t="n">
        <x:f>H94-I94</x:f>
        <x:v>66.24703387387294</x:v>
      </x:c>
      <x:c r="N94" s="86" t="n">
        <x:f>F94-G94</x:f>
        <x:v>66.24703387387294</x:v>
      </x:c>
      <x:c r="O94" s="86" t="n">
        <x:f>C94-D94-E94</x:f>
        <x:v>0</x:v>
      </x:c>
      <x:c r="P94" s="86" t="n">
        <x:f>H94-I94-M94</x:f>
        <x:v>0</x:v>
      </x:c>
      <x:c r="Q94" s="86" t="n">
        <x:f>J94-K94-L94</x:f>
        <x:v>0</x:v>
      </x:c>
      <x:c r="R94" s="82"/>
      <x:c r="S94" s="82"/>
      <x:c r="T94" s="82"/>
      <x:c r="U94" s="82"/>
      <x:c r="V94" s="82"/>
    </x:row>
    <x:row r="95" ht="19" customHeight="1">
      <x:c r="A95" s="106" t="n">
        <x:v>1933</x:v>
      </x:c>
      <x:c r="B95" s="86" t="n">
        <x:f>H94</x:f>
        <x:v>99.37055081080939</x:v>
      </x:c>
      <x:c r="C95" s="86" t="n">
        <x:f>0</x:f>
        <x:v>0</x:v>
      </x:c>
      <x:c r="D95" s="86" t="n">
        <x:f>C95*$E$47</x:f>
        <x:v>0</x:v>
      </x:c>
      <x:c r="E95" s="86" t="n">
        <x:f>C95-D95</x:f>
        <x:v>0</x:v>
      </x:c>
      <x:c r="F95" s="86" t="n">
        <x:f>IF(AND(A95&gt;=$E$50,A95&lt;$E$50+$E$51),$C$89/$E$51,0)</x:f>
        <x:v>99.37055081080939</x:v>
      </x:c>
      <x:c r="G95" s="86" t="n">
        <x:f>F95*$E$47</x:f>
        <x:v>33.12351693693646</x:v>
      </x:c>
      <x:c r="H95" s="86" t="n">
        <x:f>B95+C95-F95</x:f>
        <x:v>0</x:v>
      </x:c>
      <x:c r="I95" s="86" t="n">
        <x:f>H95*$E$47</x:f>
        <x:v>0</x:v>
      </x:c>
      <x:c r="J95" s="86" t="n">
        <x:f>B95*$E$49</x:f>
        <x:v>5.4653802945945165</x:v>
      </x:c>
      <x:c r="K95" s="86" t="n">
        <x:f>J95*$E$47</x:f>
        <x:v>1.8217934315315054</x:v>
      </x:c>
      <x:c r="L95" s="86" t="n">
        <x:f>J95-K95</x:f>
        <x:v>3.6435868630630113</x:v>
      </x:c>
      <x:c r="M95" s="86" t="n">
        <x:f>H95-I95</x:f>
        <x:v>0</x:v>
      </x:c>
      <x:c r="N95" s="86" t="n">
        <x:f>F95-G95</x:f>
        <x:v>66.24703387387294</x:v>
      </x:c>
      <x:c r="O95" s="86" t="n">
        <x:f>C95-D95-E95</x:f>
        <x:v>0</x:v>
      </x:c>
      <x:c r="P95" s="86" t="n">
        <x:f>H95-I95-M95</x:f>
        <x:v>0</x:v>
      </x:c>
      <x:c r="Q95" s="86" t="n">
        <x:f>J95-K95-L95</x:f>
        <x:v>0</x:v>
      </x:c>
      <x:c r="R95" s="82"/>
      <x:c r="S95" s="82"/>
      <x:c r="T95" s="82"/>
      <x:c r="U95" s="82"/>
      <x:c r="V95" s="82"/>
    </x:row>
    <x:row r="96" ht="19" customHeight="1">
      <x:c r="A96" s="82"/>
      <x:c r="B96" s="82"/>
      <x:c r="C96" s="82"/>
      <x:c r="D96" s="86"/>
      <x:c r="E96" s="82"/>
      <x:c r="F96" s="82"/>
      <x:c r="G96" s="82"/>
      <x:c r="H96" s="82"/>
      <x:c r="I96" s="82"/>
      <x:c r="J96" s="82"/>
      <x:c r="K96" s="82"/>
      <x:c r="L96" s="82"/>
      <x:c r="M96" s="82"/>
      <x:c r="N96" s="82"/>
      <x:c r="O96" s="82"/>
      <x:c r="P96" s="82"/>
      <x:c r="Q96" s="82"/>
      <x:c r="R96" s="82"/>
      <x:c r="S96" s="82"/>
      <x:c r="T96" s="82"/>
      <x:c r="U96" s="82"/>
      <x:c r="V96" s="82"/>
    </x:row>
    <x:row r="97" ht="19" customHeight="1">
      <x:c r="A97" s="82"/>
      <x:c r="B97" s="82"/>
      <x:c r="C97" s="82"/>
      <x:c r="D97" s="86"/>
      <x:c r="E97" s="82"/>
      <x:c r="F97" s="82"/>
      <x:c r="G97" s="82"/>
      <x:c r="H97" s="82"/>
      <x:c r="I97" s="82"/>
      <x:c r="J97" s="82"/>
      <x:c r="K97" s="82"/>
      <x:c r="L97" s="82"/>
      <x:c r="M97" s="82"/>
      <x:c r="N97" s="82"/>
      <x:c r="O97" s="82"/>
      <x:c r="P97" s="82"/>
      <x:c r="Q97" s="82"/>
      <x:c r="R97" s="82"/>
      <x:c r="S97" s="82"/>
      <x:c r="T97" s="82"/>
      <x:c r="U97" s="82"/>
      <x:c r="V97" s="82"/>
    </x:row>
    <x:row r="98" ht="19" customHeight="1">
      <x:c r="A98" s="82" t="str">
        <x:v>First-year coupons accrue by draw month. Principal runs to 1933; no 1932 write-off or repayment holiday is invented.</x:v>
      </x:c>
      <x:c r="B98" s="82"/>
      <x:c r="C98" s="82"/>
      <x:c r="D98" s="86"/>
      <x:c r="E98" s="82"/>
      <x:c r="F98" s="82"/>
      <x:c r="G98" s="82"/>
      <x:c r="H98" s="82"/>
      <x:c r="I98" s="82"/>
      <x:c r="J98" s="82"/>
      <x:c r="K98" s="82"/>
      <x:c r="L98" s="82"/>
      <x:c r="M98" s="82"/>
      <x:c r="N98" s="82"/>
      <x:c r="O98" s="82"/>
      <x:c r="P98" s="82"/>
      <x:c r="Q98" s="82"/>
      <x:c r="R98" s="82"/>
      <x:c r="S98" s="82"/>
      <x:c r="T98" s="82"/>
      <x:c r="U98" s="82"/>
      <x:c r="V98" s="82"/>
    </x:row>
    <x:row r="99" ht="19" customHeight="1">
      <x:c r="A99" s="82"/>
      <x:c r="B99" s="82"/>
      <x:c r="C99" s="82"/>
      <x:c r="D99" s="86"/>
      <x:c r="E99" s="82"/>
      <x:c r="F99" s="82"/>
      <x:c r="G99" s="82"/>
      <x:c r="H99" s="82"/>
      <x:c r="I99" s="82"/>
      <x:c r="J99" s="82"/>
      <x:c r="K99" s="82"/>
      <x:c r="L99" s="82"/>
      <x:c r="M99" s="82"/>
      <x:c r="N99" s="82"/>
      <x:c r="O99" s="82"/>
      <x:c r="P99" s="82"/>
      <x:c r="Q99" s="82"/>
      <x:c r="R99" s="82"/>
      <x:c r="S99" s="82"/>
      <x:c r="T99" s="82"/>
      <x:c r="U99" s="82"/>
      <x:c r="V99" s="82"/>
    </x:row>
    <x:row r="100" ht="19" customHeight="1">
      <x:c r="A100" s="102" t="str">
        <x:v>Bank balance sheet and repayment capacity</x:v>
      </x:c>
      <x:c r="B100" s="101"/>
      <x:c r="C100" s="101"/>
      <x:c r="D100" s="103"/>
      <x:c r="E100" s="101"/>
      <x:c r="F100" s="101"/>
      <x:c r="G100" s="101"/>
      <x:c r="H100" s="82"/>
      <x:c r="I100" s="82"/>
      <x:c r="J100" s="82"/>
      <x:c r="K100" s="82"/>
      <x:c r="L100" s="82"/>
      <x:c r="M100" s="82"/>
      <x:c r="N100" s="82"/>
      <x:c r="O100" s="82"/>
      <x:c r="P100" s="82"/>
      <x:c r="Q100" s="82"/>
      <x:c r="R100" s="82"/>
      <x:c r="S100" s="82"/>
      <x:c r="T100" s="82"/>
      <x:c r="U100" s="82"/>
      <x:c r="V100" s="82"/>
    </x:row>
    <x:row r="101" ht="19" customHeight="1">
      <x:c r="A101" s="82" t="str">
        <x:v>Opening assets</x:v>
      </x:c>
      <x:c r="B101" s="82"/>
      <x:c r="C101" s="82"/>
      <x:c r="D101" s="86" t="n">
        <x:f>E25+E30+E44</x:f>
        <x:v>6400</x:v>
      </x:c>
      <x:c r="E101" s="82"/>
      <x:c r="F101" s="82"/>
      <x:c r="G101" s="82"/>
      <x:c r="H101" s="82"/>
      <x:c r="I101" s="82"/>
      <x:c r="J101" s="82"/>
      <x:c r="K101" s="82"/>
      <x:c r="L101" s="82"/>
      <x:c r="M101" s="82"/>
      <x:c r="N101" s="82"/>
      <x:c r="O101" s="82"/>
      <x:c r="P101" s="82"/>
      <x:c r="Q101" s="82"/>
      <x:c r="R101" s="82"/>
      <x:c r="S101" s="82"/>
      <x:c r="T101" s="82"/>
      <x:c r="U101" s="82"/>
      <x:c r="V101" s="82"/>
    </x:row>
    <x:row r="102" ht="19" customHeight="1">
      <x:c r="A102" s="82" t="str">
        <x:v>Opening liabilities and old equity</x:v>
      </x:c>
      <x:c r="B102" s="82"/>
      <x:c r="C102" s="82"/>
      <x:c r="D102" s="86" t="n">
        <x:f>E31+E39+E38+E26</x:f>
        <x:v>6400</x:v>
      </x:c>
      <x:c r="E102" s="82"/>
      <x:c r="F102" s="82"/>
      <x:c r="G102" s="82"/>
      <x:c r="H102" s="82"/>
      <x:c r="I102" s="82"/>
      <x:c r="J102" s="82"/>
      <x:c r="K102" s="82"/>
      <x:c r="L102" s="82"/>
      <x:c r="M102" s="82"/>
      <x:c r="N102" s="82"/>
      <x:c r="O102" s="82"/>
      <x:c r="P102" s="82"/>
      <x:c r="Q102" s="82"/>
      <x:c r="R102" s="82"/>
      <x:c r="S102" s="82"/>
      <x:c r="T102" s="82"/>
      <x:c r="U102" s="82"/>
      <x:c r="V102" s="82"/>
    </x:row>
    <x:row r="103" ht="19" customHeight="1">
      <x:c r="A103" s="82" t="str">
        <x:v>Opening balance difference</x:v>
      </x:c>
      <x:c r="B103" s="82"/>
      <x:c r="C103" s="82"/>
      <x:c r="D103" s="86" t="n">
        <x:f>D101-D102</x:f>
        <x:v>0</x:v>
      </x:c>
      <x:c r="E103" s="82"/>
      <x:c r="F103" s="82"/>
      <x:c r="G103" s="82"/>
      <x:c r="H103" s="82"/>
      <x:c r="I103" s="82"/>
      <x:c r="J103" s="82"/>
      <x:c r="K103" s="82"/>
      <x:c r="L103" s="82"/>
      <x:c r="M103" s="82"/>
      <x:c r="N103" s="82"/>
      <x:c r="O103" s="82"/>
      <x:c r="P103" s="82"/>
      <x:c r="Q103" s="82"/>
      <x:c r="R103" s="82"/>
      <x:c r="S103" s="82"/>
      <x:c r="T103" s="82"/>
      <x:c r="U103" s="82"/>
      <x:c r="V103" s="82"/>
    </x:row>
    <x:row r="104" ht="19" customHeight="1">
      <x:c r="A104" s="82" t="str">
        <x:v>Bank equity after losses and recapitalization</x:v>
      </x:c>
      <x:c r="B104" s="82"/>
      <x:c r="C104" s="82"/>
      <x:c r="D104" s="86" t="n">
        <x:f>D55+D59</x:f>
        <x:v>400</x:v>
      </x:c>
      <x:c r="E104" s="82"/>
      <x:c r="F104" s="82"/>
      <x:c r="G104" s="82"/>
      <x:c r="H104" s="82"/>
      <x:c r="I104" s="82"/>
      <x:c r="J104" s="82"/>
      <x:c r="K104" s="82"/>
      <x:c r="L104" s="82"/>
      <x:c r="M104" s="82"/>
      <x:c r="N104" s="82"/>
      <x:c r="O104" s="82"/>
      <x:c r="P104" s="82"/>
      <x:c r="Q104" s="82"/>
      <x:c r="R104" s="82"/>
      <x:c r="S104" s="82"/>
      <x:c r="T104" s="82"/>
      <x:c r="U104" s="82"/>
      <x:c r="V104" s="82"/>
    </x:row>
    <x:row r="105" ht="19" customHeight="1">
      <x:c r="A105" s="82" t="str">
        <x:v>Capital / surviving loans</x:v>
      </x:c>
      <x:c r="B105" s="82"/>
      <x:c r="C105" s="82"/>
      <x:c r="D105" s="94" t="n">
        <x:f>D104/D56</x:f>
        <x:v>0.08</x:v>
      </x:c>
      <x:c r="E105" s="82"/>
      <x:c r="F105" s="82"/>
      <x:c r="G105" s="82"/>
      <x:c r="H105" s="82"/>
      <x:c r="I105" s="82"/>
      <x:c r="J105" s="82"/>
      <x:c r="K105" s="82"/>
      <x:c r="L105" s="82"/>
      <x:c r="M105" s="82"/>
      <x:c r="N105" s="82"/>
      <x:c r="O105" s="82"/>
      <x:c r="P105" s="82"/>
      <x:c r="Q105" s="82"/>
      <x:c r="R105" s="82"/>
      <x:c r="S105" s="82"/>
      <x:c r="T105" s="82"/>
      <x:c r="U105" s="82"/>
      <x:c r="V105" s="82"/>
    </x:row>
    <x:row r="106" ht="19" customHeight="1">
      <x:c r="A106" s="82" t="str">
        <x:v>Performing loans collected in 1928 (7%)</x:v>
      </x:c>
      <x:c r="B106" s="82"/>
      <x:c r="C106" s="82"/>
      <x:c r="D106" s="86" t="n">
        <x:f>D56*0.07</x:f>
        <x:v>350.00000000000006</x:v>
      </x:c>
      <x:c r="E106" s="82"/>
      <x:c r="F106" s="82"/>
      <x:c r="G106" s="82"/>
      <x:c r="H106" s="82"/>
      <x:c r="I106" s="82"/>
      <x:c r="J106" s="82"/>
      <x:c r="K106" s="82"/>
      <x:c r="L106" s="82"/>
      <x:c r="M106" s="82"/>
      <x:c r="N106" s="82"/>
      <x:c r="O106" s="82"/>
      <x:c r="P106" s="82"/>
      <x:c r="Q106" s="82"/>
      <x:c r="R106" s="82"/>
      <x:c r="S106" s="82"/>
      <x:c r="T106" s="82"/>
      <x:c r="U106" s="82"/>
      <x:c r="V106" s="82"/>
    </x:row>
    <x:row r="107" ht="19" customHeight="1">
      <x:c r="A107" s="82" t="str">
        <x:v>BOJ principal repaid in 1928</x:v>
      </x:c>
      <x:c r="B107" s="82"/>
      <x:c r="C107" s="82"/>
      <x:c r="D107" s="86" t="n">
        <x:f>MIN(D65,D106)</x:f>
        <x:v>295</x:v>
      </x:c>
      <x:c r="E107" s="82"/>
      <x:c r="F107" s="82"/>
      <x:c r="G107" s="82"/>
      <x:c r="H107" s="82"/>
      <x:c r="I107" s="82"/>
      <x:c r="J107" s="82"/>
      <x:c r="K107" s="82"/>
      <x:c r="L107" s="82"/>
      <x:c r="M107" s="82"/>
      <x:c r="N107" s="82"/>
      <x:c r="O107" s="82"/>
      <x:c r="P107" s="82"/>
      <x:c r="Q107" s="82"/>
      <x:c r="R107" s="82"/>
      <x:c r="S107" s="82"/>
      <x:c r="T107" s="82"/>
      <x:c r="U107" s="82"/>
      <x:c r="V107" s="82"/>
    </x:row>
    <x:row r="108" ht="19" customHeight="1">
      <x:c r="A108" s="82" t="str">
        <x:v>BOJ principal remaining after 1928</x:v>
      </x:c>
      <x:c r="B108" s="82"/>
      <x:c r="C108" s="82"/>
      <x:c r="D108" s="86" t="n">
        <x:f>D65-D107</x:f>
        <x:v>0</x:v>
      </x:c>
      <x:c r="E108" s="82"/>
      <x:c r="F108" s="82"/>
      <x:c r="G108" s="82"/>
      <x:c r="H108" s="82"/>
      <x:c r="I108" s="82"/>
      <x:c r="J108" s="82"/>
      <x:c r="K108" s="82"/>
      <x:c r="L108" s="82"/>
      <x:c r="M108" s="82"/>
      <x:c r="N108" s="82"/>
      <x:c r="O108" s="82"/>
      <x:c r="P108" s="82"/>
      <x:c r="Q108" s="82"/>
      <x:c r="R108" s="82"/>
      <x:c r="S108" s="82"/>
      <x:c r="T108" s="82"/>
      <x:c r="U108" s="82"/>
      <x:c r="V108" s="82"/>
    </x:row>
    <x:row r="109" ht="19" customHeight="1">
      <x:c r="A109" s="82" t="str">
        <x:v>Private subscription capacity in 1927</x:v>
      </x:c>
      <x:c r="B109" s="82"/>
      <x:c r="C109" s="82"/>
      <x:c r="D109" s="86" t="n">
        <x:f>MIN(E46*(1-E47),Abroad!C87*E48)</x:f>
        <x:v>400.00000000000006</x:v>
      </x:c>
      <x:c r="E109" s="82"/>
      <x:c r="F109" s="82"/>
      <x:c r="G109" s="82"/>
      <x:c r="H109" s="82"/>
      <x:c r="I109" s="82"/>
      <x:c r="J109" s="82"/>
      <x:c r="K109" s="82"/>
      <x:c r="L109" s="82"/>
      <x:c r="M109" s="82"/>
      <x:c r="N109" s="82"/>
      <x:c r="O109" s="82"/>
      <x:c r="P109" s="82"/>
      <x:c r="Q109" s="82"/>
      <x:c r="R109" s="82"/>
      <x:c r="S109" s="82"/>
      <x:c r="T109" s="82"/>
      <x:c r="U109" s="82"/>
      <x:c r="V109" s="82"/>
    </x:row>
    <x:row r="110" ht="19" customHeight="1">
      <x:c r="A110" s="82" t="str">
        <x:v>Public commitment backed by opening Reserve Fund</x:v>
      </x:c>
      <x:c r="B110" s="82"/>
      <x:c r="C110" s="82"/>
      <x:c r="D110" s="86" t="n">
        <x:f>MIN(E46*E47,'Debt &amp; cash'!S86)</x:f>
        <x:v>200</x:v>
      </x:c>
      <x:c r="E110" s="82"/>
      <x:c r="F110" s="82"/>
      <x:c r="G110" s="82"/>
      <x:c r="H110" s="82"/>
      <x:c r="I110" s="82"/>
      <x:c r="J110" s="82"/>
      <x:c r="K110" s="82"/>
      <x:c r="L110" s="82"/>
      <x:c r="M110" s="82"/>
      <x:c r="N110" s="82"/>
      <x:c r="O110" s="82"/>
      <x:c r="P110" s="82"/>
      <x:c r="Q110" s="82"/>
      <x:c r="R110" s="82"/>
      <x:c r="S110" s="82"/>
      <x:c r="T110" s="82"/>
      <x:c r="U110" s="82"/>
      <x:c r="V110" s="82"/>
    </x:row>
    <x:row r="111" ht="19" customHeight="1">
      <x:c r="A111" s="82" t="str">
        <x:v>Bank operating income before funding costs (5%)</x:v>
      </x:c>
      <x:c r="B111" s="82"/>
      <x:c r="C111" s="82"/>
      <x:c r="D111" s="86" t="n">
        <x:f>D56*0.05</x:f>
        <x:v>250</x:v>
      </x:c>
      <x:c r="E111" s="82"/>
      <x:c r="F111" s="82"/>
      <x:c r="G111" s="82"/>
      <x:c r="H111" s="82"/>
      <x:c r="I111" s="82"/>
      <x:c r="J111" s="82"/>
      <x:c r="K111" s="82"/>
      <x:c r="L111" s="82"/>
      <x:c r="M111" s="82"/>
      <x:c r="N111" s="82"/>
      <x:c r="O111" s="82"/>
      <x:c r="P111" s="82"/>
      <x:c r="Q111" s="82"/>
      <x:c r="R111" s="82"/>
      <x:c r="S111" s="82"/>
      <x:c r="T111" s="82"/>
      <x:c r="U111" s="82"/>
      <x:c r="V111" s="82"/>
    </x:row>
    <x:row r="112" ht="19" customHeight="1">
      <x:c r="A112" s="82" t="str">
        <x:v>Remaining deposit interest (2.5%)</x:v>
      </x:c>
      <x:c r="B112" s="82"/>
      <x:c r="C112" s="82"/>
      <x:c r="D112" s="86" t="n">
        <x:f>MAX(0,E31-D61)*0.025</x:f>
        <x:v>60.125</x:v>
      </x:c>
      <x:c r="E112" s="82"/>
      <x:c r="F112" s="82"/>
      <x:c r="G112" s="82"/>
      <x:c r="H112" s="82"/>
      <x:c r="I112" s="82"/>
      <x:c r="J112" s="82"/>
      <x:c r="K112" s="82"/>
      <x:c r="L112" s="82"/>
      <x:c r="M112" s="82"/>
      <x:c r="N112" s="82"/>
      <x:c r="O112" s="82"/>
      <x:c r="P112" s="82"/>
      <x:c r="Q112" s="82"/>
      <x:c r="R112" s="82"/>
      <x:c r="S112" s="82"/>
      <x:c r="T112" s="82"/>
      <x:c r="U112" s="82"/>
      <x:c r="V112" s="82"/>
    </x:row>
    <x:row r="113" ht="19" customHeight="1">
      <x:c r="A113" s="82" t="str">
        <x:v>Remaining old foreign funding coupon (5.5%)</x:v>
      </x:c>
      <x:c r="B113" s="82"/>
      <x:c r="C113" s="82"/>
      <x:c r="D113" s="86" t="n">
        <x:f>(E39-E39*E40)*0.055</x:f>
        <x:v>27.5</x:v>
      </x:c>
      <x:c r="E113" s="82"/>
      <x:c r="F113" s="82"/>
      <x:c r="G113" s="82"/>
      <x:c r="H113" s="82"/>
      <x:c r="I113" s="82"/>
      <x:c r="J113" s="82"/>
      <x:c r="K113" s="82"/>
      <x:c r="L113" s="82"/>
      <x:c r="M113" s="82"/>
      <x:c r="N113" s="82"/>
      <x:c r="O113" s="82"/>
      <x:c r="P113" s="82"/>
      <x:c r="Q113" s="82"/>
      <x:c r="R113" s="82"/>
      <x:c r="S113" s="82"/>
      <x:c r="T113" s="82"/>
      <x:c r="U113" s="82"/>
      <x:c r="V113" s="82"/>
    </x:row>
    <x:row r="114" ht="19" customHeight="1">
      <x:c r="A114" s="82" t="str">
        <x:v>Domestic facility coupon, 1927 (nine months)</x:v>
      </x:c>
      <x:c r="B114" s="82"/>
      <x:c r="C114" s="82"/>
      <x:c r="D114" s="86" t="n">
        <x:f>D65*0.055*9/12</x:f>
        <x:v>12.168750000000001</x:v>
      </x:c>
      <x:c r="E114" s="82"/>
      <x:c r="F114" s="82"/>
      <x:c r="G114" s="82"/>
      <x:c r="H114" s="82"/>
      <x:c r="I114" s="82"/>
      <x:c r="J114" s="82"/>
      <x:c r="K114" s="82"/>
      <x:c r="L114" s="82"/>
      <x:c r="M114" s="82"/>
      <x:c r="N114" s="82"/>
      <x:c r="O114" s="82"/>
      <x:c r="P114" s="82"/>
      <x:c r="Q114" s="82"/>
      <x:c r="R114" s="82"/>
      <x:c r="S114" s="82"/>
      <x:c r="T114" s="82"/>
      <x:c r="U114" s="82"/>
      <x:c r="V114" s="82"/>
    </x:row>
    <x:row r="115" ht="19" customHeight="1">
      <x:c r="A115" s="82" t="str">
        <x:v>Assumed bank operating expenses</x:v>
      </x:c>
      <x:c r="B115" s="82"/>
      <x:c r="C115" s="82"/>
      <x:c r="D115" s="86" t="n">
        <x:f>80</x:f>
        <x:v>80</x:v>
      </x:c>
      <x:c r="E115" s="82"/>
      <x:c r="F115" s="82"/>
      <x:c r="G115" s="82"/>
      <x:c r="H115" s="82"/>
      <x:c r="I115" s="82"/>
      <x:c r="J115" s="82"/>
      <x:c r="K115" s="82"/>
      <x:c r="L115" s="82"/>
      <x:c r="M115" s="82"/>
      <x:c r="N115" s="82"/>
      <x:c r="O115" s="82"/>
      <x:c r="P115" s="82"/>
      <x:c r="Q115" s="82"/>
      <x:c r="R115" s="82"/>
      <x:c r="S115" s="82"/>
      <x:c r="T115" s="82"/>
      <x:c r="U115" s="82"/>
      <x:c r="V115" s="82"/>
    </x:row>
    <x:row r="116" ht="19" customHeight="1">
      <x:c r="A116" s="82" t="str">
        <x:v>Income after funding and syndicate coupon</x:v>
      </x:c>
      <x:c r="B116" s="82"/>
      <x:c r="C116" s="82"/>
      <x:c r="D116" s="86" t="n">
        <x:f>D111-D112-D113-D114-D115-J89</x:f>
        <x:v>54.26555747409934</x:v>
      </x:c>
      <x:c r="E116" s="82"/>
      <x:c r="F116" s="82"/>
      <x:c r="G116" s="82"/>
      <x:c r="H116" s="82"/>
      <x:c r="I116" s="82"/>
      <x:c r="J116" s="82"/>
      <x:c r="K116" s="82"/>
      <x:c r="L116" s="82"/>
      <x:c r="M116" s="82"/>
      <x:c r="N116" s="82"/>
      <x:c r="O116" s="82"/>
      <x:c r="P116" s="82"/>
      <x:c r="Q116" s="82"/>
      <x:c r="R116" s="82"/>
      <x:c r="S116" s="82"/>
      <x:c r="T116" s="82"/>
      <x:c r="U116" s="82"/>
      <x:c r="V116" s="82"/>
    </x:row>
    <x:row r="117" ht="19" customHeight="1">
      <x:c r="A117" s="82"/>
      <x:c r="B117" s="82"/>
      <x:c r="C117" s="82"/>
      <x:c r="D117" s="82"/>
      <x:c r="E117" s="82"/>
      <x:c r="F117" s="82"/>
      <x:c r="G117" s="82"/>
      <x:c r="H117" s="82"/>
      <x:c r="I117" s="82"/>
      <x:c r="J117" s="82"/>
      <x:c r="K117" s="82"/>
      <x:c r="L117" s="82"/>
      <x:c r="M117" s="82"/>
      <x:c r="N117" s="82"/>
      <x:c r="O117" s="82"/>
      <x:c r="P117" s="82"/>
      <x:c r="Q117" s="82"/>
      <x:c r="R117" s="82"/>
      <x:c r="S117" s="82"/>
      <x:c r="T117" s="82"/>
      <x:c r="U117" s="82"/>
      <x:c r="V117" s="82"/>
    </x:row>
    <x:row r="118" ht="19" customHeight="1">
      <x:c r="A118" s="82" t="str">
        <x:v>Source: Bank of Japan, Shizume (2009), pp. 2-4: bad loans, moratorium, guaranteed lending and bank restructuring.</x:v>
      </x:c>
      <x:c r="B118" s="82"/>
      <x:c r="C118" s="82"/>
      <x:c r="D118" s="82"/>
      <x:c r="E118" s="82"/>
      <x:c r="F118" s="82"/>
      <x:c r="G118" s="82"/>
      <x:c r="H118" s="82"/>
      <x:c r="I118" s="82"/>
      <x:c r="J118" s="82"/>
      <x:c r="K118" s="82"/>
      <x:c r="L118" s="82"/>
      <x:c r="M118" s="82"/>
      <x:c r="N118" s="82"/>
      <x:c r="O118" s="82"/>
      <x:c r="P118" s="82"/>
      <x:c r="Q118" s="82"/>
      <x:c r="R118" s="82"/>
      <x:c r="S118" s="82"/>
      <x:c r="T118" s="82"/>
      <x:c r="U118" s="82"/>
      <x:c r="V118" s="82"/>
    </x:row>
    <x:row r="119" ht="19" customHeight="1">
      <x:c r="A119" s="82" t="str">
        <x:v>https://www.boj.or.jp/en/research/wps_rev/rev_2009/data/rev09e02.pdf</x:v>
      </x:c>
      <x:c r="B119" s="82"/>
      <x:c r="C119" s="82"/>
      <x:c r="D119" s="82"/>
      <x:c r="E119" s="82"/>
      <x:c r="F119" s="82"/>
      <x:c r="G119" s="82"/>
      <x:c r="H119" s="82"/>
      <x:c r="I119" s="82"/>
      <x:c r="J119" s="82"/>
      <x:c r="K119" s="82"/>
      <x:c r="L119" s="82"/>
      <x:c r="M119" s="82"/>
      <x:c r="N119" s="82"/>
      <x:c r="O119" s="82"/>
      <x:c r="P119" s="82"/>
      <x:c r="Q119" s="82"/>
      <x:c r="R119" s="82"/>
      <x:c r="S119" s="82"/>
      <x:c r="T119" s="82"/>
      <x:c r="U119" s="82"/>
      <x:c r="V119" s="82"/>
    </x:row>
    <x:row r="120" ht="19" customHeight="1">
      <x:c r="A120" s="82" t="str">
        <x:v>Reserve benchmark: historical 1928 specie/foreign reserves were 7.3% of GNP. All alternate quantities above are MODEL.</x:v>
      </x:c>
      <x:c r="B120" s="82"/>
      <x:c r="C120" s="82"/>
      <x:c r="D120" s="82"/>
      <x:c r="E120" s="82"/>
      <x:c r="F120" s="82"/>
      <x:c r="G120" s="82"/>
      <x:c r="H120" s="82"/>
      <x:c r="I120" s="82"/>
      <x:c r="J120" s="82"/>
      <x:c r="K120" s="82"/>
      <x:c r="L120" s="82"/>
      <x:c r="M120" s="82"/>
      <x:c r="N120" s="82"/>
      <x:c r="O120" s="82"/>
      <x:c r="P120" s="82"/>
      <x:c r="Q120" s="82"/>
      <x:c r="R120" s="82"/>
      <x:c r="S120" s="82"/>
      <x:c r="T120" s="82"/>
      <x:c r="U120" s="82"/>
      <x:c r="V120" s="82"/>
    </x:row>
    <x:row r="121" ht="19" customHeight="1">
      <x:c r="A121" s="82" t="str">
        <x:v>The 1.5-month import buffer is an operating target, not a claim that Japan historically had a 40% cover law in 1927.</x:v>
      </x:c>
      <x:c r="B121" s="82"/>
      <x:c r="C121" s="82"/>
      <x:c r="D121" s="82"/>
      <x:c r="E121" s="82"/>
      <x:c r="F121" s="82"/>
      <x:c r="G121" s="82"/>
      <x:c r="H121" s="82"/>
      <x:c r="I121" s="82"/>
      <x:c r="J121" s="82"/>
      <x:c r="K121" s="82"/>
      <x:c r="L121" s="82"/>
      <x:c r="M121" s="82"/>
      <x:c r="N121" s="82"/>
      <x:c r="O121" s="82"/>
      <x:c r="P121" s="82"/>
      <x:c r="Q121" s="82"/>
      <x:c r="R121" s="82"/>
      <x:c r="S121" s="82"/>
      <x:c r="T121" s="82"/>
      <x:c r="U121" s="82"/>
      <x:c r="V121" s="82"/>
    </x:row>
    <x:row r="122" ht="19" customHeight="1">
      <x:c r="A122" s="82" t="str">
        <x:v>Outside-perimeter liquid FX is included. Add any newly established accessible reserves to the input before judging the gap.</x:v>
      </x:c>
      <x:c r="B122" s="82"/>
      <x:c r="C122" s="82"/>
      <x:c r="D122" s="82"/>
      <x:c r="E122" s="82"/>
      <x:c r="F122" s="82"/>
      <x:c r="G122" s="82"/>
      <x:c r="H122" s="82"/>
      <x:c r="I122" s="82"/>
      <x:c r="J122" s="82"/>
      <x:c r="K122" s="82"/>
      <x:c r="L122" s="82"/>
      <x:c r="M122" s="82"/>
      <x:c r="N122" s="82"/>
      <x:c r="O122" s="82"/>
      <x:c r="P122" s="82"/>
      <x:c r="Q122" s="82"/>
      <x:c r="R122" s="82"/>
      <x:c r="S122" s="82"/>
      <x:c r="T122" s="82"/>
      <x:c r="U122" s="82"/>
      <x:c r="V122" s="82"/>
    </x:row>
    <x:row r="123" ht="19" customHeight="1">
      <x:c r="A123" s="82"/>
      <x:c r="B123" s="82"/>
      <x:c r="C123" s="82"/>
      <x:c r="D123" s="82"/>
      <x:c r="E123" s="82"/>
      <x:c r="F123" s="82"/>
      <x:c r="G123" s="82"/>
      <x:c r="H123" s="82"/>
      <x:c r="I123" s="82"/>
      <x:c r="J123" s="82"/>
      <x:c r="K123" s="82"/>
      <x:c r="L123" s="82"/>
      <x:c r="M123" s="82"/>
      <x:c r="N123" s="82"/>
      <x:c r="O123" s="82"/>
      <x:c r="P123" s="82"/>
      <x:c r="Q123" s="82"/>
      <x:c r="R123" s="82"/>
      <x:c r="S123" s="82"/>
      <x:c r="T123" s="82"/>
      <x:c r="U123" s="82"/>
      <x:c r="V123" s="82"/>
    </x:row>
    <x:row r="124" ht="19" customHeight="1">
      <x:c r="A124" s="102" t="str">
        <x:v>Pacifica settlement and funding</x:v>
      </x:c>
      <x:c r="B124" s="101"/>
      <x:c r="C124" s="101"/>
      <x:c r="D124" s="101"/>
      <x:c r="E124" s="101"/>
      <x:c r="F124" s="101"/>
      <x:c r="G124" s="101"/>
      <x:c r="H124" s="82"/>
      <x:c r="I124" s="82"/>
      <x:c r="J124" s="82"/>
      <x:c r="K124" s="82"/>
      <x:c r="L124" s="82"/>
      <x:c r="M124" s="82"/>
      <x:c r="N124" s="82"/>
      <x:c r="O124" s="82"/>
      <x:c r="P124" s="82"/>
      <x:c r="Q124" s="82"/>
      <x:c r="R124" s="82"/>
      <x:c r="S124" s="82"/>
      <x:c r="T124" s="82"/>
      <x:c r="U124" s="82"/>
      <x:c r="V124" s="82"/>
    </x:row>
    <x:row r="125" ht="35" customHeight="1">
      <x:c r="A125" s="82" t="str">
        <x:v>Share of drawings settled outside Pacifica in gold</x:v>
      </x:c>
      <x:c r="B125" s="82"/>
      <x:c r="C125" s="89" t="n">
        <x:v>0.5</x:v>
      </x:c>
      <x:c r="D125" s="89" t="n">
        <x:v>0.7</x:v>
      </x:c>
      <x:c r="E125" s="94" t="n">
        <x:f>IF(Levers!$E$4=1,C125,D125)</x:f>
        <x:v>0.5</x:v>
      </x:c>
      <x:c r="F125" s="82"/>
      <x:c r="G125" s="93" t="str">
        <x:v>MODEL bullion-call share. Remaining claims settle within SF or against existing correspondent FX; never assume a loan is all gold.</x:v>
      </x:c>
      <x:c r="H125" s="82"/>
      <x:c r="I125" s="82"/>
      <x:c r="J125" s="82"/>
      <x:c r="K125" s="82"/>
      <x:c r="L125" s="82"/>
      <x:c r="M125" s="82"/>
      <x:c r="N125" s="82"/>
      <x:c r="O125" s="82"/>
      <x:c r="P125" s="82"/>
      <x:c r="Q125" s="82"/>
      <x:c r="R125" s="82"/>
      <x:c r="S125" s="82"/>
      <x:c r="T125" s="82"/>
      <x:c r="U125" s="82"/>
      <x:c r="V125" s="82"/>
    </x:row>
    <x:row r="126" ht="19" customHeight="1">
      <x:c r="A126" s="82" t="str">
        <x:v>Actual 1927 bullion outflow</x:v>
      </x:c>
      <x:c r="B126" s="82"/>
      <x:c r="C126" s="82"/>
      <x:c r="D126" s="86" t="n">
        <x:f>C89*E125</x:f>
        <x:v>248.42637702702348</x:v>
      </x:c>
      <x:c r="E126" s="82"/>
      <x:c r="F126" s="82"/>
      <x:c r="G126" s="82"/>
      <x:c r="H126" s="82"/>
      <x:c r="I126" s="82"/>
      <x:c r="J126" s="82"/>
      <x:c r="K126" s="82"/>
      <x:c r="L126" s="82"/>
      <x:c r="M126" s="82"/>
      <x:c r="N126" s="82"/>
      <x:c r="O126" s="82"/>
      <x:c r="P126" s="82"/>
      <x:c r="Q126" s="82"/>
      <x:c r="R126" s="82"/>
      <x:c r="S126" s="82"/>
      <x:c r="T126" s="82"/>
      <x:c r="U126" s="82"/>
      <x:c r="V126" s="82"/>
    </x:row>
    <x:row r="127" ht="19" customHeight="1">
      <x:c r="A127" s="82" t="str">
        <x:v>Public subscriptions + private reallocations</x:v>
      </x:c>
      <x:c r="B127" s="82"/>
      <x:c r="C127" s="82"/>
      <x:c r="D127" s="86" t="n">
        <x:f>D89+E89</x:f>
        <x:v>496.85275405404695</x:v>
      </x:c>
      <x:c r="E127" s="82"/>
      <x:c r="F127" s="82"/>
      <x:c r="G127" s="82"/>
      <x:c r="H127" s="82"/>
      <x:c r="I127" s="82"/>
      <x:c r="J127" s="82"/>
      <x:c r="K127" s="82"/>
      <x:c r="L127" s="82"/>
      <x:c r="M127" s="82"/>
      <x:c r="N127" s="82"/>
      <x:c r="O127" s="82"/>
      <x:c r="P127" s="82"/>
      <x:c r="Q127" s="82"/>
      <x:c r="R127" s="82"/>
      <x:c r="S127" s="82"/>
      <x:c r="T127" s="82"/>
      <x:c r="U127" s="82"/>
      <x:c r="V127" s="82"/>
    </x:row>
    <x:row r="128" ht="19" customHeight="1">
      <x:c r="A128" s="82" t="str">
        <x:v>Syndicate funding difference</x:v>
      </x:c>
      <x:c r="B128" s="82"/>
      <x:c r="C128" s="82"/>
      <x:c r="D128" s="86" t="n">
        <x:f>C89-D127</x:f>
        <x:v>0</x:v>
      </x:c>
      <x:c r="E128" s="82"/>
      <x:c r="F128" s="82"/>
      <x:c r="G128" s="82"/>
      <x:c r="H128" s="82"/>
      <x:c r="I128" s="82"/>
      <x:c r="J128" s="82"/>
      <x:c r="K128" s="82"/>
      <x:c r="L128" s="82"/>
      <x:c r="M128" s="82"/>
      <x:c r="N128" s="82"/>
      <x:c r="O128" s="82"/>
      <x:c r="P128" s="82"/>
      <x:c r="Q128" s="82"/>
      <x:c r="R128" s="82"/>
      <x:c r="S128" s="82"/>
      <x:c r="T128" s="82"/>
      <x:c r="U128" s="82"/>
      <x:c r="V128" s="82"/>
    </x:row>
    <x:row r="129" ht="19" customHeight="1">
      <x:c r="A129" s="82" t="str">
        <x:v>Private ordinary foreign budget remaining</x:v>
      </x:c>
      <x:c r="B129" s="82"/>
      <x:c r="C129" s="82"/>
      <x:c r="D129" s="86" t="n">
        <x:f>Abroad!C87-E89</x:f>
        <x:v>1222.309328527891</x:v>
      </x:c>
      <x:c r="E129" s="82"/>
      <x:c r="F129" s="82"/>
      <x:c r="G129" s="82"/>
      <x:c r="H129" s="82"/>
      <x:c r="I129" s="82"/>
      <x:c r="J129" s="82"/>
      <x:c r="K129" s="82"/>
      <x:c r="L129" s="82"/>
      <x:c r="M129" s="82"/>
      <x:c r="N129" s="82"/>
      <x:c r="O129" s="82"/>
      <x:c r="P129" s="82"/>
      <x:c r="Q129" s="82"/>
      <x:c r="R129" s="82"/>
      <x:c r="S129" s="82"/>
      <x:c r="T129" s="82"/>
      <x:c r="U129" s="82"/>
      <x:c r="V129" s="82"/>
    </x:row>
    <x:row r="130" ht="19" customHeight="1">
      <x:c r="A130" s="82" t="str">
        <x:v>Initial rescue payments retained in SF</x:v>
      </x:c>
      <x:c r="B130" s="82"/>
      <x:c r="C130" s="82"/>
      <x:c r="D130" s="86" t="n">
        <x:f>C89-D126</x:f>
        <x:v>248.42637702702348</x:v>
      </x:c>
      <x:c r="E130" s="82"/>
      <x:c r="F130" s="82"/>
      <x:c r="G130" s="82"/>
      <x:c r="H130" s="82"/>
      <x:c r="I130" s="82"/>
      <x:c r="J130" s="82"/>
      <x:c r="K130" s="82"/>
      <x:c r="L130" s="82"/>
      <x:c r="M130" s="82"/>
      <x:c r="N130" s="82"/>
      <x:c r="O130" s="82"/>
      <x:c r="P130" s="82"/>
      <x:c r="Q130" s="82"/>
      <x:c r="R130" s="82"/>
      <x:c r="S130" s="82"/>
      <x:c r="T130" s="82"/>
      <x:c r="U130" s="82"/>
      <x:c r="V130" s="82"/>
    </x:row>
    <x:row r="131" ht="19" customHeight="1">
      <x:c r="A131" s="82" t="str">
        <x:v>Rescue-related callable SF balances</x:v>
      </x:c>
      <x:c r="B131" s="82"/>
      <x:c r="C131" s="82"/>
      <x:c r="D131" s="86" t="n">
        <x:f>D130</x:f>
        <x:v>248.42637702702348</x:v>
      </x:c>
      <x:c r="E131" s="82"/>
      <x:c r="F131" s="82"/>
      <x:c r="G131" s="82"/>
      <x:c r="H131" s="82"/>
      <x:c r="I131" s="82"/>
      <x:c r="J131" s="82"/>
      <x:c r="K131" s="82"/>
      <x:c r="L131" s="82"/>
      <x:c r="M131" s="82"/>
      <x:c r="N131" s="82"/>
      <x:c r="O131" s="82"/>
      <x:c r="P131" s="82"/>
      <x:c r="Q131" s="82"/>
      <x:c r="R131" s="82"/>
      <x:c r="S131" s="82"/>
      <x:c r="T131" s="82"/>
      <x:c r="U131" s="82"/>
      <x:c r="V131" s="82"/>
    </x:row>
    <x:row r="132" ht="19" customHeight="1">
      <x:c r="A132" s="82" t="str">
        <x:v>Extra gold cover on callable settlement balances</x:v>
      </x:c>
      <x:c r="B132" s="82"/>
      <x:c r="C132" s="82"/>
      <x:c r="D132" s="86" t="n">
        <x:f>D131*gold_cover</x:f>
        <x:v>99.37055081080939</x:v>
      </x:c>
      <x:c r="E132" s="82"/>
      <x:c r="F132" s="82"/>
      <x:c r="G132" s="82"/>
      <x:c r="H132" s="82"/>
      <x:c r="I132" s="82"/>
      <x:c r="J132" s="82"/>
      <x:c r="K132" s="82"/>
      <x:c r="L132" s="82"/>
      <x:c r="M132" s="82"/>
      <x:c r="N132" s="82"/>
      <x:c r="O132" s="82"/>
      <x:c r="P132" s="82"/>
      <x:c r="Q132" s="82"/>
      <x:c r="R132" s="82"/>
      <x:c r="S132" s="82"/>
      <x:c r="T132" s="82"/>
      <x:c r="U132" s="82"/>
      <x:c r="V132" s="82"/>
    </x:row>
    <x:row r="133" ht="19" customHeight="1">
      <x:c r="A133" s="82" t="str">
        <x:v>Physical gold plus added cover demand</x:v>
      </x:c>
      <x:c r="B133" s="82"/>
      <x:c r="C133" s="82"/>
      <x:c r="D133" s="86" t="n">
        <x:f>D126+D132</x:f>
        <x:v>347.79692783783287</x:v>
      </x:c>
      <x:c r="E133" s="82"/>
      <x:c r="F133" s="82"/>
      <x:c r="G133" s="82"/>
      <x:c r="H133" s="82"/>
      <x:c r="I133" s="82"/>
      <x:c r="J133" s="82"/>
      <x:c r="K133" s="82"/>
      <x:c r="L133" s="82"/>
      <x:c r="M133" s="82"/>
      <x:c r="N133" s="82"/>
      <x:c r="O133" s="82"/>
      <x:c r="P133" s="82"/>
      <x:c r="Q133" s="82"/>
      <x:c r="R133" s="82"/>
      <x:c r="S133" s="82"/>
      <x:c r="T133" s="82"/>
      <x:c r="U133" s="82"/>
      <x:c r="V133" s="82"/>
    </x:row>
    <x:row r="134" ht="19" customHeight="1">
      <x:c r="A134" s="82" t="str">
        <x:v>Callable SF balances are held unchanged through 1932 as a conservative reserve test; redemption is a separate risk.</x:v>
      </x:c>
      <x:c r="B134" s="82"/>
      <x:c r="C134" s="82"/>
      <x:c r="D134" s="82"/>
      <x:c r="E134" s="82"/>
      <x:c r="F134" s="82"/>
      <x:c r="G134" s="82"/>
      <x:c r="H134" s="82"/>
      <x:c r="I134" s="82"/>
      <x:c r="J134" s="82"/>
      <x:c r="K134" s="82"/>
      <x:c r="L134" s="82"/>
      <x:c r="M134" s="82"/>
      <x:c r="N134" s="82"/>
      <x:c r="O134" s="82"/>
      <x:c r="P134" s="82"/>
      <x:c r="Q134" s="82"/>
      <x:c r="R134" s="82"/>
      <x:c r="S134" s="82"/>
      <x:c r="T134" s="82"/>
      <x:c r="U134" s="82"/>
      <x:c r="V134" s="82"/>
    </x:row>
  </x:sheetData>
  <x:conditionalFormatting sqref="D16:D18">
    <x:cfRule type="cellIs" dxfId="2" priority="1" operator="greaterThan">
      <x:formula>0.001</x:formula>
    </x:cfRule>
  </x:conditionalFormatting>
  <x:conditionalFormatting sqref="S70:S81">
    <x:cfRule type="cellIs" dxfId="3" priority="2" operator="greaterThan">
      <x:formula>0.001</x:formula>
    </x:cfRule>
  </x:conditionalFormatting>
  <x:conditionalFormatting sqref="D60:D60">
    <x:cfRule type="cellIs" dxfId="4" priority="3" operator="greaterThan">
      <x:formula>0.001</x:formula>
    </x:cfRule>
  </x:conditionalFormatting>
  <x:conditionalFormatting sqref="D66:D66">
    <x:cfRule type="cellIs" dxfId="5" priority="4" operator="greaterThan">
      <x:formula>0.001</x:formula>
    </x:cfRule>
  </x:conditionalFormatting>
  <x:conditionalFormatting sqref="R70:R81">
    <x:cfRule type="cellIs" dxfId="6" priority="5" operator="lessThan">
      <x:formula>-0.001</x:formula>
    </x:cfRule>
  </x:conditionalFormatting>
  <x:pageMargins left="0.7" right="0.7" top="0.75" bottom="0.75" header="0.3" footer="0.3"/>
</x:worksheet>
</file>